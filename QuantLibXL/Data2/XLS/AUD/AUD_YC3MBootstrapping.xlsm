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8630" yWindow="-15" windowWidth="18675" windowHeight="10800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externalReferences>
    <externalReference r:id="rId9"/>
  </externalReferences>
  <definedNames>
    <definedName name="_xlnm._FilterDatabase" localSheetId="7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Swaps!$P$5:$R$9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ADates">Monitor!$O$19:$O$24</definedName>
    <definedName name="FRANull">Monitor!$R$19:$R$24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Monitor!$AA$17</definedName>
    <definedName name="IborType">'General Settings'!$D$7</definedName>
    <definedName name="IMMFutDates">Monitor!$O$27:$O$60</definedName>
    <definedName name="IMMFutNull">Monitor!$R$27:$R$60</definedName>
    <definedName name="IMMFutQuotes">Monitor!$Q$27:$Q$60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RateHelpers!$G$2:$G$93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Monitor!$AB$17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RateHelpers!$A$2:$A$93</definedName>
    <definedName name="RateHelpersIncluded">RateHelpers!$E$2:$E$93</definedName>
    <definedName name="RateHelpersPriority">RateHelpers!$F$2:$F$93</definedName>
    <definedName name="RateHelpersSelected">Selected!$A$7</definedName>
    <definedName name="RecalcTrigger">Monitor!$J$20</definedName>
    <definedName name="SamplingFrequency">Monitor!$X$15</definedName>
    <definedName name="SerialFutDates">Monitor!$O$63:$O$70</definedName>
    <definedName name="SerialFutNull">Monitor!$R$63:$R$70</definedName>
    <definedName name="SerialFutQuotes">Monitor!$P$63:$P$70</definedName>
    <definedName name="SerialFutSeries">IF(CheckSerialFut=FALSE,SerialFutNull,SerialFutQuotes)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6" l="1"/>
  <c r="I3" i="9"/>
  <c r="H9" i="7"/>
  <c r="L3" i="11"/>
  <c r="H3" i="7"/>
  <c r="H4" i="7"/>
  <c r="H5" i="7"/>
  <c r="H6" i="7"/>
  <c r="H7" i="7"/>
  <c r="H8" i="7"/>
  <c r="E5" i="9" a="1"/>
  <c r="E5" i="9" l="1"/>
  <c r="E22" i="9"/>
  <c r="E39" i="9"/>
  <c r="E25" i="9"/>
  <c r="E11" i="9"/>
  <c r="E36" i="9"/>
  <c r="E13" i="9"/>
  <c r="E30" i="9"/>
  <c r="E8" i="9"/>
  <c r="E33" i="9"/>
  <c r="E19" i="9"/>
  <c r="E44" i="9"/>
  <c r="E21" i="9"/>
  <c r="E38" i="9"/>
  <c r="E16" i="9"/>
  <c r="E41" i="9"/>
  <c r="E27" i="9"/>
  <c r="E29" i="9"/>
  <c r="E46" i="9"/>
  <c r="E24" i="9"/>
  <c r="E10" i="9"/>
  <c r="E35" i="9"/>
  <c r="E37" i="9"/>
  <c r="E7" i="9"/>
  <c r="E32" i="9"/>
  <c r="E18" i="9"/>
  <c r="E43" i="9"/>
  <c r="E45" i="9"/>
  <c r="E15" i="9"/>
  <c r="E40" i="9"/>
  <c r="E26" i="9"/>
  <c r="E12" i="9"/>
  <c r="E6" i="9"/>
  <c r="E23" i="9"/>
  <c r="E9" i="9"/>
  <c r="E34" i="9"/>
  <c r="E20" i="9"/>
  <c r="E14" i="9"/>
  <c r="E31" i="9"/>
  <c r="E17" i="9"/>
  <c r="E42" i="9"/>
  <c r="E28" i="9"/>
  <c r="I4" i="7"/>
  <c r="I5" i="7"/>
  <c r="I6" i="7"/>
  <c r="I7" i="7"/>
  <c r="I9" i="7"/>
  <c r="F29" i="9"/>
  <c r="F35" i="9"/>
  <c r="F28" i="9"/>
  <c r="F7" i="9"/>
  <c r="F19" i="9"/>
  <c r="F34" i="9"/>
  <c r="F43" i="9"/>
  <c r="F31" i="9"/>
  <c r="F25" i="9"/>
  <c r="J4" i="7"/>
  <c r="F45" i="9"/>
  <c r="F36" i="9"/>
  <c r="F38" i="9"/>
  <c r="F32" i="9"/>
  <c r="F10" i="9"/>
  <c r="F39" i="9"/>
  <c r="Y19" i="13"/>
  <c r="F37" i="9"/>
  <c r="F26" i="9"/>
  <c r="F23" i="9"/>
  <c r="F14" i="9"/>
  <c r="F24" i="9"/>
  <c r="F16" i="9"/>
  <c r="F27" i="9"/>
  <c r="F21" i="9"/>
  <c r="F41" i="9"/>
  <c r="F20" i="9"/>
  <c r="F17" i="9"/>
  <c r="F18" i="9"/>
  <c r="F40" i="9"/>
  <c r="F42" i="9"/>
  <c r="F13" i="9"/>
  <c r="F5" i="9"/>
  <c r="F9" i="9"/>
  <c r="F30" i="9"/>
  <c r="F44" i="9"/>
  <c r="F12" i="9"/>
  <c r="F33" i="9"/>
  <c r="F8" i="9"/>
  <c r="F11" i="9"/>
  <c r="F6" i="9"/>
  <c r="F15" i="9"/>
  <c r="F22" i="9"/>
  <c r="F46" i="9"/>
  <c r="A3" i="4" l="1"/>
  <c r="K6" i="11"/>
  <c r="K7" i="11"/>
  <c r="K8" i="11"/>
  <c r="K9" i="11"/>
  <c r="K10" i="11"/>
  <c r="K4" i="7"/>
  <c r="H3" i="4"/>
  <c r="I3" i="4"/>
  <c r="C3" i="4"/>
  <c r="J6" i="7"/>
  <c r="K6" i="7" s="1"/>
  <c r="J7" i="7"/>
  <c r="B3" i="4"/>
  <c r="J5" i="7"/>
  <c r="K5" i="7"/>
  <c r="A6" i="4" l="1"/>
  <c r="A4" i="4"/>
  <c r="A5" i="4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11" i="11"/>
  <c r="F4" i="12"/>
  <c r="K16" i="6"/>
  <c r="K15" i="6"/>
  <c r="D7" i="6"/>
  <c r="I6" i="4"/>
  <c r="C5" i="4"/>
  <c r="K7" i="7"/>
  <c r="H6" i="4"/>
  <c r="B4" i="4"/>
  <c r="B5" i="4"/>
  <c r="C4" i="4"/>
  <c r="B6" i="4"/>
  <c r="H5" i="4"/>
  <c r="H4" i="4"/>
  <c r="C6" i="4"/>
  <c r="I4" i="4"/>
  <c r="I5" i="4"/>
  <c r="X538" i="13" l="1"/>
  <c r="X539" i="13" s="1"/>
  <c r="X540" i="13" s="1"/>
  <c r="X541" i="13" s="1"/>
  <c r="X542" i="13" s="1"/>
  <c r="X543" i="13" s="1"/>
  <c r="X544" i="13" s="1"/>
  <c r="X545" i="13" s="1"/>
  <c r="X546" i="13" s="1"/>
  <c r="X547" i="13" s="1"/>
  <c r="X548" i="13" s="1"/>
  <c r="X549" i="13" s="1"/>
  <c r="X550" i="13" s="1"/>
  <c r="X551" i="13" s="1"/>
  <c r="X552" i="13" s="1"/>
  <c r="X553" i="13" s="1"/>
  <c r="X554" i="13" s="1"/>
  <c r="X555" i="13" s="1"/>
  <c r="X556" i="13" s="1"/>
  <c r="X557" i="13" s="1"/>
  <c r="X558" i="13" s="1"/>
  <c r="X559" i="13" s="1"/>
  <c r="X560" i="13" s="1"/>
  <c r="X561" i="13" s="1"/>
  <c r="X562" i="13" s="1"/>
  <c r="X563" i="13" s="1"/>
  <c r="X564" i="13" s="1"/>
  <c r="X565" i="13" s="1"/>
  <c r="X566" i="13" s="1"/>
  <c r="X567" i="13" s="1"/>
  <c r="X568" i="13" s="1"/>
  <c r="X569" i="13" s="1"/>
  <c r="X570" i="13" s="1"/>
  <c r="X571" i="13" s="1"/>
  <c r="X572" i="13" s="1"/>
  <c r="X573" i="13" s="1"/>
  <c r="X574" i="13" s="1"/>
  <c r="X575" i="13" s="1"/>
  <c r="X576" i="13" s="1"/>
  <c r="X577" i="13" s="1"/>
  <c r="X578" i="13" s="1"/>
  <c r="X579" i="13" s="1"/>
  <c r="X580" i="13" s="1"/>
  <c r="X581" i="13" s="1"/>
  <c r="X582" i="13" s="1"/>
  <c r="X583" i="13" s="1"/>
  <c r="X584" i="13" s="1"/>
  <c r="X585" i="13" s="1"/>
  <c r="X586" i="13" s="1"/>
  <c r="X587" i="13" s="1"/>
  <c r="X588" i="13" s="1"/>
  <c r="X589" i="13" s="1"/>
  <c r="X590" i="13" s="1"/>
  <c r="X591" i="13" s="1"/>
  <c r="X592" i="13" s="1"/>
  <c r="X593" i="13" s="1"/>
  <c r="X594" i="13" s="1"/>
  <c r="X595" i="13" s="1"/>
  <c r="X596" i="13" s="1"/>
  <c r="X597" i="13" s="1"/>
  <c r="X598" i="13" s="1"/>
  <c r="X599" i="13" s="1"/>
  <c r="X600" i="13" s="1"/>
  <c r="X601" i="13" s="1"/>
  <c r="X602" i="13" s="1"/>
  <c r="X603" i="13" s="1"/>
  <c r="X604" i="13" s="1"/>
  <c r="X605" i="13" s="1"/>
  <c r="X606" i="13" s="1"/>
  <c r="X607" i="13" s="1"/>
  <c r="X608" i="13" s="1"/>
  <c r="X609" i="13" s="1"/>
  <c r="X610" i="13" s="1"/>
  <c r="X611" i="13" s="1"/>
  <c r="X612" i="13" s="1"/>
  <c r="X613" i="13" s="1"/>
  <c r="X614" i="13" s="1"/>
  <c r="X615" i="13" s="1"/>
  <c r="X616" i="13" s="1"/>
  <c r="X617" i="13" s="1"/>
  <c r="X618" i="13" s="1"/>
  <c r="X619" i="13" s="1"/>
  <c r="X620" i="13" s="1"/>
  <c r="X621" i="13" s="1"/>
  <c r="X622" i="13" s="1"/>
  <c r="X623" i="13" s="1"/>
  <c r="X624" i="13" s="1"/>
  <c r="X625" i="13" s="1"/>
  <c r="X626" i="13" s="1"/>
  <c r="X627" i="13" s="1"/>
  <c r="X628" i="13" s="1"/>
  <c r="X629" i="13" s="1"/>
  <c r="X630" i="13" s="1"/>
  <c r="X631" i="13" s="1"/>
  <c r="X632" i="13" s="1"/>
  <c r="X633" i="13" s="1"/>
  <c r="X634" i="13" s="1"/>
  <c r="X635" i="13" s="1"/>
  <c r="X636" i="13" s="1"/>
  <c r="X637" i="13" s="1"/>
  <c r="X638" i="13" s="1"/>
  <c r="X639" i="13" s="1"/>
  <c r="X640" i="13" s="1"/>
  <c r="X641" i="13" s="1"/>
  <c r="X642" i="13" s="1"/>
  <c r="X643" i="13" s="1"/>
  <c r="X644" i="13" s="1"/>
  <c r="X645" i="13" s="1"/>
  <c r="X646" i="13" s="1"/>
  <c r="X647" i="13" s="1"/>
  <c r="X648" i="13" s="1"/>
  <c r="X649" i="13" s="1"/>
  <c r="X650" i="13" s="1"/>
  <c r="X651" i="13" s="1"/>
  <c r="X652" i="13" s="1"/>
  <c r="X653" i="13" s="1"/>
  <c r="X654" i="13" s="1"/>
  <c r="X655" i="13" s="1"/>
  <c r="X656" i="13" s="1"/>
  <c r="X657" i="13" s="1"/>
  <c r="X658" i="13" s="1"/>
  <c r="X659" i="13" s="1"/>
  <c r="X660" i="13" s="1"/>
  <c r="X661" i="13" s="1"/>
  <c r="X662" i="13" s="1"/>
  <c r="X663" i="13" s="1"/>
  <c r="X664" i="13" s="1"/>
  <c r="X665" i="13" s="1"/>
  <c r="X666" i="13" s="1"/>
  <c r="X667" i="13" s="1"/>
  <c r="X668" i="13" s="1"/>
  <c r="X669" i="13" s="1"/>
  <c r="X670" i="13" s="1"/>
  <c r="X671" i="13" s="1"/>
  <c r="X672" i="13" s="1"/>
  <c r="X673" i="13" s="1"/>
  <c r="X674" i="13" s="1"/>
  <c r="X675" i="13" s="1"/>
  <c r="X676" i="13" s="1"/>
  <c r="X677" i="13" s="1"/>
  <c r="X678" i="13" s="1"/>
  <c r="X679" i="13" s="1"/>
  <c r="X680" i="13" s="1"/>
  <c r="X681" i="13" s="1"/>
  <c r="X682" i="13" s="1"/>
  <c r="X683" i="13" s="1"/>
  <c r="X684" i="13" s="1"/>
  <c r="X685" i="13" s="1"/>
  <c r="X686" i="13" s="1"/>
  <c r="X687" i="13" s="1"/>
  <c r="X688" i="13" s="1"/>
  <c r="X689" i="13" s="1"/>
  <c r="X690" i="13" s="1"/>
  <c r="X691" i="13" s="1"/>
  <c r="X692" i="13" s="1"/>
  <c r="X693" i="13" s="1"/>
  <c r="X694" i="13" s="1"/>
  <c r="X695" i="13" s="1"/>
  <c r="X696" i="13" s="1"/>
  <c r="X697" i="13" s="1"/>
  <c r="X698" i="13" s="1"/>
  <c r="X699" i="13" s="1"/>
  <c r="X700" i="13" s="1"/>
  <c r="X701" i="13" s="1"/>
  <c r="X702" i="13" s="1"/>
  <c r="X703" i="13" s="1"/>
  <c r="X704" i="13" s="1"/>
  <c r="X705" i="13" s="1"/>
  <c r="X706" i="13" s="1"/>
  <c r="X707" i="13" s="1"/>
  <c r="X708" i="13" s="1"/>
  <c r="X709" i="13" s="1"/>
  <c r="X710" i="13" s="1"/>
  <c r="X711" i="13" s="1"/>
  <c r="X712" i="13" s="1"/>
  <c r="X713" i="13" s="1"/>
  <c r="X714" i="13" s="1"/>
  <c r="X715" i="13" s="1"/>
  <c r="X716" i="13" s="1"/>
  <c r="X717" i="13" s="1"/>
  <c r="X718" i="13" s="1"/>
  <c r="X719" i="13" s="1"/>
  <c r="X720" i="13" s="1"/>
  <c r="X721" i="13" s="1"/>
  <c r="X722" i="13" s="1"/>
  <c r="X723" i="13" s="1"/>
  <c r="X724" i="13" s="1"/>
  <c r="X725" i="13" s="1"/>
  <c r="X726" i="13" s="1"/>
  <c r="X727" i="13" s="1"/>
  <c r="X728" i="13" s="1"/>
  <c r="X729" i="13" s="1"/>
  <c r="X730" i="13" s="1"/>
  <c r="X731" i="13" s="1"/>
  <c r="X732" i="13" s="1"/>
  <c r="X733" i="13" s="1"/>
  <c r="X734" i="13" s="1"/>
  <c r="X735" i="13" s="1"/>
  <c r="X736" i="13" s="1"/>
  <c r="X737" i="13" s="1"/>
  <c r="X738" i="13" s="1"/>
  <c r="X739" i="13" s="1"/>
  <c r="X740" i="13" s="1"/>
  <c r="X741" i="13" s="1"/>
  <c r="X742" i="13" s="1"/>
  <c r="X743" i="13" s="1"/>
  <c r="X744" i="13" s="1"/>
  <c r="X745" i="13" s="1"/>
  <c r="X746" i="13" s="1"/>
  <c r="X747" i="13" s="1"/>
  <c r="X748" i="13" s="1"/>
  <c r="X749" i="13" s="1"/>
  <c r="X750" i="13" s="1"/>
  <c r="X751" i="13" s="1"/>
  <c r="X752" i="13" s="1"/>
  <c r="X753" i="13" s="1"/>
  <c r="X754" i="13" s="1"/>
  <c r="X755" i="13" s="1"/>
  <c r="X756" i="13" s="1"/>
  <c r="X757" i="13" s="1"/>
  <c r="X758" i="13" s="1"/>
  <c r="X759" i="13" s="1"/>
  <c r="X760" i="13" s="1"/>
  <c r="X761" i="13" s="1"/>
  <c r="X762" i="13" s="1"/>
  <c r="X763" i="13" s="1"/>
  <c r="X764" i="13" s="1"/>
  <c r="X765" i="13" s="1"/>
  <c r="X766" i="13" s="1"/>
  <c r="X767" i="13" s="1"/>
  <c r="X768" i="13" s="1"/>
  <c r="X769" i="13" s="1"/>
  <c r="X770" i="13" s="1"/>
  <c r="X771" i="13" s="1"/>
  <c r="X772" i="13" s="1"/>
  <c r="X773" i="13" s="1"/>
  <c r="X774" i="13" s="1"/>
  <c r="X775" i="13" s="1"/>
  <c r="X776" i="13" s="1"/>
  <c r="X777" i="13" s="1"/>
  <c r="X778" i="13" s="1"/>
  <c r="X779" i="13" s="1"/>
  <c r="X780" i="13" s="1"/>
  <c r="X781" i="13" s="1"/>
  <c r="X782" i="13" s="1"/>
  <c r="X783" i="13" s="1"/>
  <c r="X784" i="13" s="1"/>
  <c r="X785" i="13" s="1"/>
  <c r="X786" i="13" s="1"/>
  <c r="X787" i="13" s="1"/>
  <c r="X788" i="13" s="1"/>
  <c r="X789" i="13" s="1"/>
  <c r="X790" i="13" s="1"/>
  <c r="X791" i="13" s="1"/>
  <c r="X792" i="13" s="1"/>
  <c r="X793" i="13" s="1"/>
  <c r="X794" i="13" s="1"/>
  <c r="X795" i="13" s="1"/>
  <c r="X796" i="13" s="1"/>
  <c r="X797" i="13" s="1"/>
  <c r="X798" i="13" s="1"/>
  <c r="X799" i="13" s="1"/>
  <c r="X800" i="13" s="1"/>
  <c r="X801" i="13" s="1"/>
  <c r="X802" i="13" s="1"/>
  <c r="X803" i="13" s="1"/>
  <c r="X804" i="13" s="1"/>
  <c r="X805" i="13" s="1"/>
  <c r="X806" i="13" s="1"/>
  <c r="X807" i="13" s="1"/>
  <c r="X808" i="13" s="1"/>
  <c r="X809" i="13" s="1"/>
  <c r="X810" i="13" s="1"/>
  <c r="X811" i="13" s="1"/>
  <c r="X812" i="13" s="1"/>
  <c r="X813" i="13" s="1"/>
  <c r="X814" i="13" s="1"/>
  <c r="X815" i="13" s="1"/>
  <c r="X816" i="13" s="1"/>
  <c r="X817" i="13" s="1"/>
  <c r="X818" i="13" s="1"/>
  <c r="X819" i="13" s="1"/>
  <c r="X820" i="13" s="1"/>
  <c r="X821" i="13" s="1"/>
  <c r="X822" i="13" s="1"/>
  <c r="X823" i="13" s="1"/>
  <c r="X824" i="13" s="1"/>
  <c r="X825" i="13" s="1"/>
  <c r="X826" i="13" s="1"/>
  <c r="X827" i="13" s="1"/>
  <c r="X828" i="13" s="1"/>
  <c r="X829" i="13" s="1"/>
  <c r="X830" i="13" s="1"/>
  <c r="X831" i="13" s="1"/>
  <c r="X832" i="13" s="1"/>
  <c r="X833" i="13" s="1"/>
  <c r="X834" i="13" s="1"/>
  <c r="X835" i="13" s="1"/>
  <c r="X836" i="13" s="1"/>
  <c r="X837" i="13" s="1"/>
  <c r="X838" i="13" s="1"/>
  <c r="X839" i="13" s="1"/>
  <c r="X840" i="13" s="1"/>
  <c r="X841" i="13" s="1"/>
  <c r="X842" i="13" s="1"/>
  <c r="X843" i="13" s="1"/>
  <c r="X844" i="13" s="1"/>
  <c r="X845" i="13" s="1"/>
  <c r="X846" i="13" s="1"/>
  <c r="X847" i="13" s="1"/>
  <c r="X848" i="13" s="1"/>
  <c r="X849" i="13" s="1"/>
  <c r="X850" i="13" s="1"/>
  <c r="X851" i="13" s="1"/>
  <c r="X852" i="13" s="1"/>
  <c r="X853" i="13" s="1"/>
  <c r="X854" i="13" s="1"/>
  <c r="X855" i="13" s="1"/>
  <c r="X856" i="13" s="1"/>
  <c r="X857" i="13" s="1"/>
  <c r="X858" i="13" s="1"/>
  <c r="X859" i="13" s="1"/>
  <c r="X860" i="13" s="1"/>
  <c r="X861" i="13" s="1"/>
  <c r="X862" i="13" s="1"/>
  <c r="X863" i="13" s="1"/>
  <c r="X864" i="13" s="1"/>
  <c r="X865" i="13" s="1"/>
  <c r="X866" i="13" s="1"/>
  <c r="X867" i="13" s="1"/>
  <c r="X868" i="13" s="1"/>
  <c r="X869" i="13" s="1"/>
  <c r="X870" i="13" s="1"/>
  <c r="X871" i="13" s="1"/>
  <c r="X872" i="13" s="1"/>
  <c r="X873" i="13" s="1"/>
  <c r="X874" i="13" s="1"/>
  <c r="X875" i="13" s="1"/>
  <c r="X876" i="13" s="1"/>
  <c r="X877" i="13" s="1"/>
  <c r="X878" i="13" s="1"/>
  <c r="X879" i="13" s="1"/>
  <c r="X880" i="13" s="1"/>
  <c r="X881" i="13" s="1"/>
  <c r="X882" i="13" s="1"/>
  <c r="X883" i="13" s="1"/>
  <c r="X884" i="13" s="1"/>
  <c r="X885" i="13" s="1"/>
  <c r="X886" i="13" s="1"/>
  <c r="X887" i="13" s="1"/>
  <c r="X888" i="13" s="1"/>
  <c r="X889" i="13" s="1"/>
  <c r="X890" i="13" s="1"/>
  <c r="X891" i="13" s="1"/>
  <c r="X892" i="13" s="1"/>
  <c r="X893" i="13" s="1"/>
  <c r="X894" i="13" s="1"/>
  <c r="X895" i="13" s="1"/>
  <c r="X896" i="13" s="1"/>
  <c r="X897" i="13" s="1"/>
  <c r="X898" i="13" s="1"/>
  <c r="X899" i="13" s="1"/>
  <c r="X900" i="13" s="1"/>
  <c r="X901" i="13" s="1"/>
  <c r="X902" i="13" s="1"/>
  <c r="X903" i="13" s="1"/>
  <c r="X904" i="13" s="1"/>
  <c r="X905" i="13" s="1"/>
  <c r="X906" i="13" s="1"/>
  <c r="X907" i="13" s="1"/>
  <c r="X908" i="13" s="1"/>
  <c r="X909" i="13" s="1"/>
  <c r="X910" i="13" s="1"/>
  <c r="X911" i="13" s="1"/>
  <c r="X912" i="13" s="1"/>
  <c r="X913" i="13" s="1"/>
  <c r="X914" i="13" s="1"/>
  <c r="X915" i="13" s="1"/>
  <c r="X916" i="13" s="1"/>
  <c r="X917" i="13" s="1"/>
  <c r="X918" i="13" s="1"/>
  <c r="X919" i="13" s="1"/>
  <c r="X920" i="13" s="1"/>
  <c r="X921" i="13" s="1"/>
  <c r="X922" i="13" s="1"/>
  <c r="X923" i="13" s="1"/>
  <c r="X924" i="13" s="1"/>
  <c r="X925" i="13" s="1"/>
  <c r="X926" i="13" s="1"/>
  <c r="X927" i="13" s="1"/>
  <c r="X928" i="13" s="1"/>
  <c r="X929" i="13" s="1"/>
  <c r="X930" i="13" s="1"/>
  <c r="X931" i="13" s="1"/>
  <c r="X932" i="13" s="1"/>
  <c r="X933" i="13" s="1"/>
  <c r="X934" i="13" s="1"/>
  <c r="X935" i="13" s="1"/>
  <c r="X936" i="13" s="1"/>
  <c r="X937" i="13" s="1"/>
  <c r="X938" i="13" s="1"/>
  <c r="X939" i="13" s="1"/>
  <c r="X940" i="13" s="1"/>
  <c r="X941" i="13" s="1"/>
  <c r="X942" i="13" s="1"/>
  <c r="X943" i="13" s="1"/>
  <c r="X944" i="13" s="1"/>
  <c r="X945" i="13" s="1"/>
  <c r="X946" i="13" s="1"/>
  <c r="X947" i="13" s="1"/>
  <c r="X948" i="13" s="1"/>
  <c r="X949" i="13" s="1"/>
  <c r="X950" i="13" s="1"/>
  <c r="X951" i="13" s="1"/>
  <c r="X952" i="13" s="1"/>
  <c r="X953" i="13" s="1"/>
  <c r="X954" i="13" s="1"/>
  <c r="X955" i="13" s="1"/>
  <c r="X956" i="13" s="1"/>
  <c r="X957" i="13" s="1"/>
  <c r="X958" i="13" s="1"/>
  <c r="X959" i="13" s="1"/>
  <c r="X960" i="13" s="1"/>
  <c r="X961" i="13" s="1"/>
  <c r="X962" i="13" s="1"/>
  <c r="X963" i="13" s="1"/>
  <c r="X964" i="13" s="1"/>
  <c r="X965" i="13" s="1"/>
  <c r="X966" i="13" s="1"/>
  <c r="X967" i="13" s="1"/>
  <c r="X968" i="13" s="1"/>
  <c r="X969" i="13" s="1"/>
  <c r="X970" i="13" s="1"/>
  <c r="X971" i="13" s="1"/>
  <c r="X972" i="13" s="1"/>
  <c r="X973" i="13" s="1"/>
  <c r="X974" i="13" s="1"/>
  <c r="X975" i="13" s="1"/>
  <c r="X976" i="13" s="1"/>
  <c r="X977" i="13" s="1"/>
  <c r="X978" i="13" s="1"/>
  <c r="X979" i="13" s="1"/>
  <c r="X980" i="13" s="1"/>
  <c r="X981" i="13" s="1"/>
  <c r="X982" i="13" s="1"/>
  <c r="X983" i="13" s="1"/>
  <c r="X984" i="13" s="1"/>
  <c r="X985" i="13" s="1"/>
  <c r="X986" i="13" s="1"/>
  <c r="X987" i="13" s="1"/>
  <c r="X988" i="13" s="1"/>
  <c r="X989" i="13" s="1"/>
  <c r="X990" i="13" s="1"/>
  <c r="X991" i="13" s="1"/>
  <c r="X992" i="13" s="1"/>
  <c r="X993" i="13" s="1"/>
  <c r="X994" i="13" s="1"/>
  <c r="X995" i="13" s="1"/>
  <c r="X996" i="13" s="1"/>
  <c r="X997" i="13" s="1"/>
  <c r="X998" i="13" s="1"/>
  <c r="X999" i="13" s="1"/>
  <c r="X1000" i="13" s="1"/>
  <c r="X1001" i="13" s="1"/>
  <c r="X1002" i="13" s="1"/>
  <c r="X1003" i="13" s="1"/>
  <c r="X1004" i="13" s="1"/>
  <c r="X1005" i="13" s="1"/>
  <c r="X1006" i="13" s="1"/>
  <c r="X1007" i="13" s="1"/>
  <c r="X1008" i="13" s="1"/>
  <c r="X1009" i="13" s="1"/>
  <c r="X1010" i="13" s="1"/>
  <c r="X1011" i="13" s="1"/>
  <c r="X1012" i="13" s="1"/>
  <c r="X1013" i="13" s="1"/>
  <c r="X1014" i="13" s="1"/>
  <c r="X1015" i="13" s="1"/>
  <c r="X1016" i="13" s="1"/>
  <c r="X1017" i="13" s="1"/>
  <c r="X1018" i="13" s="1"/>
  <c r="X1019" i="13" s="1"/>
  <c r="X1020" i="13" s="1"/>
  <c r="X1021" i="13" s="1"/>
  <c r="X1022" i="13" s="1"/>
  <c r="X1023" i="13" s="1"/>
  <c r="X1024" i="13" s="1"/>
  <c r="X1025" i="13" s="1"/>
  <c r="X1026" i="13" s="1"/>
  <c r="X1027" i="13" s="1"/>
  <c r="X1028" i="13" s="1"/>
  <c r="X1029" i="13" s="1"/>
  <c r="X1030" i="13" s="1"/>
  <c r="X1031" i="13" s="1"/>
  <c r="X1032" i="13" s="1"/>
  <c r="X1033" i="13" s="1"/>
  <c r="X1034" i="13" s="1"/>
  <c r="X1035" i="13" s="1"/>
  <c r="X1036" i="13" s="1"/>
  <c r="X1037" i="13" s="1"/>
  <c r="X1038" i="13" s="1"/>
  <c r="X1039" i="13" s="1"/>
  <c r="X1040" i="13" s="1"/>
  <c r="X1041" i="13" s="1"/>
  <c r="X1042" i="13" s="1"/>
  <c r="X1043" i="13" s="1"/>
  <c r="X1044" i="13" s="1"/>
  <c r="X1045" i="13" s="1"/>
  <c r="X1046" i="13" s="1"/>
  <c r="X1047" i="13" s="1"/>
  <c r="X1048" i="13" s="1"/>
  <c r="X1049" i="13" s="1"/>
  <c r="X1050" i="13" s="1"/>
  <c r="X1051" i="13" s="1"/>
  <c r="X1052" i="13" s="1"/>
  <c r="X1053" i="13" s="1"/>
  <c r="X1054" i="13" s="1"/>
  <c r="X1055" i="13" s="1"/>
  <c r="X1056" i="13" s="1"/>
  <c r="X1057" i="13" s="1"/>
  <c r="X1058" i="13" s="1"/>
  <c r="X1059" i="13" s="1"/>
  <c r="X1060" i="13" s="1"/>
  <c r="X1061" i="13" s="1"/>
  <c r="X1062" i="13" s="1"/>
  <c r="X1063" i="13" s="1"/>
  <c r="X1064" i="13" s="1"/>
  <c r="X1065" i="13" s="1"/>
  <c r="X1066" i="13" s="1"/>
  <c r="X1067" i="13" s="1"/>
  <c r="X1068" i="13" s="1"/>
  <c r="X1069" i="13" s="1"/>
  <c r="X1070" i="13" s="1"/>
  <c r="X1071" i="13" s="1"/>
  <c r="X1072" i="13" s="1"/>
  <c r="X1073" i="13" s="1"/>
  <c r="X1074" i="13" s="1"/>
  <c r="X1075" i="13" s="1"/>
  <c r="X1076" i="13" s="1"/>
  <c r="X1077" i="13" s="1"/>
  <c r="X1078" i="13" s="1"/>
  <c r="X1079" i="13" s="1"/>
  <c r="X1080" i="13" s="1"/>
  <c r="X1081" i="13" s="1"/>
  <c r="X1082" i="13" s="1"/>
  <c r="X1083" i="13" s="1"/>
  <c r="X1084" i="13" s="1"/>
  <c r="X1085" i="13" s="1"/>
  <c r="X1086" i="13" s="1"/>
  <c r="X1087" i="13" s="1"/>
  <c r="X1088" i="13" s="1"/>
  <c r="X1089" i="13" s="1"/>
  <c r="X1090" i="13" s="1"/>
  <c r="X1091" i="13" s="1"/>
  <c r="X1092" i="13" s="1"/>
  <c r="X1093" i="13" s="1"/>
  <c r="X1094" i="13" s="1"/>
  <c r="X1095" i="13" s="1"/>
  <c r="X1096" i="13" s="1"/>
  <c r="X1097" i="13" s="1"/>
  <c r="X1098" i="13" s="1"/>
  <c r="X1099" i="13" s="1"/>
  <c r="X1100" i="13" s="1"/>
  <c r="X1101" i="13" s="1"/>
  <c r="X1102" i="13" s="1"/>
  <c r="X1103" i="13" s="1"/>
  <c r="X1104" i="13" s="1"/>
  <c r="X1105" i="13" s="1"/>
  <c r="X1106" i="13" s="1"/>
  <c r="X1107" i="13" s="1"/>
  <c r="X1108" i="13" s="1"/>
  <c r="X1109" i="13" s="1"/>
  <c r="X1110" i="13" s="1"/>
  <c r="X1111" i="13" s="1"/>
  <c r="X1112" i="13" s="1"/>
  <c r="X1113" i="13" s="1"/>
  <c r="X1114" i="13" s="1"/>
  <c r="X1115" i="13" s="1"/>
  <c r="X1116" i="13" s="1"/>
  <c r="X1117" i="13" s="1"/>
  <c r="X1118" i="13" s="1"/>
  <c r="X1119" i="13" s="1"/>
  <c r="X1120" i="13" s="1"/>
  <c r="X1121" i="13" s="1"/>
  <c r="X1122" i="13" s="1"/>
  <c r="X1123" i="13" s="1"/>
  <c r="X1124" i="13" s="1"/>
  <c r="X1125" i="13" s="1"/>
  <c r="X1126" i="13" s="1"/>
  <c r="X1127" i="13" s="1"/>
  <c r="X1128" i="13" s="1"/>
  <c r="X1129" i="13" s="1"/>
  <c r="X1130" i="13" s="1"/>
  <c r="X1131" i="13" s="1"/>
  <c r="X1132" i="13" s="1"/>
  <c r="X1133" i="13" s="1"/>
  <c r="X1134" i="13" s="1"/>
  <c r="X1135" i="13" s="1"/>
  <c r="X1136" i="13" s="1"/>
  <c r="X1137" i="13" s="1"/>
  <c r="X1138" i="13" s="1"/>
  <c r="X1139" i="13" s="1"/>
  <c r="X1140" i="13" s="1"/>
  <c r="X1141" i="13" s="1"/>
  <c r="X1142" i="13" s="1"/>
  <c r="X1143" i="13" s="1"/>
  <c r="X1144" i="13" s="1"/>
  <c r="X1145" i="13" s="1"/>
  <c r="X1146" i="13" s="1"/>
  <c r="X1147" i="13" s="1"/>
  <c r="X1148" i="13" s="1"/>
  <c r="X1149" i="13" s="1"/>
  <c r="X1150" i="13" s="1"/>
  <c r="X1151" i="13" s="1"/>
  <c r="X1152" i="13" s="1"/>
  <c r="X1153" i="13" s="1"/>
  <c r="X1154" i="13" s="1"/>
  <c r="X1155" i="13" s="1"/>
  <c r="X1156" i="13" s="1"/>
  <c r="X1157" i="13" s="1"/>
  <c r="X1158" i="13" s="1"/>
  <c r="X1159" i="13" s="1"/>
  <c r="X1160" i="13" s="1"/>
  <c r="X1161" i="13" s="1"/>
  <c r="X1162" i="13" s="1"/>
  <c r="X1163" i="13" s="1"/>
  <c r="X1164" i="13" s="1"/>
  <c r="X1165" i="13" s="1"/>
  <c r="X1166" i="13" s="1"/>
  <c r="X1167" i="13" s="1"/>
  <c r="X1168" i="13" s="1"/>
  <c r="X1169" i="13" s="1"/>
  <c r="X1170" i="13" s="1"/>
  <c r="X1171" i="13" s="1"/>
  <c r="X1172" i="13" s="1"/>
  <c r="X1173" i="13" s="1"/>
  <c r="X1174" i="13" s="1"/>
  <c r="X1175" i="13" s="1"/>
  <c r="X1176" i="13" s="1"/>
  <c r="X1177" i="13" s="1"/>
  <c r="X1178" i="13" s="1"/>
  <c r="X1179" i="13" s="1"/>
  <c r="X1180" i="13" s="1"/>
  <c r="X1181" i="13" s="1"/>
  <c r="X1182" i="13" s="1"/>
  <c r="X1183" i="13" s="1"/>
  <c r="X1184" i="13" s="1"/>
  <c r="X1185" i="13" s="1"/>
  <c r="X1186" i="13" s="1"/>
  <c r="X1187" i="13" s="1"/>
  <c r="X1188" i="13" s="1"/>
  <c r="X1189" i="13" s="1"/>
  <c r="X1190" i="13" s="1"/>
  <c r="X1191" i="13" s="1"/>
  <c r="X1192" i="13" s="1"/>
  <c r="X1193" i="13" s="1"/>
  <c r="X1194" i="13" s="1"/>
  <c r="X1195" i="13" s="1"/>
  <c r="X1196" i="13" s="1"/>
  <c r="X1197" i="13" s="1"/>
  <c r="X1198" i="13" s="1"/>
  <c r="X1199" i="13" s="1"/>
  <c r="X1200" i="13" s="1"/>
  <c r="X1201" i="13" s="1"/>
  <c r="X1202" i="13" s="1"/>
  <c r="X1203" i="13" s="1"/>
  <c r="X1204" i="13" s="1"/>
  <c r="X1205" i="13" s="1"/>
  <c r="X1206" i="13" s="1"/>
  <c r="X1207" i="13" s="1"/>
  <c r="X1208" i="13" s="1"/>
  <c r="X1209" i="13" s="1"/>
  <c r="X1210" i="13" s="1"/>
  <c r="X1211" i="13" s="1"/>
  <c r="X1212" i="13" s="1"/>
  <c r="X1213" i="13" s="1"/>
  <c r="X1214" i="13" s="1"/>
  <c r="X1215" i="13" s="1"/>
  <c r="X1216" i="13" s="1"/>
  <c r="X1217" i="13" s="1"/>
  <c r="X1218" i="13" s="1"/>
  <c r="X1219" i="13" s="1"/>
  <c r="X1220" i="13" s="1"/>
  <c r="X1221" i="13" s="1"/>
  <c r="X1222" i="13" s="1"/>
  <c r="X1223" i="13" s="1"/>
  <c r="X1224" i="13" s="1"/>
  <c r="X1225" i="13" s="1"/>
  <c r="X1226" i="13" s="1"/>
  <c r="X1227" i="13" s="1"/>
  <c r="X1228" i="13" s="1"/>
  <c r="X1229" i="13" s="1"/>
  <c r="X1230" i="13" s="1"/>
  <c r="X1231" i="13" s="1"/>
  <c r="X1232" i="13" s="1"/>
  <c r="X1233" i="13" s="1"/>
  <c r="X1234" i="13" s="1"/>
  <c r="X1235" i="13" s="1"/>
  <c r="X1236" i="13" s="1"/>
  <c r="X1237" i="13" s="1"/>
  <c r="X1238" i="13" s="1"/>
  <c r="X1239" i="13" s="1"/>
  <c r="X1240" i="13" s="1"/>
  <c r="X1241" i="13" s="1"/>
  <c r="X1242" i="13" s="1"/>
  <c r="X1243" i="13" s="1"/>
  <c r="X1244" i="13" s="1"/>
  <c r="X1245" i="13" s="1"/>
  <c r="X1246" i="13" s="1"/>
  <c r="X1247" i="13" s="1"/>
  <c r="X1248" i="13" s="1"/>
  <c r="X1249" i="13" s="1"/>
  <c r="X1250" i="13" s="1"/>
  <c r="X1251" i="13" s="1"/>
  <c r="X1252" i="13" s="1"/>
  <c r="X1253" i="13" s="1"/>
  <c r="X1254" i="13" s="1"/>
  <c r="X1255" i="13" s="1"/>
  <c r="X1256" i="13" s="1"/>
  <c r="X1257" i="13" s="1"/>
  <c r="X1258" i="13" s="1"/>
  <c r="X1259" i="13" s="1"/>
  <c r="X1260" i="13" s="1"/>
  <c r="X1261" i="13" s="1"/>
  <c r="X1262" i="13" s="1"/>
  <c r="X1263" i="13" s="1"/>
  <c r="X1264" i="13" s="1"/>
  <c r="X1265" i="13" s="1"/>
  <c r="X1266" i="13" s="1"/>
  <c r="X1267" i="13" s="1"/>
  <c r="X1268" i="13" s="1"/>
  <c r="X1269" i="13" s="1"/>
  <c r="X1270" i="13" s="1"/>
  <c r="X1271" i="13" s="1"/>
  <c r="X1272" i="13" s="1"/>
  <c r="X1273" i="13" s="1"/>
  <c r="X1274" i="13" s="1"/>
  <c r="X1275" i="13" s="1"/>
  <c r="X1276" i="13" s="1"/>
  <c r="X1277" i="13" s="1"/>
  <c r="X1278" i="13" s="1"/>
  <c r="X1279" i="13" s="1"/>
  <c r="X1280" i="13" s="1"/>
  <c r="X1281" i="13" s="1"/>
  <c r="X1282" i="13" s="1"/>
  <c r="X1283" i="13" s="1"/>
  <c r="X1284" i="13" s="1"/>
  <c r="X1285" i="13" s="1"/>
  <c r="X1286" i="13" s="1"/>
  <c r="X1287" i="13" s="1"/>
  <c r="X1288" i="13" s="1"/>
  <c r="X1289" i="13" s="1"/>
  <c r="X1290" i="13" s="1"/>
  <c r="X1291" i="13" s="1"/>
  <c r="X1292" i="13" s="1"/>
  <c r="X1293" i="13" s="1"/>
  <c r="X1294" i="13" s="1"/>
  <c r="X1295" i="13" s="1"/>
  <c r="X1296" i="13" s="1"/>
  <c r="X1297" i="13" s="1"/>
  <c r="X1298" i="13" s="1"/>
  <c r="X1299" i="13" s="1"/>
  <c r="X1300" i="13" s="1"/>
  <c r="X1301" i="13" s="1"/>
  <c r="X1302" i="13" s="1"/>
  <c r="X1303" i="13" s="1"/>
  <c r="X1304" i="13" s="1"/>
  <c r="X1305" i="13" s="1"/>
  <c r="X1306" i="13" s="1"/>
  <c r="X1307" i="13" s="1"/>
  <c r="X1308" i="13" s="1"/>
  <c r="X1309" i="13" s="1"/>
  <c r="X1310" i="13" s="1"/>
  <c r="X1311" i="13" s="1"/>
  <c r="X1312" i="13" s="1"/>
  <c r="X1313" i="13" s="1"/>
  <c r="X1314" i="13" s="1"/>
  <c r="X1315" i="13" s="1"/>
  <c r="X1316" i="13" s="1"/>
  <c r="X1317" i="13" s="1"/>
  <c r="X1318" i="13" s="1"/>
  <c r="X1319" i="13" s="1"/>
  <c r="X1320" i="13" s="1"/>
  <c r="X1321" i="13" s="1"/>
  <c r="X1322" i="13" s="1"/>
  <c r="X1323" i="13" s="1"/>
  <c r="X1324" i="13" s="1"/>
  <c r="X1325" i="13" s="1"/>
  <c r="X1326" i="13" s="1"/>
  <c r="X1327" i="13" s="1"/>
  <c r="X1328" i="13" s="1"/>
  <c r="X1329" i="13" s="1"/>
  <c r="X1330" i="13" s="1"/>
  <c r="X1331" i="13" s="1"/>
  <c r="X1332" i="13" s="1"/>
  <c r="X1333" i="13" s="1"/>
  <c r="X1334" i="13" s="1"/>
  <c r="X1335" i="13" s="1"/>
  <c r="X1336" i="13" s="1"/>
  <c r="X1337" i="13" s="1"/>
  <c r="X1338" i="13" s="1"/>
  <c r="X1339" i="13" s="1"/>
  <c r="X1340" i="13" s="1"/>
  <c r="X1341" i="13" s="1"/>
  <c r="X1342" i="13" s="1"/>
  <c r="X1343" i="13" s="1"/>
  <c r="X1344" i="13" s="1"/>
  <c r="X1345" i="13" s="1"/>
  <c r="X1346" i="13" s="1"/>
  <c r="X1347" i="13" s="1"/>
  <c r="X1348" i="13" s="1"/>
  <c r="X1349" i="13" s="1"/>
  <c r="X1350" i="13" s="1"/>
  <c r="X1351" i="13" s="1"/>
  <c r="X1352" i="13" s="1"/>
  <c r="X1353" i="13" s="1"/>
  <c r="X1354" i="13" s="1"/>
  <c r="X1355" i="13" s="1"/>
  <c r="X1356" i="13" s="1"/>
  <c r="X1357" i="13" s="1"/>
  <c r="X1358" i="13" s="1"/>
  <c r="X1359" i="13" s="1"/>
  <c r="X1360" i="13" s="1"/>
  <c r="X1361" i="13" s="1"/>
  <c r="X1362" i="13" s="1"/>
  <c r="X1363" i="13" s="1"/>
  <c r="X1364" i="13" s="1"/>
  <c r="X1365" i="13" s="1"/>
  <c r="X1366" i="13" s="1"/>
  <c r="X1367" i="13" s="1"/>
  <c r="X1368" i="13" s="1"/>
  <c r="X1369" i="13" s="1"/>
  <c r="X1370" i="13" s="1"/>
  <c r="X1371" i="13" s="1"/>
  <c r="X1372" i="13" s="1"/>
  <c r="X1373" i="13" s="1"/>
  <c r="X1374" i="13" s="1"/>
  <c r="X1375" i="13" s="1"/>
  <c r="X1376" i="13" s="1"/>
  <c r="X1377" i="13" s="1"/>
  <c r="X1378" i="13" s="1"/>
  <c r="X1379" i="13" s="1"/>
  <c r="X1380" i="13" s="1"/>
  <c r="X1381" i="13" s="1"/>
  <c r="X1382" i="13" s="1"/>
  <c r="X1383" i="13" s="1"/>
  <c r="X1384" i="13" s="1"/>
  <c r="X1385" i="13" s="1"/>
  <c r="X1386" i="13" s="1"/>
  <c r="X1387" i="13" s="1"/>
  <c r="X1388" i="13" s="1"/>
  <c r="X1389" i="13" s="1"/>
  <c r="X1390" i="13" s="1"/>
  <c r="X1391" i="13" s="1"/>
  <c r="X1392" i="13" s="1"/>
  <c r="X1393" i="13" s="1"/>
  <c r="X1394" i="13" s="1"/>
  <c r="X1395" i="13" s="1"/>
  <c r="X1396" i="13" s="1"/>
  <c r="X1397" i="13" s="1"/>
  <c r="X1398" i="13" s="1"/>
  <c r="X1399" i="13" s="1"/>
  <c r="X1400" i="13" s="1"/>
  <c r="X1401" i="13" s="1"/>
  <c r="X1402" i="13" s="1"/>
  <c r="X1403" i="13" s="1"/>
  <c r="X1404" i="13" s="1"/>
  <c r="X1405" i="13" s="1"/>
  <c r="X1406" i="13" s="1"/>
  <c r="X1407" i="13" s="1"/>
  <c r="X1408" i="13" s="1"/>
  <c r="X1409" i="13" s="1"/>
  <c r="X1410" i="13" s="1"/>
  <c r="X1411" i="13" s="1"/>
  <c r="X1412" i="13" s="1"/>
  <c r="X1413" i="13" s="1"/>
  <c r="X1414" i="13" s="1"/>
  <c r="X1415" i="13" s="1"/>
  <c r="X1416" i="13" s="1"/>
  <c r="X1417" i="13" s="1"/>
  <c r="X1418" i="13" s="1"/>
  <c r="X1419" i="13" s="1"/>
  <c r="X1420" i="13" s="1"/>
  <c r="X1421" i="13" s="1"/>
  <c r="X1422" i="13" s="1"/>
  <c r="X1423" i="13" s="1"/>
  <c r="X1424" i="13" s="1"/>
  <c r="X1425" i="13" s="1"/>
  <c r="X1426" i="13" s="1"/>
  <c r="X1427" i="13" s="1"/>
  <c r="X1428" i="13" s="1"/>
  <c r="X1429" i="13" s="1"/>
  <c r="X1430" i="13" s="1"/>
  <c r="X1431" i="13" s="1"/>
  <c r="X1432" i="13" s="1"/>
  <c r="X1433" i="13" s="1"/>
  <c r="X1434" i="13" s="1"/>
  <c r="X1435" i="13" s="1"/>
  <c r="X1436" i="13" s="1"/>
  <c r="X1437" i="13" s="1"/>
  <c r="X1438" i="13" s="1"/>
  <c r="X1439" i="13" s="1"/>
  <c r="X1440" i="13" s="1"/>
  <c r="X1441" i="13" s="1"/>
  <c r="X1442" i="13" s="1"/>
  <c r="X1443" i="13" s="1"/>
  <c r="X1444" i="13" s="1"/>
  <c r="X1445" i="13" s="1"/>
  <c r="X1446" i="13" s="1"/>
  <c r="X1447" i="13" s="1"/>
  <c r="X1448" i="13" s="1"/>
  <c r="X1449" i="13" s="1"/>
  <c r="X1450" i="13" s="1"/>
  <c r="X1451" i="13" s="1"/>
  <c r="X1452" i="13" s="1"/>
  <c r="X1453" i="13" s="1"/>
  <c r="X1454" i="13" s="1"/>
  <c r="X1455" i="13" s="1"/>
  <c r="X1456" i="13" s="1"/>
  <c r="X1457" i="13" s="1"/>
  <c r="X1458" i="13" s="1"/>
  <c r="X1459" i="13" s="1"/>
  <c r="X1460" i="13" s="1"/>
  <c r="X1461" i="13" s="1"/>
  <c r="X1462" i="13" s="1"/>
  <c r="X1463" i="13" s="1"/>
  <c r="X1464" i="13" s="1"/>
  <c r="X1465" i="13" s="1"/>
  <c r="X1466" i="13" s="1"/>
  <c r="X1467" i="13" s="1"/>
  <c r="X1468" i="13" s="1"/>
  <c r="X1469" i="13" s="1"/>
  <c r="X1470" i="13" s="1"/>
  <c r="X1471" i="13" s="1"/>
  <c r="X1472" i="13" s="1"/>
  <c r="X1473" i="13" s="1"/>
  <c r="X1474" i="13" s="1"/>
  <c r="X1475" i="13" s="1"/>
  <c r="X1476" i="13" s="1"/>
  <c r="X1477" i="13" s="1"/>
  <c r="X1478" i="13" s="1"/>
  <c r="X1479" i="13" s="1"/>
  <c r="X1480" i="13" s="1"/>
  <c r="X1481" i="13" s="1"/>
  <c r="X1482" i="13" s="1"/>
  <c r="X1483" i="13" s="1"/>
  <c r="X1484" i="13" s="1"/>
  <c r="X1485" i="13" s="1"/>
  <c r="X1486" i="13" s="1"/>
  <c r="X1487" i="13" s="1"/>
  <c r="X1488" i="13" s="1"/>
  <c r="X1489" i="13" s="1"/>
  <c r="X1490" i="13" s="1"/>
  <c r="X1491" i="13" s="1"/>
  <c r="X1492" i="13" s="1"/>
  <c r="X1493" i="13" s="1"/>
  <c r="X1494" i="13" s="1"/>
  <c r="X1495" i="13" s="1"/>
  <c r="X1496" i="13" s="1"/>
  <c r="X1497" i="13" s="1"/>
  <c r="X1498" i="13" s="1"/>
  <c r="X1499" i="13" s="1"/>
  <c r="X1500" i="13" s="1"/>
  <c r="X1501" i="13" s="1"/>
  <c r="X1502" i="13" s="1"/>
  <c r="X1503" i="13" s="1"/>
  <c r="X1504" i="13" s="1"/>
  <c r="X1505" i="13" s="1"/>
  <c r="X1506" i="13" s="1"/>
  <c r="X1507" i="13" s="1"/>
  <c r="X1508" i="13" s="1"/>
  <c r="X1509" i="13" s="1"/>
  <c r="X1510" i="13" s="1"/>
  <c r="X1511" i="13" s="1"/>
  <c r="X1512" i="13" s="1"/>
  <c r="X1513" i="13" s="1"/>
  <c r="X1514" i="13" s="1"/>
  <c r="X1515" i="13" s="1"/>
  <c r="X1516" i="13" s="1"/>
  <c r="X1517" i="13" s="1"/>
  <c r="X1518" i="13" s="1"/>
  <c r="X1519" i="13" s="1"/>
  <c r="X1520" i="13" s="1"/>
  <c r="X1521" i="13" s="1"/>
  <c r="X1522" i="13" s="1"/>
  <c r="X1523" i="13" s="1"/>
  <c r="X1524" i="13" s="1"/>
  <c r="X1525" i="13" s="1"/>
  <c r="X1526" i="13" s="1"/>
  <c r="X1527" i="13" s="1"/>
  <c r="X1528" i="13" s="1"/>
  <c r="X1529" i="13" s="1"/>
  <c r="X1530" i="13" s="1"/>
  <c r="X1531" i="13" s="1"/>
  <c r="X1532" i="13" s="1"/>
  <c r="X1533" i="13" s="1"/>
  <c r="X1534" i="13" s="1"/>
  <c r="X1535" i="13" s="1"/>
  <c r="X1536" i="13" s="1"/>
  <c r="X1537" i="13" s="1"/>
  <c r="X1538" i="13" s="1"/>
  <c r="X1539" i="13" s="1"/>
  <c r="X1540" i="13" s="1"/>
  <c r="X1541" i="13" s="1"/>
  <c r="X1542" i="13" s="1"/>
  <c r="X1543" i="13" s="1"/>
  <c r="X1544" i="13" s="1"/>
  <c r="X1545" i="13" s="1"/>
  <c r="X1546" i="13" s="1"/>
  <c r="X1547" i="13" s="1"/>
  <c r="X1548" i="13" s="1"/>
  <c r="X1549" i="13" s="1"/>
  <c r="X1550" i="13" s="1"/>
  <c r="X1551" i="13" s="1"/>
  <c r="X1552" i="13" s="1"/>
  <c r="X1553" i="13" s="1"/>
  <c r="X1554" i="13" s="1"/>
  <c r="X1555" i="13" s="1"/>
  <c r="X1556" i="13" s="1"/>
  <c r="X1557" i="13" s="1"/>
  <c r="X1558" i="13" s="1"/>
  <c r="X1559" i="13" s="1"/>
  <c r="X1560" i="13" s="1"/>
  <c r="X1561" i="13" s="1"/>
  <c r="X1562" i="13" s="1"/>
  <c r="X1563" i="13" s="1"/>
  <c r="X1564" i="13" s="1"/>
  <c r="X1565" i="13" s="1"/>
  <c r="X1566" i="13" s="1"/>
  <c r="X1567" i="13" s="1"/>
  <c r="X1568" i="13" s="1"/>
  <c r="X1569" i="13" s="1"/>
  <c r="X1570" i="13" s="1"/>
  <c r="X1571" i="13" s="1"/>
  <c r="X1572" i="13" s="1"/>
  <c r="X1573" i="13" s="1"/>
  <c r="X1574" i="13" s="1"/>
  <c r="X1575" i="13" s="1"/>
  <c r="X1576" i="13" s="1"/>
  <c r="X1577" i="13" s="1"/>
  <c r="X1578" i="13" s="1"/>
  <c r="X1579" i="13" s="1"/>
  <c r="X1580" i="13" s="1"/>
  <c r="X1581" i="13" s="1"/>
  <c r="X1582" i="13" s="1"/>
  <c r="X1583" i="13" s="1"/>
  <c r="X1584" i="13" s="1"/>
  <c r="X1585" i="13" s="1"/>
  <c r="X1586" i="13" s="1"/>
  <c r="X1587" i="13" s="1"/>
  <c r="X1588" i="13" s="1"/>
  <c r="X1589" i="13" s="1"/>
  <c r="X1590" i="13" s="1"/>
  <c r="X1591" i="13" s="1"/>
  <c r="X1592" i="13" s="1"/>
  <c r="X1593" i="13" s="1"/>
  <c r="X1594" i="13" s="1"/>
  <c r="X1595" i="13" s="1"/>
  <c r="X1596" i="13" s="1"/>
  <c r="X1597" i="13" s="1"/>
  <c r="X1598" i="13" s="1"/>
  <c r="X1599" i="13" s="1"/>
  <c r="X1600" i="13" s="1"/>
  <c r="X1601" i="13" s="1"/>
  <c r="X1602" i="13" s="1"/>
  <c r="X1603" i="13" s="1"/>
  <c r="X1604" i="13" s="1"/>
  <c r="X1605" i="13" s="1"/>
  <c r="X1606" i="13" s="1"/>
  <c r="X1607" i="13" s="1"/>
  <c r="X1608" i="13" s="1"/>
  <c r="X1609" i="13" s="1"/>
  <c r="X1610" i="13" s="1"/>
  <c r="X1611" i="13" s="1"/>
  <c r="X1612" i="13" s="1"/>
  <c r="X1613" i="13" s="1"/>
  <c r="X1614" i="13" s="1"/>
  <c r="X1615" i="13" s="1"/>
  <c r="X1616" i="13" s="1"/>
  <c r="X1617" i="13" s="1"/>
  <c r="X1618" i="13" s="1"/>
  <c r="X1619" i="13" s="1"/>
  <c r="X1620" i="13" s="1"/>
  <c r="X1621" i="13" s="1"/>
  <c r="X1622" i="13" s="1"/>
  <c r="X1623" i="13" s="1"/>
  <c r="X1624" i="13" s="1"/>
  <c r="X1625" i="13" s="1"/>
  <c r="X1626" i="13" s="1"/>
  <c r="X1627" i="13" s="1"/>
  <c r="X1628" i="13" s="1"/>
  <c r="X1629" i="13" s="1"/>
  <c r="X1630" i="13" s="1"/>
  <c r="X1631" i="13" s="1"/>
  <c r="X1632" i="13" s="1"/>
  <c r="X1633" i="13" s="1"/>
  <c r="X1634" i="13" s="1"/>
  <c r="X1635" i="13" s="1"/>
  <c r="X1636" i="13" s="1"/>
  <c r="X1637" i="13" s="1"/>
  <c r="X1638" i="13" s="1"/>
  <c r="X1639" i="13" s="1"/>
  <c r="X1640" i="13" s="1"/>
  <c r="X1641" i="13" s="1"/>
  <c r="X1642" i="13" s="1"/>
  <c r="X1643" i="13" s="1"/>
  <c r="X1644" i="13" s="1"/>
  <c r="X1645" i="13" s="1"/>
  <c r="X1646" i="13" s="1"/>
  <c r="X1647" i="13" s="1"/>
  <c r="X1648" i="13" s="1"/>
  <c r="X1649" i="13" s="1"/>
  <c r="X1650" i="13" s="1"/>
  <c r="X1651" i="13" s="1"/>
  <c r="X1652" i="13" s="1"/>
  <c r="X1653" i="13" s="1"/>
  <c r="X1654" i="13" s="1"/>
  <c r="X1655" i="13" s="1"/>
  <c r="X1656" i="13" s="1"/>
  <c r="X1657" i="13" s="1"/>
  <c r="X1658" i="13" s="1"/>
  <c r="X1659" i="13" s="1"/>
  <c r="X1660" i="13" s="1"/>
  <c r="X1661" i="13" s="1"/>
  <c r="X1662" i="13" s="1"/>
  <c r="X1663" i="13" s="1"/>
  <c r="X1664" i="13" s="1"/>
  <c r="X1665" i="13" s="1"/>
  <c r="X1666" i="13" s="1"/>
  <c r="X1667" i="13" s="1"/>
  <c r="X1668" i="13" s="1"/>
  <c r="X1669" i="13" s="1"/>
  <c r="X1670" i="13" s="1"/>
  <c r="X1671" i="13" s="1"/>
  <c r="X1672" i="13" s="1"/>
  <c r="X1673" i="13" s="1"/>
  <c r="X1674" i="13" s="1"/>
  <c r="X1675" i="13" s="1"/>
  <c r="X1676" i="13" s="1"/>
  <c r="X1677" i="13" s="1"/>
  <c r="X1678" i="13" s="1"/>
  <c r="X1679" i="13" s="1"/>
  <c r="X1680" i="13" s="1"/>
  <c r="X1681" i="13" s="1"/>
  <c r="X1682" i="13" s="1"/>
  <c r="X1683" i="13" s="1"/>
  <c r="X1684" i="13" s="1"/>
  <c r="X1685" i="13" s="1"/>
  <c r="X1686" i="13" s="1"/>
  <c r="X1687" i="13" s="1"/>
  <c r="X1688" i="13" s="1"/>
  <c r="X1689" i="13" s="1"/>
  <c r="X1690" i="13" s="1"/>
  <c r="X1691" i="13" s="1"/>
  <c r="X1692" i="13" s="1"/>
  <c r="X1693" i="13" s="1"/>
  <c r="X1694" i="13" s="1"/>
  <c r="X1695" i="13" s="1"/>
  <c r="X1696" i="13" s="1"/>
  <c r="X1697" i="13" s="1"/>
  <c r="X1698" i="13" s="1"/>
  <c r="X1699" i="13" s="1"/>
  <c r="X1700" i="13" s="1"/>
  <c r="X1701" i="13" s="1"/>
  <c r="X1702" i="13" s="1"/>
  <c r="X1703" i="13" s="1"/>
  <c r="X1704" i="13" s="1"/>
  <c r="X1705" i="13" s="1"/>
  <c r="X1706" i="13" s="1"/>
  <c r="X1707" i="13" s="1"/>
  <c r="X1708" i="13" s="1"/>
  <c r="X1709" i="13" s="1"/>
  <c r="X1710" i="13" s="1"/>
  <c r="X1711" i="13" s="1"/>
  <c r="X1712" i="13" s="1"/>
  <c r="X1713" i="13" s="1"/>
  <c r="X1714" i="13" s="1"/>
  <c r="X1715" i="13" s="1"/>
  <c r="X1716" i="13" s="1"/>
  <c r="X1717" i="13" s="1"/>
  <c r="X1718" i="13" s="1"/>
  <c r="X1719" i="13" s="1"/>
  <c r="X1720" i="13" s="1"/>
  <c r="X1721" i="13" s="1"/>
  <c r="X1722" i="13" s="1"/>
  <c r="X1723" i="13" s="1"/>
  <c r="X1724" i="13" s="1"/>
  <c r="X1725" i="13" s="1"/>
  <c r="X1726" i="13" s="1"/>
  <c r="X1727" i="13" s="1"/>
  <c r="X1728" i="13" s="1"/>
  <c r="X1729" i="13" s="1"/>
  <c r="X1730" i="13" s="1"/>
  <c r="X1731" i="13" s="1"/>
  <c r="X1732" i="13" s="1"/>
  <c r="X1733" i="13" s="1"/>
  <c r="X1734" i="13" s="1"/>
  <c r="X1735" i="13" s="1"/>
  <c r="X1736" i="13" s="1"/>
  <c r="X1737" i="13" s="1"/>
  <c r="X1738" i="13" s="1"/>
  <c r="X1739" i="13" s="1"/>
  <c r="X1740" i="13" s="1"/>
  <c r="X1741" i="13" s="1"/>
  <c r="X1742" i="13" s="1"/>
  <c r="X1743" i="13" s="1"/>
  <c r="X1744" i="13" s="1"/>
  <c r="X1745" i="13" s="1"/>
  <c r="X1746" i="13" s="1"/>
  <c r="X1747" i="13" s="1"/>
  <c r="X1748" i="13" s="1"/>
  <c r="X1749" i="13" s="1"/>
  <c r="X1750" i="13" s="1"/>
  <c r="X1751" i="13" s="1"/>
  <c r="X1752" i="13" s="1"/>
  <c r="X1753" i="13" s="1"/>
  <c r="X1754" i="13" s="1"/>
  <c r="X1755" i="13" s="1"/>
  <c r="X1756" i="13" s="1"/>
  <c r="X1757" i="13" s="1"/>
  <c r="X1758" i="13" s="1"/>
  <c r="X1759" i="13" s="1"/>
  <c r="X1760" i="13" s="1"/>
  <c r="X1761" i="13" s="1"/>
  <c r="X1762" i="13" s="1"/>
  <c r="X1763" i="13" s="1"/>
  <c r="X1764" i="13" s="1"/>
  <c r="X1765" i="13" s="1"/>
  <c r="X1766" i="13" s="1"/>
  <c r="X1767" i="13" s="1"/>
  <c r="X1768" i="13" s="1"/>
  <c r="X1769" i="13" s="1"/>
  <c r="X1770" i="13" s="1"/>
  <c r="X1771" i="13" s="1"/>
  <c r="X1772" i="13" s="1"/>
  <c r="X1773" i="13" s="1"/>
  <c r="X1774" i="13" s="1"/>
  <c r="X1775" i="13" s="1"/>
  <c r="X1776" i="13" s="1"/>
  <c r="X1777" i="13" s="1"/>
  <c r="X1778" i="13" s="1"/>
  <c r="X1779" i="13" s="1"/>
  <c r="X1780" i="13" s="1"/>
  <c r="X1781" i="13" s="1"/>
  <c r="X1782" i="13" s="1"/>
  <c r="X1783" i="13" s="1"/>
  <c r="X1784" i="13" s="1"/>
  <c r="X1785" i="13" s="1"/>
  <c r="X1786" i="13" s="1"/>
  <c r="X1787" i="13" s="1"/>
  <c r="X1788" i="13" s="1"/>
  <c r="X1789" i="13" s="1"/>
  <c r="X1790" i="13" s="1"/>
  <c r="X1791" i="13" s="1"/>
  <c r="X1792" i="13" s="1"/>
  <c r="X1793" i="13" s="1"/>
  <c r="X1794" i="13" s="1"/>
  <c r="X1795" i="13" s="1"/>
  <c r="X1796" i="13" s="1"/>
  <c r="X1797" i="13" s="1"/>
  <c r="X1798" i="13" s="1"/>
  <c r="X1799" i="13" s="1"/>
  <c r="X1800" i="13" s="1"/>
  <c r="X1801" i="13" s="1"/>
  <c r="X1802" i="13" s="1"/>
  <c r="X1803" i="13" s="1"/>
  <c r="X1804" i="13" s="1"/>
  <c r="X1805" i="13" s="1"/>
  <c r="X1806" i="13" s="1"/>
  <c r="X1807" i="13" s="1"/>
  <c r="X1808" i="13" s="1"/>
  <c r="X1809" i="13" s="1"/>
  <c r="X1810" i="13" s="1"/>
  <c r="X1811" i="13" s="1"/>
  <c r="X1812" i="13" s="1"/>
  <c r="X1813" i="13" s="1"/>
  <c r="X1814" i="13" s="1"/>
  <c r="X1815" i="13" s="1"/>
  <c r="X1816" i="13" s="1"/>
  <c r="X1817" i="13" s="1"/>
  <c r="X1818" i="13" s="1"/>
  <c r="X1819" i="13" s="1"/>
  <c r="X1820" i="13" s="1"/>
  <c r="X1821" i="13" s="1"/>
  <c r="X1822" i="13" s="1"/>
  <c r="X1823" i="13" s="1"/>
  <c r="X1824" i="13" s="1"/>
  <c r="X1825" i="13" s="1"/>
  <c r="X1826" i="13" s="1"/>
  <c r="X1827" i="13" s="1"/>
  <c r="X1828" i="13" s="1"/>
  <c r="X1829" i="13" s="1"/>
  <c r="X1830" i="13" s="1"/>
  <c r="X1831" i="13" s="1"/>
  <c r="X1832" i="13" s="1"/>
  <c r="X1833" i="13" s="1"/>
  <c r="X1834" i="13" s="1"/>
  <c r="X1835" i="13" s="1"/>
  <c r="X1836" i="13" s="1"/>
  <c r="X1837" i="13" s="1"/>
  <c r="X1838" i="13" s="1"/>
  <c r="X1839" i="13" s="1"/>
  <c r="X1840" i="13" s="1"/>
  <c r="X1841" i="13" s="1"/>
  <c r="X1842" i="13" s="1"/>
  <c r="X1843" i="13" s="1"/>
  <c r="X1844" i="13" s="1"/>
  <c r="X1845" i="13" s="1"/>
  <c r="X1846" i="13" s="1"/>
  <c r="X1847" i="13" s="1"/>
  <c r="X1848" i="13" s="1"/>
  <c r="X1849" i="13" s="1"/>
  <c r="X1850" i="13" s="1"/>
  <c r="X1851" i="13" s="1"/>
  <c r="X1852" i="13" s="1"/>
  <c r="X1853" i="13" s="1"/>
  <c r="X1854" i="13" s="1"/>
  <c r="X1855" i="13" s="1"/>
  <c r="X1856" i="13" s="1"/>
  <c r="X1857" i="13" s="1"/>
  <c r="X1858" i="13" s="1"/>
  <c r="X1859" i="13" s="1"/>
  <c r="X1860" i="13" s="1"/>
  <c r="X1861" i="13" s="1"/>
  <c r="X1862" i="13" s="1"/>
  <c r="X1863" i="13" s="1"/>
  <c r="X1864" i="13" s="1"/>
  <c r="X1865" i="13" s="1"/>
  <c r="X1866" i="13" s="1"/>
  <c r="X1867" i="13" s="1"/>
  <c r="X1868" i="13" s="1"/>
  <c r="X1869" i="13" s="1"/>
  <c r="X1870" i="13" s="1"/>
  <c r="X1871" i="13" s="1"/>
  <c r="X1872" i="13" s="1"/>
  <c r="X1873" i="13" s="1"/>
  <c r="X1874" i="13" s="1"/>
  <c r="X1875" i="13" s="1"/>
  <c r="X1876" i="13" s="1"/>
  <c r="X1877" i="13" s="1"/>
  <c r="X1878" i="13" s="1"/>
  <c r="X1879" i="13" s="1"/>
  <c r="X1880" i="13" s="1"/>
  <c r="X1881" i="13" s="1"/>
  <c r="X1882" i="13" s="1"/>
  <c r="X1883" i="13" s="1"/>
  <c r="X1884" i="13" s="1"/>
  <c r="X1885" i="13" s="1"/>
  <c r="X1886" i="13" s="1"/>
  <c r="X1887" i="13" s="1"/>
  <c r="X1888" i="13" s="1"/>
  <c r="X1889" i="13" s="1"/>
  <c r="X1890" i="13" s="1"/>
  <c r="X1891" i="13" s="1"/>
  <c r="X1892" i="13" s="1"/>
  <c r="X1893" i="13" s="1"/>
  <c r="X1894" i="13" s="1"/>
  <c r="X1895" i="13" s="1"/>
  <c r="X1896" i="13" s="1"/>
  <c r="X1897" i="13" s="1"/>
  <c r="X1898" i="13" s="1"/>
  <c r="X1899" i="13" s="1"/>
  <c r="X1900" i="13" s="1"/>
  <c r="X1901" i="13" s="1"/>
  <c r="X1902" i="13" s="1"/>
  <c r="X1903" i="13" s="1"/>
  <c r="X1904" i="13" s="1"/>
  <c r="X1905" i="13" s="1"/>
  <c r="X1906" i="13" s="1"/>
  <c r="X1907" i="13" s="1"/>
  <c r="X1908" i="13" s="1"/>
  <c r="X1909" i="13" s="1"/>
  <c r="X1910" i="13" s="1"/>
  <c r="X1911" i="13" s="1"/>
  <c r="X1912" i="13" s="1"/>
  <c r="X1913" i="13" s="1"/>
  <c r="X1914" i="13" s="1"/>
  <c r="X1915" i="13" s="1"/>
  <c r="X1916" i="13" s="1"/>
  <c r="X1917" i="13" s="1"/>
  <c r="X1918" i="13" s="1"/>
  <c r="X1919" i="13" s="1"/>
  <c r="X1920" i="13" s="1"/>
  <c r="X1921" i="13" s="1"/>
  <c r="X1922" i="13" s="1"/>
  <c r="X1923" i="13" s="1"/>
  <c r="X1924" i="13" s="1"/>
  <c r="X1925" i="13" s="1"/>
  <c r="X1926" i="13" s="1"/>
  <c r="X1927" i="13" s="1"/>
  <c r="X1928" i="13" s="1"/>
  <c r="X1929" i="13" s="1"/>
  <c r="X1930" i="13" s="1"/>
  <c r="X1931" i="13" s="1"/>
  <c r="X1932" i="13" s="1"/>
  <c r="X1933" i="13" s="1"/>
  <c r="X1934" i="13" s="1"/>
  <c r="X1935" i="13" s="1"/>
  <c r="X1936" i="13" s="1"/>
  <c r="X1937" i="13" s="1"/>
  <c r="X1938" i="13" s="1"/>
  <c r="X1939" i="13" s="1"/>
  <c r="X1940" i="13" s="1"/>
  <c r="X1941" i="13" s="1"/>
  <c r="X1942" i="13" s="1"/>
  <c r="X1943" i="13" s="1"/>
  <c r="X1944" i="13" s="1"/>
  <c r="X1945" i="13" s="1"/>
  <c r="X1946" i="13" s="1"/>
  <c r="X1947" i="13" s="1"/>
  <c r="X1948" i="13" s="1"/>
  <c r="X1949" i="13" s="1"/>
  <c r="X1950" i="13" s="1"/>
  <c r="X1951" i="13" s="1"/>
  <c r="X1952" i="13" s="1"/>
  <c r="X1953" i="13" s="1"/>
  <c r="X1954" i="13" s="1"/>
  <c r="X1955" i="13" s="1"/>
  <c r="X1956" i="13" s="1"/>
  <c r="X1957" i="13" s="1"/>
  <c r="X1958" i="13" s="1"/>
  <c r="X1959" i="13" s="1"/>
  <c r="X1960" i="13" s="1"/>
  <c r="X1961" i="13" s="1"/>
  <c r="X1962" i="13" s="1"/>
  <c r="X1963" i="13" s="1"/>
  <c r="X1964" i="13" s="1"/>
  <c r="X1965" i="13" s="1"/>
  <c r="X1966" i="13" s="1"/>
  <c r="X1967" i="13" s="1"/>
  <c r="X1968" i="13" s="1"/>
  <c r="X1969" i="13" s="1"/>
  <c r="X1970" i="13" s="1"/>
  <c r="X1971" i="13" s="1"/>
  <c r="X1972" i="13" s="1"/>
  <c r="X1973" i="13" s="1"/>
  <c r="X1974" i="13" s="1"/>
  <c r="X1975" i="13" s="1"/>
  <c r="X1976" i="13" s="1"/>
  <c r="X1977" i="13" s="1"/>
  <c r="X1978" i="13" s="1"/>
  <c r="X1979" i="13" s="1"/>
  <c r="X1980" i="13" s="1"/>
  <c r="X1981" i="13" s="1"/>
  <c r="X1982" i="13" s="1"/>
  <c r="X1983" i="13" s="1"/>
  <c r="X1984" i="13" s="1"/>
  <c r="X1985" i="13" s="1"/>
  <c r="X1986" i="13" s="1"/>
  <c r="X1987" i="13" s="1"/>
  <c r="X1988" i="13" s="1"/>
  <c r="X1989" i="13" s="1"/>
  <c r="X1990" i="13" s="1"/>
  <c r="X1991" i="13" s="1"/>
  <c r="X1992" i="13" s="1"/>
  <c r="X1993" i="13" s="1"/>
  <c r="X1994" i="13" s="1"/>
  <c r="X1995" i="13" s="1"/>
  <c r="X1996" i="13" s="1"/>
  <c r="X1997" i="13" s="1"/>
  <c r="X1998" i="13" s="1"/>
  <c r="X1999" i="13" s="1"/>
  <c r="X2000" i="13" s="1"/>
  <c r="X2001" i="13" s="1"/>
  <c r="X2002" i="13" s="1"/>
  <c r="X2003" i="13" s="1"/>
  <c r="X2004" i="13" s="1"/>
  <c r="X2005" i="13" s="1"/>
  <c r="X2006" i="13" s="1"/>
  <c r="X2007" i="13" s="1"/>
  <c r="X2008" i="13" s="1"/>
  <c r="X2009" i="13" s="1"/>
  <c r="X2010" i="13" s="1"/>
  <c r="X2011" i="13" s="1"/>
  <c r="X2012" i="13" s="1"/>
  <c r="X2013" i="13" s="1"/>
  <c r="X2014" i="13" s="1"/>
  <c r="X2015" i="13" s="1"/>
  <c r="X2016" i="13" s="1"/>
  <c r="X2017" i="13" s="1"/>
  <c r="X2018" i="13" s="1"/>
  <c r="X2019" i="13" s="1"/>
  <c r="X2020" i="13" s="1"/>
  <c r="X2021" i="13" s="1"/>
  <c r="X2022" i="13" s="1"/>
  <c r="X2023" i="13" s="1"/>
  <c r="X2024" i="13" s="1"/>
  <c r="X2025" i="13" s="1"/>
  <c r="X2026" i="13" s="1"/>
  <c r="X2027" i="13" s="1"/>
  <c r="X2028" i="13" s="1"/>
  <c r="X2029" i="13" s="1"/>
  <c r="X2030" i="13" s="1"/>
  <c r="X2031" i="13" s="1"/>
  <c r="X2032" i="13" s="1"/>
  <c r="X2033" i="13" s="1"/>
  <c r="X2034" i="13" s="1"/>
  <c r="X2035" i="13" s="1"/>
  <c r="X2036" i="13" s="1"/>
  <c r="X2037" i="13" s="1"/>
  <c r="X2038" i="13" s="1"/>
  <c r="X2039" i="13" s="1"/>
  <c r="X2040" i="13" s="1"/>
  <c r="X2041" i="13" s="1"/>
  <c r="X2042" i="13" s="1"/>
  <c r="X2043" i="13" s="1"/>
  <c r="X2044" i="13" s="1"/>
  <c r="X2045" i="13" s="1"/>
  <c r="X2046" i="13" s="1"/>
  <c r="X2047" i="13" s="1"/>
  <c r="X2048" i="13" s="1"/>
  <c r="X2049" i="13" s="1"/>
  <c r="X2050" i="13" s="1"/>
  <c r="X2051" i="13" s="1"/>
  <c r="X2052" i="13" s="1"/>
  <c r="X2053" i="13" s="1"/>
  <c r="X2054" i="13" s="1"/>
  <c r="X2055" i="13" s="1"/>
  <c r="X2056" i="13" s="1"/>
  <c r="X2057" i="13" s="1"/>
  <c r="X2058" i="13" s="1"/>
  <c r="X2059" i="13" s="1"/>
  <c r="X2060" i="13" s="1"/>
  <c r="X2061" i="13" s="1"/>
  <c r="X2062" i="13" s="1"/>
  <c r="X2063" i="13" s="1"/>
  <c r="X2064" i="13" s="1"/>
  <c r="X2065" i="13" s="1"/>
  <c r="X2066" i="13" s="1"/>
  <c r="X2067" i="13" s="1"/>
  <c r="X2068" i="13" s="1"/>
  <c r="X2069" i="13" s="1"/>
  <c r="X2070" i="13" s="1"/>
  <c r="X2071" i="13" s="1"/>
  <c r="X2072" i="13" s="1"/>
  <c r="X2073" i="13" s="1"/>
  <c r="X2074" i="13" s="1"/>
  <c r="X2075" i="13" s="1"/>
  <c r="X2076" i="13" s="1"/>
  <c r="X2077" i="13" s="1"/>
  <c r="X2078" i="13" s="1"/>
  <c r="X2079" i="13" s="1"/>
  <c r="X2080" i="13" s="1"/>
  <c r="X2081" i="13" s="1"/>
  <c r="X2082" i="13" s="1"/>
  <c r="X2083" i="13" s="1"/>
  <c r="X2084" i="13" s="1"/>
  <c r="X2085" i="13" s="1"/>
  <c r="X2086" i="13" s="1"/>
  <c r="X2087" i="13" s="1"/>
  <c r="X2088" i="13" s="1"/>
  <c r="X2089" i="13" s="1"/>
  <c r="X2090" i="13" s="1"/>
  <c r="X2091" i="13" s="1"/>
  <c r="X2092" i="13" s="1"/>
  <c r="X2093" i="13" s="1"/>
  <c r="X2094" i="13" s="1"/>
  <c r="X2095" i="13" s="1"/>
  <c r="X2096" i="13" s="1"/>
  <c r="X2097" i="13" s="1"/>
  <c r="X2098" i="13" s="1"/>
  <c r="X2099" i="13" s="1"/>
  <c r="X2100" i="13" s="1"/>
  <c r="X2101" i="13" s="1"/>
  <c r="X2102" i="13" s="1"/>
  <c r="X2103" i="13" s="1"/>
  <c r="X2104" i="13" s="1"/>
  <c r="X2105" i="13" s="1"/>
  <c r="X2106" i="13" s="1"/>
  <c r="X2107" i="13" s="1"/>
  <c r="X2108" i="13" s="1"/>
  <c r="X2109" i="13" s="1"/>
  <c r="X2110" i="13" s="1"/>
  <c r="X2111" i="13" s="1"/>
  <c r="X2112" i="13" s="1"/>
  <c r="X2113" i="13" s="1"/>
  <c r="X2114" i="13" s="1"/>
  <c r="X2115" i="13" s="1"/>
  <c r="X2116" i="13" s="1"/>
  <c r="X2117" i="13" s="1"/>
  <c r="X2118" i="13" s="1"/>
  <c r="X2119" i="13" s="1"/>
  <c r="X2120" i="13" s="1"/>
  <c r="X2121" i="13" s="1"/>
  <c r="X2122" i="13" s="1"/>
  <c r="X2123" i="13" s="1"/>
  <c r="X2124" i="13" s="1"/>
  <c r="X2125" i="13" s="1"/>
  <c r="X2126" i="13" s="1"/>
  <c r="X2127" i="13" s="1"/>
  <c r="X2128" i="13" s="1"/>
  <c r="X2129" i="13" s="1"/>
  <c r="X2130" i="13" s="1"/>
  <c r="X2131" i="13" s="1"/>
  <c r="X2132" i="13" s="1"/>
  <c r="X2133" i="13" s="1"/>
  <c r="X2134" i="13" s="1"/>
  <c r="X2135" i="13" s="1"/>
  <c r="X2136" i="13" s="1"/>
  <c r="X2137" i="13" s="1"/>
  <c r="X2138" i="13" s="1"/>
  <c r="X2139" i="13" s="1"/>
  <c r="X2140" i="13" s="1"/>
  <c r="X2141" i="13" s="1"/>
  <c r="X2142" i="13" s="1"/>
  <c r="X2143" i="13" s="1"/>
  <c r="X2144" i="13" s="1"/>
  <c r="X2145" i="13" s="1"/>
  <c r="X2146" i="13" s="1"/>
  <c r="X2147" i="13" s="1"/>
  <c r="X2148" i="13" s="1"/>
  <c r="X2149" i="13" s="1"/>
  <c r="X2150" i="13" s="1"/>
  <c r="X2151" i="13" s="1"/>
  <c r="X2152" i="13" s="1"/>
  <c r="X2153" i="13" s="1"/>
  <c r="X2154" i="13" s="1"/>
  <c r="X2155" i="13" s="1"/>
  <c r="X2156" i="13" s="1"/>
  <c r="X2157" i="13" s="1"/>
  <c r="X2158" i="13" s="1"/>
  <c r="X2159" i="13" s="1"/>
  <c r="X2160" i="13" s="1"/>
  <c r="X2161" i="13" s="1"/>
  <c r="X2162" i="13" s="1"/>
  <c r="X2163" i="13" s="1"/>
  <c r="X2164" i="13" s="1"/>
  <c r="X2165" i="13" s="1"/>
  <c r="X2166" i="13" s="1"/>
  <c r="X2167" i="13" s="1"/>
  <c r="X2168" i="13" s="1"/>
  <c r="X2169" i="13" s="1"/>
  <c r="X2170" i="13" s="1"/>
  <c r="X2171" i="13" s="1"/>
  <c r="X2172" i="13" s="1"/>
  <c r="X2173" i="13" s="1"/>
  <c r="X2174" i="13" s="1"/>
  <c r="X2175" i="13" s="1"/>
  <c r="X2176" i="13" s="1"/>
  <c r="X2177" i="13" s="1"/>
  <c r="X2178" i="13" s="1"/>
  <c r="X2179" i="13" s="1"/>
  <c r="X2180" i="13" s="1"/>
  <c r="X2181" i="13" s="1"/>
  <c r="X2182" i="13" s="1"/>
  <c r="X2183" i="13" s="1"/>
  <c r="X2184" i="13" s="1"/>
  <c r="X2185" i="13" s="1"/>
  <c r="X2186" i="13" s="1"/>
  <c r="X2187" i="13" s="1"/>
  <c r="X2188" i="13" s="1"/>
  <c r="X2189" i="13" s="1"/>
  <c r="X2190" i="13" s="1"/>
  <c r="X2191" i="13" s="1"/>
  <c r="X2192" i="13" s="1"/>
  <c r="X2193" i="13" s="1"/>
  <c r="X2194" i="13" s="1"/>
  <c r="X2195" i="13" s="1"/>
  <c r="X2196" i="13" s="1"/>
  <c r="X2197" i="13" s="1"/>
  <c r="X2198" i="13" s="1"/>
  <c r="X2199" i="13" s="1"/>
  <c r="X2200" i="13" s="1"/>
  <c r="X2201" i="13" s="1"/>
  <c r="X2202" i="13" s="1"/>
  <c r="X2203" i="13" s="1"/>
  <c r="X2204" i="13" s="1"/>
  <c r="X2205" i="13" s="1"/>
  <c r="X2206" i="13" s="1"/>
  <c r="X2207" i="13" s="1"/>
  <c r="X2208" i="13" s="1"/>
  <c r="X2209" i="13" s="1"/>
  <c r="X2210" i="13" s="1"/>
  <c r="X2211" i="13" s="1"/>
  <c r="X2212" i="13" s="1"/>
  <c r="X2213" i="13" s="1"/>
  <c r="X2214" i="13" s="1"/>
  <c r="X2215" i="13" s="1"/>
  <c r="X2216" i="13" s="1"/>
  <c r="X2217" i="13" s="1"/>
  <c r="X2218" i="13" s="1"/>
  <c r="X2219" i="13" s="1"/>
  <c r="X2220" i="13" s="1"/>
  <c r="X2221" i="13" s="1"/>
  <c r="X2222" i="13" s="1"/>
  <c r="X2223" i="13" s="1"/>
  <c r="X2224" i="13" s="1"/>
  <c r="X2225" i="13" s="1"/>
  <c r="X2226" i="13" s="1"/>
  <c r="X2227" i="13" s="1"/>
  <c r="X2228" i="13" s="1"/>
  <c r="X2229" i="13" s="1"/>
  <c r="X2230" i="13" s="1"/>
  <c r="X2231" i="13" s="1"/>
  <c r="X2232" i="13" s="1"/>
  <c r="X2233" i="13" s="1"/>
  <c r="X2234" i="13" s="1"/>
  <c r="X2235" i="13" s="1"/>
  <c r="X2236" i="13" s="1"/>
  <c r="X2237" i="13" s="1"/>
  <c r="X2238" i="13" s="1"/>
  <c r="X2239" i="13" s="1"/>
  <c r="X2240" i="13" s="1"/>
  <c r="X2241" i="13" s="1"/>
  <c r="X2242" i="13" s="1"/>
  <c r="X2243" i="13" s="1"/>
  <c r="X2244" i="13" s="1"/>
  <c r="X2245" i="13" s="1"/>
  <c r="X2246" i="13" s="1"/>
  <c r="X2247" i="13" s="1"/>
  <c r="X2248" i="13" s="1"/>
  <c r="X2249" i="13" s="1"/>
  <c r="X2250" i="13" s="1"/>
  <c r="X2251" i="13" s="1"/>
  <c r="X2252" i="13" s="1"/>
  <c r="X2253" i="13" s="1"/>
  <c r="X2254" i="13" s="1"/>
  <c r="X2255" i="13" s="1"/>
  <c r="X2256" i="13" s="1"/>
  <c r="X2257" i="13" s="1"/>
  <c r="X2258" i="13" s="1"/>
  <c r="X2259" i="13" s="1"/>
  <c r="X2260" i="13" s="1"/>
  <c r="X2261" i="13" s="1"/>
  <c r="X2262" i="13" s="1"/>
  <c r="X2263" i="13" s="1"/>
  <c r="X2264" i="13" s="1"/>
  <c r="X2265" i="13" s="1"/>
  <c r="X2266" i="13" s="1"/>
  <c r="X2267" i="13" s="1"/>
  <c r="X2268" i="13" s="1"/>
  <c r="X2269" i="13" s="1"/>
  <c r="X2270" i="13" s="1"/>
  <c r="X2271" i="13" s="1"/>
  <c r="X2272" i="13" s="1"/>
  <c r="X2273" i="13" s="1"/>
  <c r="X2274" i="13" s="1"/>
  <c r="X2275" i="13" s="1"/>
  <c r="X2276" i="13" s="1"/>
  <c r="X2277" i="13" s="1"/>
  <c r="X2278" i="13" s="1"/>
  <c r="X2279" i="13" s="1"/>
  <c r="X2280" i="13" s="1"/>
  <c r="X2281" i="13" s="1"/>
  <c r="X2282" i="13" s="1"/>
  <c r="X2283" i="13" s="1"/>
  <c r="X2284" i="13" s="1"/>
  <c r="X2285" i="13" s="1"/>
  <c r="X2286" i="13" s="1"/>
  <c r="X2287" i="13" s="1"/>
  <c r="X2288" i="13" s="1"/>
  <c r="X2289" i="13" s="1"/>
  <c r="X2290" i="13" s="1"/>
  <c r="X2291" i="13" s="1"/>
  <c r="X2292" i="13" s="1"/>
  <c r="X2293" i="13" s="1"/>
  <c r="X2294" i="13" s="1"/>
  <c r="X2295" i="13" s="1"/>
  <c r="X2296" i="13" s="1"/>
  <c r="X2297" i="13" s="1"/>
  <c r="X2298" i="13" s="1"/>
  <c r="X2299" i="13" s="1"/>
  <c r="X2300" i="13" s="1"/>
  <c r="X2301" i="13" s="1"/>
  <c r="X2302" i="13" s="1"/>
  <c r="X2303" i="13" s="1"/>
  <c r="X2304" i="13" s="1"/>
  <c r="X2305" i="13" s="1"/>
  <c r="X2306" i="13" s="1"/>
  <c r="X2307" i="13" s="1"/>
  <c r="X2308" i="13" s="1"/>
  <c r="X2309" i="13" s="1"/>
  <c r="X2310" i="13" s="1"/>
  <c r="X2311" i="13" s="1"/>
  <c r="X2312" i="13" s="1"/>
  <c r="X2313" i="13" s="1"/>
  <c r="X2314" i="13" s="1"/>
  <c r="X2315" i="13" s="1"/>
  <c r="X2316" i="13" s="1"/>
  <c r="X2317" i="13" s="1"/>
  <c r="X2318" i="13" s="1"/>
  <c r="X2319" i="13" s="1"/>
  <c r="X2320" i="13" s="1"/>
  <c r="X2321" i="13" s="1"/>
  <c r="X2322" i="13" s="1"/>
  <c r="X2323" i="13" s="1"/>
  <c r="X2324" i="13" s="1"/>
  <c r="X2325" i="13" s="1"/>
  <c r="X2326" i="13" s="1"/>
  <c r="X2327" i="13" s="1"/>
  <c r="X2328" i="13" s="1"/>
  <c r="X2329" i="13" s="1"/>
  <c r="X2330" i="13" s="1"/>
  <c r="X2331" i="13" s="1"/>
  <c r="X2332" i="13" s="1"/>
  <c r="X2333" i="13" s="1"/>
  <c r="X2334" i="13" s="1"/>
  <c r="X2335" i="13" s="1"/>
  <c r="X2336" i="13" s="1"/>
  <c r="X2337" i="13" s="1"/>
  <c r="X2338" i="13" s="1"/>
  <c r="X2339" i="13" s="1"/>
  <c r="X2340" i="13" s="1"/>
  <c r="X2341" i="13" s="1"/>
  <c r="X2342" i="13" s="1"/>
  <c r="X2343" i="13" s="1"/>
  <c r="X2344" i="13" s="1"/>
  <c r="X2345" i="13" s="1"/>
  <c r="X2346" i="13" s="1"/>
  <c r="X2347" i="13" s="1"/>
  <c r="X2348" i="13" s="1"/>
  <c r="X2349" i="13" s="1"/>
  <c r="X2350" i="13" s="1"/>
  <c r="X2351" i="13" s="1"/>
  <c r="X2352" i="13" s="1"/>
  <c r="X2353" i="13" s="1"/>
  <c r="X2354" i="13" s="1"/>
  <c r="X2355" i="13" s="1"/>
  <c r="X2356" i="13" s="1"/>
  <c r="X2357" i="13" s="1"/>
  <c r="X2358" i="13" s="1"/>
  <c r="X2359" i="13" s="1"/>
  <c r="X2360" i="13" s="1"/>
  <c r="X2361" i="13" s="1"/>
  <c r="X2362" i="13" s="1"/>
  <c r="X2363" i="13" s="1"/>
  <c r="X2364" i="13" s="1"/>
  <c r="X2365" i="13" s="1"/>
  <c r="X2366" i="13" s="1"/>
  <c r="X2367" i="13" s="1"/>
  <c r="X2368" i="13" s="1"/>
  <c r="X2369" i="13" s="1"/>
  <c r="X2370" i="13" s="1"/>
  <c r="X2371" i="13" s="1"/>
  <c r="X2372" i="13" s="1"/>
  <c r="X2373" i="13" s="1"/>
  <c r="X2374" i="13" s="1"/>
  <c r="X2375" i="13" s="1"/>
  <c r="X2376" i="13" s="1"/>
  <c r="X2377" i="13" s="1"/>
  <c r="X2378" i="13" s="1"/>
  <c r="X2379" i="13" s="1"/>
  <c r="X2380" i="13" s="1"/>
  <c r="X2381" i="13" s="1"/>
  <c r="X2382" i="13" s="1"/>
  <c r="X2383" i="13" s="1"/>
  <c r="X2384" i="13" s="1"/>
  <c r="X2385" i="13" s="1"/>
  <c r="X2386" i="13" s="1"/>
  <c r="X2387" i="13" s="1"/>
  <c r="X2388" i="13" s="1"/>
  <c r="X2389" i="13" s="1"/>
  <c r="X2390" i="13" s="1"/>
  <c r="X2391" i="13" s="1"/>
  <c r="X2392" i="13" s="1"/>
  <c r="X2393" i="13" s="1"/>
  <c r="X2394" i="13" s="1"/>
  <c r="X2395" i="13" s="1"/>
  <c r="X2396" i="13" s="1"/>
  <c r="X2397" i="13" s="1"/>
  <c r="X2398" i="13" s="1"/>
  <c r="X2399" i="13" s="1"/>
  <c r="X2400" i="13" s="1"/>
  <c r="X2401" i="13" s="1"/>
  <c r="X2402" i="13" s="1"/>
  <c r="X2403" i="13" s="1"/>
  <c r="X2404" i="13" s="1"/>
  <c r="X2405" i="13" s="1"/>
  <c r="X2406" i="13" s="1"/>
  <c r="X2407" i="13" s="1"/>
  <c r="X2408" i="13" s="1"/>
  <c r="X2409" i="13" s="1"/>
  <c r="X2410" i="13" s="1"/>
  <c r="X2411" i="13" s="1"/>
  <c r="X2412" i="13" s="1"/>
  <c r="X2413" i="13" s="1"/>
  <c r="X2414" i="13" s="1"/>
  <c r="X2415" i="13" s="1"/>
  <c r="X2416" i="13" s="1"/>
  <c r="X2417" i="13" s="1"/>
  <c r="X2418" i="13" s="1"/>
  <c r="X2419" i="13" s="1"/>
  <c r="X2420" i="13" s="1"/>
  <c r="X2421" i="13" s="1"/>
  <c r="X2422" i="13" s="1"/>
  <c r="X2423" i="13" s="1"/>
  <c r="X2424" i="13" s="1"/>
  <c r="X2425" i="13" s="1"/>
  <c r="X2426" i="13" s="1"/>
  <c r="X2427" i="13" s="1"/>
  <c r="X2428" i="13" s="1"/>
  <c r="X2429" i="13" s="1"/>
  <c r="X2430" i="13" s="1"/>
  <c r="X2431" i="13" s="1"/>
  <c r="X2432" i="13" s="1"/>
  <c r="X2433" i="13" s="1"/>
  <c r="X2434" i="13" s="1"/>
  <c r="X2435" i="13" s="1"/>
  <c r="X2436" i="13" s="1"/>
  <c r="X2437" i="13" s="1"/>
  <c r="X2438" i="13" s="1"/>
  <c r="X2439" i="13" s="1"/>
  <c r="X2440" i="13" s="1"/>
  <c r="X2441" i="13" s="1"/>
  <c r="X2442" i="13" s="1"/>
  <c r="X2443" i="13" s="1"/>
  <c r="X2444" i="13" s="1"/>
  <c r="X2445" i="13" s="1"/>
  <c r="X2446" i="13" s="1"/>
  <c r="X2447" i="13" s="1"/>
  <c r="X2448" i="13" s="1"/>
  <c r="X2449" i="13" s="1"/>
  <c r="X2450" i="13" s="1"/>
  <c r="X2451" i="13" s="1"/>
  <c r="X2452" i="13" s="1"/>
  <c r="X2453" i="13" s="1"/>
  <c r="X2454" i="13" s="1"/>
  <c r="X2455" i="13" s="1"/>
  <c r="X2456" i="13" s="1"/>
  <c r="X2457" i="13" s="1"/>
  <c r="X2458" i="13" s="1"/>
  <c r="X2459" i="13" s="1"/>
  <c r="X2460" i="13" s="1"/>
  <c r="X2461" i="13" s="1"/>
  <c r="X2462" i="13" s="1"/>
  <c r="X2463" i="13" s="1"/>
  <c r="X2464" i="13" s="1"/>
  <c r="X2465" i="13" s="1"/>
  <c r="X2466" i="13" s="1"/>
  <c r="X2467" i="13" s="1"/>
  <c r="X2468" i="13" s="1"/>
  <c r="X2469" i="13" s="1"/>
  <c r="X2470" i="13" s="1"/>
  <c r="X2471" i="13" s="1"/>
  <c r="X2472" i="13" s="1"/>
  <c r="X2473" i="13" s="1"/>
  <c r="X2474" i="13" s="1"/>
  <c r="X2475" i="13" s="1"/>
  <c r="X2476" i="13" s="1"/>
  <c r="X2477" i="13" s="1"/>
  <c r="X2478" i="13" s="1"/>
  <c r="X2479" i="13" s="1"/>
  <c r="X2480" i="13" s="1"/>
  <c r="X2481" i="13" s="1"/>
  <c r="X2482" i="13" s="1"/>
  <c r="X2483" i="13" s="1"/>
  <c r="X2484" i="13" s="1"/>
  <c r="X2485" i="13" s="1"/>
  <c r="X2486" i="13" s="1"/>
  <c r="X2487" i="13" s="1"/>
  <c r="X2488" i="13" s="1"/>
  <c r="X2489" i="13" s="1"/>
  <c r="X2490" i="13" s="1"/>
  <c r="X2491" i="13" s="1"/>
  <c r="X2492" i="13" s="1"/>
  <c r="X2493" i="13" s="1"/>
  <c r="X2494" i="13" s="1"/>
  <c r="X2495" i="13" s="1"/>
  <c r="X2496" i="13" s="1"/>
  <c r="X2497" i="13" s="1"/>
  <c r="X2498" i="13" s="1"/>
  <c r="X2499" i="13" s="1"/>
  <c r="X2500" i="13" s="1"/>
  <c r="X2501" i="13" s="1"/>
  <c r="X2502" i="13" s="1"/>
  <c r="X2503" i="13" s="1"/>
  <c r="X2504" i="13" s="1"/>
  <c r="X2505" i="13" s="1"/>
  <c r="X2506" i="13" s="1"/>
  <c r="X2507" i="13" s="1"/>
  <c r="X2508" i="13" s="1"/>
  <c r="X2509" i="13" s="1"/>
  <c r="X2510" i="13" s="1"/>
  <c r="X2511" i="13" s="1"/>
  <c r="X2512" i="13" s="1"/>
  <c r="X2513" i="13" s="1"/>
  <c r="X2514" i="13" s="1"/>
  <c r="X2515" i="13" s="1"/>
  <c r="X2516" i="13" s="1"/>
  <c r="X2517" i="13" s="1"/>
  <c r="X2518" i="13" s="1"/>
  <c r="X2519" i="13" s="1"/>
  <c r="X2520" i="13" s="1"/>
  <c r="X2521" i="13" s="1"/>
  <c r="X2522" i="13" s="1"/>
  <c r="X2523" i="13" s="1"/>
  <c r="X2524" i="13" s="1"/>
  <c r="X2525" i="13" s="1"/>
  <c r="X2526" i="13" s="1"/>
  <c r="X2527" i="13" s="1"/>
  <c r="X2528" i="13" s="1"/>
  <c r="X2529" i="13" s="1"/>
  <c r="X2530" i="13" s="1"/>
  <c r="X2531" i="13" s="1"/>
  <c r="X2532" i="13" s="1"/>
  <c r="X2533" i="13" s="1"/>
  <c r="X2534" i="13" s="1"/>
  <c r="X2535" i="13" s="1"/>
  <c r="X2536" i="13" s="1"/>
  <c r="X2537" i="13" s="1"/>
  <c r="X2538" i="13" s="1"/>
  <c r="X2539" i="13" s="1"/>
  <c r="X2540" i="13" s="1"/>
  <c r="X2541" i="13" s="1"/>
  <c r="X2542" i="13" s="1"/>
  <c r="X2543" i="13" s="1"/>
  <c r="X2544" i="13" s="1"/>
  <c r="X2545" i="13" s="1"/>
  <c r="X2546" i="13" s="1"/>
  <c r="X2547" i="13" s="1"/>
  <c r="X2548" i="13" s="1"/>
  <c r="X2549" i="13" s="1"/>
  <c r="X2550" i="13" s="1"/>
  <c r="X2551" i="13" s="1"/>
  <c r="X2552" i="13" s="1"/>
  <c r="X2553" i="13" s="1"/>
  <c r="X2554" i="13" s="1"/>
  <c r="X2555" i="13" s="1"/>
  <c r="X2556" i="13" s="1"/>
  <c r="X2557" i="13" s="1"/>
  <c r="X2558" i="13" s="1"/>
  <c r="X2559" i="13" s="1"/>
  <c r="X2560" i="13" s="1"/>
  <c r="X2561" i="13" s="1"/>
  <c r="X2562" i="13" s="1"/>
  <c r="X2563" i="13" s="1"/>
  <c r="X2564" i="13" s="1"/>
  <c r="X2565" i="13" s="1"/>
  <c r="X2566" i="13" s="1"/>
  <c r="X2567" i="13" s="1"/>
  <c r="X2568" i="13" s="1"/>
  <c r="X2569" i="13" s="1"/>
  <c r="X2570" i="13" s="1"/>
  <c r="X2571" i="13" s="1"/>
  <c r="X2572" i="13" s="1"/>
  <c r="X2573" i="13" s="1"/>
  <c r="X2574" i="13" s="1"/>
  <c r="X2575" i="13" s="1"/>
  <c r="X2576" i="13" s="1"/>
  <c r="X2577" i="13" s="1"/>
  <c r="X2578" i="13" s="1"/>
  <c r="X2579" i="13" s="1"/>
  <c r="X2580" i="13" s="1"/>
  <c r="X2581" i="13" s="1"/>
  <c r="X2582" i="13" s="1"/>
  <c r="X2583" i="13" s="1"/>
  <c r="X2584" i="13" s="1"/>
  <c r="X2585" i="13" s="1"/>
  <c r="X2586" i="13" s="1"/>
  <c r="X2587" i="13" s="1"/>
  <c r="X2588" i="13" s="1"/>
  <c r="X2589" i="13" s="1"/>
  <c r="X2590" i="13" s="1"/>
  <c r="X2591" i="13" s="1"/>
  <c r="X2592" i="13" s="1"/>
  <c r="X2593" i="13" s="1"/>
  <c r="X2594" i="13" s="1"/>
  <c r="X2595" i="13" s="1"/>
  <c r="X2596" i="13" s="1"/>
  <c r="X2597" i="13" s="1"/>
  <c r="X2598" i="13" s="1"/>
  <c r="X2599" i="13" s="1"/>
  <c r="X2600" i="13" s="1"/>
  <c r="X2601" i="13" s="1"/>
  <c r="X2602" i="13" s="1"/>
  <c r="X2603" i="13" s="1"/>
  <c r="X2604" i="13" s="1"/>
  <c r="X2605" i="13" s="1"/>
  <c r="X2606" i="13" s="1"/>
  <c r="X2607" i="13" s="1"/>
  <c r="X2608" i="13" s="1"/>
  <c r="X2609" i="13" s="1"/>
  <c r="X2610" i="13" s="1"/>
  <c r="X2611" i="13" s="1"/>
  <c r="X2612" i="13" s="1"/>
  <c r="X2613" i="13" s="1"/>
  <c r="X2614" i="13" s="1"/>
  <c r="X2615" i="13" s="1"/>
  <c r="X2616" i="13" s="1"/>
  <c r="X2617" i="13" s="1"/>
  <c r="X2618" i="13" s="1"/>
  <c r="X2619" i="13" s="1"/>
  <c r="X2620" i="13" s="1"/>
  <c r="X2621" i="13" s="1"/>
  <c r="X2622" i="13" s="1"/>
  <c r="X2623" i="13" s="1"/>
  <c r="X2624" i="13" s="1"/>
  <c r="X2625" i="13" s="1"/>
  <c r="X2626" i="13" s="1"/>
  <c r="X2627" i="13" s="1"/>
  <c r="X2628" i="13" s="1"/>
  <c r="X2629" i="13" s="1"/>
  <c r="X2630" i="13" s="1"/>
  <c r="X2631" i="13" s="1"/>
  <c r="X2632" i="13" s="1"/>
  <c r="X2633" i="13" s="1"/>
  <c r="X2634" i="13" s="1"/>
  <c r="X2635" i="13" s="1"/>
  <c r="X2636" i="13" s="1"/>
  <c r="X2637" i="13" s="1"/>
  <c r="X2638" i="13" s="1"/>
  <c r="X2639" i="13" s="1"/>
  <c r="X2640" i="13" s="1"/>
  <c r="X2641" i="13" s="1"/>
  <c r="X2642" i="13" s="1"/>
  <c r="X2643" i="13" s="1"/>
  <c r="X2644" i="13" s="1"/>
  <c r="X2645" i="13" s="1"/>
  <c r="X2646" i="13" s="1"/>
  <c r="X2647" i="13" s="1"/>
  <c r="X2648" i="13" s="1"/>
  <c r="X2649" i="13" s="1"/>
  <c r="X2650" i="13" s="1"/>
  <c r="X2651" i="13" s="1"/>
  <c r="X2652" i="13" s="1"/>
  <c r="X2653" i="13" s="1"/>
  <c r="X2654" i="13" s="1"/>
  <c r="X2655" i="13" s="1"/>
  <c r="X2656" i="13" s="1"/>
  <c r="X2657" i="13" s="1"/>
  <c r="X2658" i="13" s="1"/>
  <c r="X2659" i="13" s="1"/>
  <c r="X2660" i="13" s="1"/>
  <c r="X2661" i="13" s="1"/>
  <c r="X2662" i="13" s="1"/>
  <c r="X2663" i="13" s="1"/>
  <c r="X2664" i="13" s="1"/>
  <c r="X2665" i="13" s="1"/>
  <c r="X2666" i="13" s="1"/>
  <c r="X2667" i="13" s="1"/>
  <c r="X2668" i="13" s="1"/>
  <c r="X2669" i="13" s="1"/>
  <c r="X2670" i="13" s="1"/>
  <c r="X2671" i="13" s="1"/>
  <c r="X2672" i="13" s="1"/>
  <c r="X2673" i="13" s="1"/>
  <c r="X2674" i="13" s="1"/>
  <c r="X2675" i="13" s="1"/>
  <c r="X2676" i="13" s="1"/>
  <c r="X2677" i="13" s="1"/>
  <c r="X2678" i="13" s="1"/>
  <c r="X2679" i="13" s="1"/>
  <c r="X2680" i="13" s="1"/>
  <c r="X2681" i="13" s="1"/>
  <c r="X2682" i="13" s="1"/>
  <c r="X2683" i="13" s="1"/>
  <c r="X2684" i="13" s="1"/>
  <c r="X2685" i="13" s="1"/>
  <c r="X2686" i="13" s="1"/>
  <c r="X2687" i="13" s="1"/>
  <c r="X2688" i="13" s="1"/>
  <c r="X2689" i="13" s="1"/>
  <c r="X2690" i="13" s="1"/>
  <c r="X2691" i="13" s="1"/>
  <c r="X2692" i="13" s="1"/>
  <c r="X2693" i="13" s="1"/>
  <c r="X2694" i="13" s="1"/>
  <c r="X2695" i="13" s="1"/>
  <c r="X2696" i="13" s="1"/>
  <c r="X2697" i="13" s="1"/>
  <c r="X2698" i="13" s="1"/>
  <c r="X2699" i="13" s="1"/>
  <c r="X2700" i="13" s="1"/>
  <c r="X2701" i="13" s="1"/>
  <c r="X2702" i="13" s="1"/>
  <c r="X2703" i="13" s="1"/>
  <c r="X2704" i="13" s="1"/>
  <c r="X2705" i="13" s="1"/>
  <c r="X2706" i="13" s="1"/>
  <c r="X2707" i="13" s="1"/>
  <c r="X2708" i="13" s="1"/>
  <c r="X2709" i="13" s="1"/>
  <c r="X2710" i="13" s="1"/>
  <c r="X2711" i="13" s="1"/>
  <c r="X2712" i="13" s="1"/>
  <c r="X2713" i="13" s="1"/>
  <c r="X2714" i="13" s="1"/>
  <c r="X2715" i="13" s="1"/>
  <c r="X2716" i="13" s="1"/>
  <c r="X2717" i="13" s="1"/>
  <c r="X2718" i="13" s="1"/>
  <c r="X2719" i="13" s="1"/>
  <c r="X2720" i="13" s="1"/>
  <c r="X2721" i="13" s="1"/>
  <c r="X2722" i="13" s="1"/>
  <c r="X2723" i="13" s="1"/>
  <c r="X2724" i="13" s="1"/>
  <c r="X2725" i="13" s="1"/>
  <c r="X2726" i="13" s="1"/>
  <c r="X2727" i="13" s="1"/>
  <c r="X2728" i="13" s="1"/>
  <c r="X2729" i="13" s="1"/>
  <c r="X2730" i="13" s="1"/>
  <c r="X2731" i="13" s="1"/>
  <c r="X2732" i="13" s="1"/>
  <c r="X2733" i="13" s="1"/>
  <c r="X2734" i="13" s="1"/>
  <c r="X2735" i="13" s="1"/>
  <c r="X2736" i="13" s="1"/>
  <c r="X2737" i="13" s="1"/>
  <c r="X2738" i="13" s="1"/>
  <c r="X2739" i="13" s="1"/>
  <c r="X2740" i="13" s="1"/>
  <c r="X2741" i="13" s="1"/>
  <c r="X2742" i="13" s="1"/>
  <c r="X2743" i="13" s="1"/>
  <c r="X2744" i="13" s="1"/>
  <c r="X2745" i="13" s="1"/>
  <c r="X2746" i="13" s="1"/>
  <c r="X2747" i="13" s="1"/>
  <c r="X2748" i="13" s="1"/>
  <c r="X2749" i="13" s="1"/>
  <c r="X2750" i="13" s="1"/>
  <c r="X2751" i="13" s="1"/>
  <c r="X2752" i="13" s="1"/>
  <c r="X2753" i="13" s="1"/>
  <c r="X2754" i="13" s="1"/>
  <c r="X2755" i="13" s="1"/>
  <c r="X2756" i="13" s="1"/>
  <c r="X2757" i="13" s="1"/>
  <c r="X2758" i="13" s="1"/>
  <c r="X2759" i="13" s="1"/>
  <c r="X2760" i="13" s="1"/>
  <c r="X2761" i="13" s="1"/>
  <c r="X2762" i="13" s="1"/>
  <c r="X2763" i="13" s="1"/>
  <c r="X2764" i="13" s="1"/>
  <c r="X2765" i="13" s="1"/>
  <c r="X2766" i="13" s="1"/>
  <c r="X2767" i="13" s="1"/>
  <c r="X2768" i="13" s="1"/>
  <c r="X2769" i="13" s="1"/>
  <c r="X2770" i="13" s="1"/>
  <c r="X2771" i="13" s="1"/>
  <c r="X2772" i="13" s="1"/>
  <c r="X2773" i="13" s="1"/>
  <c r="X2774" i="13" s="1"/>
  <c r="X2775" i="13" s="1"/>
  <c r="X2776" i="13" s="1"/>
  <c r="X2777" i="13" s="1"/>
  <c r="X2778" i="13" s="1"/>
  <c r="X2779" i="13" s="1"/>
  <c r="X2780" i="13" s="1"/>
  <c r="X2781" i="13" s="1"/>
  <c r="X2782" i="13" s="1"/>
  <c r="X2783" i="13" s="1"/>
  <c r="X2784" i="13" s="1"/>
  <c r="X2785" i="13" s="1"/>
  <c r="X2786" i="13" s="1"/>
  <c r="X2787" i="13" s="1"/>
  <c r="X2788" i="13" s="1"/>
  <c r="X2789" i="13" s="1"/>
  <c r="X2790" i="13" s="1"/>
  <c r="X2791" i="13" s="1"/>
  <c r="X2792" i="13" s="1"/>
  <c r="X2793" i="13" s="1"/>
  <c r="X2794" i="13" s="1"/>
  <c r="X2795" i="13" s="1"/>
  <c r="X2796" i="13" s="1"/>
  <c r="X2797" i="13" s="1"/>
  <c r="X2798" i="13" s="1"/>
  <c r="X2799" i="13" s="1"/>
  <c r="X2800" i="13" s="1"/>
  <c r="X2801" i="13" s="1"/>
  <c r="X2802" i="13" s="1"/>
  <c r="X2803" i="13" s="1"/>
  <c r="X2804" i="13" s="1"/>
  <c r="X2805" i="13" s="1"/>
  <c r="X2806" i="13" s="1"/>
  <c r="X2807" i="13" s="1"/>
  <c r="X2808" i="13" s="1"/>
  <c r="X2809" i="13" s="1"/>
  <c r="X2810" i="13" s="1"/>
  <c r="X2811" i="13" s="1"/>
  <c r="X2812" i="13" s="1"/>
  <c r="X2813" i="13" s="1"/>
  <c r="X2814" i="13" s="1"/>
  <c r="X2815" i="13" s="1"/>
  <c r="X2816" i="13" s="1"/>
  <c r="X2817" i="13" s="1"/>
  <c r="X2818" i="13" s="1"/>
  <c r="X2819" i="13" s="1"/>
  <c r="X2820" i="13" s="1"/>
  <c r="X2821" i="13" s="1"/>
  <c r="X2822" i="13" s="1"/>
  <c r="X2823" i="13" s="1"/>
  <c r="X2824" i="13" s="1"/>
  <c r="X2825" i="13" s="1"/>
  <c r="X2826" i="13" s="1"/>
  <c r="X2827" i="13" s="1"/>
  <c r="X2828" i="13" s="1"/>
  <c r="X2829" i="13" s="1"/>
  <c r="X2830" i="13" s="1"/>
  <c r="X2831" i="13" s="1"/>
  <c r="X2832" i="13" s="1"/>
  <c r="X2833" i="13" s="1"/>
  <c r="X2834" i="13" s="1"/>
  <c r="X2835" i="13" s="1"/>
  <c r="X2836" i="13" s="1"/>
  <c r="X2837" i="13" s="1"/>
  <c r="X2838" i="13" s="1"/>
  <c r="X2839" i="13" s="1"/>
  <c r="X2840" i="13" s="1"/>
  <c r="X2841" i="13" s="1"/>
  <c r="X2842" i="13" s="1"/>
  <c r="X2843" i="13" s="1"/>
  <c r="X2844" i="13" s="1"/>
  <c r="X2845" i="13" s="1"/>
  <c r="X2846" i="13" s="1"/>
  <c r="X2847" i="13" s="1"/>
  <c r="X2848" i="13" s="1"/>
  <c r="X2849" i="13" s="1"/>
  <c r="X2850" i="13" s="1"/>
  <c r="X2851" i="13" s="1"/>
  <c r="X2852" i="13" s="1"/>
  <c r="X2853" i="13" s="1"/>
  <c r="X2854" i="13" s="1"/>
  <c r="X2855" i="13" s="1"/>
  <c r="X2856" i="13" s="1"/>
  <c r="X2857" i="13" s="1"/>
  <c r="X2858" i="13" s="1"/>
  <c r="X2859" i="13" s="1"/>
  <c r="X2860" i="13" s="1"/>
  <c r="X2861" i="13" s="1"/>
  <c r="X2862" i="13" s="1"/>
  <c r="X2863" i="13" s="1"/>
  <c r="X2864" i="13" s="1"/>
  <c r="X2865" i="13" s="1"/>
  <c r="X2866" i="13" s="1"/>
  <c r="X2867" i="13" s="1"/>
  <c r="X2868" i="13" s="1"/>
  <c r="X2869" i="13" s="1"/>
  <c r="X2870" i="13" s="1"/>
  <c r="X2871" i="13" s="1"/>
  <c r="X2872" i="13" s="1"/>
  <c r="X2873" i="13" s="1"/>
  <c r="X2874" i="13" s="1"/>
  <c r="X2875" i="13" s="1"/>
  <c r="X2876" i="13" s="1"/>
  <c r="X2877" i="13" s="1"/>
  <c r="X2878" i="13" s="1"/>
  <c r="X2879" i="13" s="1"/>
  <c r="X2880" i="13" s="1"/>
  <c r="X2881" i="13" s="1"/>
  <c r="X2882" i="13" s="1"/>
  <c r="X2883" i="13" s="1"/>
  <c r="X2884" i="13" s="1"/>
  <c r="X2885" i="13" s="1"/>
  <c r="X2886" i="13" s="1"/>
  <c r="X2887" i="13" s="1"/>
  <c r="X2888" i="13" s="1"/>
  <c r="X2889" i="13" s="1"/>
  <c r="X2890" i="13" s="1"/>
  <c r="X2891" i="13" s="1"/>
  <c r="X2892" i="13" s="1"/>
  <c r="X2893" i="13" s="1"/>
  <c r="X2894" i="13" s="1"/>
  <c r="X2895" i="13" s="1"/>
  <c r="X2896" i="13" s="1"/>
  <c r="X2897" i="13" s="1"/>
  <c r="X2898" i="13" s="1"/>
  <c r="X2899" i="13" s="1"/>
  <c r="X2900" i="13" s="1"/>
  <c r="X2901" i="13" s="1"/>
  <c r="X2902" i="13" s="1"/>
  <c r="X2903" i="13" s="1"/>
  <c r="X2904" i="13" s="1"/>
  <c r="X2905" i="13" s="1"/>
  <c r="X2906" i="13" s="1"/>
  <c r="X2907" i="13" s="1"/>
  <c r="X2908" i="13" s="1"/>
  <c r="X2909" i="13" s="1"/>
  <c r="X2910" i="13" s="1"/>
  <c r="X2911" i="13" s="1"/>
  <c r="X2912" i="13" s="1"/>
  <c r="X2913" i="13" s="1"/>
  <c r="X2914" i="13" s="1"/>
  <c r="X2915" i="13" s="1"/>
  <c r="X2916" i="13" s="1"/>
  <c r="X2917" i="13" s="1"/>
  <c r="X2918" i="13" s="1"/>
  <c r="X2919" i="13" s="1"/>
  <c r="X2920" i="13" s="1"/>
  <c r="X2921" i="13" s="1"/>
  <c r="X2922" i="13" s="1"/>
  <c r="X2923" i="13" s="1"/>
  <c r="X2924" i="13" s="1"/>
  <c r="X2925" i="13" s="1"/>
  <c r="X2926" i="13" s="1"/>
  <c r="X2927" i="13" s="1"/>
  <c r="X2928" i="13" s="1"/>
  <c r="X2929" i="13" s="1"/>
  <c r="X2930" i="13" s="1"/>
  <c r="X2931" i="13" s="1"/>
  <c r="X2932" i="13" s="1"/>
  <c r="X2933" i="13" s="1"/>
  <c r="X2934" i="13" s="1"/>
  <c r="X2935" i="13" s="1"/>
  <c r="X2936" i="13" s="1"/>
  <c r="X2937" i="13" s="1"/>
  <c r="X2938" i="13" s="1"/>
  <c r="X2939" i="13" s="1"/>
  <c r="X2940" i="13" s="1"/>
  <c r="X2941" i="13" s="1"/>
  <c r="X2942" i="13" s="1"/>
  <c r="X2943" i="13" s="1"/>
  <c r="X2944" i="13" s="1"/>
  <c r="X2945" i="13" s="1"/>
  <c r="X2946" i="13" s="1"/>
  <c r="X2947" i="13" s="1"/>
  <c r="X2948" i="13" s="1"/>
  <c r="X2949" i="13" s="1"/>
  <c r="X2950" i="13" s="1"/>
  <c r="X2951" i="13" s="1"/>
  <c r="X2952" i="13" s="1"/>
  <c r="X2953" i="13" s="1"/>
  <c r="X2954" i="13" s="1"/>
  <c r="X2955" i="13" s="1"/>
  <c r="X2956" i="13" s="1"/>
  <c r="X2957" i="13" s="1"/>
  <c r="X2958" i="13" s="1"/>
  <c r="X2959" i="13" s="1"/>
  <c r="X2960" i="13" s="1"/>
  <c r="X2961" i="13" s="1"/>
  <c r="X2962" i="13" s="1"/>
  <c r="X2963" i="13" s="1"/>
  <c r="X2964" i="13" s="1"/>
  <c r="X2965" i="13" s="1"/>
  <c r="X2966" i="13" s="1"/>
  <c r="X2967" i="13" s="1"/>
  <c r="X2968" i="13" s="1"/>
  <c r="X2969" i="13" s="1"/>
  <c r="X2970" i="13" s="1"/>
  <c r="X2971" i="13" s="1"/>
  <c r="X2972" i="13" s="1"/>
  <c r="X2973" i="13" s="1"/>
  <c r="X2974" i="13" s="1"/>
  <c r="X2975" i="13" s="1"/>
  <c r="X2976" i="13" s="1"/>
  <c r="X2977" i="13" s="1"/>
  <c r="X2978" i="13" s="1"/>
  <c r="X2979" i="13" s="1"/>
  <c r="X2980" i="13" s="1"/>
  <c r="X2981" i="13" s="1"/>
  <c r="X2982" i="13" s="1"/>
  <c r="X2983" i="13" s="1"/>
  <c r="X2984" i="13" s="1"/>
  <c r="X2985" i="13" s="1"/>
  <c r="X2986" i="13" s="1"/>
  <c r="X2987" i="13" s="1"/>
  <c r="X2988" i="13" s="1"/>
  <c r="X2989" i="13" s="1"/>
  <c r="X2990" i="13" s="1"/>
  <c r="X2991" i="13" s="1"/>
  <c r="X2992" i="13" s="1"/>
  <c r="X2993" i="13" s="1"/>
  <c r="X2994" i="13" s="1"/>
  <c r="X2995" i="13" s="1"/>
  <c r="X2996" i="13" s="1"/>
  <c r="X2997" i="13" s="1"/>
  <c r="X2998" i="13" s="1"/>
  <c r="X2999" i="13" s="1"/>
  <c r="X3000" i="13" s="1"/>
  <c r="X3001" i="13" s="1"/>
  <c r="X3002" i="13" s="1"/>
  <c r="X3003" i="13" s="1"/>
  <c r="X3004" i="13" s="1"/>
  <c r="X3005" i="13" s="1"/>
  <c r="X3006" i="13" s="1"/>
  <c r="X3007" i="13" s="1"/>
  <c r="X3008" i="13" s="1"/>
  <c r="X3009" i="13" s="1"/>
  <c r="X3010" i="13" s="1"/>
  <c r="X3011" i="13" s="1"/>
  <c r="X3012" i="13" s="1"/>
  <c r="X3013" i="13" s="1"/>
  <c r="X3014" i="13" s="1"/>
  <c r="X3015" i="13" s="1"/>
  <c r="X3016" i="13" s="1"/>
  <c r="X3017" i="13" s="1"/>
  <c r="X3018" i="13" s="1"/>
  <c r="X3019" i="13" s="1"/>
  <c r="X3020" i="13" s="1"/>
  <c r="X3021" i="13" s="1"/>
  <c r="X3022" i="13" s="1"/>
  <c r="X3023" i="13" s="1"/>
  <c r="X3024" i="13" s="1"/>
  <c r="X3025" i="13" s="1"/>
  <c r="X3026" i="13" s="1"/>
  <c r="X3027" i="13" s="1"/>
  <c r="X3028" i="13" s="1"/>
  <c r="X3029" i="13" s="1"/>
  <c r="X3030" i="13" s="1"/>
  <c r="X3031" i="13" s="1"/>
  <c r="X3032" i="13" s="1"/>
  <c r="X3033" i="13" s="1"/>
  <c r="X3034" i="13" s="1"/>
  <c r="X3035" i="13" s="1"/>
  <c r="X3036" i="13" s="1"/>
  <c r="X3037" i="13" s="1"/>
  <c r="X3038" i="13" s="1"/>
  <c r="X3039" i="13" s="1"/>
  <c r="X3040" i="13" s="1"/>
  <c r="X3041" i="13" s="1"/>
  <c r="X3042" i="13" s="1"/>
  <c r="X3043" i="13" s="1"/>
  <c r="X3044" i="13" s="1"/>
  <c r="X3045" i="13" s="1"/>
  <c r="X3046" i="13" s="1"/>
  <c r="X3047" i="13" s="1"/>
  <c r="X3048" i="13" s="1"/>
  <c r="X3049" i="13" s="1"/>
  <c r="X3050" i="13" s="1"/>
  <c r="X3051" i="13" s="1"/>
  <c r="X3052" i="13" s="1"/>
  <c r="X3053" i="13" s="1"/>
  <c r="X3054" i="13" s="1"/>
  <c r="X3055" i="13" s="1"/>
  <c r="X3056" i="13" s="1"/>
  <c r="X3057" i="13" s="1"/>
  <c r="X3058" i="13" s="1"/>
  <c r="X3059" i="13" s="1"/>
  <c r="X3060" i="13" s="1"/>
  <c r="X3061" i="13" s="1"/>
  <c r="X3062" i="13" s="1"/>
  <c r="X3063" i="13" s="1"/>
  <c r="X3064" i="13" s="1"/>
  <c r="X3065" i="13" s="1"/>
  <c r="X3066" i="13" s="1"/>
  <c r="X3067" i="13" s="1"/>
  <c r="X3068" i="13" s="1"/>
  <c r="X3069" i="13" s="1"/>
  <c r="X3070" i="13" s="1"/>
  <c r="X3071" i="13" s="1"/>
  <c r="X3072" i="13" s="1"/>
  <c r="X3073" i="13" s="1"/>
  <c r="X3074" i="13" s="1"/>
  <c r="X3075" i="13" s="1"/>
  <c r="X3076" i="13" s="1"/>
  <c r="X3077" i="13" s="1"/>
  <c r="X3078" i="13" s="1"/>
  <c r="X3079" i="13" s="1"/>
  <c r="X3080" i="13" s="1"/>
  <c r="X3081" i="13" s="1"/>
  <c r="X3082" i="13" s="1"/>
  <c r="X3083" i="13" s="1"/>
  <c r="X3084" i="13" s="1"/>
  <c r="X3085" i="13" s="1"/>
  <c r="X3086" i="13" s="1"/>
  <c r="X3087" i="13" s="1"/>
  <c r="X3088" i="13" s="1"/>
  <c r="X3089" i="13" s="1"/>
  <c r="X3090" i="13" s="1"/>
  <c r="X3091" i="13" s="1"/>
  <c r="X3092" i="13" s="1"/>
  <c r="X3093" i="13" s="1"/>
  <c r="X3094" i="13" s="1"/>
  <c r="X3095" i="13" s="1"/>
  <c r="X3096" i="13" s="1"/>
  <c r="X3097" i="13" s="1"/>
  <c r="X3098" i="13" s="1"/>
  <c r="X3099" i="13" s="1"/>
  <c r="X3100" i="13" s="1"/>
  <c r="X3101" i="13" s="1"/>
  <c r="X3102" i="13" s="1"/>
  <c r="X3103" i="13" s="1"/>
  <c r="X3104" i="13" s="1"/>
  <c r="X3105" i="13" s="1"/>
  <c r="X3106" i="13" s="1"/>
  <c r="X3107" i="13" s="1"/>
  <c r="X3108" i="13" s="1"/>
  <c r="X3109" i="13" s="1"/>
  <c r="X3110" i="13" s="1"/>
  <c r="X3111" i="13" s="1"/>
  <c r="X3112" i="13" s="1"/>
  <c r="X3113" i="13" s="1"/>
  <c r="X3114" i="13" s="1"/>
  <c r="X3115" i="13" s="1"/>
  <c r="X3116" i="13" s="1"/>
  <c r="X3117" i="13" s="1"/>
  <c r="X3118" i="13" s="1"/>
  <c r="X3119" i="13" s="1"/>
  <c r="X3120" i="13" s="1"/>
  <c r="X3121" i="13" s="1"/>
  <c r="X3122" i="13" s="1"/>
  <c r="X3123" i="13" s="1"/>
  <c r="X3124" i="13" s="1"/>
  <c r="X3125" i="13" s="1"/>
  <c r="X3126" i="13" s="1"/>
  <c r="X3127" i="13" s="1"/>
  <c r="X3128" i="13" s="1"/>
  <c r="X3129" i="13" s="1"/>
  <c r="X3130" i="13" s="1"/>
  <c r="X3131" i="13" s="1"/>
  <c r="X3132" i="13" s="1"/>
  <c r="X3133" i="13" s="1"/>
  <c r="X3134" i="13" s="1"/>
  <c r="X3135" i="13" s="1"/>
  <c r="X3136" i="13" s="1"/>
  <c r="X3137" i="13" s="1"/>
  <c r="X3138" i="13" s="1"/>
  <c r="X3139" i="13" s="1"/>
  <c r="X3140" i="13" s="1"/>
  <c r="X3141" i="13" s="1"/>
  <c r="X3142" i="13" s="1"/>
  <c r="X3143" i="13" s="1"/>
  <c r="X3144" i="13" s="1"/>
  <c r="X3145" i="13" s="1"/>
  <c r="X3146" i="13" s="1"/>
  <c r="X3147" i="13" s="1"/>
  <c r="X3148" i="13" s="1"/>
  <c r="X3149" i="13" s="1"/>
  <c r="X3150" i="13" s="1"/>
  <c r="X3151" i="13" s="1"/>
  <c r="X3152" i="13" s="1"/>
  <c r="X3153" i="13" s="1"/>
  <c r="X3154" i="13" s="1"/>
  <c r="X3155" i="13" s="1"/>
  <c r="X3156" i="13" s="1"/>
  <c r="X3157" i="13" s="1"/>
  <c r="X3158" i="13" s="1"/>
  <c r="X3159" i="13" s="1"/>
  <c r="X3160" i="13" s="1"/>
  <c r="X3161" i="13" s="1"/>
  <c r="X3162" i="13" s="1"/>
  <c r="X3163" i="13" s="1"/>
  <c r="X3164" i="13" s="1"/>
  <c r="X3165" i="13" s="1"/>
  <c r="X3166" i="13" s="1"/>
  <c r="X3167" i="13" s="1"/>
  <c r="X3168" i="13" s="1"/>
  <c r="X3169" i="13" s="1"/>
  <c r="X3170" i="13" s="1"/>
  <c r="X3171" i="13" s="1"/>
  <c r="X3172" i="13" s="1"/>
  <c r="X3173" i="13" s="1"/>
  <c r="X3174" i="13" s="1"/>
  <c r="X3175" i="13" s="1"/>
  <c r="X3176" i="13" s="1"/>
  <c r="X3177" i="13" s="1"/>
  <c r="X3178" i="13" s="1"/>
  <c r="X3179" i="13" s="1"/>
  <c r="X3180" i="13" s="1"/>
  <c r="X3181" i="13" s="1"/>
  <c r="X3182" i="13" s="1"/>
  <c r="X3183" i="13" s="1"/>
  <c r="X3184" i="13" s="1"/>
  <c r="X3185" i="13" s="1"/>
  <c r="X3186" i="13" s="1"/>
  <c r="X3187" i="13" s="1"/>
  <c r="X3188" i="13" s="1"/>
  <c r="X3189" i="13" s="1"/>
  <c r="X3190" i="13" s="1"/>
  <c r="X3191" i="13" s="1"/>
  <c r="X3192" i="13" s="1"/>
  <c r="X3193" i="13" s="1"/>
  <c r="X3194" i="13" s="1"/>
  <c r="X3195" i="13" s="1"/>
  <c r="X3196" i="13" s="1"/>
  <c r="X3197" i="13" s="1"/>
  <c r="X3198" i="13" s="1"/>
  <c r="X3199" i="13" s="1"/>
  <c r="X3200" i="13" s="1"/>
  <c r="X3201" i="13" s="1"/>
  <c r="X3202" i="13" s="1"/>
  <c r="X3203" i="13" s="1"/>
  <c r="X3204" i="13" s="1"/>
  <c r="X3205" i="13" s="1"/>
  <c r="X3206" i="13" s="1"/>
  <c r="X3207" i="13" s="1"/>
  <c r="X3208" i="13" s="1"/>
  <c r="X3209" i="13" s="1"/>
  <c r="X3210" i="13" s="1"/>
  <c r="X3211" i="13" s="1"/>
  <c r="X3212" i="13" s="1"/>
  <c r="X3213" i="13" s="1"/>
  <c r="X3214" i="13" s="1"/>
  <c r="X3215" i="13" s="1"/>
  <c r="X3216" i="13" s="1"/>
  <c r="X3217" i="13" s="1"/>
  <c r="X3218" i="13" s="1"/>
  <c r="X3219" i="13" s="1"/>
  <c r="X3220" i="13" s="1"/>
  <c r="X3221" i="13" s="1"/>
  <c r="X3222" i="13" s="1"/>
  <c r="X3223" i="13" s="1"/>
  <c r="X3224" i="13" s="1"/>
  <c r="X3225" i="13" s="1"/>
  <c r="X3226" i="13" s="1"/>
  <c r="X3227" i="13" s="1"/>
  <c r="X3228" i="13" s="1"/>
  <c r="X3229" i="13" s="1"/>
  <c r="X3230" i="13" s="1"/>
  <c r="X3231" i="13" s="1"/>
  <c r="X3232" i="13" s="1"/>
  <c r="X3233" i="13" s="1"/>
  <c r="X3234" i="13" s="1"/>
  <c r="X3235" i="13" s="1"/>
  <c r="X3236" i="13" s="1"/>
  <c r="X3237" i="13" s="1"/>
  <c r="X3238" i="13" s="1"/>
  <c r="X3239" i="13" s="1"/>
  <c r="X3240" i="13" s="1"/>
  <c r="X3241" i="13" s="1"/>
  <c r="X3242" i="13" s="1"/>
  <c r="X3243" i="13" s="1"/>
  <c r="X3244" i="13" s="1"/>
  <c r="X3245" i="13" s="1"/>
  <c r="X3246" i="13" s="1"/>
  <c r="X3247" i="13" s="1"/>
  <c r="X3248" i="13" s="1"/>
  <c r="X3249" i="13" s="1"/>
  <c r="X3250" i="13" s="1"/>
  <c r="X3251" i="13" s="1"/>
  <c r="X3252" i="13" s="1"/>
  <c r="X3253" i="13" s="1"/>
  <c r="X3254" i="13" s="1"/>
  <c r="X3255" i="13" s="1"/>
  <c r="X3256" i="13" s="1"/>
  <c r="X3257" i="13" s="1"/>
  <c r="X3258" i="13" s="1"/>
  <c r="X3259" i="13" s="1"/>
  <c r="X3260" i="13" s="1"/>
  <c r="X3261" i="13" s="1"/>
  <c r="X3262" i="13" s="1"/>
  <c r="X3263" i="13" s="1"/>
  <c r="X3264" i="13" s="1"/>
  <c r="X3265" i="13" s="1"/>
  <c r="X3266" i="13" s="1"/>
  <c r="X3267" i="13" s="1"/>
  <c r="X3268" i="13" s="1"/>
  <c r="X3269" i="13" s="1"/>
  <c r="X3270" i="13" s="1"/>
  <c r="X3271" i="13" s="1"/>
  <c r="X3272" i="13" s="1"/>
  <c r="X3273" i="13" s="1"/>
  <c r="X3274" i="13" s="1"/>
  <c r="X3275" i="13" s="1"/>
  <c r="X3276" i="13" s="1"/>
  <c r="X3277" i="13" s="1"/>
  <c r="X3278" i="13" s="1"/>
  <c r="X3279" i="13" s="1"/>
  <c r="X3280" i="13" s="1"/>
  <c r="X3281" i="13" s="1"/>
  <c r="X3282" i="13" s="1"/>
  <c r="X3283" i="13" s="1"/>
  <c r="X3284" i="13" s="1"/>
  <c r="X3285" i="13" s="1"/>
  <c r="X3286" i="13" s="1"/>
  <c r="X3287" i="13" s="1"/>
  <c r="X3288" i="13" s="1"/>
  <c r="X3289" i="13" s="1"/>
  <c r="X3290" i="13" s="1"/>
  <c r="X3291" i="13" s="1"/>
  <c r="X3292" i="13" s="1"/>
  <c r="X3293" i="13" s="1"/>
  <c r="X3294" i="13" s="1"/>
  <c r="X3295" i="13" s="1"/>
  <c r="X3296" i="13" s="1"/>
  <c r="X3297" i="13" s="1"/>
  <c r="X3298" i="13" s="1"/>
  <c r="X3299" i="13" s="1"/>
  <c r="X3300" i="13" s="1"/>
  <c r="X3301" i="13" s="1"/>
  <c r="X3302" i="13" s="1"/>
  <c r="X3303" i="13" s="1"/>
  <c r="X3304" i="13" s="1"/>
  <c r="X3305" i="13" s="1"/>
  <c r="X3306" i="13" s="1"/>
  <c r="X3307" i="13" s="1"/>
  <c r="X3308" i="13" s="1"/>
  <c r="X3309" i="13" s="1"/>
  <c r="X3310" i="13" s="1"/>
  <c r="X3311" i="13" s="1"/>
  <c r="X3312" i="13" s="1"/>
  <c r="X3313" i="13" s="1"/>
  <c r="X3314" i="13" s="1"/>
  <c r="X3315" i="13" s="1"/>
  <c r="X3316" i="13" s="1"/>
  <c r="X3317" i="13" s="1"/>
  <c r="X3318" i="13" s="1"/>
  <c r="X3319" i="13" s="1"/>
  <c r="X3320" i="13" s="1"/>
  <c r="X3321" i="13" s="1"/>
  <c r="X3322" i="13" s="1"/>
  <c r="X3323" i="13" s="1"/>
  <c r="X3324" i="13" s="1"/>
  <c r="X3325" i="13" s="1"/>
  <c r="X3326" i="13" s="1"/>
  <c r="X3327" i="13" s="1"/>
  <c r="X3328" i="13" s="1"/>
  <c r="X3329" i="13" s="1"/>
  <c r="X3330" i="13" s="1"/>
  <c r="X3331" i="13" s="1"/>
  <c r="X3332" i="13" s="1"/>
  <c r="X3333" i="13" s="1"/>
  <c r="X3334" i="13" s="1"/>
  <c r="X3335" i="13" s="1"/>
  <c r="X3336" i="13" s="1"/>
  <c r="X3337" i="13" s="1"/>
  <c r="X3338" i="13" s="1"/>
  <c r="X3339" i="13" s="1"/>
  <c r="X3340" i="13" s="1"/>
  <c r="X3341" i="13" s="1"/>
  <c r="X3342" i="13" s="1"/>
  <c r="X3343" i="13" s="1"/>
  <c r="X3344" i="13" s="1"/>
  <c r="X3345" i="13" s="1"/>
  <c r="X3346" i="13" s="1"/>
  <c r="X3347" i="13" s="1"/>
  <c r="X3348" i="13" s="1"/>
  <c r="X3349" i="13" s="1"/>
  <c r="X3350" i="13" s="1"/>
  <c r="X3351" i="13" s="1"/>
  <c r="X3352" i="13" s="1"/>
  <c r="X3353" i="13" s="1"/>
  <c r="X3354" i="13" s="1"/>
  <c r="X3355" i="13" s="1"/>
  <c r="X3356" i="13" s="1"/>
  <c r="X3357" i="13" s="1"/>
  <c r="X3358" i="13" s="1"/>
  <c r="X3359" i="13" s="1"/>
  <c r="X3360" i="13" s="1"/>
  <c r="X3361" i="13" s="1"/>
  <c r="X3362" i="13" s="1"/>
  <c r="X3363" i="13" s="1"/>
  <c r="X3364" i="13" s="1"/>
  <c r="X3365" i="13" s="1"/>
  <c r="X3366" i="13" s="1"/>
  <c r="X3367" i="13" s="1"/>
  <c r="X3368" i="13" s="1"/>
  <c r="X3369" i="13" s="1"/>
  <c r="X3370" i="13" s="1"/>
  <c r="X3371" i="13" s="1"/>
  <c r="X3372" i="13" s="1"/>
  <c r="X3373" i="13" s="1"/>
  <c r="X3374" i="13" s="1"/>
  <c r="X3375" i="13" s="1"/>
  <c r="X3376" i="13" s="1"/>
  <c r="X3377" i="13" s="1"/>
  <c r="X3378" i="13" s="1"/>
  <c r="X3379" i="13" s="1"/>
  <c r="X3380" i="13" s="1"/>
  <c r="X3381" i="13" s="1"/>
  <c r="X3382" i="13" s="1"/>
  <c r="X3383" i="13" s="1"/>
  <c r="X3384" i="13" s="1"/>
  <c r="X3385" i="13" s="1"/>
  <c r="X3386" i="13" s="1"/>
  <c r="X3387" i="13" s="1"/>
  <c r="X3388" i="13" s="1"/>
  <c r="X3389" i="13" s="1"/>
  <c r="X3390" i="13" s="1"/>
  <c r="X3391" i="13" s="1"/>
  <c r="X3392" i="13" s="1"/>
  <c r="X3393" i="13" s="1"/>
  <c r="X3394" i="13" s="1"/>
  <c r="X3395" i="13" s="1"/>
  <c r="X3396" i="13" s="1"/>
  <c r="X3397" i="13" s="1"/>
  <c r="X3398" i="13" s="1"/>
  <c r="X3399" i="13" s="1"/>
  <c r="X3400" i="13" s="1"/>
  <c r="X3401" i="13" s="1"/>
  <c r="X3402" i="13" s="1"/>
  <c r="X3403" i="13" s="1"/>
  <c r="X3404" i="13" s="1"/>
  <c r="X3405" i="13" s="1"/>
  <c r="X3406" i="13" s="1"/>
  <c r="X3407" i="13" s="1"/>
  <c r="X3408" i="13" s="1"/>
  <c r="X3409" i="13" s="1"/>
  <c r="X3410" i="13" s="1"/>
  <c r="X3411" i="13" s="1"/>
  <c r="X3412" i="13" s="1"/>
  <c r="X3413" i="13" s="1"/>
  <c r="X3414" i="13" s="1"/>
  <c r="X3415" i="13" s="1"/>
  <c r="X3416" i="13" s="1"/>
  <c r="X3417" i="13" s="1"/>
  <c r="X3418" i="13" s="1"/>
  <c r="X3419" i="13" s="1"/>
  <c r="X3420" i="13" s="1"/>
  <c r="X3421" i="13" s="1"/>
  <c r="X3422" i="13" s="1"/>
  <c r="X3423" i="13" s="1"/>
  <c r="X3424" i="13" s="1"/>
  <c r="X3425" i="13" s="1"/>
  <c r="X3426" i="13" s="1"/>
  <c r="X3427" i="13" s="1"/>
  <c r="X3428" i="13" s="1"/>
  <c r="X3429" i="13" s="1"/>
  <c r="X3430" i="13" s="1"/>
  <c r="X3431" i="13" s="1"/>
  <c r="X3432" i="13" s="1"/>
  <c r="X3433" i="13" s="1"/>
  <c r="X3434" i="13" s="1"/>
  <c r="X3435" i="13" s="1"/>
  <c r="X3436" i="13" s="1"/>
  <c r="X3437" i="13" s="1"/>
  <c r="X3438" i="13" s="1"/>
  <c r="X3439" i="13" s="1"/>
  <c r="X3440" i="13" s="1"/>
  <c r="X3441" i="13" s="1"/>
  <c r="X3442" i="13" s="1"/>
  <c r="X3443" i="13" s="1"/>
  <c r="X3444" i="13" s="1"/>
  <c r="X3445" i="13" s="1"/>
  <c r="X3446" i="13" s="1"/>
  <c r="X3447" i="13" s="1"/>
  <c r="X3448" i="13" s="1"/>
  <c r="X3449" i="13" s="1"/>
  <c r="X3450" i="13" s="1"/>
  <c r="X3451" i="13" s="1"/>
  <c r="X3452" i="13" s="1"/>
  <c r="X3453" i="13" s="1"/>
  <c r="X3454" i="13" s="1"/>
  <c r="X3455" i="13" s="1"/>
  <c r="X3456" i="13" s="1"/>
  <c r="X3457" i="13" s="1"/>
  <c r="X3458" i="13" s="1"/>
  <c r="X3459" i="13" s="1"/>
  <c r="X3460" i="13" s="1"/>
  <c r="X3461" i="13" s="1"/>
  <c r="X3462" i="13" s="1"/>
  <c r="X3463" i="13" s="1"/>
  <c r="X3464" i="13" s="1"/>
  <c r="X3465" i="13" s="1"/>
  <c r="X3466" i="13" s="1"/>
  <c r="X3467" i="13" s="1"/>
  <c r="X3468" i="13" s="1"/>
  <c r="X3469" i="13" s="1"/>
  <c r="X3470" i="13" s="1"/>
  <c r="X3471" i="13" s="1"/>
  <c r="X3472" i="13" s="1"/>
  <c r="X3473" i="13" s="1"/>
  <c r="X3474" i="13" s="1"/>
  <c r="X3475" i="13" s="1"/>
  <c r="X3476" i="13" s="1"/>
  <c r="X3477" i="13" s="1"/>
  <c r="X3478" i="13" s="1"/>
  <c r="X3479" i="13" s="1"/>
  <c r="X3480" i="13" s="1"/>
  <c r="X3481" i="13" s="1"/>
  <c r="X3482" i="13" s="1"/>
  <c r="X3483" i="13" s="1"/>
  <c r="X3484" i="13" s="1"/>
  <c r="X3485" i="13" s="1"/>
  <c r="X3486" i="13" s="1"/>
  <c r="X3487" i="13" s="1"/>
  <c r="X3488" i="13" s="1"/>
  <c r="X3489" i="13" s="1"/>
  <c r="X3490" i="13" s="1"/>
  <c r="X3491" i="13" s="1"/>
  <c r="X3492" i="13" s="1"/>
  <c r="X3493" i="13" s="1"/>
  <c r="X3494" i="13" s="1"/>
  <c r="X3495" i="13" s="1"/>
  <c r="X3496" i="13" s="1"/>
  <c r="X3497" i="13" s="1"/>
  <c r="X3498" i="13" s="1"/>
  <c r="X3499" i="13" s="1"/>
  <c r="X3500" i="13" s="1"/>
  <c r="X3501" i="13" s="1"/>
  <c r="X3502" i="13" s="1"/>
  <c r="X3503" i="13" s="1"/>
  <c r="X3504" i="13" s="1"/>
  <c r="X3505" i="13" s="1"/>
  <c r="X3506" i="13" s="1"/>
  <c r="X3507" i="13" s="1"/>
  <c r="X3508" i="13" s="1"/>
  <c r="X3509" i="13" s="1"/>
  <c r="X3510" i="13" s="1"/>
  <c r="X3511" i="13" s="1"/>
  <c r="X3512" i="13" s="1"/>
  <c r="X3513" i="13" s="1"/>
  <c r="X3514" i="13" s="1"/>
  <c r="X3515" i="13" s="1"/>
  <c r="X3516" i="13" s="1"/>
  <c r="X3517" i="13" s="1"/>
  <c r="X3518" i="13" s="1"/>
  <c r="X3519" i="13" s="1"/>
  <c r="X3520" i="13" s="1"/>
  <c r="X3521" i="13" s="1"/>
  <c r="X3522" i="13" s="1"/>
  <c r="X3523" i="13" s="1"/>
  <c r="X3524" i="13" s="1"/>
  <c r="X3525" i="13" s="1"/>
  <c r="X3526" i="13" s="1"/>
  <c r="X3527" i="13" s="1"/>
  <c r="X3528" i="13" s="1"/>
  <c r="X3529" i="13" s="1"/>
  <c r="X3530" i="13" s="1"/>
  <c r="X3531" i="13" s="1"/>
  <c r="X3532" i="13" s="1"/>
  <c r="X3533" i="13" s="1"/>
  <c r="X3534" i="13" s="1"/>
  <c r="X3535" i="13" s="1"/>
  <c r="X3536" i="13" s="1"/>
  <c r="X3537" i="13" s="1"/>
  <c r="X3538" i="13" s="1"/>
  <c r="X3539" i="13" s="1"/>
  <c r="X3540" i="13" s="1"/>
  <c r="X3541" i="13" s="1"/>
  <c r="X3542" i="13" s="1"/>
  <c r="X3543" i="13" s="1"/>
  <c r="X3544" i="13" s="1"/>
  <c r="X3545" i="13" s="1"/>
  <c r="X3546" i="13" s="1"/>
  <c r="X3547" i="13" s="1"/>
  <c r="X3548" i="13" s="1"/>
  <c r="X3549" i="13" s="1"/>
  <c r="X3550" i="13" s="1"/>
  <c r="X3551" i="13" s="1"/>
  <c r="X3552" i="13" s="1"/>
  <c r="R70" i="13"/>
  <c r="R69" i="13"/>
  <c r="R68" i="13"/>
  <c r="R67" i="13"/>
  <c r="R66" i="13"/>
  <c r="R65" i="13"/>
  <c r="R64" i="13"/>
  <c r="R63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4" i="13"/>
  <c r="R23" i="13"/>
  <c r="R22" i="13"/>
  <c r="R21" i="13"/>
  <c r="X20" i="13"/>
  <c r="X21" i="13" s="1"/>
  <c r="X22" i="13" s="1"/>
  <c r="X23" i="13" s="1"/>
  <c r="X24" i="13" s="1"/>
  <c r="X25" i="13" s="1"/>
  <c r="X26" i="13" s="1"/>
  <c r="X27" i="13" s="1"/>
  <c r="X28" i="13" s="1"/>
  <c r="X29" i="13" s="1"/>
  <c r="X30" i="13" s="1"/>
  <c r="X31" i="13" s="1"/>
  <c r="X32" i="13" s="1"/>
  <c r="X33" i="13" s="1"/>
  <c r="X34" i="13" s="1"/>
  <c r="X35" i="13" s="1"/>
  <c r="X36" i="13" s="1"/>
  <c r="X37" i="13" s="1"/>
  <c r="X38" i="13" s="1"/>
  <c r="X39" i="13" s="1"/>
  <c r="X40" i="13" s="1"/>
  <c r="X41" i="13" s="1"/>
  <c r="X42" i="13" s="1"/>
  <c r="X43" i="13" s="1"/>
  <c r="X44" i="13" s="1"/>
  <c r="X45" i="13" s="1"/>
  <c r="X46" i="13" s="1"/>
  <c r="X47" i="13" s="1"/>
  <c r="X48" i="13" s="1"/>
  <c r="X49" i="13" s="1"/>
  <c r="X50" i="13" s="1"/>
  <c r="X51" i="13" s="1"/>
  <c r="X52" i="13" s="1"/>
  <c r="X53" i="13" s="1"/>
  <c r="X54" i="13" s="1"/>
  <c r="X55" i="13" s="1"/>
  <c r="X56" i="13" s="1"/>
  <c r="X57" i="13" s="1"/>
  <c r="X58" i="13" s="1"/>
  <c r="X59" i="13" s="1"/>
  <c r="X60" i="13" s="1"/>
  <c r="X61" i="13" s="1"/>
  <c r="X62" i="13" s="1"/>
  <c r="X63" i="13" s="1"/>
  <c r="X64" i="13" s="1"/>
  <c r="X65" i="13" s="1"/>
  <c r="X66" i="13" s="1"/>
  <c r="X67" i="13" s="1"/>
  <c r="X68" i="13" s="1"/>
  <c r="X69" i="13" s="1"/>
  <c r="X70" i="13" s="1"/>
  <c r="X71" i="13" s="1"/>
  <c r="X72" i="13" s="1"/>
  <c r="X73" i="13" s="1"/>
  <c r="X74" i="13" s="1"/>
  <c r="X75" i="13" s="1"/>
  <c r="X76" i="13" s="1"/>
  <c r="X77" i="13" s="1"/>
  <c r="X78" i="13" s="1"/>
  <c r="X79" i="13" s="1"/>
  <c r="X80" i="13" s="1"/>
  <c r="X81" i="13" s="1"/>
  <c r="X82" i="13" s="1"/>
  <c r="X83" i="13" s="1"/>
  <c r="X84" i="13" s="1"/>
  <c r="X85" i="13" s="1"/>
  <c r="X86" i="13" s="1"/>
  <c r="X87" i="13" s="1"/>
  <c r="X88" i="13" s="1"/>
  <c r="X89" i="13" s="1"/>
  <c r="X90" i="13" s="1"/>
  <c r="X91" i="13" s="1"/>
  <c r="X92" i="13" s="1"/>
  <c r="X93" i="13" s="1"/>
  <c r="X94" i="13" s="1"/>
  <c r="X95" i="13" s="1"/>
  <c r="X96" i="13" s="1"/>
  <c r="X97" i="13" s="1"/>
  <c r="X98" i="13" s="1"/>
  <c r="X99" i="13" s="1"/>
  <c r="X100" i="13" s="1"/>
  <c r="X101" i="13" s="1"/>
  <c r="X102" i="13" s="1"/>
  <c r="X103" i="13" s="1"/>
  <c r="X104" i="13" s="1"/>
  <c r="X105" i="13" s="1"/>
  <c r="X106" i="13" s="1"/>
  <c r="X107" i="13" s="1"/>
  <c r="X108" i="13" s="1"/>
  <c r="X109" i="13" s="1"/>
  <c r="X110" i="13" s="1"/>
  <c r="X111" i="13" s="1"/>
  <c r="X112" i="13" s="1"/>
  <c r="X113" i="13" s="1"/>
  <c r="X114" i="13" s="1"/>
  <c r="X115" i="13" s="1"/>
  <c r="X116" i="13" s="1"/>
  <c r="X117" i="13" s="1"/>
  <c r="X118" i="13" s="1"/>
  <c r="X119" i="13" s="1"/>
  <c r="X120" i="13" s="1"/>
  <c r="X121" i="13" s="1"/>
  <c r="X122" i="13" s="1"/>
  <c r="X123" i="13" s="1"/>
  <c r="X124" i="13" s="1"/>
  <c r="X125" i="13" s="1"/>
  <c r="X126" i="13" s="1"/>
  <c r="X127" i="13" s="1"/>
  <c r="X128" i="13" s="1"/>
  <c r="X129" i="13" s="1"/>
  <c r="X130" i="13" s="1"/>
  <c r="X131" i="13" s="1"/>
  <c r="X132" i="13" s="1"/>
  <c r="X133" i="13" s="1"/>
  <c r="X134" i="13" s="1"/>
  <c r="X135" i="13" s="1"/>
  <c r="X136" i="13" s="1"/>
  <c r="X137" i="13" s="1"/>
  <c r="X138" i="13" s="1"/>
  <c r="X139" i="13" s="1"/>
  <c r="X140" i="13" s="1"/>
  <c r="X141" i="13" s="1"/>
  <c r="X142" i="13" s="1"/>
  <c r="X143" i="13" s="1"/>
  <c r="X144" i="13" s="1"/>
  <c r="X145" i="13" s="1"/>
  <c r="X146" i="13" s="1"/>
  <c r="X147" i="13" s="1"/>
  <c r="X148" i="13" s="1"/>
  <c r="X149" i="13" s="1"/>
  <c r="X150" i="13" s="1"/>
  <c r="X151" i="13" s="1"/>
  <c r="X152" i="13" s="1"/>
  <c r="X153" i="13" s="1"/>
  <c r="X154" i="13" s="1"/>
  <c r="X155" i="13" s="1"/>
  <c r="X156" i="13" s="1"/>
  <c r="X157" i="13" s="1"/>
  <c r="X158" i="13" s="1"/>
  <c r="X159" i="13" s="1"/>
  <c r="X160" i="13" s="1"/>
  <c r="X161" i="13" s="1"/>
  <c r="X162" i="13" s="1"/>
  <c r="X163" i="13" s="1"/>
  <c r="X164" i="13" s="1"/>
  <c r="X165" i="13" s="1"/>
  <c r="X166" i="13" s="1"/>
  <c r="X167" i="13" s="1"/>
  <c r="X168" i="13" s="1"/>
  <c r="X169" i="13" s="1"/>
  <c r="X170" i="13" s="1"/>
  <c r="X171" i="13" s="1"/>
  <c r="X172" i="13" s="1"/>
  <c r="X173" i="13" s="1"/>
  <c r="X174" i="13" s="1"/>
  <c r="X175" i="13" s="1"/>
  <c r="X176" i="13" s="1"/>
  <c r="X177" i="13" s="1"/>
  <c r="X178" i="13" s="1"/>
  <c r="X179" i="13" s="1"/>
  <c r="X180" i="13" s="1"/>
  <c r="X181" i="13" s="1"/>
  <c r="X182" i="13" s="1"/>
  <c r="X183" i="13" s="1"/>
  <c r="X184" i="13" s="1"/>
  <c r="X185" i="13" s="1"/>
  <c r="X186" i="13" s="1"/>
  <c r="X187" i="13" s="1"/>
  <c r="X188" i="13" s="1"/>
  <c r="X189" i="13" s="1"/>
  <c r="X190" i="13" s="1"/>
  <c r="X191" i="13" s="1"/>
  <c r="X192" i="13" s="1"/>
  <c r="X193" i="13" s="1"/>
  <c r="X194" i="13" s="1"/>
  <c r="X195" i="13" s="1"/>
  <c r="X196" i="13" s="1"/>
  <c r="X197" i="13" s="1"/>
  <c r="X198" i="13" s="1"/>
  <c r="X199" i="13" s="1"/>
  <c r="X200" i="13" s="1"/>
  <c r="X201" i="13" s="1"/>
  <c r="X202" i="13" s="1"/>
  <c r="X203" i="13" s="1"/>
  <c r="X204" i="13" s="1"/>
  <c r="X205" i="13" s="1"/>
  <c r="X206" i="13" s="1"/>
  <c r="X207" i="13" s="1"/>
  <c r="X208" i="13" s="1"/>
  <c r="X209" i="13" s="1"/>
  <c r="X210" i="13" s="1"/>
  <c r="X211" i="13" s="1"/>
  <c r="X212" i="13" s="1"/>
  <c r="X213" i="13" s="1"/>
  <c r="X214" i="13" s="1"/>
  <c r="X215" i="13" s="1"/>
  <c r="X216" i="13" s="1"/>
  <c r="X217" i="13" s="1"/>
  <c r="X218" i="13" s="1"/>
  <c r="X219" i="13" s="1"/>
  <c r="X220" i="13" s="1"/>
  <c r="X221" i="13" s="1"/>
  <c r="X222" i="13" s="1"/>
  <c r="X223" i="13" s="1"/>
  <c r="X224" i="13" s="1"/>
  <c r="X225" i="13" s="1"/>
  <c r="X226" i="13" s="1"/>
  <c r="X227" i="13" s="1"/>
  <c r="X228" i="13" s="1"/>
  <c r="X229" i="13" s="1"/>
  <c r="X230" i="13" s="1"/>
  <c r="X231" i="13" s="1"/>
  <c r="X232" i="13" s="1"/>
  <c r="X233" i="13" s="1"/>
  <c r="X234" i="13" s="1"/>
  <c r="X235" i="13" s="1"/>
  <c r="X236" i="13" s="1"/>
  <c r="X237" i="13" s="1"/>
  <c r="X238" i="13" s="1"/>
  <c r="X239" i="13" s="1"/>
  <c r="X240" i="13" s="1"/>
  <c r="X241" i="13" s="1"/>
  <c r="X242" i="13" s="1"/>
  <c r="X243" i="13" s="1"/>
  <c r="X244" i="13" s="1"/>
  <c r="X245" i="13" s="1"/>
  <c r="X246" i="13" s="1"/>
  <c r="X247" i="13" s="1"/>
  <c r="X248" i="13" s="1"/>
  <c r="X249" i="13" s="1"/>
  <c r="X250" i="13" s="1"/>
  <c r="X251" i="13" s="1"/>
  <c r="X252" i="13" s="1"/>
  <c r="X253" i="13" s="1"/>
  <c r="X254" i="13" s="1"/>
  <c r="X255" i="13" s="1"/>
  <c r="X256" i="13" s="1"/>
  <c r="X257" i="13" s="1"/>
  <c r="X258" i="13" s="1"/>
  <c r="X259" i="13" s="1"/>
  <c r="X260" i="13" s="1"/>
  <c r="X261" i="13" s="1"/>
  <c r="X262" i="13" s="1"/>
  <c r="X263" i="13" s="1"/>
  <c r="X264" i="13" s="1"/>
  <c r="X265" i="13" s="1"/>
  <c r="X266" i="13" s="1"/>
  <c r="X267" i="13" s="1"/>
  <c r="X268" i="13" s="1"/>
  <c r="X269" i="13" s="1"/>
  <c r="X270" i="13" s="1"/>
  <c r="X271" i="13" s="1"/>
  <c r="X272" i="13" s="1"/>
  <c r="X273" i="13" s="1"/>
  <c r="X274" i="13" s="1"/>
  <c r="X275" i="13" s="1"/>
  <c r="X276" i="13" s="1"/>
  <c r="X277" i="13" s="1"/>
  <c r="X278" i="13" s="1"/>
  <c r="X279" i="13" s="1"/>
  <c r="X280" i="13" s="1"/>
  <c r="X281" i="13" s="1"/>
  <c r="X282" i="13" s="1"/>
  <c r="X283" i="13" s="1"/>
  <c r="X284" i="13" s="1"/>
  <c r="X285" i="13" s="1"/>
  <c r="X286" i="13" s="1"/>
  <c r="X287" i="13" s="1"/>
  <c r="X288" i="13" s="1"/>
  <c r="X289" i="13" s="1"/>
  <c r="X290" i="13" s="1"/>
  <c r="X291" i="13" s="1"/>
  <c r="X292" i="13" s="1"/>
  <c r="X293" i="13" s="1"/>
  <c r="X294" i="13" s="1"/>
  <c r="X295" i="13" s="1"/>
  <c r="X296" i="13" s="1"/>
  <c r="X297" i="13" s="1"/>
  <c r="X298" i="13" s="1"/>
  <c r="X299" i="13" s="1"/>
  <c r="X300" i="13" s="1"/>
  <c r="X301" i="13" s="1"/>
  <c r="X302" i="13" s="1"/>
  <c r="X303" i="13" s="1"/>
  <c r="X304" i="13" s="1"/>
  <c r="X305" i="13" s="1"/>
  <c r="X306" i="13" s="1"/>
  <c r="X307" i="13" s="1"/>
  <c r="X308" i="13" s="1"/>
  <c r="X309" i="13" s="1"/>
  <c r="X310" i="13" s="1"/>
  <c r="X311" i="13" s="1"/>
  <c r="X312" i="13" s="1"/>
  <c r="X313" i="13" s="1"/>
  <c r="X314" i="13" s="1"/>
  <c r="X315" i="13" s="1"/>
  <c r="X316" i="13" s="1"/>
  <c r="X317" i="13" s="1"/>
  <c r="X318" i="13" s="1"/>
  <c r="X319" i="13" s="1"/>
  <c r="X320" i="13" s="1"/>
  <c r="X321" i="13" s="1"/>
  <c r="X322" i="13" s="1"/>
  <c r="X323" i="13" s="1"/>
  <c r="X324" i="13" s="1"/>
  <c r="X325" i="13" s="1"/>
  <c r="X326" i="13" s="1"/>
  <c r="X327" i="13" s="1"/>
  <c r="X328" i="13" s="1"/>
  <c r="X329" i="13" s="1"/>
  <c r="X330" i="13" s="1"/>
  <c r="X331" i="13" s="1"/>
  <c r="X332" i="13" s="1"/>
  <c r="X333" i="13" s="1"/>
  <c r="X334" i="13" s="1"/>
  <c r="X335" i="13" s="1"/>
  <c r="X336" i="13" s="1"/>
  <c r="X337" i="13" s="1"/>
  <c r="X338" i="13" s="1"/>
  <c r="X339" i="13" s="1"/>
  <c r="X340" i="13" s="1"/>
  <c r="X341" i="13" s="1"/>
  <c r="X342" i="13" s="1"/>
  <c r="X343" i="13" s="1"/>
  <c r="X344" i="13" s="1"/>
  <c r="X345" i="13" s="1"/>
  <c r="X346" i="13" s="1"/>
  <c r="X347" i="13" s="1"/>
  <c r="X348" i="13" s="1"/>
  <c r="X349" i="13" s="1"/>
  <c r="X350" i="13" s="1"/>
  <c r="X351" i="13" s="1"/>
  <c r="X352" i="13" s="1"/>
  <c r="X353" i="13" s="1"/>
  <c r="X354" i="13" s="1"/>
  <c r="X355" i="13" s="1"/>
  <c r="X356" i="13" s="1"/>
  <c r="X357" i="13" s="1"/>
  <c r="X358" i="13" s="1"/>
  <c r="X359" i="13" s="1"/>
  <c r="X360" i="13" s="1"/>
  <c r="X361" i="13" s="1"/>
  <c r="X362" i="13" s="1"/>
  <c r="X363" i="13" s="1"/>
  <c r="X364" i="13" s="1"/>
  <c r="X365" i="13" s="1"/>
  <c r="X366" i="13" s="1"/>
  <c r="X367" i="13" s="1"/>
  <c r="X368" i="13" s="1"/>
  <c r="X369" i="13" s="1"/>
  <c r="X370" i="13" s="1"/>
  <c r="X371" i="13" s="1"/>
  <c r="X372" i="13" s="1"/>
  <c r="X373" i="13" s="1"/>
  <c r="X374" i="13" s="1"/>
  <c r="X375" i="13" s="1"/>
  <c r="X376" i="13" s="1"/>
  <c r="X377" i="13" s="1"/>
  <c r="X378" i="13" s="1"/>
  <c r="X379" i="13" s="1"/>
  <c r="X380" i="13" s="1"/>
  <c r="X381" i="13" s="1"/>
  <c r="X382" i="13" s="1"/>
  <c r="X383" i="13" s="1"/>
  <c r="X384" i="13" s="1"/>
  <c r="X385" i="13" s="1"/>
  <c r="X386" i="13" s="1"/>
  <c r="X387" i="13" s="1"/>
  <c r="X388" i="13" s="1"/>
  <c r="X389" i="13" s="1"/>
  <c r="X390" i="13" s="1"/>
  <c r="X391" i="13" s="1"/>
  <c r="X392" i="13" s="1"/>
  <c r="X393" i="13" s="1"/>
  <c r="X394" i="13" s="1"/>
  <c r="X395" i="13" s="1"/>
  <c r="X396" i="13" s="1"/>
  <c r="X397" i="13" s="1"/>
  <c r="X398" i="13" s="1"/>
  <c r="X399" i="13" s="1"/>
  <c r="X400" i="13" s="1"/>
  <c r="X401" i="13" s="1"/>
  <c r="X402" i="13" s="1"/>
  <c r="X403" i="13" s="1"/>
  <c r="X404" i="13" s="1"/>
  <c r="X405" i="13" s="1"/>
  <c r="X406" i="13" s="1"/>
  <c r="X407" i="13" s="1"/>
  <c r="X408" i="13" s="1"/>
  <c r="X409" i="13" s="1"/>
  <c r="X410" i="13" s="1"/>
  <c r="X411" i="13" s="1"/>
  <c r="X412" i="13" s="1"/>
  <c r="X413" i="13" s="1"/>
  <c r="X414" i="13" s="1"/>
  <c r="X415" i="13" s="1"/>
  <c r="X416" i="13" s="1"/>
  <c r="X417" i="13" s="1"/>
  <c r="X418" i="13" s="1"/>
  <c r="X419" i="13" s="1"/>
  <c r="X420" i="13" s="1"/>
  <c r="X421" i="13" s="1"/>
  <c r="X422" i="13" s="1"/>
  <c r="X423" i="13" s="1"/>
  <c r="X424" i="13" s="1"/>
  <c r="X425" i="13" s="1"/>
  <c r="X426" i="13" s="1"/>
  <c r="X427" i="13" s="1"/>
  <c r="X428" i="13" s="1"/>
  <c r="X429" i="13" s="1"/>
  <c r="X430" i="13" s="1"/>
  <c r="X431" i="13" s="1"/>
  <c r="X432" i="13" s="1"/>
  <c r="X433" i="13" s="1"/>
  <c r="X434" i="13" s="1"/>
  <c r="X435" i="13" s="1"/>
  <c r="X436" i="13" s="1"/>
  <c r="X437" i="13" s="1"/>
  <c r="X438" i="13" s="1"/>
  <c r="X439" i="13" s="1"/>
  <c r="X440" i="13" s="1"/>
  <c r="X441" i="13" s="1"/>
  <c r="X442" i="13" s="1"/>
  <c r="X443" i="13" s="1"/>
  <c r="X444" i="13" s="1"/>
  <c r="X445" i="13" s="1"/>
  <c r="X446" i="13" s="1"/>
  <c r="X447" i="13" s="1"/>
  <c r="X448" i="13" s="1"/>
  <c r="X449" i="13" s="1"/>
  <c r="X450" i="13" s="1"/>
  <c r="X451" i="13" s="1"/>
  <c r="X452" i="13" s="1"/>
  <c r="X453" i="13" s="1"/>
  <c r="X454" i="13" s="1"/>
  <c r="X455" i="13" s="1"/>
  <c r="X456" i="13" s="1"/>
  <c r="X457" i="13" s="1"/>
  <c r="X458" i="13" s="1"/>
  <c r="X459" i="13" s="1"/>
  <c r="X460" i="13" s="1"/>
  <c r="X461" i="13" s="1"/>
  <c r="X462" i="13" s="1"/>
  <c r="X463" i="13" s="1"/>
  <c r="X464" i="13" s="1"/>
  <c r="X465" i="13" s="1"/>
  <c r="X466" i="13" s="1"/>
  <c r="X467" i="13" s="1"/>
  <c r="X468" i="13" s="1"/>
  <c r="X469" i="13" s="1"/>
  <c r="X470" i="13" s="1"/>
  <c r="X471" i="13" s="1"/>
  <c r="X472" i="13" s="1"/>
  <c r="X473" i="13" s="1"/>
  <c r="X474" i="13" s="1"/>
  <c r="X475" i="13" s="1"/>
  <c r="X476" i="13" s="1"/>
  <c r="X477" i="13" s="1"/>
  <c r="X478" i="13" s="1"/>
  <c r="X479" i="13" s="1"/>
  <c r="X480" i="13" s="1"/>
  <c r="X481" i="13" s="1"/>
  <c r="X482" i="13" s="1"/>
  <c r="X483" i="13" s="1"/>
  <c r="X484" i="13" s="1"/>
  <c r="X485" i="13" s="1"/>
  <c r="X486" i="13" s="1"/>
  <c r="X487" i="13" s="1"/>
  <c r="X488" i="13" s="1"/>
  <c r="X489" i="13" s="1"/>
  <c r="X490" i="13" s="1"/>
  <c r="X491" i="13" s="1"/>
  <c r="X492" i="13" s="1"/>
  <c r="X493" i="13" s="1"/>
  <c r="X494" i="13" s="1"/>
  <c r="X495" i="13" s="1"/>
  <c r="X496" i="13" s="1"/>
  <c r="X497" i="13" s="1"/>
  <c r="X498" i="13" s="1"/>
  <c r="X499" i="13" s="1"/>
  <c r="X500" i="13" s="1"/>
  <c r="X501" i="13" s="1"/>
  <c r="X502" i="13" s="1"/>
  <c r="X503" i="13" s="1"/>
  <c r="X504" i="13" s="1"/>
  <c r="X505" i="13" s="1"/>
  <c r="X506" i="13" s="1"/>
  <c r="X507" i="13" s="1"/>
  <c r="X508" i="13" s="1"/>
  <c r="X509" i="13" s="1"/>
  <c r="X510" i="13" s="1"/>
  <c r="X511" i="13" s="1"/>
  <c r="X512" i="13" s="1"/>
  <c r="X513" i="13" s="1"/>
  <c r="X514" i="13" s="1"/>
  <c r="X515" i="13" s="1"/>
  <c r="X516" i="13" s="1"/>
  <c r="X517" i="13" s="1"/>
  <c r="X518" i="13" s="1"/>
  <c r="X519" i="13" s="1"/>
  <c r="X520" i="13" s="1"/>
  <c r="X521" i="13" s="1"/>
  <c r="X522" i="13" s="1"/>
  <c r="X523" i="13" s="1"/>
  <c r="X524" i="13" s="1"/>
  <c r="X525" i="13" s="1"/>
  <c r="X526" i="13" s="1"/>
  <c r="X527" i="13" s="1"/>
  <c r="X528" i="13" s="1"/>
  <c r="X529" i="13" s="1"/>
  <c r="X530" i="13" s="1"/>
  <c r="X531" i="13" s="1"/>
  <c r="X532" i="13" s="1"/>
  <c r="X533" i="13" s="1"/>
  <c r="X534" i="13" s="1"/>
  <c r="X535" i="13" s="1"/>
  <c r="X536" i="13" s="1"/>
  <c r="R20" i="13"/>
  <c r="R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3" i="13"/>
  <c r="B16" i="13"/>
  <c r="B14" i="13"/>
  <c r="B4" i="13"/>
  <c r="B15" i="13"/>
  <c r="B8" i="13"/>
  <c r="B13" i="13"/>
  <c r="B5" i="13"/>
  <c r="B10" i="13"/>
  <c r="B11" i="13"/>
  <c r="B6" i="13"/>
  <c r="B7" i="13"/>
  <c r="B9" i="13"/>
  <c r="B12" i="13"/>
  <c r="J9" i="7"/>
  <c r="A8" i="4" l="1"/>
  <c r="D5" i="12"/>
  <c r="F5" i="12" s="1"/>
  <c r="D6" i="12"/>
  <c r="F6" i="12" s="1"/>
  <c r="D7" i="12"/>
  <c r="F7" i="12" s="1"/>
  <c r="D8" i="12"/>
  <c r="F8" i="12" s="1"/>
  <c r="D9" i="12"/>
  <c r="F9" i="12" s="1"/>
  <c r="D3" i="12"/>
  <c r="F3" i="12" s="1"/>
  <c r="B5" i="12"/>
  <c r="B6" i="12"/>
  <c r="B7" i="12"/>
  <c r="B8" i="12"/>
  <c r="B9" i="12"/>
  <c r="B3" i="12"/>
  <c r="H8" i="4"/>
  <c r="C8" i="4"/>
  <c r="B8" i="4"/>
  <c r="I8" i="4"/>
  <c r="K24" i="11" l="1"/>
  <c r="K16" i="11"/>
  <c r="K30" i="11"/>
  <c r="K15" i="11"/>
  <c r="K36" i="11"/>
  <c r="K35" i="11"/>
  <c r="K23" i="11"/>
  <c r="K13" i="11"/>
  <c r="K38" i="11"/>
  <c r="K12" i="11"/>
  <c r="K29" i="11"/>
  <c r="K21" i="11"/>
  <c r="K39" i="11"/>
  <c r="K18" i="11"/>
  <c r="K33" i="11"/>
  <c r="K25" i="11"/>
  <c r="K17" i="11"/>
  <c r="K5" i="11"/>
  <c r="K37" i="11"/>
  <c r="K14" i="11"/>
  <c r="K20" i="11"/>
  <c r="K27" i="11"/>
  <c r="K19" i="11"/>
  <c r="K11" i="11"/>
  <c r="K41" i="11"/>
  <c r="K22" i="11"/>
  <c r="K28" i="11"/>
  <c r="K34" i="11"/>
  <c r="K31" i="11"/>
  <c r="K40" i="11"/>
  <c r="K26" i="11"/>
  <c r="K32" i="11"/>
  <c r="J2" i="7"/>
  <c r="I2" i="9"/>
  <c r="L2" i="11" l="1"/>
  <c r="D22" i="6" l="1"/>
  <c r="E22" i="6"/>
  <c r="D6" i="6"/>
  <c r="G1" i="9" l="1"/>
  <c r="H1" i="9" s="1"/>
  <c r="I1" i="9" s="1"/>
  <c r="D20" i="6"/>
  <c r="E20" i="6"/>
  <c r="D16" i="6"/>
  <c r="E1" i="12"/>
  <c r="E4" i="12" s="1"/>
  <c r="D9" i="6"/>
  <c r="J1" i="11"/>
  <c r="K1" i="11" s="1"/>
  <c r="L1" i="11" s="1"/>
  <c r="E7" i="12"/>
  <c r="E5" i="12"/>
  <c r="E6" i="12"/>
  <c r="E9" i="12"/>
  <c r="E3" i="12"/>
  <c r="F1" i="12"/>
  <c r="G1" i="12" s="1"/>
  <c r="E8" i="12"/>
  <c r="I1" i="7"/>
  <c r="J1" i="7" s="1"/>
  <c r="I3" i="7"/>
  <c r="I8" i="7"/>
  <c r="D21" i="6"/>
  <c r="L30" i="11"/>
  <c r="J2" i="9"/>
  <c r="L13" i="11"/>
  <c r="L14" i="11"/>
  <c r="L11" i="11"/>
  <c r="L15" i="11"/>
  <c r="G9" i="12"/>
  <c r="L28" i="11"/>
  <c r="L9" i="11"/>
  <c r="L21" i="11"/>
  <c r="L36" i="11"/>
  <c r="G8" i="12"/>
  <c r="L17" i="11"/>
  <c r="J3" i="7"/>
  <c r="L27" i="11"/>
  <c r="M2" i="11"/>
  <c r="L20" i="11"/>
  <c r="L25" i="11"/>
  <c r="L40" i="11"/>
  <c r="L7" i="11"/>
  <c r="K9" i="7"/>
  <c r="G4" i="12"/>
  <c r="L35" i="11"/>
  <c r="L5" i="11"/>
  <c r="B1" i="6"/>
  <c r="L23" i="11"/>
  <c r="L24" i="11"/>
  <c r="G7" i="12"/>
  <c r="L22" i="11"/>
  <c r="L12" i="11"/>
  <c r="G3" i="12"/>
  <c r="L32" i="11"/>
  <c r="C5" i="13"/>
  <c r="L37" i="11"/>
  <c r="G5" i="12"/>
  <c r="L39" i="11"/>
  <c r="L16" i="11"/>
  <c r="L41" i="11"/>
  <c r="L26" i="11"/>
  <c r="L38" i="11"/>
  <c r="L8" i="11"/>
  <c r="L10" i="11"/>
  <c r="L31" i="11"/>
  <c r="L6" i="11"/>
  <c r="G6" i="12"/>
  <c r="L29" i="11"/>
  <c r="C4" i="13"/>
  <c r="L34" i="11"/>
  <c r="J8" i="7"/>
  <c r="L19" i="11"/>
  <c r="L33" i="11"/>
  <c r="M3" i="11"/>
  <c r="K2" i="7"/>
  <c r="C3" i="13"/>
  <c r="L18" i="11"/>
  <c r="A7" i="4" l="1"/>
  <c r="A76" i="4"/>
  <c r="A87" i="4"/>
  <c r="A72" i="4"/>
  <c r="A82" i="4"/>
  <c r="A74" i="4"/>
  <c r="A65" i="4"/>
  <c r="A89" i="4"/>
  <c r="A68" i="4"/>
  <c r="A61" i="4"/>
  <c r="A88" i="4"/>
  <c r="A83" i="4"/>
  <c r="A63" i="4"/>
  <c r="A67" i="4"/>
  <c r="A71" i="4"/>
  <c r="A70" i="4"/>
  <c r="A86" i="4"/>
  <c r="A85" i="4"/>
  <c r="A57" i="4"/>
  <c r="A62" i="4"/>
  <c r="A58" i="4"/>
  <c r="A66" i="4"/>
  <c r="A75" i="4"/>
  <c r="A90" i="4"/>
  <c r="A84" i="4"/>
  <c r="A64" i="4"/>
  <c r="A92" i="4"/>
  <c r="A80" i="4"/>
  <c r="C12" i="13"/>
  <c r="C6" i="13"/>
  <c r="C13" i="13" s="1"/>
  <c r="A60" i="4"/>
  <c r="A59" i="4"/>
  <c r="A69" i="4"/>
  <c r="A79" i="4"/>
  <c r="A78" i="4"/>
  <c r="A77" i="4"/>
  <c r="A73" i="4"/>
  <c r="A93" i="4"/>
  <c r="A91" i="4"/>
  <c r="A81" i="4"/>
  <c r="H13" i="9"/>
  <c r="H19" i="9"/>
  <c r="H26" i="9"/>
  <c r="H29" i="9"/>
  <c r="H17" i="9"/>
  <c r="H20" i="9"/>
  <c r="H41" i="9"/>
  <c r="H39" i="9"/>
  <c r="H7" i="9"/>
  <c r="H42" i="9"/>
  <c r="H5" i="9"/>
  <c r="H8" i="9"/>
  <c r="H33" i="9"/>
  <c r="H31" i="9"/>
  <c r="H25" i="9"/>
  <c r="H15" i="9"/>
  <c r="H12" i="9"/>
  <c r="H10" i="9"/>
  <c r="H21" i="9"/>
  <c r="H32" i="9"/>
  <c r="H6" i="9"/>
  <c r="H46" i="9"/>
  <c r="H40" i="9"/>
  <c r="H14" i="9"/>
  <c r="H23" i="9"/>
  <c r="H44" i="9"/>
  <c r="H34" i="9"/>
  <c r="H9" i="9"/>
  <c r="H35" i="9"/>
  <c r="H43" i="9"/>
  <c r="H38" i="9"/>
  <c r="H28" i="9"/>
  <c r="H22" i="9"/>
  <c r="H45" i="9"/>
  <c r="H16" i="9"/>
  <c r="H36" i="9"/>
  <c r="H18" i="9"/>
  <c r="H11" i="9"/>
  <c r="C11" i="13"/>
  <c r="E21" i="6"/>
  <c r="C10" i="13"/>
  <c r="A9" i="4"/>
  <c r="A2" i="4"/>
  <c r="A14" i="4"/>
  <c r="A11" i="4"/>
  <c r="A10" i="4"/>
  <c r="A12" i="4"/>
  <c r="A13" i="4"/>
  <c r="G11" i="9"/>
  <c r="G14" i="9"/>
  <c r="C7" i="4"/>
  <c r="I7" i="4"/>
  <c r="B2" i="4"/>
  <c r="H7" i="4"/>
  <c r="Z19" i="13"/>
  <c r="K8" i="7"/>
  <c r="K3" i="7"/>
  <c r="B7" i="4"/>
  <c r="E5" i="13" l="1"/>
  <c r="E13" i="13"/>
  <c r="E11" i="13"/>
  <c r="E10" i="13"/>
  <c r="E9" i="13"/>
  <c r="E7" i="13"/>
  <c r="E3" i="13"/>
  <c r="E8" i="13"/>
  <c r="E6" i="13"/>
  <c r="E14" i="13"/>
  <c r="E4" i="13"/>
  <c r="E12" i="13"/>
  <c r="E15" i="13"/>
  <c r="E16" i="13"/>
  <c r="G7" i="9"/>
  <c r="G46" i="9"/>
  <c r="H30" i="9"/>
  <c r="G30" i="9"/>
  <c r="G39" i="9"/>
  <c r="G5" i="9"/>
  <c r="H37" i="9"/>
  <c r="G37" i="9"/>
  <c r="H24" i="9"/>
  <c r="G24" i="9"/>
  <c r="H27" i="9"/>
  <c r="G27" i="9"/>
  <c r="G31" i="9"/>
  <c r="G42" i="9"/>
  <c r="G40" i="9"/>
  <c r="G9" i="9"/>
  <c r="G13" i="9"/>
  <c r="G35" i="9"/>
  <c r="G18" i="9"/>
  <c r="G23" i="9"/>
  <c r="G8" i="9"/>
  <c r="G44" i="9"/>
  <c r="G43" i="9"/>
  <c r="G33" i="9"/>
  <c r="G34" i="9"/>
  <c r="G28" i="9"/>
  <c r="G29" i="9"/>
  <c r="G12" i="9"/>
  <c r="G22" i="9"/>
  <c r="G41" i="9"/>
  <c r="G26" i="9"/>
  <c r="G17" i="9"/>
  <c r="G10" i="9"/>
  <c r="G45" i="9"/>
  <c r="G32" i="9"/>
  <c r="G36" i="9"/>
  <c r="G19" i="9"/>
  <c r="G25" i="9"/>
  <c r="G38" i="9"/>
  <c r="G15" i="9"/>
  <c r="G20" i="9"/>
  <c r="G21" i="9"/>
  <c r="G16" i="9"/>
  <c r="G6" i="9" l="1"/>
  <c r="V27" i="13" l="1" a="1"/>
  <c r="V19" i="13" l="1" a="1"/>
  <c r="V63" i="13" l="1" a="1"/>
  <c r="V75" i="13" l="1" a="1"/>
  <c r="C7" i="13"/>
  <c r="C14" i="13" l="1"/>
  <c r="C8" i="13"/>
  <c r="C9" i="13" l="1"/>
  <c r="C16" i="13" s="1"/>
  <c r="C15" i="13"/>
  <c r="D58" i="4"/>
  <c r="D72" i="4"/>
  <c r="D69" i="4"/>
  <c r="I86" i="4"/>
  <c r="M14" i="11"/>
  <c r="M10" i="11"/>
  <c r="I58" i="4"/>
  <c r="M12" i="11"/>
  <c r="I88" i="4"/>
  <c r="B66" i="4"/>
  <c r="H2" i="4"/>
  <c r="H83" i="4"/>
  <c r="C88" i="4"/>
  <c r="I60" i="4"/>
  <c r="M36" i="11"/>
  <c r="C71" i="4"/>
  <c r="B58" i="4"/>
  <c r="D88" i="4"/>
  <c r="D81" i="4"/>
  <c r="C81" i="4"/>
  <c r="C91" i="4"/>
  <c r="B74" i="4"/>
  <c r="B57" i="4"/>
  <c r="M19" i="11"/>
  <c r="I76" i="4"/>
  <c r="C10" i="4"/>
  <c r="D62" i="4"/>
  <c r="I93" i="4"/>
  <c r="M41" i="11"/>
  <c r="I77" i="4"/>
  <c r="M15" i="11"/>
  <c r="C68" i="4"/>
  <c r="I92" i="4"/>
  <c r="M9" i="11"/>
  <c r="C77" i="4"/>
  <c r="C14" i="4"/>
  <c r="B88" i="4"/>
  <c r="C67" i="4"/>
  <c r="I67" i="4"/>
  <c r="C72" i="4"/>
  <c r="D66" i="4"/>
  <c r="C64" i="4"/>
  <c r="B65" i="4"/>
  <c r="B83" i="4"/>
  <c r="D92" i="4"/>
  <c r="B71" i="4"/>
  <c r="C9" i="4"/>
  <c r="C82" i="4"/>
  <c r="D82" i="4"/>
  <c r="D57" i="4"/>
  <c r="D73" i="4"/>
  <c r="H72" i="4"/>
  <c r="C83" i="4"/>
  <c r="B60" i="4"/>
  <c r="C66" i="4"/>
  <c r="D61" i="4"/>
  <c r="I64" i="4"/>
  <c r="H14" i="4"/>
  <c r="I11" i="4"/>
  <c r="I90" i="4"/>
  <c r="M16" i="11"/>
  <c r="M40" i="11"/>
  <c r="H90" i="4"/>
  <c r="I80" i="4"/>
  <c r="M23" i="11"/>
  <c r="H62" i="4"/>
  <c r="I12" i="4"/>
  <c r="H10" i="4"/>
  <c r="D71" i="4"/>
  <c r="H84" i="4"/>
  <c r="H59" i="4"/>
  <c r="M22" i="11"/>
  <c r="D74" i="4"/>
  <c r="D78" i="4"/>
  <c r="H76" i="4"/>
  <c r="M29" i="11"/>
  <c r="M28" i="11"/>
  <c r="B69" i="4"/>
  <c r="B92" i="4"/>
  <c r="I81" i="4"/>
  <c r="B82" i="4"/>
  <c r="B61" i="4"/>
  <c r="B86" i="4"/>
  <c r="D70" i="4"/>
  <c r="M37" i="11"/>
  <c r="Y20" i="13"/>
  <c r="H12" i="4"/>
  <c r="M32" i="11"/>
  <c r="M26" i="11"/>
  <c r="C86" i="4"/>
  <c r="D76" i="4"/>
  <c r="M35" i="11"/>
  <c r="M18" i="11"/>
  <c r="I61" i="4"/>
  <c r="C59" i="4"/>
  <c r="H67" i="4"/>
  <c r="H66" i="4"/>
  <c r="C69" i="4"/>
  <c r="C75" i="4"/>
  <c r="D86" i="4"/>
  <c r="I10" i="4"/>
  <c r="D85" i="4"/>
  <c r="B79" i="4"/>
  <c r="I13" i="4"/>
  <c r="H9" i="4"/>
  <c r="M31" i="11"/>
  <c r="I57" i="4"/>
  <c r="I87" i="4"/>
  <c r="B68" i="4"/>
  <c r="B67" i="4"/>
  <c r="B89" i="4"/>
  <c r="I75" i="4"/>
  <c r="D65" i="4"/>
  <c r="B90" i="4"/>
  <c r="B73" i="4"/>
  <c r="D75" i="4"/>
  <c r="H88" i="4"/>
  <c r="I82" i="4"/>
  <c r="H61" i="4"/>
  <c r="B72" i="4"/>
  <c r="C78" i="4"/>
  <c r="C11" i="4"/>
  <c r="I91" i="4"/>
  <c r="M25" i="11"/>
  <c r="C92" i="4"/>
  <c r="I78" i="4"/>
  <c r="H73" i="4"/>
  <c r="B62" i="4"/>
  <c r="B75" i="4"/>
  <c r="H91" i="4"/>
  <c r="H64" i="4"/>
  <c r="H87" i="4"/>
  <c r="B70" i="4"/>
  <c r="M20" i="11"/>
  <c r="H77" i="4"/>
  <c r="I79" i="4"/>
  <c r="C80" i="4"/>
  <c r="C74" i="4"/>
  <c r="D90" i="4"/>
  <c r="D60" i="4"/>
  <c r="H71" i="4"/>
  <c r="I71" i="4"/>
  <c r="C73" i="4"/>
  <c r="M13" i="11"/>
  <c r="B84" i="4"/>
  <c r="C70" i="4"/>
  <c r="B93" i="4"/>
  <c r="D68" i="4"/>
  <c r="H13" i="4"/>
  <c r="H78" i="4"/>
  <c r="I2" i="4"/>
  <c r="C12" i="4"/>
  <c r="M34" i="11"/>
  <c r="I84" i="4"/>
  <c r="B81" i="4"/>
  <c r="C84" i="4"/>
  <c r="B76" i="4"/>
  <c r="M38" i="11"/>
  <c r="I66" i="4"/>
  <c r="M11" i="11"/>
  <c r="D80" i="4"/>
  <c r="M39" i="11"/>
  <c r="H63" i="4"/>
  <c r="I69" i="4"/>
  <c r="D77" i="4"/>
  <c r="C60" i="4"/>
  <c r="C2" i="4"/>
  <c r="D89" i="4"/>
  <c r="B59" i="4"/>
  <c r="C90" i="4"/>
  <c r="D63" i="4"/>
  <c r="D64" i="4"/>
  <c r="H79" i="4"/>
  <c r="H74" i="4"/>
  <c r="C57" i="4"/>
  <c r="H81" i="4"/>
  <c r="M6" i="11"/>
  <c r="H80" i="4"/>
  <c r="H86" i="4"/>
  <c r="D93" i="4"/>
  <c r="C58" i="4"/>
  <c r="B77" i="4"/>
  <c r="D59" i="4"/>
  <c r="M30" i="11"/>
  <c r="M7" i="11"/>
  <c r="C63" i="4"/>
  <c r="H68" i="4"/>
  <c r="B87" i="4"/>
  <c r="C62" i="4"/>
  <c r="I89" i="4"/>
  <c r="C93" i="4"/>
  <c r="B64" i="4"/>
  <c r="D91" i="4"/>
  <c r="H75" i="4"/>
  <c r="M8" i="11"/>
  <c r="B85" i="4"/>
  <c r="D84" i="4"/>
  <c r="H85" i="4"/>
  <c r="H92" i="4"/>
  <c r="B63" i="4"/>
  <c r="I65" i="4"/>
  <c r="H69" i="4"/>
  <c r="H65" i="4"/>
  <c r="B91" i="4"/>
  <c r="C89" i="4"/>
  <c r="I59" i="4"/>
  <c r="I9" i="4"/>
  <c r="H70" i="4"/>
  <c r="H89" i="4"/>
  <c r="M27" i="11"/>
  <c r="B78" i="4"/>
  <c r="C76" i="4"/>
  <c r="I63" i="4"/>
  <c r="C87" i="4"/>
  <c r="M21" i="11"/>
  <c r="D87" i="4"/>
  <c r="B13" i="4"/>
  <c r="M5" i="11"/>
  <c r="C13" i="4"/>
  <c r="I74" i="4"/>
  <c r="I83" i="4"/>
  <c r="B14" i="4"/>
  <c r="D79" i="4"/>
  <c r="B9" i="4"/>
  <c r="H82" i="4"/>
  <c r="I14" i="4"/>
  <c r="H58" i="4"/>
  <c r="I68" i="4"/>
  <c r="D67" i="4"/>
  <c r="H57" i="4"/>
  <c r="I70" i="4"/>
  <c r="M17" i="11"/>
  <c r="B10" i="4"/>
  <c r="C79" i="4"/>
  <c r="M24" i="11"/>
  <c r="B11" i="4"/>
  <c r="H93" i="4"/>
  <c r="C85" i="4"/>
  <c r="Y21" i="13"/>
  <c r="Z21" i="13" s="1"/>
  <c r="I62" i="4"/>
  <c r="I73" i="4"/>
  <c r="D83" i="4"/>
  <c r="H60" i="4"/>
  <c r="M33" i="11"/>
  <c r="I72" i="4"/>
  <c r="C65" i="4"/>
  <c r="C61" i="4"/>
  <c r="B80" i="4"/>
  <c r="B12" i="4"/>
  <c r="I85" i="4"/>
  <c r="H11" i="4"/>
  <c r="Y22" i="13"/>
  <c r="I11" i="9"/>
  <c r="J11" i="9"/>
  <c r="I14" i="9"/>
  <c r="I18" i="9"/>
  <c r="I29" i="9"/>
  <c r="I32" i="9"/>
  <c r="I16" i="9"/>
  <c r="I30" i="9"/>
  <c r="I27" i="9"/>
  <c r="I23" i="9"/>
  <c r="I12" i="9"/>
  <c r="I36" i="9"/>
  <c r="I39" i="9"/>
  <c r="I31" i="9"/>
  <c r="I8" i="9"/>
  <c r="I22" i="9"/>
  <c r="I19" i="9"/>
  <c r="I5" i="9"/>
  <c r="J5" i="9"/>
  <c r="I42" i="9"/>
  <c r="I44" i="9"/>
  <c r="I41" i="9"/>
  <c r="I25" i="9"/>
  <c r="I40" i="9"/>
  <c r="I43" i="9"/>
  <c r="I26" i="9"/>
  <c r="I38" i="9"/>
  <c r="I37" i="9"/>
  <c r="I9" i="9"/>
  <c r="I33" i="9"/>
  <c r="I17" i="9"/>
  <c r="I15" i="9"/>
  <c r="I7" i="9"/>
  <c r="I34" i="9"/>
  <c r="I10" i="9"/>
  <c r="I20" i="9"/>
  <c r="I46" i="9"/>
  <c r="I24" i="9"/>
  <c r="I28" i="9"/>
  <c r="I21" i="9"/>
  <c r="I13" i="9"/>
  <c r="I35" i="9"/>
  <c r="I45" i="9"/>
  <c r="I6" i="9"/>
  <c r="Z22" i="13"/>
  <c r="Y23" i="13"/>
  <c r="J14" i="9"/>
  <c r="J18" i="9"/>
  <c r="J29" i="9"/>
  <c r="J32" i="9"/>
  <c r="J16" i="9"/>
  <c r="J30" i="9"/>
  <c r="J27" i="9"/>
  <c r="J23" i="9"/>
  <c r="J12" i="9"/>
  <c r="J36" i="9"/>
  <c r="J39" i="9"/>
  <c r="J31" i="9"/>
  <c r="J8" i="9"/>
  <c r="J22" i="9"/>
  <c r="J19" i="9"/>
  <c r="J42" i="9"/>
  <c r="J44" i="9"/>
  <c r="J41" i="9"/>
  <c r="J25" i="9"/>
  <c r="J40" i="9"/>
  <c r="J43" i="9"/>
  <c r="J26" i="9"/>
  <c r="J38" i="9"/>
  <c r="J37" i="9"/>
  <c r="J9" i="9"/>
  <c r="J33" i="9"/>
  <c r="J17" i="9"/>
  <c r="J15" i="9"/>
  <c r="J7" i="9"/>
  <c r="J34" i="9"/>
  <c r="J10" i="9"/>
  <c r="J20" i="9"/>
  <c r="J46" i="9"/>
  <c r="J24" i="9"/>
  <c r="J28" i="9"/>
  <c r="J21" i="9"/>
  <c r="J13" i="9"/>
  <c r="J35" i="9"/>
  <c r="J45" i="9"/>
  <c r="J6" i="9"/>
  <c r="Y24" i="13"/>
  <c r="Z23" i="13"/>
  <c r="Z24" i="13"/>
  <c r="Y25" i="13"/>
  <c r="Z25" i="13"/>
  <c r="Y26" i="13"/>
  <c r="Z26" i="13"/>
  <c r="Y27" i="13"/>
  <c r="Y28" i="13"/>
  <c r="Z27" i="13"/>
  <c r="Z28" i="13"/>
  <c r="Y29" i="13"/>
  <c r="Y30" i="13"/>
  <c r="Z29" i="13"/>
  <c r="Z30" i="13"/>
  <c r="Y31" i="13"/>
  <c r="Z31" i="13"/>
  <c r="Y32" i="13"/>
  <c r="Z32" i="13"/>
  <c r="Y33" i="13"/>
  <c r="Z33" i="13"/>
  <c r="Y34" i="13"/>
  <c r="Z34" i="13"/>
  <c r="Y35" i="13"/>
  <c r="Z35" i="13"/>
  <c r="Y36" i="13"/>
  <c r="Y37" i="13"/>
  <c r="Z36" i="13"/>
  <c r="Z37" i="13"/>
  <c r="Y38" i="13"/>
  <c r="Z38" i="13"/>
  <c r="Y39" i="13"/>
  <c r="Z39" i="13"/>
  <c r="Y40" i="13"/>
  <c r="Y41" i="13"/>
  <c r="Z40" i="13"/>
  <c r="Y42" i="13"/>
  <c r="Z41" i="13"/>
  <c r="Y43" i="13"/>
  <c r="Z42" i="13"/>
  <c r="Z43" i="13"/>
  <c r="Y44" i="13"/>
  <c r="Y45" i="13"/>
  <c r="Z44" i="13"/>
  <c r="Y46" i="13"/>
  <c r="Z45" i="13"/>
  <c r="Z46" i="13"/>
  <c r="Y47" i="13"/>
  <c r="Z47" i="13"/>
  <c r="Y48" i="13"/>
  <c r="Y49" i="13"/>
  <c r="Z48" i="13"/>
  <c r="Y50" i="13"/>
  <c r="Z49" i="13"/>
  <c r="Y51" i="13"/>
  <c r="Z50" i="13"/>
  <c r="Z51" i="13"/>
  <c r="Y52" i="13"/>
  <c r="Z52" i="13"/>
  <c r="Y53" i="13"/>
  <c r="Z53" i="13"/>
  <c r="Y54" i="13"/>
  <c r="Y55" i="13"/>
  <c r="Z54" i="13"/>
  <c r="Z55" i="13"/>
  <c r="Y56" i="13"/>
  <c r="Y57" i="13"/>
  <c r="Z56" i="13"/>
  <c r="Z57" i="13"/>
  <c r="Y58" i="13"/>
  <c r="Y59" i="13"/>
  <c r="Z58" i="13"/>
  <c r="Y60" i="13"/>
  <c r="Z59" i="13"/>
  <c r="Z60" i="13"/>
  <c r="Y61" i="13"/>
  <c r="Y62" i="13"/>
  <c r="Z61" i="13"/>
  <c r="Z62" i="13"/>
  <c r="Y63" i="13"/>
  <c r="Z63" i="13"/>
  <c r="Y64" i="13"/>
  <c r="Y65" i="13"/>
  <c r="Z64" i="13"/>
  <c r="Z65" i="13"/>
  <c r="Y66" i="13"/>
  <c r="Z66" i="13"/>
  <c r="Y67" i="13"/>
  <c r="Y68" i="13"/>
  <c r="Z67" i="13"/>
  <c r="Y69" i="13"/>
  <c r="Z68" i="13"/>
  <c r="Y70" i="13"/>
  <c r="Z69" i="13"/>
  <c r="Z70" i="13"/>
  <c r="Y71" i="13"/>
  <c r="Z71" i="13"/>
  <c r="Y72" i="13"/>
  <c r="Y73" i="13"/>
  <c r="Z72" i="13"/>
  <c r="Y74" i="13"/>
  <c r="Z73" i="13"/>
  <c r="Y75" i="13"/>
  <c r="Z74" i="13"/>
  <c r="Z75" i="13"/>
  <c r="Y76" i="13"/>
  <c r="Z76" i="13"/>
  <c r="Y77" i="13"/>
  <c r="Y78" i="13"/>
  <c r="Z77" i="13"/>
  <c r="Z78" i="13"/>
  <c r="Y79" i="13"/>
  <c r="Y80" i="13"/>
  <c r="Z79" i="13"/>
  <c r="Z80" i="13"/>
  <c r="Y81" i="13"/>
  <c r="Z81" i="13"/>
  <c r="Y82" i="13"/>
  <c r="Z82" i="13"/>
  <c r="Y83" i="13"/>
  <c r="Z83" i="13"/>
  <c r="Y84" i="13"/>
  <c r="Z84" i="13"/>
  <c r="Y85" i="13"/>
  <c r="Y86" i="13"/>
  <c r="Z85" i="13"/>
  <c r="Y87" i="13"/>
  <c r="Z86" i="13"/>
  <c r="Y88" i="13"/>
  <c r="Z87" i="13"/>
  <c r="Z88" i="13"/>
  <c r="Y89" i="13"/>
  <c r="Y90" i="13"/>
  <c r="Z89" i="13"/>
  <c r="Z90" i="13"/>
  <c r="Y91" i="13"/>
  <c r="Y92" i="13"/>
  <c r="Z91" i="13"/>
  <c r="Z92" i="13"/>
  <c r="Y93" i="13"/>
  <c r="Y94" i="13"/>
  <c r="Z93" i="13"/>
  <c r="Z94" i="13"/>
  <c r="Y95" i="13"/>
  <c r="Z95" i="13"/>
  <c r="Y96" i="13"/>
  <c r="Z96" i="13"/>
  <c r="Y97" i="13"/>
  <c r="Z97" i="13"/>
  <c r="Y98" i="13"/>
  <c r="Y99" i="13"/>
  <c r="Z98" i="13"/>
  <c r="Z99" i="13"/>
  <c r="Y100" i="13"/>
  <c r="Z100" i="13"/>
  <c r="Y101" i="13"/>
  <c r="Y102" i="13"/>
  <c r="Z101" i="13"/>
  <c r="Y103" i="13"/>
  <c r="Z102" i="13"/>
  <c r="Y104" i="13"/>
  <c r="Z103" i="13"/>
  <c r="Z104" i="13"/>
  <c r="Y105" i="13"/>
  <c r="Y106" i="13"/>
  <c r="Z105" i="13"/>
  <c r="Y107" i="13"/>
  <c r="Z106" i="13"/>
  <c r="Y108" i="13"/>
  <c r="Z107" i="13"/>
  <c r="Z108" i="13"/>
  <c r="Y109" i="13"/>
  <c r="Z109" i="13"/>
  <c r="Y110" i="13"/>
  <c r="Y111" i="13"/>
  <c r="Z110" i="13"/>
  <c r="Z111" i="13"/>
  <c r="Y112" i="13"/>
  <c r="Y113" i="13"/>
  <c r="Z112" i="13"/>
  <c r="Z113" i="13"/>
  <c r="Y114" i="13"/>
  <c r="Y115" i="13"/>
  <c r="Z114" i="13"/>
  <c r="Z115" i="13"/>
  <c r="Y116" i="13"/>
  <c r="Y117" i="13"/>
  <c r="Z116" i="13"/>
  <c r="Y118" i="13"/>
  <c r="Z117" i="13"/>
  <c r="Z118" i="13"/>
  <c r="Y119" i="13"/>
  <c r="Y120" i="13"/>
  <c r="Z119" i="13"/>
  <c r="Y121" i="13"/>
  <c r="Z120" i="13"/>
  <c r="Z121" i="13"/>
  <c r="Y122" i="13"/>
  <c r="Z122" i="13"/>
  <c r="Y123" i="13"/>
  <c r="Z123" i="13"/>
  <c r="Y124" i="13"/>
  <c r="Y125" i="13"/>
  <c r="Z124" i="13"/>
  <c r="Z125" i="13"/>
  <c r="Y126" i="13"/>
  <c r="Z126" i="13"/>
  <c r="Y127" i="13"/>
  <c r="Y128" i="13"/>
  <c r="Z127" i="13"/>
  <c r="Y129" i="13"/>
  <c r="Z128" i="13"/>
  <c r="Z129" i="13"/>
  <c r="Y130" i="13"/>
  <c r="Z130" i="13"/>
  <c r="Y131" i="13"/>
  <c r="Y132" i="13"/>
  <c r="Z131" i="13"/>
  <c r="Y133" i="13"/>
  <c r="Z132" i="13"/>
  <c r="Z133" i="13"/>
  <c r="Y134" i="13"/>
  <c r="Y135" i="13"/>
  <c r="Z134" i="13"/>
  <c r="Y136" i="13"/>
  <c r="Z135" i="13"/>
  <c r="Y137" i="13"/>
  <c r="Z136" i="13"/>
  <c r="Z137" i="13"/>
  <c r="Y138" i="13"/>
  <c r="Y139" i="13"/>
  <c r="Z138" i="13"/>
  <c r="Y140" i="13"/>
  <c r="Z139" i="13"/>
  <c r="Y141" i="13"/>
  <c r="Z140" i="13"/>
  <c r="Y142" i="13"/>
  <c r="Z141" i="13"/>
  <c r="Y143" i="13"/>
  <c r="Z142" i="13"/>
  <c r="Y144" i="13"/>
  <c r="Z143" i="13"/>
  <c r="Y145" i="13"/>
  <c r="Z144" i="13"/>
  <c r="Z145" i="13"/>
  <c r="Y146" i="13"/>
  <c r="Z146" i="13"/>
  <c r="Y147" i="13"/>
  <c r="Z147" i="13"/>
  <c r="Y148" i="13"/>
  <c r="Z148" i="13"/>
  <c r="Y149" i="13"/>
  <c r="Y150" i="13"/>
  <c r="Z149" i="13"/>
  <c r="Z150" i="13"/>
  <c r="Y151" i="13"/>
  <c r="Y152" i="13"/>
  <c r="Z151" i="13"/>
  <c r="Z152" i="13"/>
  <c r="Y153" i="13"/>
  <c r="Z153" i="13"/>
  <c r="Y154" i="13"/>
  <c r="Z154" i="13"/>
  <c r="Y155" i="13"/>
  <c r="Z155" i="13"/>
  <c r="Y156" i="13"/>
  <c r="Z156" i="13"/>
  <c r="Y157" i="13"/>
  <c r="Z157" i="13"/>
  <c r="Y158" i="13"/>
  <c r="Z158" i="13"/>
  <c r="Y159" i="13"/>
  <c r="Z159" i="13"/>
  <c r="Y160" i="13"/>
  <c r="Y161" i="13"/>
  <c r="Z160" i="13"/>
  <c r="Y162" i="13"/>
  <c r="Z161" i="13"/>
  <c r="Y163" i="13"/>
  <c r="Z162" i="13"/>
  <c r="Y164" i="13"/>
  <c r="Z163" i="13"/>
  <c r="Z164" i="13"/>
  <c r="Y165" i="13"/>
  <c r="Y166" i="13"/>
  <c r="Z165" i="13"/>
  <c r="Y167" i="13"/>
  <c r="Z166" i="13"/>
  <c r="Y168" i="13"/>
  <c r="Z167" i="13"/>
  <c r="Z168" i="13"/>
  <c r="Y169" i="13"/>
  <c r="Z169" i="13"/>
  <c r="Y170" i="13"/>
  <c r="Z170" i="13"/>
  <c r="Y171" i="13"/>
  <c r="Z171" i="13"/>
  <c r="Y172" i="13"/>
  <c r="Y173" i="13"/>
  <c r="Z172" i="13"/>
  <c r="Y174" i="13"/>
  <c r="Z173" i="13"/>
  <c r="Y175" i="13"/>
  <c r="Z174" i="13"/>
  <c r="Y176" i="13"/>
  <c r="Z175" i="13"/>
  <c r="Z176" i="13"/>
  <c r="Y177" i="13"/>
  <c r="Z177" i="13"/>
  <c r="Y178" i="13"/>
  <c r="Z178" i="13"/>
  <c r="Y179" i="13"/>
  <c r="Y180" i="13"/>
  <c r="Z179" i="13"/>
  <c r="Y181" i="13"/>
  <c r="Z180" i="13"/>
  <c r="Z181" i="13"/>
  <c r="Y182" i="13"/>
  <c r="Z182" i="13"/>
  <c r="Y183" i="13"/>
  <c r="Z183" i="13"/>
  <c r="Y184" i="13"/>
  <c r="Y185" i="13"/>
  <c r="Z184" i="13"/>
  <c r="Z185" i="13"/>
  <c r="Y186" i="13"/>
  <c r="Z186" i="13"/>
  <c r="Y187" i="13"/>
  <c r="Z187" i="13"/>
  <c r="Y188" i="13"/>
  <c r="Z188" i="13"/>
  <c r="Y189" i="13"/>
  <c r="Y190" i="13"/>
  <c r="Z189" i="13"/>
  <c r="Y191" i="13"/>
  <c r="Z190" i="13"/>
  <c r="Y192" i="13"/>
  <c r="Z191" i="13"/>
  <c r="Z192" i="13"/>
  <c r="Y193" i="13"/>
  <c r="Y194" i="13"/>
  <c r="Z193" i="13"/>
  <c r="Y195" i="13"/>
  <c r="Z194" i="13"/>
  <c r="Z195" i="13"/>
  <c r="Y196" i="13"/>
  <c r="Z196" i="13"/>
  <c r="Y197" i="13"/>
  <c r="Z197" i="13"/>
  <c r="Y198" i="13"/>
  <c r="Y199" i="13"/>
  <c r="Z198" i="13"/>
  <c r="Y200" i="13"/>
  <c r="Z199" i="13"/>
  <c r="Y201" i="13"/>
  <c r="Z200" i="13"/>
  <c r="Y202" i="13"/>
  <c r="Z201" i="13"/>
  <c r="Y203" i="13"/>
  <c r="Z202" i="13"/>
  <c r="Y204" i="13"/>
  <c r="Z203" i="13"/>
  <c r="Z204" i="13"/>
  <c r="Y205" i="13"/>
  <c r="Z205" i="13"/>
  <c r="Y206" i="13"/>
  <c r="Y207" i="13"/>
  <c r="Z206" i="13"/>
  <c r="Y208" i="13"/>
  <c r="Z207" i="13"/>
  <c r="Y209" i="13"/>
  <c r="Z208" i="13"/>
  <c r="Y210" i="13"/>
  <c r="Z209" i="13"/>
  <c r="Z210" i="13"/>
  <c r="Y211" i="13"/>
  <c r="Y212" i="13"/>
  <c r="Z211" i="13"/>
  <c r="Y213" i="13"/>
  <c r="Z212" i="13"/>
  <c r="Z213" i="13"/>
  <c r="Y214" i="13"/>
  <c r="Y215" i="13"/>
  <c r="Z214" i="13"/>
  <c r="Y216" i="13"/>
  <c r="Z215" i="13"/>
  <c r="Z216" i="13"/>
  <c r="Y217" i="13"/>
  <c r="Y218" i="13"/>
  <c r="Z217" i="13"/>
  <c r="Y219" i="13"/>
  <c r="Z218" i="13"/>
  <c r="Z219" i="13"/>
  <c r="Y220" i="13"/>
  <c r="Z220" i="13"/>
  <c r="Y221" i="13"/>
  <c r="Z221" i="13"/>
  <c r="Y222" i="13"/>
  <c r="Z222" i="13"/>
  <c r="Y223" i="13"/>
  <c r="Z223" i="13"/>
  <c r="Y224" i="13"/>
  <c r="Z224" i="13"/>
  <c r="Y225" i="13"/>
  <c r="Y226" i="13"/>
  <c r="Z225" i="13"/>
  <c r="Z226" i="13"/>
  <c r="Y227" i="13"/>
  <c r="Z227" i="13"/>
  <c r="Y228" i="13"/>
  <c r="Y229" i="13"/>
  <c r="Z228" i="13"/>
  <c r="Z229" i="13"/>
  <c r="Y230" i="13"/>
  <c r="Y231" i="13"/>
  <c r="Z230" i="13"/>
  <c r="Y232" i="13"/>
  <c r="Z231" i="13"/>
  <c r="Z232" i="13"/>
  <c r="Y233" i="13"/>
  <c r="Z233" i="13"/>
  <c r="Y234" i="13"/>
  <c r="Y235" i="13"/>
  <c r="Z234" i="13"/>
  <c r="Z235" i="13"/>
  <c r="Y236" i="13"/>
  <c r="Y237" i="13"/>
  <c r="Z236" i="13"/>
  <c r="Z237" i="13"/>
  <c r="Y238" i="13"/>
  <c r="Y239" i="13"/>
  <c r="Z238" i="13"/>
  <c r="Y240" i="13"/>
  <c r="Z239" i="13"/>
  <c r="Y241" i="13"/>
  <c r="Z240" i="13"/>
  <c r="Z241" i="13"/>
  <c r="Y242" i="13"/>
  <c r="Y243" i="13"/>
  <c r="Z242" i="13"/>
  <c r="Z243" i="13"/>
  <c r="Y244" i="13"/>
  <c r="Y245" i="13"/>
  <c r="Z244" i="13"/>
  <c r="Z245" i="13"/>
  <c r="Y246" i="13"/>
  <c r="Z246" i="13"/>
  <c r="Y247" i="13"/>
  <c r="Y248" i="13"/>
  <c r="Z247" i="13"/>
  <c r="Y249" i="13"/>
  <c r="Z248" i="13"/>
  <c r="Y250" i="13"/>
  <c r="Z249" i="13"/>
  <c r="Y251" i="13"/>
  <c r="Z250" i="13"/>
  <c r="Y252" i="13"/>
  <c r="Z251" i="13"/>
  <c r="Y253" i="13"/>
  <c r="Z252" i="13"/>
  <c r="Y254" i="13"/>
  <c r="Z253" i="13"/>
  <c r="Z254" i="13"/>
  <c r="Y255" i="13"/>
  <c r="Y256" i="13"/>
  <c r="Z255" i="13"/>
  <c r="Y257" i="13"/>
  <c r="Z256" i="13"/>
  <c r="Z257" i="13"/>
  <c r="Y258" i="13"/>
  <c r="Y259" i="13"/>
  <c r="Z258" i="13"/>
  <c r="Z259" i="13"/>
  <c r="Y260" i="13"/>
  <c r="Z260" i="13"/>
  <c r="Y261" i="13"/>
  <c r="Z261" i="13"/>
  <c r="Y262" i="13"/>
  <c r="Z262" i="13"/>
  <c r="Y263" i="13"/>
  <c r="Y264" i="13"/>
  <c r="Z263" i="13"/>
  <c r="Z264" i="13"/>
  <c r="Y265" i="13"/>
  <c r="Y266" i="13"/>
  <c r="Z265" i="13"/>
  <c r="Z266" i="13"/>
  <c r="Y267" i="13"/>
  <c r="Z267" i="13"/>
  <c r="Y268" i="13"/>
  <c r="Z268" i="13"/>
  <c r="Y269" i="13"/>
  <c r="Z269" i="13"/>
  <c r="Y270" i="13"/>
  <c r="Y271" i="13"/>
  <c r="Z270" i="13"/>
  <c r="Y272" i="13"/>
  <c r="Z271" i="13"/>
  <c r="Z272" i="13"/>
  <c r="Y273" i="13"/>
  <c r="Y274" i="13"/>
  <c r="Z273" i="13"/>
  <c r="Y275" i="13"/>
  <c r="Z274" i="13"/>
  <c r="Y276" i="13"/>
  <c r="Z275" i="13"/>
  <c r="Y277" i="13"/>
  <c r="Z276" i="13"/>
  <c r="Z277" i="13"/>
  <c r="Y278" i="13"/>
  <c r="Y279" i="13"/>
  <c r="Z278" i="13"/>
  <c r="Y280" i="13"/>
  <c r="Z279" i="13"/>
  <c r="Z280" i="13"/>
  <c r="Y281" i="13"/>
  <c r="Z281" i="13"/>
  <c r="Y282" i="13"/>
  <c r="Y283" i="13"/>
  <c r="Z282" i="13"/>
  <c r="Z283" i="13"/>
  <c r="Y284" i="13"/>
  <c r="Y285" i="13"/>
  <c r="Z284" i="13"/>
  <c r="Y286" i="13"/>
  <c r="Z285" i="13"/>
  <c r="Z286" i="13"/>
  <c r="Y287" i="13"/>
  <c r="Z287" i="13"/>
  <c r="Y288" i="13"/>
  <c r="Y289" i="13"/>
  <c r="Z288" i="13"/>
  <c r="Z289" i="13"/>
  <c r="Y290" i="13"/>
  <c r="Y291" i="13"/>
  <c r="Z290" i="13"/>
  <c r="Z291" i="13"/>
  <c r="Y292" i="13"/>
  <c r="Y293" i="13"/>
  <c r="Z292" i="13"/>
  <c r="Y294" i="13"/>
  <c r="Z293" i="13"/>
  <c r="Y295" i="13"/>
  <c r="Z294" i="13"/>
  <c r="Z295" i="13"/>
  <c r="Y296" i="13"/>
  <c r="Z296" i="13"/>
  <c r="Y297" i="13"/>
  <c r="Y298" i="13"/>
  <c r="Z297" i="13"/>
  <c r="Z298" i="13"/>
  <c r="Y299" i="13"/>
  <c r="Y300" i="13"/>
  <c r="Z299" i="13"/>
  <c r="Z300" i="13"/>
  <c r="Y301" i="13"/>
  <c r="Y302" i="13"/>
  <c r="Z301" i="13"/>
  <c r="Z302" i="13"/>
  <c r="Y303" i="13"/>
  <c r="Y304" i="13"/>
  <c r="Z303" i="13"/>
  <c r="Y305" i="13"/>
  <c r="Z304" i="13"/>
  <c r="Y306" i="13"/>
  <c r="Z305" i="13"/>
  <c r="Z306" i="13"/>
  <c r="Y307" i="13"/>
  <c r="Z307" i="13"/>
  <c r="Y308" i="13"/>
  <c r="Z308" i="13"/>
  <c r="Y309" i="13"/>
  <c r="Z309" i="13"/>
  <c r="Y310" i="13"/>
  <c r="Y311" i="13"/>
  <c r="Z310" i="13"/>
  <c r="Z311" i="13"/>
  <c r="Y312" i="13"/>
  <c r="Z312" i="13"/>
  <c r="Y313" i="13"/>
  <c r="Z313" i="13"/>
  <c r="Y314" i="13"/>
  <c r="Z314" i="13"/>
  <c r="Y315" i="13"/>
  <c r="Y316" i="13"/>
  <c r="Z315" i="13"/>
  <c r="Z316" i="13"/>
  <c r="Y317" i="13"/>
  <c r="Z317" i="13"/>
  <c r="Y318" i="13"/>
  <c r="Z318" i="13"/>
  <c r="Y319" i="13"/>
  <c r="Y320" i="13"/>
  <c r="Z319" i="13"/>
  <c r="Y321" i="13"/>
  <c r="Z320" i="13"/>
  <c r="Z321" i="13"/>
  <c r="Y322" i="13"/>
  <c r="Y323" i="13"/>
  <c r="Z322" i="13"/>
  <c r="Y324" i="13"/>
  <c r="Z323" i="13"/>
  <c r="Y325" i="13"/>
  <c r="Z324" i="13"/>
  <c r="Y326" i="13"/>
  <c r="Z325" i="13"/>
  <c r="Y327" i="13"/>
  <c r="Z326" i="13"/>
  <c r="Z327" i="13"/>
  <c r="Y328" i="13"/>
  <c r="Z328" i="13"/>
  <c r="Y329" i="13"/>
  <c r="Y330" i="13"/>
  <c r="Z329" i="13"/>
  <c r="Y331" i="13"/>
  <c r="Z330" i="13"/>
  <c r="Y332" i="13"/>
  <c r="Z331" i="13"/>
  <c r="Y333" i="13"/>
  <c r="Z332" i="13"/>
  <c r="Z333" i="13"/>
  <c r="Y334" i="13"/>
  <c r="Z334" i="13"/>
  <c r="Y335" i="13"/>
  <c r="Y336" i="13"/>
  <c r="Z335" i="13"/>
  <c r="Y337" i="13"/>
  <c r="Z336" i="13"/>
  <c r="Z337" i="13"/>
  <c r="Y338" i="13"/>
  <c r="Y339" i="13"/>
  <c r="Z338" i="13"/>
  <c r="Z339" i="13"/>
  <c r="Y340" i="13"/>
  <c r="Y341" i="13"/>
  <c r="Z340" i="13"/>
  <c r="Z341" i="13"/>
  <c r="Y342" i="13"/>
  <c r="Y343" i="13"/>
  <c r="Z342" i="13"/>
  <c r="Y344" i="13"/>
  <c r="Z343" i="13"/>
  <c r="Z344" i="13"/>
  <c r="Y345" i="13"/>
  <c r="Y346" i="13"/>
  <c r="Z345" i="13"/>
  <c r="Y347" i="13"/>
  <c r="Z346" i="13"/>
  <c r="Y348" i="13"/>
  <c r="Z347" i="13"/>
  <c r="Z348" i="13"/>
  <c r="Y349" i="13"/>
  <c r="Y350" i="13"/>
  <c r="Z349" i="13"/>
  <c r="Y351" i="13"/>
  <c r="Z350" i="13"/>
  <c r="Y352" i="13"/>
  <c r="Z351" i="13"/>
  <c r="Z352" i="13"/>
  <c r="Y353" i="13"/>
  <c r="Y354" i="13"/>
  <c r="Z353" i="13"/>
  <c r="Y355" i="13"/>
  <c r="Z354" i="13"/>
  <c r="Y356" i="13"/>
  <c r="Z355" i="13"/>
  <c r="Y357" i="13"/>
  <c r="Z356" i="13"/>
  <c r="Z357" i="13"/>
  <c r="Y358" i="13"/>
  <c r="Z358" i="13"/>
  <c r="Y359" i="13"/>
  <c r="Z359" i="13"/>
  <c r="Y360" i="13"/>
  <c r="Y361" i="13"/>
  <c r="Z360" i="13"/>
  <c r="Z361" i="13"/>
  <c r="Y362" i="13"/>
  <c r="Z362" i="13"/>
  <c r="Y363" i="13"/>
  <c r="Z363" i="13"/>
  <c r="Y364" i="13"/>
  <c r="Z364" i="13"/>
  <c r="Y365" i="13"/>
  <c r="Z365" i="13"/>
  <c r="Y366" i="13"/>
  <c r="Y367" i="13"/>
  <c r="Z366" i="13"/>
  <c r="Y368" i="13"/>
  <c r="Z367" i="13"/>
  <c r="Z368" i="13"/>
  <c r="Y369" i="13"/>
  <c r="Y370" i="13"/>
  <c r="Z369" i="13"/>
  <c r="Z370" i="13"/>
  <c r="Y371" i="13"/>
  <c r="Z371" i="13"/>
  <c r="Y372" i="13"/>
  <c r="Z372" i="13"/>
  <c r="Y373" i="13"/>
  <c r="Y374" i="13"/>
  <c r="Z373" i="13"/>
  <c r="Z374" i="13"/>
  <c r="Y375" i="13"/>
  <c r="Z375" i="13"/>
  <c r="Y376" i="13"/>
  <c r="Y377" i="13"/>
  <c r="Z376" i="13"/>
  <c r="Z377" i="13"/>
  <c r="Y378" i="13"/>
  <c r="Z378" i="13"/>
  <c r="Y379" i="13"/>
  <c r="Z379" i="13"/>
  <c r="Y380" i="13"/>
  <c r="Z380" i="13"/>
  <c r="Y381" i="13"/>
  <c r="Y382" i="13"/>
  <c r="Z381" i="13"/>
  <c r="Z382" i="13"/>
  <c r="Y383" i="13"/>
  <c r="Y384" i="13"/>
  <c r="Z383" i="13"/>
  <c r="Z384" i="13"/>
  <c r="Y385" i="13"/>
  <c r="Z385" i="13"/>
  <c r="Y386" i="13"/>
  <c r="Z386" i="13"/>
  <c r="Y387" i="13"/>
  <c r="Y388" i="13"/>
  <c r="Z387" i="13"/>
  <c r="Y389" i="13"/>
  <c r="Z388" i="13"/>
  <c r="Y390" i="13"/>
  <c r="Z389" i="13"/>
  <c r="Z390" i="13"/>
  <c r="Y391" i="13"/>
  <c r="Z391" i="13"/>
  <c r="Y392" i="13"/>
  <c r="Y393" i="13"/>
  <c r="Z392" i="13"/>
  <c r="Z393" i="13"/>
  <c r="Y394" i="13"/>
  <c r="Y395" i="13"/>
  <c r="Z394" i="13"/>
  <c r="Z395" i="13"/>
  <c r="Y396" i="13"/>
  <c r="Z396" i="13"/>
  <c r="Y397" i="13"/>
  <c r="Z397" i="13"/>
  <c r="Y398" i="13"/>
  <c r="Z398" i="13"/>
  <c r="Y399" i="13"/>
  <c r="Y400" i="13"/>
  <c r="Z399" i="13"/>
  <c r="Z400" i="13"/>
  <c r="Y401" i="13"/>
  <c r="Y402" i="13"/>
  <c r="Z401" i="13"/>
  <c r="Z402" i="13"/>
  <c r="Y403" i="13"/>
  <c r="Y404" i="13"/>
  <c r="Z403" i="13"/>
  <c r="Z404" i="13"/>
  <c r="Y405" i="13"/>
  <c r="Z405" i="13"/>
  <c r="Y406" i="13"/>
  <c r="Z406" i="13"/>
  <c r="Y407" i="13"/>
  <c r="Y408" i="13"/>
  <c r="Z407" i="13"/>
  <c r="Y409" i="13"/>
  <c r="Z408" i="13"/>
  <c r="Z409" i="13"/>
  <c r="Y410" i="13"/>
  <c r="Y411" i="13"/>
  <c r="Z410" i="13"/>
  <c r="Z411" i="13"/>
  <c r="Y412" i="13"/>
  <c r="Y413" i="13"/>
  <c r="Z412" i="13"/>
  <c r="Z413" i="13"/>
  <c r="Y414" i="13"/>
  <c r="Y415" i="13"/>
  <c r="Z414" i="13"/>
  <c r="Y416" i="13"/>
  <c r="Z415" i="13"/>
  <c r="Y417" i="13"/>
  <c r="Z416" i="13"/>
  <c r="Y418" i="13"/>
  <c r="Z417" i="13"/>
  <c r="Y419" i="13"/>
  <c r="Z418" i="13"/>
  <c r="Z419" i="13"/>
  <c r="Y420" i="13"/>
  <c r="Z420" i="13"/>
  <c r="Y421" i="13"/>
  <c r="Y422" i="13"/>
  <c r="Z421" i="13"/>
  <c r="Y423" i="13"/>
  <c r="Z422" i="13"/>
  <c r="Y424" i="13"/>
  <c r="Z423" i="13"/>
  <c r="Z424" i="13"/>
  <c r="Y425" i="13"/>
  <c r="Z425" i="13"/>
  <c r="Y426" i="13"/>
  <c r="Z426" i="13"/>
  <c r="Y427" i="13"/>
  <c r="Z427" i="13"/>
  <c r="Y428" i="13"/>
  <c r="Z428" i="13"/>
  <c r="Y429" i="13"/>
  <c r="Z429" i="13"/>
  <c r="Y430" i="13"/>
  <c r="Z430" i="13"/>
  <c r="Y431" i="13"/>
  <c r="Z431" i="13"/>
  <c r="Y432" i="13"/>
  <c r="Y433" i="13"/>
  <c r="Z432" i="13"/>
  <c r="Y434" i="13"/>
  <c r="Z433" i="13"/>
  <c r="Z434" i="13"/>
  <c r="Y435" i="13"/>
  <c r="Y436" i="13"/>
  <c r="Z435" i="13"/>
  <c r="Z436" i="13"/>
  <c r="Y437" i="13"/>
  <c r="Y438" i="13"/>
  <c r="Z437" i="13"/>
  <c r="Y439" i="13"/>
  <c r="Z438" i="13"/>
  <c r="Y440" i="13"/>
  <c r="Z439" i="13"/>
  <c r="Z440" i="13"/>
  <c r="Y441" i="13"/>
  <c r="Z441" i="13"/>
  <c r="Y442" i="13"/>
  <c r="Y443" i="13"/>
  <c r="Z442" i="13"/>
  <c r="Z443" i="13"/>
  <c r="Y444" i="13"/>
  <c r="Y445" i="13"/>
  <c r="Z444" i="13"/>
  <c r="Y446" i="13"/>
  <c r="Z445" i="13"/>
  <c r="Y447" i="13"/>
  <c r="Z446" i="13"/>
  <c r="Z447" i="13"/>
  <c r="Y448" i="13"/>
  <c r="Z448" i="13"/>
  <c r="Y449" i="13"/>
  <c r="Z449" i="13"/>
  <c r="Y450" i="13"/>
  <c r="Z450" i="13"/>
  <c r="Y451" i="13"/>
  <c r="Y452" i="13"/>
  <c r="Z451" i="13"/>
  <c r="Y453" i="13"/>
  <c r="Z452" i="13"/>
  <c r="Z453" i="13"/>
  <c r="Y454" i="13"/>
  <c r="Z454" i="13"/>
  <c r="Y455" i="13"/>
  <c r="Y456" i="13"/>
  <c r="Z455" i="13"/>
  <c r="Z456" i="13"/>
  <c r="Y457" i="13"/>
  <c r="Y458" i="13"/>
  <c r="Z457" i="13"/>
  <c r="Y459" i="13"/>
  <c r="Z458" i="13"/>
  <c r="Z459" i="13"/>
  <c r="Y460" i="13"/>
  <c r="Z460" i="13"/>
  <c r="Y461" i="13"/>
  <c r="Z461" i="13"/>
  <c r="Y462" i="13"/>
  <c r="Y463" i="13"/>
  <c r="Z462" i="13"/>
  <c r="Y464" i="13"/>
  <c r="Z463" i="13"/>
  <c r="Z464" i="13"/>
  <c r="Y465" i="13"/>
  <c r="Z465" i="13"/>
  <c r="Y466" i="13"/>
  <c r="Y467" i="13"/>
  <c r="Z466" i="13"/>
  <c r="Z467" i="13"/>
  <c r="Y468" i="13"/>
  <c r="Y469" i="13"/>
  <c r="Z468" i="13"/>
  <c r="Y470" i="13"/>
  <c r="Z469" i="13"/>
  <c r="Z470" i="13"/>
  <c r="Y471" i="13"/>
  <c r="Z471" i="13"/>
  <c r="Y472" i="13"/>
  <c r="Z472" i="13"/>
  <c r="Y473" i="13"/>
  <c r="Z473" i="13"/>
  <c r="Y474" i="13"/>
  <c r="Y475" i="13"/>
  <c r="Z474" i="13"/>
  <c r="Z475" i="13"/>
  <c r="Y476" i="13"/>
  <c r="Z476" i="13"/>
  <c r="Y477" i="13"/>
  <c r="Z477" i="13"/>
  <c r="Y478" i="13"/>
  <c r="Y479" i="13"/>
  <c r="Z478" i="13"/>
  <c r="Z479" i="13"/>
  <c r="Y480" i="13"/>
  <c r="Z480" i="13"/>
  <c r="Y481" i="13"/>
  <c r="Y482" i="13"/>
  <c r="Z481" i="13"/>
  <c r="Y483" i="13"/>
  <c r="Z482" i="13"/>
  <c r="Y484" i="13"/>
  <c r="Z483" i="13"/>
  <c r="Y485" i="13"/>
  <c r="Z484" i="13"/>
  <c r="Z485" i="13"/>
  <c r="Y486" i="13"/>
  <c r="Y487" i="13"/>
  <c r="Z486" i="13"/>
  <c r="Z487" i="13"/>
  <c r="Y488" i="13"/>
  <c r="Z488" i="13"/>
  <c r="Y489" i="13"/>
  <c r="Z489" i="13"/>
  <c r="Y490" i="13"/>
  <c r="Z490" i="13"/>
  <c r="Y491" i="13"/>
  <c r="Z491" i="13"/>
  <c r="Y492" i="13"/>
  <c r="Y493" i="13"/>
  <c r="Z492" i="13"/>
  <c r="Z493" i="13"/>
  <c r="Y494" i="13"/>
  <c r="Z494" i="13"/>
  <c r="Y495" i="13"/>
  <c r="Y496" i="13"/>
  <c r="Z495" i="13"/>
  <c r="Y497" i="13"/>
  <c r="Z496" i="13"/>
  <c r="Y498" i="13"/>
  <c r="Z497" i="13"/>
  <c r="Z498" i="13"/>
  <c r="Y499" i="13"/>
  <c r="Z499" i="13"/>
  <c r="Y500" i="13"/>
  <c r="Z500" i="13"/>
  <c r="Y501" i="13"/>
  <c r="Z501" i="13"/>
  <c r="Y502" i="13"/>
  <c r="Y503" i="13"/>
  <c r="Z502" i="13"/>
  <c r="Z503" i="13"/>
  <c r="Y504" i="13"/>
  <c r="Z504" i="13"/>
  <c r="Y505" i="13"/>
  <c r="Z505" i="13"/>
  <c r="Y506" i="13"/>
  <c r="Y507" i="13"/>
  <c r="Z506" i="13"/>
  <c r="Y508" i="13"/>
  <c r="Z507" i="13"/>
  <c r="Y509" i="13"/>
  <c r="Z508" i="13"/>
  <c r="Y510" i="13"/>
  <c r="Z509" i="13"/>
  <c r="Y511" i="13"/>
  <c r="Z510" i="13"/>
  <c r="Y512" i="13"/>
  <c r="Z511" i="13"/>
  <c r="Z512" i="13"/>
  <c r="Y513" i="13"/>
  <c r="Y514" i="13"/>
  <c r="Z513" i="13"/>
  <c r="Z514" i="13"/>
  <c r="Y515" i="13"/>
  <c r="Y516" i="13"/>
  <c r="Z515" i="13"/>
  <c r="Y517" i="13"/>
  <c r="Z516" i="13"/>
  <c r="Z517" i="13"/>
  <c r="Y518" i="13"/>
  <c r="Y519" i="13"/>
  <c r="Z518" i="13"/>
  <c r="Z519" i="13"/>
  <c r="Y520" i="13"/>
  <c r="Z520" i="13"/>
  <c r="Y521" i="13"/>
  <c r="Z521" i="13"/>
  <c r="Y522" i="13"/>
  <c r="Y523" i="13"/>
  <c r="Z522" i="13"/>
  <c r="Y524" i="13"/>
  <c r="Z523" i="13"/>
  <c r="Y525" i="13"/>
  <c r="Z524" i="13"/>
  <c r="Z525" i="13"/>
  <c r="Y526" i="13"/>
  <c r="Z526" i="13"/>
  <c r="Y527" i="13"/>
  <c r="Z527" i="13"/>
  <c r="Y528" i="13"/>
  <c r="Y529" i="13"/>
  <c r="Z528" i="13"/>
  <c r="Z529" i="13"/>
  <c r="Y530" i="13"/>
  <c r="Y531" i="13"/>
  <c r="Z530" i="13"/>
  <c r="Y532" i="13"/>
  <c r="Z531" i="13"/>
  <c r="Y533" i="13"/>
  <c r="Z532" i="13"/>
  <c r="Y534" i="13"/>
  <c r="Z533" i="13"/>
  <c r="Z534" i="13"/>
  <c r="Y535" i="13"/>
  <c r="Y536" i="13"/>
  <c r="Z535" i="13"/>
  <c r="Y537" i="13"/>
  <c r="Z536" i="13"/>
  <c r="Z537" i="13"/>
  <c r="Y538" i="13"/>
  <c r="Y539" i="13"/>
  <c r="Z538" i="13"/>
  <c r="Y540" i="13"/>
  <c r="Z539" i="13"/>
  <c r="Z540" i="13"/>
  <c r="Y541" i="13"/>
  <c r="Y542" i="13"/>
  <c r="Z541" i="13"/>
  <c r="Y543" i="13"/>
  <c r="Z542" i="13"/>
  <c r="Y544" i="13"/>
  <c r="Z543" i="13"/>
  <c r="Z544" i="13"/>
  <c r="Y545" i="13"/>
  <c r="Z545" i="13"/>
  <c r="Y546" i="13"/>
  <c r="Y547" i="13"/>
  <c r="Z546" i="13"/>
  <c r="Z547" i="13"/>
  <c r="Y548" i="13"/>
  <c r="Z548" i="13"/>
  <c r="Y549" i="13"/>
  <c r="Y550" i="13"/>
  <c r="Z549" i="13"/>
  <c r="Y551" i="13"/>
  <c r="Z550" i="13"/>
  <c r="Y552" i="13"/>
  <c r="Z551" i="13"/>
  <c r="Z552" i="13"/>
  <c r="Y553" i="13"/>
  <c r="Z553" i="13"/>
  <c r="Y554" i="13"/>
  <c r="Z554" i="13"/>
  <c r="Y555" i="13"/>
  <c r="Z555" i="13"/>
  <c r="Y556" i="13"/>
  <c r="Z556" i="13"/>
  <c r="Y557" i="13"/>
  <c r="Y558" i="13"/>
  <c r="Z557" i="13"/>
  <c r="Z558" i="13"/>
  <c r="Y559" i="13"/>
  <c r="Z559" i="13"/>
  <c r="Y560" i="13"/>
  <c r="Y561" i="13"/>
  <c r="Z560" i="13"/>
  <c r="Z561" i="13"/>
  <c r="Y562" i="13"/>
  <c r="Y563" i="13"/>
  <c r="Z562" i="13"/>
  <c r="Y564" i="13"/>
  <c r="Z563" i="13"/>
  <c r="Y565" i="13"/>
  <c r="Z564" i="13"/>
  <c r="Y566" i="13"/>
  <c r="Z565" i="13"/>
  <c r="Z566" i="13"/>
  <c r="Y567" i="13"/>
  <c r="Y568" i="13"/>
  <c r="Z567" i="13"/>
  <c r="Z568" i="13"/>
  <c r="Y569" i="13"/>
  <c r="Y570" i="13"/>
  <c r="Z569" i="13"/>
  <c r="Y571" i="13"/>
  <c r="Z570" i="13"/>
  <c r="Y572" i="13"/>
  <c r="Z571" i="13"/>
  <c r="Z572" i="13"/>
  <c r="Y573" i="13"/>
  <c r="Z573" i="13"/>
  <c r="Y574" i="13"/>
  <c r="Y575" i="13"/>
  <c r="Z574" i="13"/>
  <c r="Y576" i="13"/>
  <c r="Z575" i="13"/>
  <c r="Y577" i="13"/>
  <c r="Z576" i="13"/>
  <c r="Y578" i="13"/>
  <c r="Z577" i="13"/>
  <c r="Y579" i="13"/>
  <c r="Z578" i="13"/>
  <c r="Y580" i="13"/>
  <c r="Z579" i="13"/>
  <c r="Y581" i="13"/>
  <c r="Z580" i="13"/>
  <c r="Z581" i="13"/>
  <c r="Y582" i="13"/>
  <c r="Z582" i="13"/>
  <c r="Y583" i="13"/>
  <c r="Y584" i="13"/>
  <c r="Z583" i="13"/>
  <c r="Y585" i="13"/>
  <c r="Z584" i="13"/>
  <c r="Z585" i="13"/>
  <c r="Y586" i="13"/>
  <c r="Z586" i="13"/>
  <c r="Y587" i="13"/>
  <c r="Y588" i="13"/>
  <c r="Z587" i="13"/>
  <c r="Z588" i="13"/>
  <c r="Y589" i="13"/>
  <c r="Z589" i="13"/>
  <c r="Y590" i="13"/>
  <c r="Y591" i="13"/>
  <c r="Z590" i="13"/>
  <c r="Y592" i="13"/>
  <c r="Z591" i="13"/>
  <c r="Y593" i="13"/>
  <c r="Z592" i="13"/>
  <c r="Y594" i="13"/>
  <c r="Z593" i="13"/>
  <c r="Z594" i="13"/>
  <c r="Y595" i="13"/>
  <c r="Y596" i="13"/>
  <c r="Z595" i="13"/>
  <c r="Z596" i="13"/>
  <c r="Y597" i="13"/>
  <c r="Z597" i="13"/>
  <c r="Y598" i="13"/>
  <c r="Z598" i="13"/>
  <c r="Y599" i="13"/>
  <c r="Y600" i="13"/>
  <c r="Z599" i="13"/>
  <c r="Y601" i="13"/>
  <c r="Z600" i="13"/>
  <c r="Y602" i="13"/>
  <c r="Z601" i="13"/>
  <c r="Y603" i="13"/>
  <c r="Z602" i="13"/>
  <c r="Y604" i="13"/>
  <c r="Z603" i="13"/>
  <c r="Y605" i="13"/>
  <c r="Z604" i="13"/>
  <c r="Z605" i="13"/>
  <c r="Y606" i="13"/>
  <c r="Z606" i="13"/>
  <c r="Y607" i="13"/>
  <c r="Y608" i="13"/>
  <c r="Z607" i="13"/>
  <c r="Z608" i="13"/>
  <c r="Y609" i="13"/>
  <c r="Z609" i="13"/>
  <c r="Y610" i="13"/>
  <c r="Y611" i="13"/>
  <c r="Z610" i="13"/>
  <c r="Z611" i="13"/>
  <c r="Y612" i="13"/>
  <c r="Z612" i="13"/>
  <c r="Y613" i="13"/>
  <c r="Z613" i="13"/>
  <c r="Y614" i="13"/>
  <c r="Z614" i="13"/>
  <c r="Y615" i="13"/>
  <c r="Y616" i="13"/>
  <c r="Z615" i="13"/>
  <c r="Z616" i="13"/>
  <c r="Y617" i="13"/>
  <c r="Z617" i="13"/>
  <c r="Y618" i="13"/>
  <c r="Z618" i="13"/>
  <c r="Y619" i="13"/>
  <c r="Y620" i="13"/>
  <c r="Z619" i="13"/>
  <c r="Y621" i="13"/>
  <c r="Z620" i="13"/>
  <c r="Z621" i="13"/>
  <c r="Y622" i="13"/>
  <c r="Y623" i="13"/>
  <c r="Z622" i="13"/>
  <c r="Z623" i="13"/>
  <c r="Y624" i="13"/>
  <c r="Z624" i="13"/>
  <c r="Y625" i="13"/>
  <c r="Z625" i="13"/>
  <c r="Y626" i="13"/>
  <c r="Y627" i="13"/>
  <c r="Z626" i="13"/>
  <c r="Z627" i="13"/>
  <c r="Y628" i="13"/>
  <c r="Z628" i="13"/>
  <c r="Y629" i="13"/>
  <c r="Y630" i="13"/>
  <c r="Z629" i="13"/>
  <c r="Z630" i="13"/>
  <c r="Y631" i="13"/>
  <c r="Z631" i="13"/>
  <c r="Y632" i="13"/>
  <c r="Y633" i="13"/>
  <c r="Z632" i="13"/>
  <c r="Y634" i="13"/>
  <c r="Z633" i="13"/>
  <c r="Y635" i="13"/>
  <c r="Z634" i="13"/>
  <c r="Y636" i="13"/>
  <c r="Z635" i="13"/>
  <c r="Y637" i="13"/>
  <c r="Z636" i="13"/>
  <c r="Y638" i="13"/>
  <c r="Z637" i="13"/>
  <c r="Y639" i="13"/>
  <c r="Z638" i="13"/>
  <c r="Y640" i="13"/>
  <c r="Z639" i="13"/>
  <c r="Z640" i="13"/>
  <c r="Y641" i="13"/>
  <c r="Z641" i="13"/>
  <c r="Y642" i="13"/>
  <c r="Y643" i="13"/>
  <c r="Z642" i="13"/>
  <c r="Y644" i="13"/>
  <c r="Z643" i="13"/>
  <c r="Z644" i="13"/>
  <c r="Y645" i="13"/>
  <c r="Z645" i="13"/>
  <c r="Y646" i="13"/>
  <c r="Z646" i="13"/>
  <c r="Y647" i="13"/>
  <c r="Z647" i="13"/>
  <c r="Y648" i="13"/>
  <c r="Z648" i="13"/>
  <c r="Y649" i="13"/>
  <c r="Z649" i="13"/>
  <c r="Y650" i="13"/>
  <c r="Z650" i="13"/>
  <c r="Y651" i="13"/>
  <c r="Y652" i="13"/>
  <c r="Z651" i="13"/>
  <c r="Y653" i="13"/>
  <c r="Z652" i="13"/>
  <c r="Y654" i="13"/>
  <c r="Z653" i="13"/>
  <c r="Y655" i="13"/>
  <c r="Z654" i="13"/>
  <c r="Y656" i="13"/>
  <c r="Z655" i="13"/>
  <c r="Y657" i="13"/>
  <c r="Z656" i="13"/>
  <c r="Y658" i="13"/>
  <c r="Z657" i="13"/>
  <c r="Y659" i="13"/>
  <c r="Z658" i="13"/>
  <c r="Y660" i="13"/>
  <c r="Z659" i="13"/>
  <c r="Z660" i="13"/>
  <c r="Y661" i="13"/>
  <c r="Z661" i="13"/>
  <c r="Y662" i="13"/>
  <c r="Y663" i="13"/>
  <c r="Z662" i="13"/>
  <c r="Z663" i="13"/>
  <c r="Y664" i="13"/>
  <c r="Z664" i="13"/>
  <c r="Y665" i="13"/>
  <c r="Z665" i="13"/>
  <c r="Y666" i="13"/>
  <c r="Z666" i="13"/>
  <c r="Y667" i="13"/>
  <c r="Z667" i="13"/>
  <c r="Y668" i="13"/>
  <c r="Z668" i="13"/>
  <c r="Y669" i="13"/>
  <c r="Y670" i="13"/>
  <c r="Z669" i="13"/>
  <c r="Y671" i="13"/>
  <c r="Z670" i="13"/>
  <c r="Y672" i="13"/>
  <c r="Z671" i="13"/>
  <c r="Y673" i="13"/>
  <c r="Z672" i="13"/>
  <c r="Y674" i="13"/>
  <c r="Z673" i="13"/>
  <c r="Z674" i="13"/>
  <c r="Y675" i="13"/>
  <c r="Z675" i="13"/>
  <c r="Y676" i="13"/>
  <c r="Z676" i="13"/>
  <c r="Y677" i="13"/>
  <c r="Z677" i="13"/>
  <c r="Y678" i="13"/>
  <c r="Y679" i="13"/>
  <c r="Z678" i="13"/>
  <c r="Z679" i="13"/>
  <c r="Y680" i="13"/>
  <c r="Y681" i="13"/>
  <c r="Z680" i="13"/>
  <c r="Z681" i="13"/>
  <c r="Y682" i="13"/>
  <c r="Z682" i="13"/>
  <c r="Y683" i="13"/>
  <c r="Y684" i="13"/>
  <c r="Z683" i="13"/>
  <c r="Y685" i="13"/>
  <c r="Z684" i="13"/>
  <c r="Y686" i="13"/>
  <c r="Z685" i="13"/>
  <c r="Z686" i="13"/>
  <c r="Y687" i="13"/>
  <c r="Y688" i="13"/>
  <c r="Z687" i="13"/>
  <c r="Y689" i="13"/>
  <c r="Z688" i="13"/>
  <c r="Y690" i="13"/>
  <c r="Z689" i="13"/>
  <c r="Z690" i="13"/>
  <c r="Y691" i="13"/>
  <c r="Z691" i="13"/>
  <c r="Y692" i="13"/>
  <c r="Z692" i="13"/>
  <c r="Y693" i="13"/>
  <c r="Y694" i="13"/>
  <c r="Z693" i="13"/>
  <c r="Z694" i="13"/>
  <c r="Y695" i="13"/>
  <c r="Z695" i="13"/>
  <c r="Y696" i="13"/>
  <c r="Y697" i="13"/>
  <c r="Z696" i="13"/>
  <c r="Z697" i="13"/>
  <c r="Y698" i="13"/>
  <c r="Y699" i="13"/>
  <c r="Z698" i="13"/>
  <c r="Y700" i="13"/>
  <c r="Z699" i="13"/>
  <c r="Z700" i="13"/>
  <c r="Y701" i="13"/>
  <c r="Z701" i="13"/>
  <c r="Y702" i="13"/>
  <c r="Z702" i="13"/>
  <c r="Y703" i="13"/>
  <c r="Y704" i="13"/>
  <c r="Z703" i="13"/>
  <c r="Z704" i="13"/>
  <c r="Y705" i="13"/>
  <c r="Z705" i="13"/>
  <c r="Y706" i="13"/>
  <c r="Y707" i="13"/>
  <c r="Z706" i="13"/>
  <c r="Y708" i="13"/>
  <c r="Z707" i="13"/>
  <c r="Y709" i="13"/>
  <c r="Z708" i="13"/>
  <c r="Y710" i="13"/>
  <c r="Z709" i="13"/>
  <c r="Z710" i="13"/>
  <c r="Y711" i="13"/>
  <c r="Z711" i="13"/>
  <c r="Y712" i="13"/>
  <c r="Y713" i="13"/>
  <c r="Z712" i="13"/>
  <c r="Y714" i="13"/>
  <c r="Z713" i="13"/>
  <c r="Z714" i="13"/>
  <c r="Y715" i="13"/>
  <c r="Y716" i="13"/>
  <c r="Z715" i="13"/>
  <c r="Z716" i="13"/>
  <c r="Y717" i="13"/>
  <c r="Y718" i="13"/>
  <c r="Z717" i="13"/>
  <c r="Y719" i="13"/>
  <c r="Z718" i="13"/>
  <c r="Z719" i="13"/>
  <c r="Y720" i="13"/>
  <c r="Y721" i="13"/>
  <c r="Z720" i="13"/>
  <c r="Y722" i="13"/>
  <c r="Z721" i="13"/>
  <c r="Y723" i="13"/>
  <c r="Z722" i="13"/>
  <c r="Z723" i="13"/>
  <c r="Y724" i="13"/>
  <c r="Y725" i="13"/>
  <c r="Z724" i="13"/>
  <c r="Y726" i="13"/>
  <c r="Z725" i="13"/>
  <c r="Z726" i="13"/>
  <c r="Y727" i="13"/>
  <c r="Y728" i="13"/>
  <c r="Z727" i="13"/>
  <c r="Z728" i="13"/>
  <c r="Y729" i="13"/>
  <c r="Y730" i="13"/>
  <c r="Z729" i="13"/>
  <c r="Z730" i="13"/>
  <c r="Y731" i="13"/>
  <c r="Z731" i="13"/>
  <c r="Y732" i="13"/>
  <c r="Z732" i="13"/>
  <c r="Y733" i="13"/>
  <c r="Z733" i="13"/>
  <c r="Y734" i="13"/>
  <c r="Z734" i="13"/>
  <c r="Y735" i="13"/>
  <c r="Y736" i="13"/>
  <c r="Z735" i="13"/>
  <c r="Z736" i="13"/>
  <c r="Y737" i="13"/>
  <c r="Y738" i="13"/>
  <c r="Z737" i="13"/>
  <c r="Z738" i="13"/>
  <c r="Y739" i="13"/>
  <c r="Z739" i="13"/>
  <c r="Y740" i="13"/>
  <c r="Y741" i="13"/>
  <c r="Z740" i="13"/>
  <c r="Z741" i="13"/>
  <c r="Y742" i="13"/>
  <c r="Y743" i="13"/>
  <c r="Z742" i="13"/>
  <c r="Z743" i="13"/>
  <c r="Y744" i="13"/>
  <c r="Y745" i="13"/>
  <c r="Z744" i="13"/>
  <c r="Y746" i="13"/>
  <c r="Z745" i="13"/>
  <c r="Y747" i="13"/>
  <c r="Z746" i="13"/>
  <c r="Z747" i="13"/>
  <c r="Y748" i="13"/>
  <c r="Z748" i="13"/>
  <c r="Y749" i="13"/>
  <c r="Z749" i="13"/>
  <c r="Y750" i="13"/>
  <c r="Z750" i="13"/>
  <c r="Y751" i="13"/>
  <c r="Y752" i="13"/>
  <c r="Z751" i="13"/>
  <c r="Y753" i="13"/>
  <c r="Z752" i="13"/>
  <c r="Y754" i="13"/>
  <c r="Z753" i="13"/>
  <c r="Z754" i="13"/>
  <c r="Y755" i="13"/>
  <c r="Z755" i="13"/>
  <c r="Y756" i="13"/>
  <c r="Z756" i="13"/>
  <c r="Y757" i="13"/>
  <c r="Z757" i="13"/>
  <c r="Y758" i="13"/>
  <c r="Z758" i="13"/>
  <c r="Y759" i="13"/>
  <c r="Y760" i="13"/>
  <c r="Z759" i="13"/>
  <c r="Z760" i="13"/>
  <c r="Y761" i="13"/>
  <c r="Z761" i="13"/>
  <c r="Y762" i="13"/>
  <c r="Y763" i="13"/>
  <c r="Z762" i="13"/>
  <c r="Y764" i="13"/>
  <c r="Z763" i="13"/>
  <c r="Y765" i="13"/>
  <c r="Z764" i="13"/>
  <c r="Z765" i="13"/>
  <c r="Y766" i="13"/>
  <c r="Z766" i="13"/>
  <c r="Y767" i="13"/>
  <c r="Y768" i="13"/>
  <c r="Z767" i="13"/>
  <c r="Z768" i="13"/>
  <c r="Y769" i="13"/>
  <c r="Y770" i="13"/>
  <c r="Z769" i="13"/>
  <c r="Y771" i="13"/>
  <c r="Z770" i="13"/>
  <c r="Z771" i="13"/>
  <c r="Y772" i="13"/>
  <c r="Y773" i="13"/>
  <c r="Z772" i="13"/>
  <c r="Z773" i="13"/>
  <c r="Y774" i="13"/>
  <c r="Z774" i="13"/>
  <c r="Y775" i="13"/>
  <c r="Y776" i="13"/>
  <c r="Z775" i="13"/>
  <c r="Y777" i="13"/>
  <c r="Z776" i="13"/>
  <c r="Z777" i="13"/>
  <c r="Y778" i="13"/>
  <c r="Y779" i="13"/>
  <c r="Z778" i="13"/>
  <c r="Y780" i="13"/>
  <c r="Z779" i="13"/>
  <c r="Y781" i="13"/>
  <c r="Z780" i="13"/>
  <c r="Y782" i="13"/>
  <c r="Z781" i="13"/>
  <c r="Z782" i="13"/>
  <c r="Y783" i="13"/>
  <c r="Z783" i="13"/>
  <c r="Y784" i="13"/>
  <c r="Y785" i="13"/>
  <c r="Z784" i="13"/>
  <c r="Y786" i="13"/>
  <c r="Z785" i="13"/>
  <c r="Z786" i="13"/>
  <c r="Y787" i="13"/>
  <c r="Y788" i="13"/>
  <c r="Z787" i="13"/>
  <c r="Z788" i="13"/>
  <c r="Y789" i="13"/>
  <c r="Z789" i="13"/>
  <c r="Y790" i="13"/>
  <c r="Y791" i="13"/>
  <c r="Z790" i="13"/>
  <c r="Y792" i="13"/>
  <c r="Z791" i="13"/>
  <c r="Y793" i="13"/>
  <c r="Z792" i="13"/>
  <c r="Y794" i="13"/>
  <c r="Z793" i="13"/>
  <c r="Z794" i="13"/>
  <c r="Y795" i="13"/>
  <c r="Z795" i="13"/>
  <c r="Y796" i="13"/>
  <c r="Y797" i="13"/>
  <c r="Z796" i="13"/>
  <c r="Y798" i="13"/>
  <c r="Z797" i="13"/>
  <c r="Y799" i="13"/>
  <c r="Z798" i="13"/>
  <c r="Z799" i="13"/>
  <c r="Y800" i="13"/>
  <c r="Y801" i="13"/>
  <c r="Z800" i="13"/>
  <c r="Z801" i="13"/>
  <c r="Y802" i="13"/>
  <c r="Y803" i="13"/>
  <c r="Z802" i="13"/>
  <c r="Y804" i="13"/>
  <c r="Z803" i="13"/>
  <c r="Z804" i="13"/>
  <c r="Y805" i="13"/>
  <c r="Y806" i="13"/>
  <c r="Z805" i="13"/>
  <c r="Y807" i="13"/>
  <c r="Z806" i="13"/>
  <c r="Z807" i="13"/>
  <c r="Y808" i="13"/>
  <c r="Y809" i="13"/>
  <c r="Z808" i="13"/>
  <c r="Y810" i="13"/>
  <c r="Z809" i="13"/>
  <c r="Z810" i="13"/>
  <c r="Y811" i="13"/>
  <c r="Z811" i="13"/>
  <c r="Y812" i="13"/>
  <c r="Y813" i="13"/>
  <c r="Z812" i="13"/>
  <c r="Y814" i="13"/>
  <c r="Z813" i="13"/>
  <c r="Y815" i="13"/>
  <c r="Z814" i="13"/>
  <c r="Z815" i="13"/>
  <c r="Y816" i="13"/>
  <c r="Z816" i="13"/>
  <c r="Y817" i="13"/>
  <c r="Z817" i="13"/>
  <c r="Y818" i="13"/>
  <c r="Y819" i="13"/>
  <c r="Z818" i="13"/>
  <c r="Z819" i="13"/>
  <c r="Y820" i="13"/>
  <c r="Y821" i="13"/>
  <c r="Z820" i="13"/>
  <c r="Z821" i="13"/>
  <c r="Y822" i="13"/>
  <c r="Z822" i="13"/>
  <c r="Y823" i="13"/>
  <c r="Z823" i="13"/>
  <c r="Y824" i="13"/>
  <c r="Y825" i="13"/>
  <c r="Z824" i="13"/>
  <c r="Y826" i="13"/>
  <c r="Z825" i="13"/>
  <c r="Z826" i="13"/>
  <c r="Y827" i="13"/>
  <c r="Y828" i="13"/>
  <c r="Z827" i="13"/>
  <c r="Z828" i="13"/>
  <c r="Y829" i="13"/>
  <c r="Y830" i="13"/>
  <c r="Z829" i="13"/>
  <c r="Y831" i="13"/>
  <c r="Z830" i="13"/>
  <c r="Y832" i="13"/>
  <c r="Z831" i="13"/>
  <c r="Z832" i="13"/>
  <c r="Y833" i="13"/>
  <c r="Y834" i="13"/>
  <c r="Z833" i="13"/>
  <c r="Z834" i="13"/>
  <c r="Y835" i="13"/>
  <c r="Y836" i="13"/>
  <c r="Z835" i="13"/>
  <c r="Z836" i="13"/>
  <c r="Y837" i="13"/>
  <c r="Z837" i="13"/>
  <c r="Y838" i="13"/>
  <c r="Z838" i="13"/>
  <c r="Y839" i="13"/>
  <c r="Z839" i="13"/>
  <c r="Y840" i="13"/>
  <c r="Z840" i="13"/>
  <c r="Y841" i="13"/>
  <c r="Y842" i="13"/>
  <c r="Z841" i="13"/>
  <c r="Y843" i="13"/>
  <c r="Z842" i="13"/>
  <c r="Z843" i="13"/>
  <c r="Y844" i="13"/>
  <c r="Y845" i="13"/>
  <c r="Z844" i="13"/>
  <c r="Z845" i="13"/>
  <c r="Y846" i="13"/>
  <c r="Y847" i="13"/>
  <c r="Z846" i="13"/>
  <c r="Z847" i="13"/>
  <c r="Y848" i="13"/>
  <c r="Y849" i="13"/>
  <c r="Z848" i="13"/>
  <c r="Z849" i="13"/>
  <c r="Y850" i="13"/>
  <c r="Y851" i="13"/>
  <c r="Z850" i="13"/>
  <c r="Z851" i="13"/>
  <c r="Y852" i="13"/>
  <c r="Y853" i="13"/>
  <c r="Z852" i="13"/>
  <c r="Y854" i="13"/>
  <c r="Z853" i="13"/>
  <c r="Y855" i="13"/>
  <c r="Z854" i="13"/>
  <c r="Z855" i="13"/>
  <c r="Y856" i="13"/>
  <c r="Z856" i="13"/>
  <c r="Y857" i="13"/>
  <c r="Z857" i="13"/>
  <c r="Y858" i="13"/>
  <c r="Z858" i="13"/>
  <c r="Y859" i="13"/>
  <c r="Y860" i="13"/>
  <c r="Z859" i="13"/>
  <c r="Y861" i="13"/>
  <c r="Z860" i="13"/>
  <c r="Z861" i="13"/>
  <c r="Y862" i="13"/>
  <c r="Y863" i="13"/>
  <c r="Z862" i="13"/>
  <c r="Z863" i="13"/>
  <c r="Y864" i="13"/>
  <c r="Y865" i="13"/>
  <c r="Z864" i="13"/>
  <c r="Y866" i="13"/>
  <c r="Z865" i="13"/>
  <c r="Z866" i="13"/>
  <c r="Y867" i="13"/>
  <c r="Y868" i="13"/>
  <c r="Z867" i="13"/>
  <c r="Z868" i="13"/>
  <c r="Y869" i="13"/>
  <c r="Z869" i="13"/>
  <c r="Y870" i="13"/>
  <c r="Y871" i="13"/>
  <c r="Z870" i="13"/>
  <c r="Y872" i="13"/>
  <c r="Z871" i="13"/>
  <c r="Z872" i="13"/>
  <c r="Y873" i="13"/>
  <c r="Z873" i="13"/>
  <c r="Y874" i="13"/>
  <c r="Z874" i="13"/>
  <c r="Y875" i="13"/>
  <c r="Z875" i="13"/>
  <c r="Y876" i="13"/>
  <c r="Y877" i="13"/>
  <c r="Z876" i="13"/>
  <c r="Y878" i="13"/>
  <c r="Z877" i="13"/>
  <c r="Z878" i="13"/>
  <c r="Y879" i="13"/>
  <c r="Y880" i="13"/>
  <c r="Z879" i="13"/>
  <c r="Y881" i="13"/>
  <c r="Z880" i="13"/>
  <c r="Y882" i="13"/>
  <c r="Z881" i="13"/>
  <c r="Z882" i="13"/>
  <c r="Y883" i="13"/>
  <c r="Z883" i="13"/>
  <c r="Y884" i="13"/>
  <c r="Y885" i="13"/>
  <c r="Z884" i="13"/>
  <c r="Y886" i="13"/>
  <c r="Z885" i="13"/>
  <c r="Z886" i="13"/>
  <c r="Y887" i="13"/>
  <c r="Z887" i="13"/>
  <c r="Y888" i="13"/>
  <c r="Y889" i="13"/>
  <c r="Z888" i="13"/>
  <c r="Y890" i="13"/>
  <c r="Z889" i="13"/>
  <c r="Z890" i="13"/>
  <c r="Y891" i="13"/>
  <c r="Y892" i="13"/>
  <c r="Z891" i="13"/>
  <c r="Y893" i="13"/>
  <c r="Z892" i="13"/>
  <c r="Z893" i="13"/>
  <c r="Y894" i="13"/>
  <c r="Z894" i="13"/>
  <c r="Y895" i="13"/>
  <c r="Z895" i="13"/>
  <c r="Y896" i="13"/>
  <c r="Z896" i="13"/>
  <c r="Y897" i="13"/>
  <c r="Y898" i="13"/>
  <c r="Z897" i="13"/>
  <c r="Z898" i="13"/>
  <c r="Y899" i="13"/>
  <c r="Y900" i="13"/>
  <c r="Z899" i="13"/>
  <c r="Y901" i="13"/>
  <c r="Z900" i="13"/>
  <c r="Y902" i="13"/>
  <c r="Z901" i="13"/>
  <c r="Y903" i="13"/>
  <c r="Z902" i="13"/>
  <c r="Y904" i="13"/>
  <c r="Z903" i="13"/>
  <c r="Z904" i="13"/>
  <c r="Y905" i="13"/>
  <c r="Z905" i="13"/>
  <c r="Y906" i="13"/>
  <c r="Z906" i="13"/>
  <c r="Y907" i="13"/>
  <c r="Z907" i="13"/>
  <c r="Y908" i="13"/>
  <c r="Y909" i="13"/>
  <c r="Z908" i="13"/>
  <c r="Y910" i="13"/>
  <c r="Z909" i="13"/>
  <c r="Y911" i="13"/>
  <c r="Z910" i="13"/>
  <c r="Z911" i="13"/>
  <c r="Y912" i="13"/>
  <c r="Z912" i="13"/>
  <c r="Y913" i="13"/>
  <c r="Y914" i="13"/>
  <c r="Z913" i="13"/>
  <c r="Z914" i="13"/>
  <c r="Y915" i="13"/>
  <c r="Y916" i="13"/>
  <c r="Z915" i="13"/>
  <c r="Z916" i="13"/>
  <c r="Y917" i="13"/>
  <c r="Z917" i="13"/>
  <c r="Y918" i="13"/>
  <c r="Y919" i="13"/>
  <c r="Z918" i="13"/>
  <c r="Y920" i="13"/>
  <c r="Z919" i="13"/>
  <c r="Z920" i="13"/>
  <c r="Y921" i="13"/>
  <c r="Y922" i="13"/>
  <c r="Z921" i="13"/>
  <c r="Z922" i="13"/>
  <c r="Y923" i="13"/>
  <c r="Y924" i="13"/>
  <c r="Z923" i="13"/>
  <c r="Z924" i="13"/>
  <c r="Y925" i="13"/>
  <c r="Y926" i="13"/>
  <c r="Z925" i="13"/>
  <c r="Z926" i="13"/>
  <c r="Y927" i="13"/>
  <c r="Y928" i="13"/>
  <c r="Z927" i="13"/>
  <c r="Y929" i="13"/>
  <c r="Z928" i="13"/>
  <c r="Y930" i="13"/>
  <c r="Z929" i="13"/>
  <c r="Z930" i="13"/>
  <c r="Y931" i="13"/>
  <c r="Z931" i="13"/>
  <c r="Y932" i="13"/>
  <c r="Y933" i="13"/>
  <c r="Z932" i="13"/>
  <c r="Z933" i="13"/>
  <c r="Y934" i="13"/>
  <c r="Z934" i="13"/>
  <c r="Y935" i="13"/>
  <c r="Y936" i="13"/>
  <c r="Z935" i="13"/>
  <c r="Y937" i="13"/>
  <c r="Z936" i="13"/>
  <c r="Z937" i="13"/>
  <c r="Y938" i="13"/>
  <c r="Z938" i="13"/>
  <c r="Y939" i="13"/>
  <c r="Z939" i="13"/>
  <c r="Y940" i="13"/>
  <c r="Z940" i="13"/>
  <c r="Y941" i="13"/>
  <c r="Z941" i="13"/>
  <c r="Y942" i="13"/>
  <c r="Z942" i="13"/>
  <c r="Y943" i="13"/>
  <c r="Y944" i="13"/>
  <c r="Z943" i="13"/>
  <c r="Y945" i="13"/>
  <c r="Z944" i="13"/>
  <c r="Z945" i="13"/>
  <c r="Y946" i="13"/>
  <c r="Z946" i="13"/>
  <c r="Y947" i="13"/>
  <c r="Z947" i="13"/>
  <c r="Y948" i="13"/>
  <c r="Z948" i="13"/>
  <c r="Y949" i="13"/>
  <c r="Y950" i="13"/>
  <c r="Z949" i="13"/>
  <c r="Y951" i="13"/>
  <c r="Z950" i="13"/>
  <c r="Z951" i="13"/>
  <c r="Y952" i="13"/>
  <c r="Z952" i="13"/>
  <c r="Y953" i="13"/>
  <c r="Z953" i="13"/>
  <c r="Y954" i="13"/>
  <c r="Z954" i="13"/>
  <c r="Y955" i="13"/>
  <c r="Z955" i="13"/>
  <c r="Y956" i="13"/>
  <c r="Z956" i="13"/>
  <c r="Y957" i="13"/>
  <c r="Z957" i="13"/>
  <c r="Y958" i="13"/>
  <c r="Z958" i="13"/>
  <c r="Y959" i="13"/>
  <c r="Y960" i="13"/>
  <c r="Z959" i="13"/>
  <c r="Y961" i="13"/>
  <c r="Z960" i="13"/>
  <c r="Z961" i="13"/>
  <c r="Y962" i="13"/>
  <c r="Y963" i="13"/>
  <c r="Z962" i="13"/>
  <c r="Z963" i="13"/>
  <c r="Y964" i="13"/>
  <c r="Z964" i="13"/>
  <c r="Y965" i="13"/>
  <c r="Y966" i="13"/>
  <c r="Z965" i="13"/>
  <c r="Z966" i="13"/>
  <c r="Y967" i="13"/>
  <c r="Z967" i="13"/>
  <c r="Y968" i="13"/>
  <c r="Z968" i="13"/>
  <c r="Y969" i="13"/>
  <c r="Y970" i="13"/>
  <c r="Z969" i="13"/>
  <c r="Y971" i="13"/>
  <c r="Z970" i="13"/>
  <c r="Z971" i="13"/>
  <c r="Y972" i="13"/>
  <c r="Z972" i="13"/>
  <c r="Y973" i="13"/>
  <c r="Y974" i="13"/>
  <c r="Z973" i="13"/>
  <c r="Y975" i="13"/>
  <c r="Z974" i="13"/>
  <c r="Y976" i="13"/>
  <c r="Z975" i="13"/>
  <c r="Y977" i="13"/>
  <c r="Z976" i="13"/>
  <c r="Y978" i="13"/>
  <c r="Z977" i="13"/>
  <c r="Y979" i="13"/>
  <c r="Z978" i="13"/>
  <c r="Y980" i="13"/>
  <c r="Z979" i="13"/>
  <c r="Y981" i="13"/>
  <c r="Z980" i="13"/>
  <c r="Z981" i="13"/>
  <c r="Y982" i="13"/>
  <c r="Y983" i="13"/>
  <c r="Z982" i="13"/>
  <c r="Y984" i="13"/>
  <c r="Z983" i="13"/>
  <c r="Z984" i="13"/>
  <c r="Y985" i="13"/>
  <c r="Z985" i="13"/>
  <c r="Y986" i="13"/>
  <c r="Z986" i="13"/>
  <c r="Y987" i="13"/>
  <c r="Z987" i="13"/>
  <c r="Y988" i="13"/>
  <c r="Y989" i="13"/>
  <c r="Z988" i="13"/>
  <c r="Z989" i="13"/>
  <c r="Y990" i="13"/>
  <c r="Z990" i="13"/>
  <c r="Y991" i="13"/>
  <c r="Y992" i="13"/>
  <c r="Z991" i="13"/>
  <c r="Y993" i="13"/>
  <c r="Z992" i="13"/>
  <c r="Z993" i="13"/>
  <c r="Y994" i="13"/>
  <c r="Z994" i="13"/>
  <c r="Y995" i="13"/>
  <c r="Y996" i="13"/>
  <c r="Z995" i="13"/>
  <c r="Z996" i="13"/>
  <c r="Y997" i="13"/>
  <c r="Y998" i="13"/>
  <c r="Z997" i="13"/>
  <c r="Y999" i="13"/>
  <c r="Z998" i="13"/>
  <c r="Y1000" i="13"/>
  <c r="Z999" i="13"/>
  <c r="Y1001" i="13"/>
  <c r="Z1000" i="13"/>
  <c r="Z1001" i="13"/>
  <c r="Y1002" i="13"/>
  <c r="Z1002" i="13"/>
  <c r="Y1003" i="13"/>
  <c r="Y1004" i="13"/>
  <c r="Z1003" i="13"/>
  <c r="Z1004" i="13"/>
  <c r="Y1005" i="13"/>
  <c r="Y1006" i="13"/>
  <c r="Z1005" i="13"/>
  <c r="Z1006" i="13"/>
  <c r="Y1007" i="13"/>
  <c r="Z1007" i="13"/>
  <c r="Y1008" i="13"/>
  <c r="Z1008" i="13"/>
  <c r="Y1009" i="13"/>
  <c r="Z1009" i="13"/>
  <c r="Y1010" i="13"/>
  <c r="Z1010" i="13"/>
  <c r="Y1011" i="13"/>
  <c r="Z1011" i="13"/>
  <c r="Y1012" i="13"/>
  <c r="Y1013" i="13"/>
  <c r="Z1012" i="13"/>
  <c r="Y1014" i="13"/>
  <c r="Z1013" i="13"/>
  <c r="Z1014" i="13"/>
  <c r="Y1015" i="13"/>
  <c r="Y1016" i="13"/>
  <c r="Z1015" i="13"/>
  <c r="Z1016" i="13"/>
  <c r="Y1017" i="13"/>
  <c r="Y1018" i="13"/>
  <c r="Z1017" i="13"/>
  <c r="Z1018" i="13"/>
  <c r="Y1019" i="13"/>
  <c r="Z1019" i="13"/>
  <c r="Y1020" i="13"/>
  <c r="Z1020" i="13"/>
  <c r="Y1021" i="13"/>
  <c r="Y1022" i="13"/>
  <c r="Z1021" i="13"/>
  <c r="Y1023" i="13"/>
  <c r="Z1022" i="13"/>
  <c r="Y1024" i="13"/>
  <c r="Z1023" i="13"/>
  <c r="Z1024" i="13"/>
  <c r="Y1025" i="13"/>
  <c r="Z1025" i="13"/>
  <c r="Y1026" i="13"/>
  <c r="Y1027" i="13"/>
  <c r="Z1026" i="13"/>
  <c r="Z1027" i="13"/>
  <c r="Y1028" i="13"/>
  <c r="Y1029" i="13"/>
  <c r="Z1028" i="13"/>
  <c r="Y1030" i="13"/>
  <c r="Z1029" i="13"/>
  <c r="Z1030" i="13"/>
  <c r="Y1031" i="13"/>
  <c r="Y1032" i="13"/>
  <c r="Z1031" i="13"/>
  <c r="Y1033" i="13"/>
  <c r="Z1032" i="13"/>
  <c r="Y1034" i="13"/>
  <c r="Z1033" i="13"/>
  <c r="Z1034" i="13"/>
  <c r="Y1035" i="13"/>
  <c r="Z1035" i="13"/>
  <c r="Y1036" i="13"/>
  <c r="Z1036" i="13"/>
  <c r="Y1037" i="13"/>
  <c r="Z1037" i="13"/>
  <c r="Y1038" i="13"/>
  <c r="Z1038" i="13"/>
  <c r="Y1039" i="13"/>
  <c r="Y1040" i="13"/>
  <c r="Z1039" i="13"/>
  <c r="Y1041" i="13"/>
  <c r="Z1040" i="13"/>
  <c r="Z1041" i="13"/>
  <c r="Y1042" i="13"/>
  <c r="Z1042" i="13"/>
  <c r="Y1043" i="13"/>
  <c r="Z1043" i="13"/>
  <c r="Y1044" i="13"/>
  <c r="Y1045" i="13"/>
  <c r="Z1044" i="13"/>
  <c r="Z1045" i="13"/>
  <c r="Y1046" i="13"/>
  <c r="Z1046" i="13"/>
  <c r="Y1047" i="13"/>
  <c r="Y1048" i="13"/>
  <c r="Z1047" i="13"/>
  <c r="Z1048" i="13"/>
  <c r="Y1049" i="13"/>
  <c r="Y1050" i="13"/>
  <c r="Z1049" i="13"/>
  <c r="Z1050" i="13"/>
  <c r="Y1051" i="13"/>
  <c r="Y1052" i="13"/>
  <c r="Z1051" i="13"/>
  <c r="Z1052" i="13"/>
  <c r="Y1053" i="13"/>
  <c r="Y1054" i="13"/>
  <c r="Z1053" i="13"/>
  <c r="Z1054" i="13"/>
  <c r="Y1055" i="13"/>
  <c r="Y1056" i="13"/>
  <c r="Z1055" i="13"/>
  <c r="Z1056" i="13"/>
  <c r="Y1057" i="13"/>
  <c r="Z1057" i="13"/>
  <c r="Y1058" i="13"/>
  <c r="Z1058" i="13"/>
  <c r="Y1059" i="13"/>
  <c r="Z1059" i="13"/>
  <c r="Y1060" i="13"/>
  <c r="Y1061" i="13"/>
  <c r="Z1060" i="13"/>
  <c r="Z1061" i="13"/>
  <c r="Y1062" i="13"/>
  <c r="Y1063" i="13"/>
  <c r="Z1062" i="13"/>
  <c r="Z1063" i="13"/>
  <c r="Y1064" i="13"/>
  <c r="Y1065" i="13"/>
  <c r="Z1064" i="13"/>
  <c r="Y1066" i="13"/>
  <c r="Z1065" i="13"/>
  <c r="Z1066" i="13"/>
  <c r="Y1067" i="13"/>
  <c r="Z1067" i="13"/>
  <c r="Y1068" i="13"/>
  <c r="Z1068" i="13"/>
  <c r="Y1069" i="13"/>
  <c r="Y1070" i="13"/>
  <c r="Z1069" i="13"/>
  <c r="Y1071" i="13"/>
  <c r="Z1070" i="13"/>
  <c r="Y1072" i="13"/>
  <c r="Z1071" i="13"/>
  <c r="Y1073" i="13"/>
  <c r="Z1072" i="13"/>
  <c r="Z1073" i="13"/>
  <c r="Y1074" i="13"/>
  <c r="Y1075" i="13"/>
  <c r="Z1074" i="13"/>
  <c r="Y1076" i="13"/>
  <c r="Z1075" i="13"/>
  <c r="Y1077" i="13"/>
  <c r="Z1076" i="13"/>
  <c r="Z1077" i="13"/>
  <c r="Y1078" i="13"/>
  <c r="Z1078" i="13"/>
  <c r="Y1079" i="13"/>
  <c r="Z1079" i="13"/>
  <c r="Y1080" i="13"/>
  <c r="Z1080" i="13"/>
  <c r="Y1081" i="13"/>
  <c r="Z1081" i="13"/>
  <c r="Y1082" i="13"/>
  <c r="Z1082" i="13"/>
  <c r="Y1083" i="13"/>
  <c r="Z1083" i="13"/>
  <c r="Y1084" i="13"/>
  <c r="Z1084" i="13"/>
  <c r="Y1085" i="13"/>
  <c r="Y1086" i="13"/>
  <c r="Z1085" i="13"/>
  <c r="Y1087" i="13"/>
  <c r="Z1086" i="13"/>
  <c r="Z1087" i="13"/>
  <c r="Y1088" i="13"/>
  <c r="Z1088" i="13"/>
  <c r="Y1089" i="13"/>
  <c r="Z1089" i="13"/>
  <c r="Y1090" i="13"/>
  <c r="Z1090" i="13"/>
  <c r="Y1091" i="13"/>
  <c r="Z1091" i="13"/>
  <c r="Y1092" i="13"/>
  <c r="Y1093" i="13"/>
  <c r="Z1092" i="13"/>
  <c r="Z1093" i="13"/>
  <c r="Y1094" i="13"/>
  <c r="Z1094" i="13"/>
  <c r="Y1095" i="13"/>
  <c r="Y1096" i="13"/>
  <c r="Z1095" i="13"/>
  <c r="Z1096" i="13"/>
  <c r="Y1097" i="13"/>
  <c r="Y1098" i="13"/>
  <c r="Z1097" i="13"/>
  <c r="Y1099" i="13"/>
  <c r="Z1098" i="13"/>
  <c r="Z1099" i="13"/>
  <c r="Y1100" i="13"/>
  <c r="Y1101" i="13"/>
  <c r="Z1100" i="13"/>
  <c r="Z1101" i="13"/>
  <c r="Y1102" i="13"/>
  <c r="Z1102" i="13"/>
  <c r="Y1103" i="13"/>
  <c r="Z1103" i="13"/>
  <c r="Y1104" i="13"/>
  <c r="Y1105" i="13"/>
  <c r="Z1104" i="13"/>
  <c r="Z1105" i="13"/>
  <c r="Y1106" i="13"/>
  <c r="Y1107" i="13"/>
  <c r="Z1106" i="13"/>
  <c r="Z1107" i="13"/>
  <c r="Y1108" i="13"/>
  <c r="Z1108" i="13"/>
  <c r="Y1109" i="13"/>
  <c r="Z1109" i="13"/>
  <c r="Y1110" i="13"/>
  <c r="Y1111" i="13"/>
  <c r="Z1110" i="13"/>
  <c r="Z1111" i="13"/>
  <c r="Y1112" i="13"/>
  <c r="Z1112" i="13"/>
  <c r="Y1113" i="13"/>
  <c r="Y1114" i="13"/>
  <c r="Z1113" i="13"/>
  <c r="Z1114" i="13"/>
  <c r="Y1115" i="13"/>
  <c r="Y1116" i="13"/>
  <c r="Z1115" i="13"/>
  <c r="Y1117" i="13"/>
  <c r="Z1116" i="13"/>
  <c r="Z1117" i="13"/>
  <c r="Y1118" i="13"/>
  <c r="Y1119" i="13"/>
  <c r="Z1118" i="13"/>
  <c r="Y1120" i="13"/>
  <c r="Z1119" i="13"/>
  <c r="Z1120" i="13"/>
  <c r="Y1121" i="13"/>
  <c r="Z1121" i="13"/>
  <c r="Y1122" i="13"/>
  <c r="Z1122" i="13"/>
  <c r="Y1123" i="13"/>
  <c r="Y1124" i="13"/>
  <c r="Z1123" i="13"/>
  <c r="Z1124" i="13"/>
  <c r="Y1125" i="13"/>
  <c r="Z1125" i="13"/>
  <c r="Y1126" i="13"/>
  <c r="Y1127" i="13"/>
  <c r="Z1126" i="13"/>
  <c r="Y1128" i="13"/>
  <c r="Z1127" i="13"/>
  <c r="Z1128" i="13"/>
  <c r="Y1129" i="13"/>
  <c r="Y1130" i="13"/>
  <c r="Z1129" i="13"/>
  <c r="Y1131" i="13"/>
  <c r="Z1130" i="13"/>
  <c r="Z1131" i="13"/>
  <c r="Y1132" i="13"/>
  <c r="Y1133" i="13"/>
  <c r="Z1132" i="13"/>
  <c r="Y1134" i="13"/>
  <c r="Z1133" i="13"/>
  <c r="Z1134" i="13"/>
  <c r="Y1135" i="13"/>
  <c r="Z1135" i="13"/>
  <c r="Y1136" i="13"/>
  <c r="Y1137" i="13"/>
  <c r="Z1136" i="13"/>
  <c r="Z1137" i="13"/>
  <c r="Y1138" i="13"/>
  <c r="Z1138" i="13"/>
  <c r="Y1139" i="13"/>
  <c r="Z1139" i="13"/>
  <c r="Y1140" i="13"/>
  <c r="Y1141" i="13"/>
  <c r="Z1140" i="13"/>
  <c r="Y1142" i="13"/>
  <c r="Z1141" i="13"/>
  <c r="Z1142" i="13"/>
  <c r="Y1143" i="13"/>
  <c r="Z1143" i="13"/>
  <c r="Y1144" i="13"/>
  <c r="Z1144" i="13"/>
  <c r="Y1145" i="13"/>
  <c r="Y1146" i="13"/>
  <c r="Z1145" i="13"/>
  <c r="Y1147" i="13"/>
  <c r="Z1146" i="13"/>
  <c r="Y1148" i="13"/>
  <c r="Z1147" i="13"/>
  <c r="Y1149" i="13"/>
  <c r="Z1148" i="13"/>
  <c r="Z1149" i="13"/>
  <c r="Y1150" i="13"/>
  <c r="Z1150" i="13"/>
  <c r="Y1151" i="13"/>
  <c r="Z1151" i="13"/>
  <c r="Y1152" i="13"/>
  <c r="Z1152" i="13"/>
  <c r="Y1153" i="13"/>
  <c r="Y1154" i="13"/>
  <c r="Z1153" i="13"/>
  <c r="Z1154" i="13"/>
  <c r="Y1155" i="13"/>
  <c r="Z1155" i="13"/>
  <c r="Y1156" i="13"/>
  <c r="Y1157" i="13"/>
  <c r="Z1156" i="13"/>
  <c r="Z1157" i="13"/>
  <c r="Y1158" i="13"/>
  <c r="Z1158" i="13"/>
  <c r="Y1159" i="13"/>
  <c r="Z1159" i="13"/>
  <c r="Y1160" i="13"/>
  <c r="Z1160" i="13"/>
  <c r="Y1161" i="13"/>
  <c r="Z1161" i="13"/>
  <c r="Y1162" i="13"/>
  <c r="Z1162" i="13"/>
  <c r="Y1163" i="13"/>
  <c r="Y1164" i="13"/>
  <c r="Z1163" i="13"/>
  <c r="Y1165" i="13"/>
  <c r="Z1164" i="13"/>
  <c r="Z1165" i="13"/>
  <c r="Y1166" i="13"/>
  <c r="Z1166" i="13"/>
  <c r="Y1167" i="13"/>
  <c r="Z1167" i="13"/>
  <c r="Y1168" i="13"/>
  <c r="Y1169" i="13"/>
  <c r="Z1168" i="13"/>
  <c r="Z1169" i="13"/>
  <c r="Y1170" i="13"/>
  <c r="Y1171" i="13"/>
  <c r="Z1170" i="13"/>
  <c r="Z1171" i="13"/>
  <c r="Y1172" i="13"/>
  <c r="Z1172" i="13"/>
  <c r="Y1173" i="13"/>
  <c r="Z1173" i="13"/>
  <c r="Y1174" i="13"/>
  <c r="Z1174" i="13"/>
  <c r="Y1175" i="13"/>
  <c r="Y1176" i="13"/>
  <c r="Z1175" i="13"/>
  <c r="Y1177" i="13"/>
  <c r="Z1176" i="13"/>
  <c r="Z1177" i="13"/>
  <c r="Y1178" i="13"/>
  <c r="Y1179" i="13"/>
  <c r="Z1178" i="13"/>
  <c r="Z1179" i="13"/>
  <c r="Y1180" i="13"/>
  <c r="Y1181" i="13"/>
  <c r="Z1180" i="13"/>
  <c r="Y1182" i="13"/>
  <c r="Z1181" i="13"/>
  <c r="Y1183" i="13"/>
  <c r="Z1182" i="13"/>
  <c r="Z1183" i="13"/>
  <c r="Y1184" i="13"/>
  <c r="Z1184" i="13"/>
  <c r="Y1185" i="13"/>
  <c r="Y1186" i="13"/>
  <c r="Z1185" i="13"/>
  <c r="Y1187" i="13"/>
  <c r="Z1186" i="13"/>
  <c r="Z1187" i="13"/>
  <c r="Y1188" i="13"/>
  <c r="Z1188" i="13"/>
  <c r="Y1189" i="13"/>
  <c r="Y1190" i="13"/>
  <c r="Z1189" i="13"/>
  <c r="Z1190" i="13"/>
  <c r="Y1191" i="13"/>
  <c r="Y1192" i="13"/>
  <c r="Z1191" i="13"/>
  <c r="Y1193" i="13"/>
  <c r="Z1192" i="13"/>
  <c r="Y1194" i="13"/>
  <c r="Z1193" i="13"/>
  <c r="Z1194" i="13"/>
  <c r="Y1195" i="13"/>
  <c r="Y1196" i="13"/>
  <c r="Z1195" i="13"/>
  <c r="Z1196" i="13"/>
  <c r="Y1197" i="13"/>
  <c r="Z1197" i="13"/>
  <c r="Y1198" i="13"/>
  <c r="Z1198" i="13"/>
  <c r="Y1199" i="13"/>
  <c r="Y1200" i="13"/>
  <c r="Z1199" i="13"/>
  <c r="Y1201" i="13"/>
  <c r="Z1200" i="13"/>
  <c r="Z1201" i="13"/>
  <c r="Y1202" i="13"/>
  <c r="Z1202" i="13"/>
  <c r="Y1203" i="13"/>
  <c r="Y1204" i="13"/>
  <c r="Z1203" i="13"/>
  <c r="Y1205" i="13"/>
  <c r="Z1204" i="13"/>
  <c r="Y1206" i="13"/>
  <c r="Z1205" i="13"/>
  <c r="Z1206" i="13"/>
  <c r="Y1207" i="13"/>
  <c r="Z1207" i="13"/>
  <c r="Y1208" i="13"/>
  <c r="Z1208" i="13"/>
  <c r="Y1209" i="13"/>
  <c r="Z1209" i="13"/>
  <c r="Y1210" i="13"/>
  <c r="Z1210" i="13"/>
  <c r="Y1211" i="13"/>
  <c r="Y1212" i="13"/>
  <c r="Z1211" i="13"/>
  <c r="Z1212" i="13"/>
  <c r="Y1213" i="13"/>
  <c r="Z1213" i="13"/>
  <c r="Y1214" i="13"/>
  <c r="Z1214" i="13"/>
  <c r="Y1215" i="13"/>
  <c r="Y1216" i="13"/>
  <c r="Z1215" i="13"/>
  <c r="Y1217" i="13"/>
  <c r="Z1216" i="13"/>
  <c r="Y1218" i="13"/>
  <c r="Z1217" i="13"/>
  <c r="Y1219" i="13"/>
  <c r="Z1218" i="13"/>
  <c r="Z1219" i="13"/>
  <c r="Y1220" i="13"/>
  <c r="Y1221" i="13"/>
  <c r="Z1220" i="13"/>
  <c r="Z1221" i="13"/>
  <c r="Y1222" i="13"/>
  <c r="Z1222" i="13"/>
  <c r="Y1223" i="13"/>
  <c r="Z1223" i="13"/>
  <c r="Y1224" i="13"/>
  <c r="Y1225" i="13"/>
  <c r="Z1224" i="13"/>
  <c r="Z1225" i="13"/>
  <c r="Y1226" i="13"/>
  <c r="Y1227" i="13"/>
  <c r="Z1226" i="13"/>
  <c r="Y1228" i="13"/>
  <c r="Z1227" i="13"/>
  <c r="Y1229" i="13"/>
  <c r="Z1228" i="13"/>
  <c r="Z1229" i="13"/>
  <c r="Y1230" i="13"/>
  <c r="Y1231" i="13"/>
  <c r="Z1230" i="13"/>
  <c r="Y1232" i="13"/>
  <c r="Z1231" i="13"/>
  <c r="Z1232" i="13"/>
  <c r="Y1233" i="13"/>
  <c r="Y1234" i="13"/>
  <c r="Z1233" i="13"/>
  <c r="Y1235" i="13"/>
  <c r="Z1234" i="13"/>
  <c r="Y1236" i="13"/>
  <c r="Z1235" i="13"/>
  <c r="Z1236" i="13"/>
  <c r="Y1237" i="13"/>
  <c r="Z1237" i="13"/>
  <c r="Y1238" i="13"/>
  <c r="Z1238" i="13"/>
  <c r="Y1239" i="13"/>
  <c r="Z1239" i="13"/>
  <c r="Y1240" i="13"/>
  <c r="Y1241" i="13"/>
  <c r="Z1240" i="13"/>
  <c r="Y1242" i="13"/>
  <c r="Z1241" i="13"/>
  <c r="Z1242" i="13"/>
  <c r="Y1243" i="13"/>
  <c r="Z1243" i="13"/>
  <c r="Y1244" i="13"/>
  <c r="Z1244" i="13"/>
  <c r="Y1245" i="13"/>
  <c r="Y1246" i="13"/>
  <c r="Z1245" i="13"/>
  <c r="Z1246" i="13"/>
  <c r="Y1247" i="13"/>
  <c r="Z1247" i="13"/>
  <c r="Y1248" i="13"/>
  <c r="Y1249" i="13"/>
  <c r="Z1248" i="13"/>
  <c r="Z1249" i="13"/>
  <c r="Y1250" i="13"/>
  <c r="Y1251" i="13"/>
  <c r="Z1250" i="13"/>
  <c r="Z1251" i="13"/>
  <c r="Y1252" i="13"/>
  <c r="Z1252" i="13"/>
  <c r="Y1253" i="13"/>
  <c r="Z1253" i="13"/>
  <c r="Y1254" i="13"/>
  <c r="Y1255" i="13"/>
  <c r="Z1254" i="13"/>
  <c r="Y1256" i="13"/>
  <c r="Z1255" i="13"/>
  <c r="Y1257" i="13"/>
  <c r="Z1256" i="13"/>
  <c r="Z1257" i="13"/>
  <c r="Y1258" i="13"/>
  <c r="Z1258" i="13"/>
  <c r="Y1259" i="13"/>
  <c r="Y1260" i="13"/>
  <c r="Z1259" i="13"/>
  <c r="Z1260" i="13"/>
  <c r="Y1261" i="13"/>
  <c r="Y1262" i="13"/>
  <c r="Z1261" i="13"/>
  <c r="Y1263" i="13"/>
  <c r="Z1262" i="13"/>
  <c r="Y1264" i="13"/>
  <c r="Z1263" i="13"/>
  <c r="Y1265" i="13"/>
  <c r="Z1264" i="13"/>
  <c r="Y1266" i="13"/>
  <c r="Z1265" i="13"/>
  <c r="Y1267" i="13"/>
  <c r="Z1266" i="13"/>
  <c r="Y1268" i="13"/>
  <c r="Z1267" i="13"/>
  <c r="Y1269" i="13"/>
  <c r="Z1268" i="13"/>
  <c r="Z1269" i="13"/>
  <c r="Y1270" i="13"/>
  <c r="Z1270" i="13"/>
  <c r="Y1271" i="13"/>
  <c r="Y1272" i="13"/>
  <c r="Z1271" i="13"/>
  <c r="Y1273" i="13"/>
  <c r="Z1272" i="13"/>
  <c r="Z1273" i="13"/>
  <c r="Y1274" i="13"/>
  <c r="Y1275" i="13"/>
  <c r="Z1274" i="13"/>
  <c r="Y1276" i="13"/>
  <c r="Z1275" i="13"/>
  <c r="Z1276" i="13"/>
  <c r="Y1277" i="13"/>
  <c r="Z1277" i="13"/>
  <c r="Y1278" i="13"/>
  <c r="Y1279" i="13"/>
  <c r="Z1278" i="13"/>
  <c r="Y1280" i="13"/>
  <c r="Z1279" i="13"/>
  <c r="Z1280" i="13"/>
  <c r="Y1281" i="13"/>
  <c r="Z1281" i="13"/>
  <c r="Y1282" i="13"/>
  <c r="Z1282" i="13"/>
  <c r="Y1283" i="13"/>
  <c r="Y1284" i="13"/>
  <c r="Z1283" i="13"/>
  <c r="Z1284" i="13"/>
  <c r="Y1285" i="13"/>
  <c r="Y1286" i="13"/>
  <c r="Z1285" i="13"/>
  <c r="Y1287" i="13"/>
  <c r="Z1286" i="13"/>
  <c r="Z1287" i="13"/>
  <c r="Y1288" i="13"/>
  <c r="Y1289" i="13"/>
  <c r="Z1288" i="13"/>
  <c r="Z1289" i="13"/>
  <c r="Y1290" i="13"/>
  <c r="Y1291" i="13"/>
  <c r="Z1290" i="13"/>
  <c r="Z1291" i="13"/>
  <c r="Y1292" i="13"/>
  <c r="Z1292" i="13"/>
  <c r="Y1293" i="13"/>
  <c r="Y1294" i="13"/>
  <c r="Z1293" i="13"/>
  <c r="Z1294" i="13"/>
  <c r="Y1295" i="13"/>
  <c r="Y1296" i="13"/>
  <c r="Z1295" i="13"/>
  <c r="Y1297" i="13"/>
  <c r="Z1296" i="13"/>
  <c r="Z1297" i="13"/>
  <c r="Y1298" i="13"/>
  <c r="Y1299" i="13"/>
  <c r="Z1298" i="13"/>
  <c r="Y1300" i="13"/>
  <c r="Z1299" i="13"/>
  <c r="Z1300" i="13"/>
  <c r="Y1301" i="13"/>
  <c r="Y1302" i="13"/>
  <c r="Z1301" i="13"/>
  <c r="Y1303" i="13"/>
  <c r="Z1302" i="13"/>
  <c r="Y1304" i="13"/>
  <c r="Z1303" i="13"/>
  <c r="Z1304" i="13"/>
  <c r="Y1305" i="13"/>
  <c r="Z1305" i="13"/>
  <c r="Y1306" i="13"/>
  <c r="Y1307" i="13"/>
  <c r="Z1306" i="13"/>
  <c r="Y1308" i="13"/>
  <c r="Z1307" i="13"/>
  <c r="Z1308" i="13"/>
  <c r="Y1309" i="13"/>
  <c r="Z1309" i="13"/>
  <c r="Y1310" i="13"/>
  <c r="Y1311" i="13"/>
  <c r="Z1310" i="13"/>
  <c r="Z1311" i="13"/>
  <c r="Y1312" i="13"/>
  <c r="Y1313" i="13"/>
  <c r="Z1312" i="13"/>
  <c r="Y1314" i="13"/>
  <c r="Z1313" i="13"/>
  <c r="Z1314" i="13"/>
  <c r="Y1315" i="13"/>
  <c r="Z1315" i="13"/>
  <c r="Y1316" i="13"/>
  <c r="Z1316" i="13"/>
  <c r="Y1317" i="13"/>
  <c r="Y1318" i="13"/>
  <c r="Z1317" i="13"/>
  <c r="Z1318" i="13"/>
  <c r="Y1319" i="13"/>
  <c r="Z1319" i="13"/>
  <c r="Y1320" i="13"/>
  <c r="Y1321" i="13"/>
  <c r="Z1320" i="13"/>
  <c r="Y1322" i="13"/>
  <c r="Z1321" i="13"/>
  <c r="Z1322" i="13"/>
  <c r="Y1323" i="13"/>
  <c r="Z1323" i="13"/>
  <c r="Y1324" i="13"/>
  <c r="Y1325" i="13"/>
  <c r="Z1324" i="13"/>
  <c r="Z1325" i="13"/>
  <c r="Y1326" i="13"/>
  <c r="Y1327" i="13"/>
  <c r="Z1326" i="13"/>
  <c r="Z1327" i="13"/>
  <c r="Y1328" i="13"/>
  <c r="Z1328" i="13"/>
  <c r="Y1329" i="13"/>
  <c r="Y1330" i="13"/>
  <c r="Z1329" i="13"/>
  <c r="Y1331" i="13"/>
  <c r="Z1330" i="13"/>
  <c r="Y1332" i="13"/>
  <c r="Z1331" i="13"/>
  <c r="Z1332" i="13"/>
  <c r="Y1333" i="13"/>
  <c r="Y1334" i="13"/>
  <c r="Z1333" i="13"/>
  <c r="Y1335" i="13"/>
  <c r="Z1334" i="13"/>
  <c r="Z1335" i="13"/>
  <c r="Y1336" i="13"/>
  <c r="Z1336" i="13"/>
  <c r="Y1337" i="13"/>
  <c r="Y1338" i="13"/>
  <c r="Z1337" i="13"/>
  <c r="Z1338" i="13"/>
  <c r="Y1339" i="13"/>
  <c r="Y1340" i="13"/>
  <c r="Z1339" i="13"/>
  <c r="Y1341" i="13"/>
  <c r="Z1340" i="13"/>
  <c r="Y1342" i="13"/>
  <c r="Z1341" i="13"/>
  <c r="Y1343" i="13"/>
  <c r="Z1342" i="13"/>
  <c r="Y1344" i="13"/>
  <c r="Z1343" i="13"/>
  <c r="Y1345" i="13"/>
  <c r="Z1344" i="13"/>
  <c r="Y1346" i="13"/>
  <c r="Z1345" i="13"/>
  <c r="Y1347" i="13"/>
  <c r="Z1346" i="13"/>
  <c r="Y1348" i="13"/>
  <c r="Z1347" i="13"/>
  <c r="Y1349" i="13"/>
  <c r="Z1348" i="13"/>
  <c r="Y1350" i="13"/>
  <c r="Z1349" i="13"/>
  <c r="Y1351" i="13"/>
  <c r="Z1350" i="13"/>
  <c r="Z1351" i="13"/>
  <c r="Y1352" i="13"/>
  <c r="Y1353" i="13"/>
  <c r="Z1352" i="13"/>
  <c r="Z1353" i="13"/>
  <c r="Y1354" i="13"/>
  <c r="Y1355" i="13"/>
  <c r="Z1354" i="13"/>
  <c r="Y1356" i="13"/>
  <c r="Z1355" i="13"/>
  <c r="Z1356" i="13"/>
  <c r="Y1357" i="13"/>
  <c r="Z1357" i="13"/>
  <c r="Y1358" i="13"/>
  <c r="Y1359" i="13"/>
  <c r="Z1358" i="13"/>
  <c r="Z1359" i="13"/>
  <c r="Y1360" i="13"/>
  <c r="Z1360" i="13"/>
  <c r="Y1361" i="13"/>
  <c r="Z1361" i="13"/>
  <c r="Y1362" i="13"/>
  <c r="Y1363" i="13"/>
  <c r="Z1362" i="13"/>
  <c r="Y1364" i="13"/>
  <c r="Z1363" i="13"/>
  <c r="Y1365" i="13"/>
  <c r="Z1364" i="13"/>
  <c r="Y1366" i="13"/>
  <c r="Z1365" i="13"/>
  <c r="Z1366" i="13"/>
  <c r="Y1367" i="13"/>
  <c r="Y1368" i="13"/>
  <c r="Z1367" i="13"/>
  <c r="Z1368" i="13"/>
  <c r="Y1369" i="13"/>
  <c r="Y1370" i="13"/>
  <c r="Z1369" i="13"/>
  <c r="Z1370" i="13"/>
  <c r="Y1371" i="13"/>
  <c r="Z1371" i="13"/>
  <c r="Y1372" i="13"/>
  <c r="Y1373" i="13"/>
  <c r="Z1372" i="13"/>
  <c r="Y1374" i="13"/>
  <c r="Z1373" i="13"/>
  <c r="Z1374" i="13"/>
  <c r="Y1375" i="13"/>
  <c r="Y1376" i="13"/>
  <c r="Z1375" i="13"/>
  <c r="Z1376" i="13"/>
  <c r="Y1377" i="13"/>
  <c r="Y1378" i="13"/>
  <c r="Z1377" i="13"/>
  <c r="Y1379" i="13"/>
  <c r="Z1378" i="13"/>
  <c r="Z1379" i="13"/>
  <c r="Y1380" i="13"/>
  <c r="Z1380" i="13"/>
  <c r="Y1381" i="13"/>
  <c r="Z1381" i="13"/>
  <c r="Y1382" i="13"/>
  <c r="Z1382" i="13"/>
  <c r="Y1383" i="13"/>
  <c r="Y1384" i="13"/>
  <c r="Z1383" i="13"/>
  <c r="Z1384" i="13"/>
  <c r="Y1385" i="13"/>
  <c r="Z1385" i="13"/>
  <c r="Y1386" i="13"/>
  <c r="Z1386" i="13"/>
  <c r="Y1387" i="13"/>
  <c r="Y1388" i="13"/>
  <c r="Z1387" i="13"/>
  <c r="Z1388" i="13"/>
  <c r="Y1389" i="13"/>
  <c r="Z1389" i="13"/>
  <c r="Y1390" i="13"/>
  <c r="Z1390" i="13"/>
  <c r="Y1391" i="13"/>
  <c r="Y1392" i="13"/>
  <c r="Z1391" i="13"/>
  <c r="Z1392" i="13"/>
  <c r="Y1393" i="13"/>
  <c r="Z1393" i="13"/>
  <c r="Y1394" i="13"/>
  <c r="Z1394" i="13"/>
  <c r="Y1395" i="13"/>
  <c r="Y1396" i="13"/>
  <c r="Z1395" i="13"/>
  <c r="Y1397" i="13"/>
  <c r="Z1396" i="13"/>
  <c r="Z1397" i="13"/>
  <c r="Y1398" i="13"/>
  <c r="Y1399" i="13"/>
  <c r="Z1398" i="13"/>
  <c r="Y1400" i="13"/>
  <c r="Z1399" i="13"/>
  <c r="Z1400" i="13"/>
  <c r="Y1401" i="13"/>
  <c r="Z1401" i="13"/>
  <c r="Y1402" i="13"/>
  <c r="Y1403" i="13"/>
  <c r="Z1402" i="13"/>
  <c r="Y1404" i="13"/>
  <c r="Z1403" i="13"/>
  <c r="Z1404" i="13"/>
  <c r="Y1405" i="13"/>
  <c r="Y1406" i="13"/>
  <c r="Z1405" i="13"/>
  <c r="Y1407" i="13"/>
  <c r="Z1406" i="13"/>
  <c r="Y1408" i="13"/>
  <c r="Z1407" i="13"/>
  <c r="Y1409" i="13"/>
  <c r="Z1408" i="13"/>
  <c r="Z1409" i="13"/>
  <c r="Y1410" i="13"/>
  <c r="Z1410" i="13"/>
  <c r="Y1411" i="13"/>
  <c r="Y1412" i="13"/>
  <c r="Z1411" i="13"/>
  <c r="Z1412" i="13"/>
  <c r="Y1413" i="13"/>
  <c r="Y1414" i="13"/>
  <c r="Z1413" i="13"/>
  <c r="Y1415" i="13"/>
  <c r="Z1414" i="13"/>
  <c r="Z1415" i="13"/>
  <c r="Y1416" i="13"/>
  <c r="Y1417" i="13"/>
  <c r="Z1416" i="13"/>
  <c r="Y1418" i="13"/>
  <c r="Z1417" i="13"/>
  <c r="Y1419" i="13"/>
  <c r="Z1418" i="13"/>
  <c r="Z1419" i="13"/>
  <c r="Y1420" i="13"/>
  <c r="Z1420" i="13"/>
  <c r="Y1421" i="13"/>
  <c r="Y1422" i="13"/>
  <c r="Z1421" i="13"/>
  <c r="Z1422" i="13"/>
  <c r="Y1423" i="13"/>
  <c r="Z1423" i="13"/>
  <c r="Y1424" i="13"/>
  <c r="Y1425" i="13"/>
  <c r="Z1424" i="13"/>
  <c r="Y1426" i="13"/>
  <c r="Z1425" i="13"/>
  <c r="Y1427" i="13"/>
  <c r="Z1426" i="13"/>
  <c r="Y1428" i="13"/>
  <c r="Z1427" i="13"/>
  <c r="Y1429" i="13"/>
  <c r="Z1428" i="13"/>
  <c r="Y1430" i="13"/>
  <c r="Z1429" i="13"/>
  <c r="Y1431" i="13"/>
  <c r="Z1430" i="13"/>
  <c r="Z1431" i="13"/>
  <c r="Y1432" i="13"/>
  <c r="Y1433" i="13"/>
  <c r="Z1432" i="13"/>
  <c r="Z1433" i="13"/>
  <c r="Y1434" i="13"/>
  <c r="Z1434" i="13"/>
  <c r="Y1435" i="13"/>
  <c r="Y1436" i="13"/>
  <c r="Z1435" i="13"/>
  <c r="Z1436" i="13"/>
  <c r="Y1437" i="13"/>
  <c r="Z1437" i="13"/>
  <c r="Y1438" i="13"/>
  <c r="Z1438" i="13"/>
  <c r="Y1439" i="13"/>
  <c r="Y1440" i="13"/>
  <c r="Z1439" i="13"/>
  <c r="Z1440" i="13"/>
  <c r="Y1441" i="13"/>
  <c r="Y1442" i="13"/>
  <c r="Z1441" i="13"/>
  <c r="Y1443" i="13"/>
  <c r="Z1442" i="13"/>
  <c r="Y1444" i="13"/>
  <c r="Z1443" i="13"/>
  <c r="Z1444" i="13"/>
  <c r="Y1445" i="13"/>
  <c r="Y1446" i="13"/>
  <c r="Z1445" i="13"/>
  <c r="Y1447" i="13"/>
  <c r="Z1446" i="13"/>
  <c r="Z1447" i="13"/>
  <c r="Y1448" i="13"/>
  <c r="Y1449" i="13"/>
  <c r="Z1448" i="13"/>
  <c r="Z1449" i="13"/>
  <c r="Y1450" i="13"/>
  <c r="Z1450" i="13"/>
  <c r="Y1451" i="13"/>
  <c r="Z1451" i="13"/>
  <c r="Y1452" i="13"/>
  <c r="Y1453" i="13"/>
  <c r="Z1452" i="13"/>
  <c r="Y1454" i="13"/>
  <c r="Z1453" i="13"/>
  <c r="Z1454" i="13"/>
  <c r="Y1455" i="13"/>
  <c r="Y1456" i="13"/>
  <c r="Z1455" i="13"/>
  <c r="Z1456" i="13"/>
  <c r="Y1457" i="13"/>
  <c r="Y1458" i="13"/>
  <c r="Z1457" i="13"/>
  <c r="Z1458" i="13"/>
  <c r="Y1459" i="13"/>
  <c r="Z1459" i="13"/>
  <c r="Y1460" i="13"/>
  <c r="Z1460" i="13"/>
  <c r="Y1461" i="13"/>
  <c r="Z1461" i="13"/>
  <c r="Y1462" i="13"/>
  <c r="Y1463" i="13"/>
  <c r="Z1462" i="13"/>
  <c r="Z1463" i="13"/>
  <c r="Y1464" i="13"/>
  <c r="Z1464" i="13"/>
  <c r="Y1465" i="13"/>
  <c r="Z1465" i="13"/>
  <c r="Y1466" i="13"/>
  <c r="Z1466" i="13"/>
  <c r="Y1467" i="13"/>
  <c r="Y1468" i="13"/>
  <c r="Z1467" i="13"/>
  <c r="Z1468" i="13"/>
  <c r="Y1469" i="13"/>
  <c r="Y1470" i="13"/>
  <c r="Z1469" i="13"/>
  <c r="Y1471" i="13"/>
  <c r="Z1470" i="13"/>
  <c r="Z1471" i="13"/>
  <c r="Y1472" i="13"/>
  <c r="Y1473" i="13"/>
  <c r="Z1472" i="13"/>
  <c r="Z1473" i="13"/>
  <c r="Y1474" i="13"/>
  <c r="Y1475" i="13"/>
  <c r="Z1474" i="13"/>
  <c r="Y1476" i="13"/>
  <c r="Z1475" i="13"/>
  <c r="Y1477" i="13"/>
  <c r="Z1476" i="13"/>
  <c r="Y1478" i="13"/>
  <c r="Z1477" i="13"/>
  <c r="Z1478" i="13"/>
  <c r="Y1479" i="13"/>
  <c r="Z1479" i="13"/>
  <c r="Y1480" i="13"/>
  <c r="Y1481" i="13"/>
  <c r="Z1480" i="13"/>
  <c r="Y1482" i="13"/>
  <c r="Z1481" i="13"/>
  <c r="Z1482" i="13"/>
  <c r="Y1483" i="13"/>
  <c r="Y1484" i="13"/>
  <c r="Z1483" i="13"/>
  <c r="Y1485" i="13"/>
  <c r="Z1484" i="13"/>
  <c r="Y1486" i="13"/>
  <c r="Z1485" i="13"/>
  <c r="Z1486" i="13"/>
  <c r="Y1487" i="13"/>
  <c r="Y1488" i="13"/>
  <c r="Z1487" i="13"/>
  <c r="Y1489" i="13"/>
  <c r="Z1488" i="13"/>
  <c r="Z1489" i="13"/>
  <c r="Y1490" i="13"/>
  <c r="Z1490" i="13"/>
  <c r="Y1491" i="13"/>
  <c r="Z1491" i="13"/>
  <c r="Y1492" i="13"/>
  <c r="Y1493" i="13"/>
  <c r="Z1492" i="13"/>
  <c r="Y1494" i="13"/>
  <c r="Z1493" i="13"/>
  <c r="Y1495" i="13"/>
  <c r="Z1494" i="13"/>
  <c r="Y1496" i="13"/>
  <c r="Z1495" i="13"/>
  <c r="Z1496" i="13"/>
  <c r="Y1497" i="13"/>
  <c r="Y1498" i="13"/>
  <c r="Z1497" i="13"/>
  <c r="Y1499" i="13"/>
  <c r="Z1498" i="13"/>
  <c r="Y1500" i="13"/>
  <c r="Z1499" i="13"/>
  <c r="Z1500" i="13"/>
  <c r="Y1501" i="13"/>
  <c r="Y1502" i="13"/>
  <c r="Z1501" i="13"/>
  <c r="Y1503" i="13"/>
  <c r="Z1502" i="13"/>
  <c r="Z1503" i="13"/>
  <c r="Y1504" i="13"/>
  <c r="Y1505" i="13"/>
  <c r="Z1504" i="13"/>
  <c r="Z1505" i="13"/>
  <c r="Y1506" i="13"/>
  <c r="Z1506" i="13"/>
  <c r="Y1507" i="13"/>
  <c r="Z1507" i="13"/>
  <c r="Y1508" i="13"/>
  <c r="Y1509" i="13"/>
  <c r="Z1508" i="13"/>
  <c r="Y1510" i="13"/>
  <c r="Z1509" i="13"/>
  <c r="Y1511" i="13"/>
  <c r="Z1510" i="13"/>
  <c r="Z1511" i="13"/>
  <c r="Y1512" i="13"/>
  <c r="Z1512" i="13"/>
  <c r="Y1513" i="13"/>
  <c r="Y1514" i="13"/>
  <c r="Z1513" i="13"/>
  <c r="Z1514" i="13"/>
  <c r="Y1515" i="13"/>
  <c r="Z1515" i="13"/>
  <c r="Y1516" i="13"/>
  <c r="Z1516" i="13"/>
  <c r="Y1517" i="13"/>
  <c r="Z1517" i="13"/>
  <c r="Y1518" i="13"/>
  <c r="Z1518" i="13"/>
  <c r="Y1519" i="13"/>
  <c r="Y1520" i="13"/>
  <c r="Z1519" i="13"/>
  <c r="Z1520" i="13"/>
  <c r="Y1521" i="13"/>
  <c r="Z1521" i="13"/>
  <c r="Y1522" i="13"/>
  <c r="Y1523" i="13"/>
  <c r="Z1522" i="13"/>
  <c r="Z1523" i="13"/>
  <c r="Y1524" i="13"/>
  <c r="Y1525" i="13"/>
  <c r="Z1524" i="13"/>
  <c r="Y1526" i="13"/>
  <c r="Z1525" i="13"/>
  <c r="Z1526" i="13"/>
  <c r="Y1527" i="13"/>
  <c r="Z1527" i="13"/>
  <c r="Y1528" i="13"/>
  <c r="Z1528" i="13"/>
  <c r="Y1529" i="13"/>
  <c r="Z1529" i="13"/>
  <c r="Y1530" i="13"/>
  <c r="Y1531" i="13"/>
  <c r="Z1530" i="13"/>
  <c r="Y1532" i="13"/>
  <c r="Z1531" i="13"/>
  <c r="Y1533" i="13"/>
  <c r="Z1532" i="13"/>
  <c r="Z1533" i="13"/>
  <c r="Y1534" i="13"/>
  <c r="Y1535" i="13"/>
  <c r="Z1534" i="13"/>
  <c r="Y1536" i="13"/>
  <c r="Z1535" i="13"/>
  <c r="Z1536" i="13"/>
  <c r="Y1537" i="13"/>
  <c r="Z1537" i="13"/>
  <c r="Y1538" i="13"/>
  <c r="Y1539" i="13"/>
  <c r="Z1538" i="13"/>
  <c r="Z1539" i="13"/>
  <c r="Y1540" i="13"/>
  <c r="Y1541" i="13"/>
  <c r="Z1540" i="13"/>
  <c r="Z1541" i="13"/>
  <c r="Y1542" i="13"/>
  <c r="Y1543" i="13"/>
  <c r="Z1542" i="13"/>
  <c r="Z1543" i="13"/>
  <c r="Y1544" i="13"/>
  <c r="Z1544" i="13"/>
  <c r="Y1545" i="13"/>
  <c r="Z1545" i="13"/>
  <c r="Y1546" i="13"/>
  <c r="Y1547" i="13"/>
  <c r="Z1546" i="13"/>
  <c r="Y1548" i="13"/>
  <c r="Z1547" i="13"/>
  <c r="Z1548" i="13"/>
  <c r="Y1549" i="13"/>
  <c r="Z1549" i="13"/>
  <c r="Y1550" i="13"/>
  <c r="Y1551" i="13"/>
  <c r="Z1550" i="13"/>
  <c r="Z1551" i="13"/>
  <c r="Y1552" i="13"/>
  <c r="Z1552" i="13"/>
  <c r="Y1553" i="13"/>
  <c r="Y1554" i="13"/>
  <c r="Z1553" i="13"/>
  <c r="Y1555" i="13"/>
  <c r="Z1554" i="13"/>
  <c r="Z1555" i="13"/>
  <c r="Y1556" i="13"/>
  <c r="Y1557" i="13"/>
  <c r="Z1556" i="13"/>
  <c r="Y1558" i="13"/>
  <c r="Z1557" i="13"/>
  <c r="Z1558" i="13"/>
  <c r="Y1559" i="13"/>
  <c r="Y1560" i="13"/>
  <c r="Z1559" i="13"/>
  <c r="Z1560" i="13"/>
  <c r="Y1561" i="13"/>
  <c r="Z1561" i="13"/>
  <c r="Y1562" i="13"/>
  <c r="Z1562" i="13"/>
  <c r="Y1563" i="13"/>
  <c r="Y1564" i="13"/>
  <c r="Z1563" i="13"/>
  <c r="Z1564" i="13"/>
  <c r="Y1565" i="13"/>
  <c r="Y1566" i="13"/>
  <c r="Z1565" i="13"/>
  <c r="Y1567" i="13"/>
  <c r="Z1566" i="13"/>
  <c r="Z1567" i="13"/>
  <c r="Y1568" i="13"/>
  <c r="Y1569" i="13"/>
  <c r="Z1568" i="13"/>
  <c r="Y1570" i="13"/>
  <c r="Z1569" i="13"/>
  <c r="Y1571" i="13"/>
  <c r="Z1570" i="13"/>
  <c r="Y1572" i="13"/>
  <c r="Z1571" i="13"/>
  <c r="Z1572" i="13"/>
  <c r="Y1573" i="13"/>
  <c r="Y1574" i="13"/>
  <c r="Z1573" i="13"/>
  <c r="Y1575" i="13"/>
  <c r="Z1574" i="13"/>
  <c r="Z1575" i="13"/>
  <c r="Y1576" i="13"/>
  <c r="Y1577" i="13"/>
  <c r="Z1576" i="13"/>
  <c r="Y1578" i="13"/>
  <c r="Z1577" i="13"/>
  <c r="Z1578" i="13"/>
  <c r="Y1579" i="13"/>
  <c r="Z1579" i="13"/>
  <c r="Y1580" i="13"/>
  <c r="Y1581" i="13"/>
  <c r="Z1580" i="13"/>
  <c r="Z1581" i="13"/>
  <c r="Y1582" i="13"/>
  <c r="Y1583" i="13"/>
  <c r="Z1582" i="13"/>
  <c r="Y1584" i="13"/>
  <c r="Z1583" i="13"/>
  <c r="Y1585" i="13"/>
  <c r="Z1584" i="13"/>
  <c r="Y1586" i="13"/>
  <c r="Z1585" i="13"/>
  <c r="Z1586" i="13"/>
  <c r="Y1587" i="13"/>
  <c r="Z1587" i="13"/>
  <c r="Y1588" i="13"/>
  <c r="Y1589" i="13"/>
  <c r="Z1588" i="13"/>
  <c r="Y1590" i="13"/>
  <c r="Z1589" i="13"/>
  <c r="Z1590" i="13"/>
  <c r="Y1591" i="13"/>
  <c r="Y1592" i="13"/>
  <c r="Z1591" i="13"/>
  <c r="Y1593" i="13"/>
  <c r="Z1592" i="13"/>
  <c r="Y1594" i="13"/>
  <c r="Z1593" i="13"/>
  <c r="Y1595" i="13"/>
  <c r="Z1594" i="13"/>
  <c r="Z1595" i="13"/>
  <c r="Y1596" i="13"/>
  <c r="Z1596" i="13"/>
  <c r="Y1597" i="13"/>
  <c r="Y1598" i="13"/>
  <c r="Z1597" i="13"/>
  <c r="Z1598" i="13"/>
  <c r="Y1599" i="13"/>
  <c r="Z1599" i="13"/>
  <c r="Y1600" i="13"/>
  <c r="Y1601" i="13"/>
  <c r="Z1600" i="13"/>
  <c r="Z1601" i="13"/>
  <c r="Y1602" i="13"/>
  <c r="Y1603" i="13"/>
  <c r="Z1602" i="13"/>
  <c r="Y1604" i="13"/>
  <c r="Z1603" i="13"/>
  <c r="Z1604" i="13"/>
  <c r="Y1605" i="13"/>
  <c r="Y1606" i="13"/>
  <c r="Z1605" i="13"/>
  <c r="Y1607" i="13"/>
  <c r="Z1606" i="13"/>
  <c r="Z1607" i="13"/>
  <c r="Y1608" i="13"/>
  <c r="Y1609" i="13"/>
  <c r="Z1608" i="13"/>
  <c r="Z1609" i="13"/>
  <c r="Y1610" i="13"/>
  <c r="Y1611" i="13"/>
  <c r="Z1610" i="13"/>
  <c r="Z1611" i="13"/>
  <c r="Y1612" i="13"/>
  <c r="Y1613" i="13"/>
  <c r="Z1612" i="13"/>
  <c r="Y1614" i="13"/>
  <c r="Z1613" i="13"/>
  <c r="Y1615" i="13"/>
  <c r="Z1614" i="13"/>
  <c r="Y1616" i="13"/>
  <c r="Z1615" i="13"/>
  <c r="Z1616" i="13"/>
  <c r="Y1617" i="13"/>
  <c r="Z1617" i="13"/>
  <c r="Y1618" i="13"/>
  <c r="Z1618" i="13"/>
  <c r="Y1619" i="13"/>
  <c r="Y1620" i="13"/>
  <c r="Z1619" i="13"/>
  <c r="Y1621" i="13"/>
  <c r="Z1620" i="13"/>
  <c r="Z1621" i="13"/>
  <c r="Y1622" i="13"/>
  <c r="Z1622" i="13"/>
  <c r="Y1623" i="13"/>
  <c r="Y1624" i="13"/>
  <c r="Z1623" i="13"/>
  <c r="Y1625" i="13"/>
  <c r="Z1624" i="13"/>
  <c r="Y1626" i="13"/>
  <c r="Z1625" i="13"/>
  <c r="Y1627" i="13"/>
  <c r="Z1626" i="13"/>
  <c r="Y1628" i="13"/>
  <c r="Z1627" i="13"/>
  <c r="Z1628" i="13"/>
  <c r="Y1629" i="13"/>
  <c r="Z1629" i="13"/>
  <c r="Y1630" i="13"/>
  <c r="Y1631" i="13"/>
  <c r="Z1630" i="13"/>
  <c r="Z1631" i="13"/>
  <c r="Y1632" i="13"/>
  <c r="Y1633" i="13"/>
  <c r="Z1632" i="13"/>
  <c r="Y1634" i="13"/>
  <c r="Z1633" i="13"/>
  <c r="Z1634" i="13"/>
  <c r="Y1635" i="13"/>
  <c r="Y1636" i="13"/>
  <c r="Z1635" i="13"/>
  <c r="Z1636" i="13"/>
  <c r="Y1637" i="13"/>
  <c r="Z1637" i="13"/>
  <c r="Y1638" i="13"/>
  <c r="Z1638" i="13"/>
  <c r="Y1639" i="13"/>
  <c r="Y1640" i="13"/>
  <c r="Z1639" i="13"/>
  <c r="Z1640" i="13"/>
  <c r="Y1641" i="13"/>
  <c r="Z1641" i="13"/>
  <c r="Y1642" i="13"/>
  <c r="Y1643" i="13"/>
  <c r="Z1642" i="13"/>
  <c r="Y1644" i="13"/>
  <c r="Z1643" i="13"/>
  <c r="Z1644" i="13"/>
  <c r="Y1645" i="13"/>
  <c r="Y1646" i="13"/>
  <c r="Z1645" i="13"/>
  <c r="Z1646" i="13"/>
  <c r="Y1647" i="13"/>
  <c r="Y1648" i="13"/>
  <c r="Z1647" i="13"/>
  <c r="Z1648" i="13"/>
  <c r="Y1649" i="13"/>
  <c r="Z1649" i="13"/>
  <c r="Y1650" i="13"/>
  <c r="Y1651" i="13"/>
  <c r="Z1650" i="13"/>
  <c r="Y1652" i="13"/>
  <c r="Z1651" i="13"/>
  <c r="Z1652" i="13"/>
  <c r="Y1653" i="13"/>
  <c r="Y1654" i="13"/>
  <c r="Z1653" i="13"/>
  <c r="Y1655" i="13"/>
  <c r="Z1654" i="13"/>
  <c r="Z1655" i="13"/>
  <c r="Y1656" i="13"/>
  <c r="Z1656" i="13"/>
  <c r="Y1657" i="13"/>
  <c r="Z1657" i="13"/>
  <c r="Y1658" i="13"/>
  <c r="Z1658" i="13"/>
  <c r="Y1659" i="13"/>
  <c r="Z1659" i="13"/>
  <c r="Y1660" i="13"/>
  <c r="Y1661" i="13"/>
  <c r="Z1660" i="13"/>
  <c r="Z1661" i="13"/>
  <c r="Y1662" i="13"/>
  <c r="Z1662" i="13"/>
  <c r="Y1663" i="13"/>
  <c r="Z1663" i="13"/>
  <c r="Y1664" i="13"/>
  <c r="Y1665" i="13"/>
  <c r="Z1664" i="13"/>
  <c r="Z1665" i="13"/>
  <c r="Y1666" i="13"/>
  <c r="Z1666" i="13"/>
  <c r="Y1667" i="13"/>
  <c r="Z1667" i="13"/>
  <c r="Y1668" i="13"/>
  <c r="Z1668" i="13"/>
  <c r="Y1669" i="13"/>
  <c r="Y1670" i="13"/>
  <c r="Z1669" i="13"/>
  <c r="Z1670" i="13"/>
  <c r="Y1671" i="13"/>
  <c r="Y1672" i="13"/>
  <c r="Z1671" i="13"/>
  <c r="Y1673" i="13"/>
  <c r="Z1672" i="13"/>
  <c r="Y1674" i="13"/>
  <c r="Z1673" i="13"/>
  <c r="Y1675" i="13"/>
  <c r="Z1674" i="13"/>
  <c r="Y1676" i="13"/>
  <c r="Z1675" i="13"/>
  <c r="Y1677" i="13"/>
  <c r="Z1676" i="13"/>
  <c r="Z1677" i="13"/>
  <c r="Y1678" i="13"/>
  <c r="Z1678" i="13"/>
  <c r="Y1679" i="13"/>
  <c r="Y1680" i="13"/>
  <c r="Z1679" i="13"/>
  <c r="Y1681" i="13"/>
  <c r="Z1680" i="13"/>
  <c r="Z1681" i="13"/>
  <c r="Y1682" i="13"/>
  <c r="Y1683" i="13"/>
  <c r="Z1682" i="13"/>
  <c r="Z1683" i="13"/>
  <c r="Y1684" i="13"/>
  <c r="Z1684" i="13"/>
  <c r="Y1685" i="13"/>
  <c r="Z1685" i="13"/>
  <c r="Y1686" i="13"/>
  <c r="Y1687" i="13"/>
  <c r="Z1686" i="13"/>
  <c r="Z1687" i="13"/>
  <c r="Y1688" i="13"/>
  <c r="Y1689" i="13"/>
  <c r="Z1688" i="13"/>
  <c r="Z1689" i="13"/>
  <c r="Y1690" i="13"/>
  <c r="Z1690" i="13"/>
  <c r="Y1691" i="13"/>
  <c r="Y1692" i="13"/>
  <c r="Z1691" i="13"/>
  <c r="Z1692" i="13"/>
  <c r="Y1693" i="13"/>
  <c r="Y1694" i="13"/>
  <c r="Z1693" i="13"/>
  <c r="Z1694" i="13"/>
  <c r="Y1695" i="13"/>
  <c r="Z1695" i="13"/>
  <c r="Y1696" i="13"/>
  <c r="Y1697" i="13"/>
  <c r="Z1696" i="13"/>
  <c r="Z1697" i="13"/>
  <c r="Y1698" i="13"/>
  <c r="Z1698" i="13"/>
  <c r="Y1699" i="13"/>
  <c r="Z1699" i="13"/>
  <c r="Y1700" i="13"/>
  <c r="Y1701" i="13"/>
  <c r="Z1700" i="13"/>
  <c r="Y1702" i="13"/>
  <c r="Z1701" i="13"/>
  <c r="Z1702" i="13"/>
  <c r="Y1703" i="13"/>
  <c r="Z1703" i="13"/>
  <c r="Y1704" i="13"/>
  <c r="Y1705" i="13"/>
  <c r="Z1704" i="13"/>
  <c r="Z1705" i="13"/>
  <c r="Y1706" i="13"/>
  <c r="Y1707" i="13"/>
  <c r="Z1706" i="13"/>
  <c r="Z1707" i="13"/>
  <c r="Y1708" i="13"/>
  <c r="Y1709" i="13"/>
  <c r="Z1708" i="13"/>
  <c r="Y1710" i="13"/>
  <c r="Z1709" i="13"/>
  <c r="Z1710" i="13"/>
  <c r="Y1711" i="13"/>
  <c r="Z1711" i="13"/>
  <c r="Y1712" i="13"/>
  <c r="Y1713" i="13"/>
  <c r="Z1712" i="13"/>
  <c r="Z1713" i="13"/>
  <c r="Y1714" i="13"/>
  <c r="Z1714" i="13"/>
  <c r="Y1715" i="13"/>
  <c r="Y1716" i="13"/>
  <c r="Z1715" i="13"/>
  <c r="Z1716" i="13"/>
  <c r="Y1717" i="13"/>
  <c r="Z1717" i="13"/>
  <c r="Y1718" i="13"/>
  <c r="Z1718" i="13"/>
  <c r="Y1719" i="13"/>
  <c r="Z1719" i="13"/>
  <c r="Y1720" i="13"/>
  <c r="Z1720" i="13"/>
  <c r="Y1721" i="13"/>
  <c r="Y1722" i="13"/>
  <c r="Z1721" i="13"/>
  <c r="Z1722" i="13"/>
  <c r="Y1723" i="13"/>
  <c r="Y1724" i="13"/>
  <c r="Z1723" i="13"/>
  <c r="Y1725" i="13"/>
  <c r="Z1724" i="13"/>
  <c r="Z1725" i="13"/>
  <c r="Y1726" i="13"/>
  <c r="Z1726" i="13"/>
  <c r="Y1727" i="13"/>
  <c r="Y1728" i="13"/>
  <c r="Z1727" i="13"/>
  <c r="Z1728" i="13"/>
  <c r="Y1729" i="13"/>
  <c r="Z1729" i="13"/>
  <c r="Y1730" i="13"/>
  <c r="Z1730" i="13"/>
  <c r="Y1731" i="13"/>
  <c r="Z1731" i="13"/>
  <c r="Y1732" i="13"/>
  <c r="Z1732" i="13"/>
  <c r="Y1733" i="13"/>
  <c r="Y1734" i="13"/>
  <c r="Z1733" i="13"/>
  <c r="Y1735" i="13"/>
  <c r="Z1734" i="13"/>
  <c r="Z1735" i="13"/>
  <c r="Y1736" i="13"/>
  <c r="Z1736" i="13"/>
  <c r="Y1737" i="13"/>
  <c r="Z1737" i="13"/>
  <c r="Y1738" i="13"/>
  <c r="Y1739" i="13"/>
  <c r="Z1738" i="13"/>
  <c r="Y1740" i="13"/>
  <c r="Z1739" i="13"/>
  <c r="Y1741" i="13"/>
  <c r="Z1740" i="13"/>
  <c r="Z1741" i="13"/>
  <c r="Y1742" i="13"/>
  <c r="Y1743" i="13"/>
  <c r="Z1742" i="13"/>
  <c r="Y1744" i="13"/>
  <c r="Z1743" i="13"/>
  <c r="Z1744" i="13"/>
  <c r="Y1745" i="13"/>
  <c r="Z1745" i="13"/>
  <c r="Y1746" i="13"/>
  <c r="Z1746" i="13"/>
  <c r="Y1747" i="13"/>
  <c r="Y1748" i="13"/>
  <c r="Z1747" i="13"/>
  <c r="Z1748" i="13"/>
  <c r="Y1749" i="13"/>
  <c r="Z1749" i="13"/>
  <c r="Y1750" i="13"/>
  <c r="Z1750" i="13"/>
  <c r="Y1751" i="13"/>
  <c r="Y1752" i="13"/>
  <c r="Z1751" i="13"/>
  <c r="Z1752" i="13"/>
  <c r="Y1753" i="13"/>
  <c r="Z1753" i="13"/>
  <c r="Y1754" i="13"/>
  <c r="Y1755" i="13"/>
  <c r="Z1754" i="13"/>
  <c r="Y1756" i="13"/>
  <c r="Z1755" i="13"/>
  <c r="Y1757" i="13"/>
  <c r="Z1756" i="13"/>
  <c r="Y1758" i="13"/>
  <c r="Z1757" i="13"/>
  <c r="Y1759" i="13"/>
  <c r="Z1758" i="13"/>
  <c r="Z1759" i="13"/>
  <c r="Y1760" i="13"/>
  <c r="Z1760" i="13"/>
  <c r="Y1761" i="13"/>
  <c r="Y1762" i="13"/>
  <c r="Z1761" i="13"/>
  <c r="Y1763" i="13"/>
  <c r="Z1762" i="13"/>
  <c r="Z1763" i="13"/>
  <c r="Y1764" i="13"/>
  <c r="Z1764" i="13"/>
  <c r="Y1765" i="13"/>
  <c r="Z1765" i="13"/>
  <c r="Y1766" i="13"/>
  <c r="Y1767" i="13"/>
  <c r="Z1766" i="13"/>
  <c r="Y1768" i="13"/>
  <c r="Z1767" i="13"/>
  <c r="Z1768" i="13"/>
  <c r="Y1769" i="13"/>
  <c r="Y1770" i="13"/>
  <c r="Z1769" i="13"/>
  <c r="Y1771" i="13"/>
  <c r="Z1770" i="13"/>
  <c r="Y1772" i="13"/>
  <c r="Z1771" i="13"/>
  <c r="Y1773" i="13"/>
  <c r="Z1772" i="13"/>
  <c r="Y1774" i="13"/>
  <c r="Z1773" i="13"/>
  <c r="Z1774" i="13"/>
  <c r="Y1775" i="13"/>
  <c r="Y1776" i="13"/>
  <c r="Z1775" i="13"/>
  <c r="Y1777" i="13"/>
  <c r="Z1776" i="13"/>
  <c r="Y1778" i="13"/>
  <c r="Z1777" i="13"/>
  <c r="Z1778" i="13"/>
  <c r="Y1779" i="13"/>
  <c r="Z1779" i="13"/>
  <c r="Y1780" i="13"/>
  <c r="Z1780" i="13"/>
  <c r="Y1781" i="13"/>
  <c r="Y1782" i="13"/>
  <c r="Z1781" i="13"/>
  <c r="Y1783" i="13"/>
  <c r="Z1782" i="13"/>
  <c r="Y1784" i="13"/>
  <c r="Z1783" i="13"/>
  <c r="Z1784" i="13"/>
  <c r="Y1785" i="13"/>
  <c r="Y1786" i="13"/>
  <c r="Z1785" i="13"/>
  <c r="Z1786" i="13"/>
  <c r="Y1787" i="13"/>
  <c r="Z1787" i="13"/>
  <c r="Y1788" i="13"/>
  <c r="Y1789" i="13"/>
  <c r="Z1788" i="13"/>
  <c r="Z1789" i="13"/>
  <c r="Y1790" i="13"/>
  <c r="Z1790" i="13"/>
  <c r="Y1791" i="13"/>
  <c r="Y1792" i="13"/>
  <c r="Z1791" i="13"/>
  <c r="Z1792" i="13"/>
  <c r="Y1793" i="13"/>
  <c r="Z1793" i="13"/>
  <c r="Y1794" i="13"/>
  <c r="Y1795" i="13"/>
  <c r="Z1794" i="13"/>
  <c r="Z1795" i="13"/>
  <c r="Y1796" i="13"/>
  <c r="Y1797" i="13"/>
  <c r="Z1796" i="13"/>
  <c r="Y1798" i="13"/>
  <c r="Z1797" i="13"/>
  <c r="Z1798" i="13"/>
  <c r="Y1799" i="13"/>
  <c r="Z1799" i="13"/>
  <c r="Y1800" i="13"/>
  <c r="Y1801" i="13"/>
  <c r="Z1800" i="13"/>
  <c r="Y1802" i="13"/>
  <c r="Z1801" i="13"/>
  <c r="Y1803" i="13"/>
  <c r="Z1802" i="13"/>
  <c r="Y1804" i="13"/>
  <c r="Z1803" i="13"/>
  <c r="Z1804" i="13"/>
  <c r="Y1805" i="13"/>
  <c r="Y1806" i="13"/>
  <c r="Z1805" i="13"/>
  <c r="Z1806" i="13"/>
  <c r="Y1807" i="13"/>
  <c r="Y1808" i="13"/>
  <c r="Z1807" i="13"/>
  <c r="Z1808" i="13"/>
  <c r="Y1809" i="13"/>
  <c r="Z1809" i="13"/>
  <c r="Y1810" i="13"/>
  <c r="Z1810" i="13"/>
  <c r="Y1811" i="13"/>
  <c r="Z1811" i="13"/>
  <c r="Y1812" i="13"/>
  <c r="Y1813" i="13"/>
  <c r="Z1812" i="13"/>
  <c r="Z1813" i="13"/>
  <c r="Y1814" i="13"/>
  <c r="Y1815" i="13"/>
  <c r="Z1814" i="13"/>
  <c r="Y1816" i="13"/>
  <c r="Z1815" i="13"/>
  <c r="Z1816" i="13"/>
  <c r="Y1817" i="13"/>
  <c r="Z1817" i="13"/>
  <c r="Y1818" i="13"/>
  <c r="Y1819" i="13"/>
  <c r="Z1818" i="13"/>
  <c r="Z1819" i="13"/>
  <c r="Y1820" i="13"/>
  <c r="Z1820" i="13"/>
  <c r="Y1821" i="13"/>
  <c r="Z1821" i="13"/>
  <c r="Y1822" i="13"/>
  <c r="Y1823" i="13"/>
  <c r="Z1822" i="13"/>
  <c r="Z1823" i="13"/>
  <c r="Y1824" i="13"/>
  <c r="Y1825" i="13"/>
  <c r="Z1824" i="13"/>
  <c r="Y1826" i="13"/>
  <c r="Z1825" i="13"/>
  <c r="Z1826" i="13"/>
  <c r="Y1827" i="13"/>
  <c r="Z1827" i="13"/>
  <c r="Y1828" i="13"/>
  <c r="Z1828" i="13"/>
  <c r="Y1829" i="13"/>
  <c r="Z1829" i="13"/>
  <c r="Y1830" i="13"/>
  <c r="Z1830" i="13"/>
  <c r="Y1831" i="13"/>
  <c r="Z1831" i="13"/>
  <c r="Y1832" i="13"/>
  <c r="Z1832" i="13"/>
  <c r="Y1833" i="13"/>
  <c r="Y1834" i="13"/>
  <c r="Z1833" i="13"/>
  <c r="Y1835" i="13"/>
  <c r="Z1834" i="13"/>
  <c r="Y1836" i="13"/>
  <c r="Z1835" i="13"/>
  <c r="Y1837" i="13"/>
  <c r="Z1836" i="13"/>
  <c r="Z1837" i="13"/>
  <c r="Y1838" i="13"/>
  <c r="Z1838" i="13"/>
  <c r="Y1839" i="13"/>
  <c r="Z1839" i="13"/>
  <c r="Y1840" i="13"/>
  <c r="Z1840" i="13"/>
  <c r="Y1841" i="13"/>
  <c r="Z1841" i="13"/>
  <c r="Y1842" i="13"/>
  <c r="Y1843" i="13"/>
  <c r="Z1842" i="13"/>
  <c r="Z1843" i="13"/>
  <c r="Y1844" i="13"/>
  <c r="Y1845" i="13"/>
  <c r="Z1844" i="13"/>
  <c r="Y1846" i="13"/>
  <c r="Z1845" i="13"/>
  <c r="Y1847" i="13"/>
  <c r="Z1846" i="13"/>
  <c r="Z1847" i="13"/>
  <c r="Y1848" i="13"/>
  <c r="Z1848" i="13"/>
  <c r="Y1849" i="13"/>
  <c r="Z1849" i="13"/>
  <c r="Y1850" i="13"/>
  <c r="Z1850" i="13"/>
  <c r="Y1851" i="13"/>
  <c r="Y1852" i="13"/>
  <c r="Z1851" i="13"/>
  <c r="Z1852" i="13"/>
  <c r="Y1853" i="13"/>
  <c r="Y1854" i="13"/>
  <c r="Z1853" i="13"/>
  <c r="Z1854" i="13"/>
  <c r="Y1855" i="13"/>
  <c r="Y1856" i="13"/>
  <c r="Z1855" i="13"/>
  <c r="Z1856" i="13"/>
  <c r="Y1857" i="13"/>
  <c r="Y1858" i="13"/>
  <c r="Z1857" i="13"/>
  <c r="Y1859" i="13"/>
  <c r="Z1858" i="13"/>
  <c r="Z1859" i="13"/>
  <c r="Y1860" i="13"/>
  <c r="Y1861" i="13"/>
  <c r="Z1860" i="13"/>
  <c r="Z1861" i="13"/>
  <c r="Y1862" i="13"/>
  <c r="Z1862" i="13"/>
  <c r="Y1863" i="13"/>
  <c r="Y1864" i="13"/>
  <c r="Z1863" i="13"/>
  <c r="Z1864" i="13"/>
  <c r="Y1865" i="13"/>
  <c r="Z1865" i="13"/>
  <c r="Y1866" i="13"/>
  <c r="Z1866" i="13"/>
  <c r="Y1867" i="13"/>
  <c r="Y1868" i="13"/>
  <c r="Z1867" i="13"/>
  <c r="Z1868" i="13"/>
  <c r="Y1869" i="13"/>
  <c r="Z1869" i="13"/>
  <c r="Y1870" i="13"/>
  <c r="Z1870" i="13"/>
  <c r="Y1871" i="13"/>
  <c r="Z1871" i="13"/>
  <c r="Y1872" i="13"/>
  <c r="Z1872" i="13"/>
  <c r="Y1873" i="13"/>
  <c r="Z1873" i="13"/>
  <c r="Y1874" i="13"/>
  <c r="Z1874" i="13"/>
  <c r="Y1875" i="13"/>
  <c r="Z1875" i="13"/>
  <c r="Y1876" i="13"/>
  <c r="Y1877" i="13"/>
  <c r="Z1876" i="13"/>
  <c r="Y1878" i="13"/>
  <c r="Z1877" i="13"/>
  <c r="Z1878" i="13"/>
  <c r="Y1879" i="13"/>
  <c r="Y1880" i="13"/>
  <c r="Z1879" i="13"/>
  <c r="Z1880" i="13"/>
  <c r="Y1881" i="13"/>
  <c r="Z1881" i="13"/>
  <c r="Y1882" i="13"/>
  <c r="Y1883" i="13"/>
  <c r="Z1882" i="13"/>
  <c r="Z1883" i="13"/>
  <c r="Y1884" i="13"/>
  <c r="Y1885" i="13"/>
  <c r="Z1884" i="13"/>
  <c r="Y1886" i="13"/>
  <c r="Z1885" i="13"/>
  <c r="Y1887" i="13"/>
  <c r="Z1886" i="13"/>
  <c r="Y1888" i="13"/>
  <c r="Z1887" i="13"/>
  <c r="Y1889" i="13"/>
  <c r="Z1888" i="13"/>
  <c r="Y1890" i="13"/>
  <c r="Z1889" i="13"/>
  <c r="Y1891" i="13"/>
  <c r="Z1890" i="13"/>
  <c r="Y1892" i="13"/>
  <c r="Z1891" i="13"/>
  <c r="Y1893" i="13"/>
  <c r="Z1892" i="13"/>
  <c r="Z1893" i="13"/>
  <c r="Y1894" i="13"/>
  <c r="Z1894" i="13"/>
  <c r="Y1895" i="13"/>
  <c r="Y1896" i="13"/>
  <c r="Z1895" i="13"/>
  <c r="Z1896" i="13"/>
  <c r="Y1897" i="13"/>
  <c r="Y1898" i="13"/>
  <c r="Z1897" i="13"/>
  <c r="Y1899" i="13"/>
  <c r="Z1898" i="13"/>
  <c r="Y1900" i="13"/>
  <c r="Z1899" i="13"/>
  <c r="Z1900" i="13"/>
  <c r="Y1901" i="13"/>
  <c r="Y1902" i="13"/>
  <c r="Z1901" i="13"/>
  <c r="Z1902" i="13"/>
  <c r="Y1903" i="13"/>
  <c r="Y1904" i="13"/>
  <c r="Z1903" i="13"/>
  <c r="Y1905" i="13"/>
  <c r="Z1904" i="13"/>
  <c r="Y1906" i="13"/>
  <c r="Z1905" i="13"/>
  <c r="Y1907" i="13"/>
  <c r="Z1906" i="13"/>
  <c r="Z1907" i="13"/>
  <c r="Y1908" i="13"/>
  <c r="Y1909" i="13"/>
  <c r="Z1908" i="13"/>
  <c r="Z1909" i="13"/>
  <c r="Y1910" i="13"/>
  <c r="Z1910" i="13"/>
  <c r="Y1911" i="13"/>
  <c r="Y1912" i="13"/>
  <c r="Z1911" i="13"/>
  <c r="Y1913" i="13"/>
  <c r="Z1912" i="13"/>
  <c r="Y1914" i="13"/>
  <c r="Z1913" i="13"/>
  <c r="Y1915" i="13"/>
  <c r="Z1914" i="13"/>
  <c r="Y1916" i="13"/>
  <c r="Z1915" i="13"/>
  <c r="Z1916" i="13"/>
  <c r="Y1917" i="13"/>
  <c r="Y1918" i="13"/>
  <c r="Z1917" i="13"/>
  <c r="Y1919" i="13"/>
  <c r="Z1918" i="13"/>
  <c r="Z1919" i="13"/>
  <c r="Y1920" i="13"/>
  <c r="Y1921" i="13"/>
  <c r="Z1920" i="13"/>
  <c r="Z1921" i="13"/>
  <c r="Y1922" i="13"/>
  <c r="Z1922" i="13"/>
  <c r="Y1923" i="13"/>
  <c r="Y1924" i="13"/>
  <c r="Z1923" i="13"/>
  <c r="Y1925" i="13"/>
  <c r="Z1924" i="13"/>
  <c r="Y1926" i="13"/>
  <c r="Z1925" i="13"/>
  <c r="Y1927" i="13"/>
  <c r="Z1926" i="13"/>
  <c r="Z1927" i="13"/>
  <c r="Y1928" i="13"/>
  <c r="Z1928" i="13"/>
  <c r="Y1929" i="13"/>
  <c r="Z1929" i="13"/>
  <c r="Y1930" i="13"/>
  <c r="Y1931" i="13"/>
  <c r="Z1930" i="13"/>
  <c r="Y1932" i="13"/>
  <c r="Z1931" i="13"/>
  <c r="Y1933" i="13"/>
  <c r="Z1932" i="13"/>
  <c r="Y1934" i="13"/>
  <c r="Z1933" i="13"/>
  <c r="Y1935" i="13"/>
  <c r="Z1934" i="13"/>
  <c r="Y1936" i="13"/>
  <c r="Z1935" i="13"/>
  <c r="Z1936" i="13"/>
  <c r="Y1937" i="13"/>
  <c r="Y1938" i="13"/>
  <c r="Z1937" i="13"/>
  <c r="Z1938" i="13"/>
  <c r="Y1939" i="13"/>
  <c r="Y1940" i="13"/>
  <c r="Z1939" i="13"/>
  <c r="Y1941" i="13"/>
  <c r="Z1940" i="13"/>
  <c r="Y1942" i="13"/>
  <c r="Z1941" i="13"/>
  <c r="Z1942" i="13"/>
  <c r="Y1943" i="13"/>
  <c r="Y1944" i="13"/>
  <c r="Z1943" i="13"/>
  <c r="Z1944" i="13"/>
  <c r="Y1945" i="13"/>
  <c r="Z1945" i="13"/>
  <c r="Y1946" i="13"/>
  <c r="Y1947" i="13"/>
  <c r="Z1946" i="13"/>
  <c r="Y1948" i="13"/>
  <c r="Z1947" i="13"/>
  <c r="Z1948" i="13"/>
  <c r="Y1949" i="13"/>
  <c r="Y1950" i="13"/>
  <c r="Z1949" i="13"/>
  <c r="Y1951" i="13"/>
  <c r="Z1950" i="13"/>
  <c r="Z1951" i="13"/>
  <c r="Y1952" i="13"/>
  <c r="Y1953" i="13"/>
  <c r="Z1952" i="13"/>
  <c r="Y1954" i="13"/>
  <c r="Z1953" i="13"/>
  <c r="Y1955" i="13"/>
  <c r="Z1954" i="13"/>
  <c r="Y1956" i="13"/>
  <c r="Z1955" i="13"/>
  <c r="Z1956" i="13"/>
  <c r="Y1957" i="13"/>
  <c r="Y1958" i="13"/>
  <c r="Z1957" i="13"/>
  <c r="Z1958" i="13"/>
  <c r="Y1959" i="13"/>
  <c r="Z1959" i="13"/>
  <c r="Y1960" i="13"/>
  <c r="Y1961" i="13"/>
  <c r="Z1960" i="13"/>
  <c r="Y1962" i="13"/>
  <c r="Z1961" i="13"/>
  <c r="Z1962" i="13"/>
  <c r="Y1963" i="13"/>
  <c r="Z1963" i="13"/>
  <c r="Y1964" i="13"/>
  <c r="Y1965" i="13"/>
  <c r="Z1964" i="13"/>
  <c r="Z1965" i="13"/>
  <c r="Y1966" i="13"/>
  <c r="Y1967" i="13"/>
  <c r="Z1966" i="13"/>
  <c r="Z1967" i="13"/>
  <c r="Y1968" i="13"/>
  <c r="Z1968" i="13"/>
  <c r="Y1969" i="13"/>
  <c r="Y1970" i="13"/>
  <c r="Z1969" i="13"/>
  <c r="Y1971" i="13"/>
  <c r="Z1970" i="13"/>
  <c r="Y1972" i="13"/>
  <c r="Z1971" i="13"/>
  <c r="Z1972" i="13"/>
  <c r="Y1973" i="13"/>
  <c r="Z1973" i="13"/>
  <c r="Y1974" i="13"/>
  <c r="Y1975" i="13"/>
  <c r="Z1974" i="13"/>
  <c r="Y1976" i="13"/>
  <c r="Z1975" i="13"/>
  <c r="Z1976" i="13"/>
  <c r="Y1977" i="13"/>
  <c r="Z1977" i="13"/>
  <c r="Y1978" i="13"/>
  <c r="Y1979" i="13"/>
  <c r="Z1978" i="13"/>
  <c r="Z1979" i="13"/>
  <c r="Y1980" i="13"/>
  <c r="Z1980" i="13"/>
  <c r="Y1981" i="13"/>
  <c r="Z1981" i="13"/>
  <c r="Y1982" i="13"/>
  <c r="Y1983" i="13"/>
  <c r="Z1982" i="13"/>
  <c r="Z1983" i="13"/>
  <c r="Y1984" i="13"/>
  <c r="Z1984" i="13"/>
  <c r="Y1985" i="13"/>
  <c r="Z1985" i="13"/>
  <c r="Y1986" i="13"/>
  <c r="Y1987" i="13"/>
  <c r="Z1986" i="13"/>
  <c r="Z1987" i="13"/>
  <c r="Y1988" i="13"/>
  <c r="Z1988" i="13"/>
  <c r="Y1989" i="13"/>
  <c r="Y1990" i="13"/>
  <c r="Z1989" i="13"/>
  <c r="Z1990" i="13"/>
  <c r="Y1991" i="13"/>
  <c r="Y1992" i="13"/>
  <c r="Z1991" i="13"/>
  <c r="Z1992" i="13"/>
  <c r="Y1993" i="13"/>
  <c r="Y1994" i="13"/>
  <c r="Z1993" i="13"/>
  <c r="Y1995" i="13"/>
  <c r="Z1994" i="13"/>
  <c r="Y1996" i="13"/>
  <c r="Z1995" i="13"/>
  <c r="Y1997" i="13"/>
  <c r="Z1996" i="13"/>
  <c r="Y1998" i="13"/>
  <c r="Z1997" i="13"/>
  <c r="Y1999" i="13"/>
  <c r="Z1998" i="13"/>
  <c r="Y2000" i="13"/>
  <c r="Z1999" i="13"/>
  <c r="Z2000" i="13"/>
  <c r="Y2001" i="13"/>
  <c r="Z2001" i="13"/>
  <c r="Y2002" i="13"/>
  <c r="Z2002" i="13"/>
  <c r="Y2003" i="13"/>
  <c r="Z2003" i="13"/>
  <c r="Y2004" i="13"/>
  <c r="Y2005" i="13"/>
  <c r="Z2004" i="13"/>
  <c r="Y2006" i="13"/>
  <c r="Z2005" i="13"/>
  <c r="Y2007" i="13"/>
  <c r="Z2006" i="13"/>
  <c r="Y2008" i="13"/>
  <c r="Z2007" i="13"/>
  <c r="Y2009" i="13"/>
  <c r="Z2008" i="13"/>
  <c r="Z2009" i="13"/>
  <c r="Y2010" i="13"/>
  <c r="Y2011" i="13"/>
  <c r="Z2010" i="13"/>
  <c r="Z2011" i="13"/>
  <c r="Y2012" i="13"/>
  <c r="Y2013" i="13"/>
  <c r="Z2012" i="13"/>
  <c r="Z2013" i="13"/>
  <c r="Y2014" i="13"/>
  <c r="Y2015" i="13"/>
  <c r="Z2014" i="13"/>
  <c r="Y2016" i="13"/>
  <c r="Z2015" i="13"/>
  <c r="Y2017" i="13"/>
  <c r="Z2016" i="13"/>
  <c r="Z2017" i="13"/>
  <c r="Y2018" i="13"/>
  <c r="Z2018" i="13"/>
  <c r="Y2019" i="13"/>
  <c r="Y2020" i="13"/>
  <c r="Z2019" i="13"/>
  <c r="Y2021" i="13"/>
  <c r="Z2020" i="13"/>
  <c r="Y2022" i="13"/>
  <c r="Z2021" i="13"/>
  <c r="Z2022" i="13"/>
  <c r="Y2023" i="13"/>
  <c r="Z2023" i="13"/>
  <c r="Y2024" i="13"/>
  <c r="Z2024" i="13"/>
  <c r="Y2025" i="13"/>
  <c r="Z2025" i="13"/>
  <c r="Y2026" i="13"/>
  <c r="Y2027" i="13"/>
  <c r="Z2026" i="13"/>
  <c r="Y2028" i="13"/>
  <c r="Z2027" i="13"/>
  <c r="Y2029" i="13"/>
  <c r="Z2028" i="13"/>
  <c r="Y2030" i="13"/>
  <c r="Z2029" i="13"/>
  <c r="Z2030" i="13"/>
  <c r="Y2031" i="13"/>
  <c r="Y2032" i="13"/>
  <c r="Z2031" i="13"/>
  <c r="Y2033" i="13"/>
  <c r="Z2032" i="13"/>
  <c r="Z2033" i="13"/>
  <c r="Y2034" i="13"/>
  <c r="Z2034" i="13"/>
  <c r="Y2035" i="13"/>
  <c r="Z2035" i="13"/>
  <c r="Y2036" i="13"/>
  <c r="Y2037" i="13"/>
  <c r="Z2036" i="13"/>
  <c r="Y2038" i="13"/>
  <c r="Z2037" i="13"/>
  <c r="Y2039" i="13"/>
  <c r="Z2038" i="13"/>
  <c r="Z2039" i="13"/>
  <c r="Y2040" i="13"/>
  <c r="Z2040" i="13"/>
  <c r="Y2041" i="13"/>
  <c r="Z2041" i="13"/>
  <c r="Y2042" i="13"/>
  <c r="Z2042" i="13"/>
  <c r="Y2043" i="13"/>
  <c r="Y2044" i="13"/>
  <c r="Z2043" i="13"/>
  <c r="Y2045" i="13"/>
  <c r="Z2044" i="13"/>
  <c r="Y2046" i="13"/>
  <c r="Z2045" i="13"/>
  <c r="Z2046" i="13"/>
  <c r="Y2047" i="13"/>
  <c r="Z2047" i="13"/>
  <c r="Y2048" i="13"/>
  <c r="Y2049" i="13"/>
  <c r="Z2048" i="13"/>
  <c r="Z2049" i="13"/>
  <c r="Y2050" i="13"/>
  <c r="Y2051" i="13"/>
  <c r="Z2050" i="13"/>
  <c r="Z2051" i="13"/>
  <c r="Y2052" i="13"/>
  <c r="Y2053" i="13"/>
  <c r="Z2052" i="13"/>
  <c r="Y2054" i="13"/>
  <c r="Z2053" i="13"/>
  <c r="Y2055" i="13"/>
  <c r="Z2054" i="13"/>
  <c r="Z2055" i="13"/>
  <c r="Y2056" i="13"/>
  <c r="Y2057" i="13"/>
  <c r="Z2056" i="13"/>
  <c r="Y2058" i="13"/>
  <c r="Z2057" i="13"/>
  <c r="Z2058" i="13"/>
  <c r="Y2059" i="13"/>
  <c r="Y2060" i="13"/>
  <c r="Z2059" i="13"/>
  <c r="Z2060" i="13"/>
  <c r="Y2061" i="13"/>
  <c r="Z2061" i="13"/>
  <c r="Y2062" i="13"/>
  <c r="Z2062" i="13"/>
  <c r="Y2063" i="13"/>
  <c r="Y2064" i="13"/>
  <c r="Z2063" i="13"/>
  <c r="Y2065" i="13"/>
  <c r="Z2064" i="13"/>
  <c r="Y2066" i="13"/>
  <c r="Z2065" i="13"/>
  <c r="Z2066" i="13"/>
  <c r="Y2067" i="13"/>
  <c r="Y2068" i="13"/>
  <c r="Z2067" i="13"/>
  <c r="Z2068" i="13"/>
  <c r="Y2069" i="13"/>
  <c r="Y2070" i="13"/>
  <c r="Z2069" i="13"/>
  <c r="Y2071" i="13"/>
  <c r="Z2070" i="13"/>
  <c r="Z2071" i="13"/>
  <c r="Y2072" i="13"/>
  <c r="Z2072" i="13"/>
  <c r="Y2073" i="13"/>
  <c r="Y2074" i="13"/>
  <c r="Z2073" i="13"/>
  <c r="Z2074" i="13"/>
  <c r="Y2075" i="13"/>
  <c r="Y2076" i="13"/>
  <c r="Z2075" i="13"/>
  <c r="Z2076" i="13"/>
  <c r="Y2077" i="13"/>
  <c r="Z2077" i="13"/>
  <c r="Y2078" i="13"/>
  <c r="Y2079" i="13"/>
  <c r="Z2078" i="13"/>
  <c r="Y2080" i="13"/>
  <c r="Z2079" i="13"/>
  <c r="Y2081" i="13"/>
  <c r="Z2080" i="13"/>
  <c r="Y2082" i="13"/>
  <c r="Z2081" i="13"/>
  <c r="Z2082" i="13"/>
  <c r="Y2083" i="13"/>
  <c r="Z2083" i="13"/>
  <c r="Y2084" i="13"/>
  <c r="Z2084" i="13"/>
  <c r="Y2085" i="13"/>
  <c r="Y2086" i="13"/>
  <c r="Z2085" i="13"/>
  <c r="Y2087" i="13"/>
  <c r="Z2086" i="13"/>
  <c r="Z2087" i="13"/>
  <c r="Y2088" i="13"/>
  <c r="Z2088" i="13"/>
  <c r="Y2089" i="13"/>
  <c r="Y2090" i="13"/>
  <c r="Z2089" i="13"/>
  <c r="Z2090" i="13"/>
  <c r="Y2091" i="13"/>
  <c r="Y2092" i="13"/>
  <c r="Z2091" i="13"/>
  <c r="Y2093" i="13"/>
  <c r="Z2092" i="13"/>
  <c r="Z2093" i="13"/>
  <c r="Y2094" i="13"/>
  <c r="Y2095" i="13"/>
  <c r="Z2094" i="13"/>
  <c r="Z2095" i="13"/>
  <c r="Y2096" i="13"/>
  <c r="Y2097" i="13"/>
  <c r="Z2096" i="13"/>
  <c r="Z2097" i="13"/>
  <c r="Y2098" i="13"/>
  <c r="Y2099" i="13"/>
  <c r="Z2098" i="13"/>
  <c r="Z2099" i="13"/>
  <c r="Y2100" i="13"/>
  <c r="Z2100" i="13"/>
  <c r="Y2101" i="13"/>
  <c r="Z2101" i="13"/>
  <c r="Y2102" i="13"/>
  <c r="Z2102" i="13"/>
  <c r="Y2103" i="13"/>
  <c r="Y2104" i="13"/>
  <c r="Z2103" i="13"/>
  <c r="Z2104" i="13"/>
  <c r="Y2105" i="13"/>
  <c r="Y2106" i="13"/>
  <c r="Z2105" i="13"/>
  <c r="Y2107" i="13"/>
  <c r="Z2106" i="13"/>
  <c r="Y2108" i="13"/>
  <c r="Z2107" i="13"/>
  <c r="Y2109" i="13"/>
  <c r="Z2108" i="13"/>
  <c r="Z2109" i="13"/>
  <c r="Y2110" i="13"/>
  <c r="Y2111" i="13"/>
  <c r="Z2110" i="13"/>
  <c r="Y2112" i="13"/>
  <c r="Z2111" i="13"/>
  <c r="Z2112" i="13"/>
  <c r="Y2113" i="13"/>
  <c r="Z2113" i="13"/>
  <c r="Y2114" i="13"/>
  <c r="Z2114" i="13"/>
  <c r="Y2115" i="13"/>
  <c r="Z2115" i="13"/>
  <c r="Y2116" i="13"/>
  <c r="Y2117" i="13"/>
  <c r="Z2116" i="13"/>
  <c r="Y2118" i="13"/>
  <c r="Z2117" i="13"/>
  <c r="Y2119" i="13"/>
  <c r="Z2118" i="13"/>
  <c r="Z2119" i="13"/>
  <c r="Y2120" i="13"/>
  <c r="Y2121" i="13"/>
  <c r="Z2120" i="13"/>
  <c r="Y2122" i="13"/>
  <c r="Z2121" i="13"/>
  <c r="Y2123" i="13"/>
  <c r="Z2122" i="13"/>
  <c r="Y2124" i="13"/>
  <c r="Z2123" i="13"/>
  <c r="Y2125" i="13"/>
  <c r="Z2124" i="13"/>
  <c r="Z2125" i="13"/>
  <c r="Y2126" i="13"/>
  <c r="Z2126" i="13"/>
  <c r="Y2127" i="13"/>
  <c r="Z2127" i="13"/>
  <c r="Y2128" i="13"/>
  <c r="Y2129" i="13"/>
  <c r="Z2128" i="13"/>
  <c r="Z2129" i="13"/>
  <c r="Y2130" i="13"/>
  <c r="Y2131" i="13"/>
  <c r="Z2130" i="13"/>
  <c r="Z2131" i="13"/>
  <c r="Y2132" i="13"/>
  <c r="Z2132" i="13"/>
  <c r="Y2133" i="13"/>
  <c r="Y2134" i="13"/>
  <c r="Z2133" i="13"/>
  <c r="Z2134" i="13"/>
  <c r="Y2135" i="13"/>
  <c r="Y2136" i="13"/>
  <c r="Z2135" i="13"/>
  <c r="Y2137" i="13"/>
  <c r="Z2136" i="13"/>
  <c r="Y2138" i="13"/>
  <c r="Z2137" i="13"/>
  <c r="Z2138" i="13"/>
  <c r="Y2139" i="13"/>
  <c r="Z2139" i="13"/>
  <c r="Y2140" i="13"/>
  <c r="Z2140" i="13"/>
  <c r="Y2141" i="13"/>
  <c r="Z2141" i="13"/>
  <c r="Y2142" i="13"/>
  <c r="Y2143" i="13"/>
  <c r="Z2142" i="13"/>
  <c r="Z2143" i="13"/>
  <c r="Y2144" i="13"/>
  <c r="Z2144" i="13"/>
  <c r="Y2145" i="13"/>
  <c r="Z2145" i="13"/>
  <c r="Y2146" i="13"/>
  <c r="Y2147" i="13"/>
  <c r="Z2146" i="13"/>
  <c r="Z2147" i="13"/>
  <c r="Y2148" i="13"/>
  <c r="Z2148" i="13"/>
  <c r="Y2149" i="13"/>
  <c r="Y2150" i="13"/>
  <c r="Z2149" i="13"/>
  <c r="Z2150" i="13"/>
  <c r="Y2151" i="13"/>
  <c r="Y2152" i="13"/>
  <c r="Z2151" i="13"/>
  <c r="Y2153" i="13"/>
  <c r="Z2152" i="13"/>
  <c r="Z2153" i="13"/>
  <c r="Y2154" i="13"/>
  <c r="Y2155" i="13"/>
  <c r="Z2154" i="13"/>
  <c r="Z2155" i="13"/>
  <c r="Y2156" i="13"/>
  <c r="Z2156" i="13"/>
  <c r="Y2157" i="13"/>
  <c r="Z2157" i="13"/>
  <c r="Y2158" i="13"/>
  <c r="Y2159" i="13"/>
  <c r="Z2158" i="13"/>
  <c r="Y2160" i="13"/>
  <c r="Z2159" i="13"/>
  <c r="Z2160" i="13"/>
  <c r="Y2161" i="13"/>
  <c r="Z2161" i="13"/>
  <c r="Y2162" i="13"/>
  <c r="Z2162" i="13"/>
  <c r="Y2163" i="13"/>
  <c r="Z2163" i="13"/>
  <c r="Y2164" i="13"/>
  <c r="Y2165" i="13"/>
  <c r="Z2164" i="13"/>
  <c r="Y2166" i="13"/>
  <c r="Z2165" i="13"/>
  <c r="Y2167" i="13"/>
  <c r="Z2166" i="13"/>
  <c r="Z2167" i="13"/>
  <c r="Y2168" i="13"/>
  <c r="Y2169" i="13"/>
  <c r="Z2168" i="13"/>
  <c r="Z2169" i="13"/>
  <c r="Y2170" i="13"/>
  <c r="Y2171" i="13"/>
  <c r="Z2170" i="13"/>
  <c r="Y2172" i="13"/>
  <c r="Z2171" i="13"/>
  <c r="Y2173" i="13"/>
  <c r="Z2172" i="13"/>
  <c r="Y2174" i="13"/>
  <c r="Z2173" i="13"/>
  <c r="Y2175" i="13"/>
  <c r="Z2174" i="13"/>
  <c r="Y2176" i="13"/>
  <c r="Z2175" i="13"/>
  <c r="Y2177" i="13"/>
  <c r="Z2176" i="13"/>
  <c r="Y2178" i="13"/>
  <c r="Z2177" i="13"/>
  <c r="Y2179" i="13"/>
  <c r="Z2178" i="13"/>
  <c r="Z2179" i="13"/>
  <c r="Y2180" i="13"/>
  <c r="Y2181" i="13"/>
  <c r="Z2180" i="13"/>
  <c r="Z2181" i="13"/>
  <c r="Y2182" i="13"/>
  <c r="Y2183" i="13"/>
  <c r="Z2182" i="13"/>
  <c r="Z2183" i="13"/>
  <c r="Y2184" i="13"/>
  <c r="Z2184" i="13"/>
  <c r="Y2185" i="13"/>
  <c r="Y2186" i="13"/>
  <c r="Z2185" i="13"/>
  <c r="Y2187" i="13"/>
  <c r="Z2186" i="13"/>
  <c r="Y2188" i="13"/>
  <c r="Z2187" i="13"/>
  <c r="Z2188" i="13"/>
  <c r="Y2189" i="13"/>
  <c r="Y2190" i="13"/>
  <c r="Z2189" i="13"/>
  <c r="Y2191" i="13"/>
  <c r="Z2190" i="13"/>
  <c r="Y2192" i="13"/>
  <c r="Z2191" i="13"/>
  <c r="Z2192" i="13"/>
  <c r="Y2193" i="13"/>
  <c r="Y2194" i="13"/>
  <c r="Z2193" i="13"/>
  <c r="Y2195" i="13"/>
  <c r="Z2194" i="13"/>
  <c r="Z2195" i="13"/>
  <c r="Y2196" i="13"/>
  <c r="Y2197" i="13"/>
  <c r="Z2196" i="13"/>
  <c r="Z2197" i="13"/>
  <c r="Y2198" i="13"/>
  <c r="Z2198" i="13"/>
  <c r="Y2199" i="13"/>
  <c r="Y2200" i="13"/>
  <c r="Z2199" i="13"/>
  <c r="Z2200" i="13"/>
  <c r="Y2201" i="13"/>
  <c r="Y2202" i="13"/>
  <c r="Z2201" i="13"/>
  <c r="Y2203" i="13"/>
  <c r="Z2202" i="13"/>
  <c r="Y2204" i="13"/>
  <c r="Z2203" i="13"/>
  <c r="Y2205" i="13"/>
  <c r="Z2204" i="13"/>
  <c r="Y2206" i="13"/>
  <c r="Z2205" i="13"/>
  <c r="Z2206" i="13"/>
  <c r="Y2207" i="13"/>
  <c r="Y2208" i="13"/>
  <c r="Z2207" i="13"/>
  <c r="Y2209" i="13"/>
  <c r="Z2208" i="13"/>
  <c r="Z2209" i="13"/>
  <c r="Y2210" i="13"/>
  <c r="Z2210" i="13"/>
  <c r="Y2211" i="13"/>
  <c r="Z2211" i="13"/>
  <c r="Y2212" i="13"/>
  <c r="Z2212" i="13"/>
  <c r="Y2213" i="13"/>
  <c r="Z2213" i="13"/>
  <c r="Y2214" i="13"/>
  <c r="Y2215" i="13"/>
  <c r="Z2214" i="13"/>
  <c r="Y2216" i="13"/>
  <c r="Z2215" i="13"/>
  <c r="Z2216" i="13"/>
  <c r="Y2217" i="13"/>
  <c r="Y2218" i="13"/>
  <c r="Z2217" i="13"/>
  <c r="Z2218" i="13"/>
  <c r="Y2219" i="13"/>
  <c r="Z2219" i="13"/>
  <c r="Y2220" i="13"/>
  <c r="Z2220" i="13"/>
  <c r="Y2221" i="13"/>
  <c r="Z2221" i="13"/>
  <c r="Y2222" i="13"/>
  <c r="Y2223" i="13"/>
  <c r="Z2222" i="13"/>
  <c r="Z2223" i="13"/>
  <c r="Y2224" i="13"/>
  <c r="Y2225" i="13"/>
  <c r="Z2224" i="13"/>
  <c r="Y2226" i="13"/>
  <c r="Z2225" i="13"/>
  <c r="Y2227" i="13"/>
  <c r="Z2226" i="13"/>
  <c r="Z2227" i="13"/>
  <c r="Y2228" i="13"/>
  <c r="Y2229" i="13"/>
  <c r="Z2228" i="13"/>
  <c r="Y2230" i="13"/>
  <c r="Z2229" i="13"/>
  <c r="Z2230" i="13"/>
  <c r="Y2231" i="13"/>
  <c r="Z2231" i="13"/>
  <c r="Y2232" i="13"/>
  <c r="Z2232" i="13"/>
  <c r="Y2233" i="13"/>
  <c r="Z2233" i="13"/>
  <c r="Y2234" i="13"/>
  <c r="Y2235" i="13"/>
  <c r="Z2234" i="13"/>
  <c r="Y2236" i="13"/>
  <c r="Z2235" i="13"/>
  <c r="Z2236" i="13"/>
  <c r="Y2237" i="13"/>
  <c r="Y2238" i="13"/>
  <c r="Z2237" i="13"/>
  <c r="Y2239" i="13"/>
  <c r="Z2238" i="13"/>
  <c r="Y2240" i="13"/>
  <c r="Z2239" i="13"/>
  <c r="Z2240" i="13"/>
  <c r="Y2241" i="13"/>
  <c r="Z2241" i="13"/>
  <c r="Y2242" i="13"/>
  <c r="Y2243" i="13"/>
  <c r="Z2242" i="13"/>
  <c r="Y2244" i="13"/>
  <c r="Z2243" i="13"/>
  <c r="Y2245" i="13"/>
  <c r="Z2244" i="13"/>
  <c r="Z2245" i="13"/>
  <c r="Y2246" i="13"/>
  <c r="Y2247" i="13"/>
  <c r="Z2246" i="13"/>
  <c r="Z2247" i="13"/>
  <c r="Y2248" i="13"/>
  <c r="Y2249" i="13"/>
  <c r="Z2248" i="13"/>
  <c r="Y2250" i="13"/>
  <c r="Z2249" i="13"/>
  <c r="Y2251" i="13"/>
  <c r="Z2250" i="13"/>
  <c r="Y2252" i="13"/>
  <c r="Z2251" i="13"/>
  <c r="Z2252" i="13"/>
  <c r="Y2253" i="13"/>
  <c r="Y2254" i="13"/>
  <c r="Z2253" i="13"/>
  <c r="Y2255" i="13"/>
  <c r="Z2254" i="13"/>
  <c r="Z2255" i="13"/>
  <c r="Y2256" i="13"/>
  <c r="Z2256" i="13"/>
  <c r="Y2257" i="13"/>
  <c r="Y2258" i="13"/>
  <c r="Z2257" i="13"/>
  <c r="Y2259" i="13"/>
  <c r="Z2258" i="13"/>
  <c r="Y2260" i="13"/>
  <c r="Z2259" i="13"/>
  <c r="Z2260" i="13"/>
  <c r="Y2261" i="13"/>
  <c r="Z2261" i="13"/>
  <c r="Y2262" i="13"/>
  <c r="Y2263" i="13"/>
  <c r="Z2262" i="13"/>
  <c r="Y2264" i="13"/>
  <c r="Z2263" i="13"/>
  <c r="Z2264" i="13"/>
  <c r="Y2265" i="13"/>
  <c r="Z2265" i="13"/>
  <c r="Y2266" i="13"/>
  <c r="Y2267" i="13"/>
  <c r="Z2266" i="13"/>
  <c r="Z2267" i="13"/>
  <c r="Y2268" i="13"/>
  <c r="Y2269" i="13"/>
  <c r="Z2268" i="13"/>
  <c r="Y2270" i="13"/>
  <c r="Z2269" i="13"/>
  <c r="Z2270" i="13"/>
  <c r="Y2271" i="13"/>
  <c r="Y2272" i="13"/>
  <c r="Z2271" i="13"/>
  <c r="Z2272" i="13"/>
  <c r="Y2273" i="13"/>
  <c r="Z2273" i="13"/>
  <c r="Y2274" i="13"/>
  <c r="Y2275" i="13"/>
  <c r="Z2274" i="13"/>
  <c r="Y2276" i="13"/>
  <c r="Z2275" i="13"/>
  <c r="Z2276" i="13"/>
  <c r="Y2277" i="13"/>
  <c r="Z2277" i="13"/>
  <c r="Y2278" i="13"/>
  <c r="Z2278" i="13"/>
  <c r="Y2279" i="13"/>
  <c r="Z2279" i="13"/>
  <c r="Y2280" i="13"/>
  <c r="Z2280" i="13"/>
  <c r="Y2281" i="13"/>
  <c r="Y2282" i="13"/>
  <c r="Z2281" i="13"/>
  <c r="Z2282" i="13"/>
  <c r="Y2283" i="13"/>
  <c r="Y2284" i="13"/>
  <c r="Z2283" i="13"/>
  <c r="Y2285" i="13"/>
  <c r="Z2284" i="13"/>
  <c r="Z2285" i="13"/>
  <c r="Y2286" i="13"/>
  <c r="Y2287" i="13"/>
  <c r="Z2286" i="13"/>
  <c r="Z2287" i="13"/>
  <c r="Y2288" i="13"/>
  <c r="Z2288" i="13"/>
  <c r="Y2289" i="13"/>
  <c r="Y2290" i="13"/>
  <c r="Z2289" i="13"/>
  <c r="Y2291" i="13"/>
  <c r="Z2290" i="13"/>
  <c r="Y2292" i="13"/>
  <c r="Z2291" i="13"/>
  <c r="Z2292" i="13"/>
  <c r="Y2293" i="13"/>
  <c r="Y2294" i="13"/>
  <c r="Z2293" i="13"/>
  <c r="Y2295" i="13"/>
  <c r="Z2294" i="13"/>
  <c r="Z2295" i="13"/>
  <c r="Y2296" i="13"/>
  <c r="Z2296" i="13"/>
  <c r="Y2297" i="13"/>
  <c r="Z2297" i="13"/>
  <c r="Y2298" i="13"/>
  <c r="Z2298" i="13"/>
  <c r="Y2299" i="13"/>
  <c r="Z2299" i="13"/>
  <c r="Y2300" i="13"/>
  <c r="Y2301" i="13"/>
  <c r="Z2300" i="13"/>
  <c r="Y2302" i="13"/>
  <c r="Z2301" i="13"/>
  <c r="Z2302" i="13"/>
  <c r="Y2303" i="13"/>
  <c r="Z2303" i="13"/>
  <c r="Y2304" i="13"/>
  <c r="Y2305" i="13"/>
  <c r="Z2304" i="13"/>
  <c r="Z2305" i="13"/>
  <c r="Y2306" i="13"/>
  <c r="Z2306" i="13"/>
  <c r="Y2307" i="13"/>
  <c r="Y2308" i="13"/>
  <c r="Z2307" i="13"/>
  <c r="Z2308" i="13"/>
  <c r="Y2309" i="13"/>
  <c r="Z2309" i="13"/>
  <c r="Y2310" i="13"/>
  <c r="Y2311" i="13"/>
  <c r="Z2310" i="13"/>
  <c r="Y2312" i="13"/>
  <c r="Z2311" i="13"/>
  <c r="Y2313" i="13"/>
  <c r="Z2312" i="13"/>
  <c r="Y2314" i="13"/>
  <c r="Z2313" i="13"/>
  <c r="Z2314" i="13"/>
  <c r="Y2315" i="13"/>
  <c r="Y2316" i="13"/>
  <c r="Z2315" i="13"/>
  <c r="Y2317" i="13"/>
  <c r="Z2316" i="13"/>
  <c r="Y2318" i="13"/>
  <c r="Z2317" i="13"/>
  <c r="Z2318" i="13"/>
  <c r="Y2319" i="13"/>
  <c r="Y2320" i="13"/>
  <c r="Z2319" i="13"/>
  <c r="Z2320" i="13"/>
  <c r="Y2321" i="13"/>
  <c r="Y2322" i="13"/>
  <c r="Z2321" i="13"/>
  <c r="Y2323" i="13"/>
  <c r="Z2322" i="13"/>
  <c r="Y2324" i="13"/>
  <c r="Z2323" i="13"/>
  <c r="Y2325" i="13"/>
  <c r="Z2324" i="13"/>
  <c r="Y2326" i="13"/>
  <c r="Z2325" i="13"/>
  <c r="Z2326" i="13"/>
  <c r="Y2327" i="13"/>
  <c r="Y2328" i="13"/>
  <c r="Z2327" i="13"/>
  <c r="Z2328" i="13"/>
  <c r="Y2329" i="13"/>
  <c r="Z2329" i="13"/>
  <c r="Y2330" i="13"/>
  <c r="Z2330" i="13"/>
  <c r="Y2331" i="13"/>
  <c r="Y2332" i="13"/>
  <c r="Z2331" i="13"/>
  <c r="Y2333" i="13"/>
  <c r="Z2332" i="13"/>
  <c r="Y2334" i="13"/>
  <c r="Z2333" i="13"/>
  <c r="Z2334" i="13"/>
  <c r="Y2335" i="13"/>
  <c r="Y2336" i="13"/>
  <c r="Z2335" i="13"/>
  <c r="Y2337" i="13"/>
  <c r="Z2336" i="13"/>
  <c r="Z2337" i="13"/>
  <c r="Y2338" i="13"/>
  <c r="Z2338" i="13"/>
  <c r="Y2339" i="13"/>
  <c r="Y2340" i="13"/>
  <c r="Z2339" i="13"/>
  <c r="Y2341" i="13"/>
  <c r="Z2340" i="13"/>
  <c r="Y2342" i="13"/>
  <c r="Z2341" i="13"/>
  <c r="Z2342" i="13"/>
  <c r="Y2343" i="13"/>
  <c r="Z2343" i="13"/>
  <c r="Y2344" i="13"/>
  <c r="Z2344" i="13"/>
  <c r="Y2345" i="13"/>
  <c r="Z2345" i="13"/>
  <c r="Y2346" i="13"/>
  <c r="Z2346" i="13"/>
  <c r="Y2347" i="13"/>
  <c r="Y2348" i="13"/>
  <c r="Z2347" i="13"/>
  <c r="Y2349" i="13"/>
  <c r="Z2348" i="13"/>
  <c r="Z2349" i="13"/>
  <c r="Y2350" i="13"/>
  <c r="Y2351" i="13"/>
  <c r="Z2350" i="13"/>
  <c r="Z2351" i="13"/>
  <c r="Y2352" i="13"/>
  <c r="Z2352" i="13"/>
  <c r="Y2353" i="13"/>
  <c r="Y2354" i="13"/>
  <c r="Z2353" i="13"/>
  <c r="Z2354" i="13"/>
  <c r="Y2355" i="13"/>
  <c r="Z2355" i="13"/>
  <c r="Y2356" i="13"/>
  <c r="Y2357" i="13"/>
  <c r="Z2356" i="13"/>
  <c r="Y2358" i="13"/>
  <c r="Z2357" i="13"/>
  <c r="Y2359" i="13"/>
  <c r="Z2358" i="13"/>
  <c r="Z2359" i="13"/>
  <c r="Y2360" i="13"/>
  <c r="Z2360" i="13"/>
  <c r="Y2361" i="13"/>
  <c r="Y2362" i="13"/>
  <c r="Z2361" i="13"/>
  <c r="Z2362" i="13"/>
  <c r="Y2363" i="13"/>
  <c r="Z2363" i="13"/>
  <c r="Y2364" i="13"/>
  <c r="Y2365" i="13"/>
  <c r="Z2364" i="13"/>
  <c r="Y2366" i="13"/>
  <c r="Z2365" i="13"/>
  <c r="Z2366" i="13"/>
  <c r="Y2367" i="13"/>
  <c r="Z2367" i="13"/>
  <c r="Y2368" i="13"/>
  <c r="Y2369" i="13"/>
  <c r="Z2368" i="13"/>
  <c r="Z2369" i="13"/>
  <c r="Y2370" i="13"/>
  <c r="Z2370" i="13"/>
  <c r="Y2371" i="13"/>
  <c r="Z2371" i="13"/>
  <c r="Y2372" i="13"/>
  <c r="Y2373" i="13"/>
  <c r="Z2372" i="13"/>
  <c r="Y2374" i="13"/>
  <c r="Z2373" i="13"/>
  <c r="Y2375" i="13"/>
  <c r="Z2374" i="13"/>
  <c r="Z2375" i="13"/>
  <c r="Y2376" i="13"/>
  <c r="Z2376" i="13"/>
  <c r="Y2377" i="13"/>
  <c r="Y2378" i="13"/>
  <c r="Z2377" i="13"/>
  <c r="Y2379" i="13"/>
  <c r="Z2378" i="13"/>
  <c r="Y2380" i="13"/>
  <c r="Z2379" i="13"/>
  <c r="Y2381" i="13"/>
  <c r="Z2380" i="13"/>
  <c r="Y2382" i="13"/>
  <c r="Z2381" i="13"/>
  <c r="Z2382" i="13"/>
  <c r="Y2383" i="13"/>
  <c r="Z2383" i="13"/>
  <c r="Y2384" i="13"/>
  <c r="Z2384" i="13"/>
  <c r="Y2385" i="13"/>
  <c r="Y2386" i="13"/>
  <c r="Z2385" i="13"/>
  <c r="Z2386" i="13"/>
  <c r="Y2387" i="13"/>
  <c r="Z2387" i="13"/>
  <c r="Y2388" i="13"/>
  <c r="Z2388" i="13"/>
  <c r="Y2389" i="13"/>
  <c r="Z2389" i="13"/>
  <c r="Y2390" i="13"/>
  <c r="Y2391" i="13"/>
  <c r="Z2390" i="13"/>
  <c r="Z2391" i="13"/>
  <c r="Y2392" i="13"/>
  <c r="Z2392" i="13"/>
  <c r="Y2393" i="13"/>
  <c r="Y2394" i="13"/>
  <c r="Z2393" i="13"/>
  <c r="Z2394" i="13"/>
  <c r="Y2395" i="13"/>
  <c r="Y2396" i="13"/>
  <c r="Z2395" i="13"/>
  <c r="Y2397" i="13"/>
  <c r="Z2396" i="13"/>
  <c r="Y2398" i="13"/>
  <c r="Z2397" i="13"/>
  <c r="Z2398" i="13"/>
  <c r="Y2399" i="13"/>
  <c r="Z2399" i="13"/>
  <c r="Y2400" i="13"/>
  <c r="Z2400" i="13"/>
  <c r="Y2401" i="13"/>
  <c r="Y2402" i="13"/>
  <c r="Z2401" i="13"/>
  <c r="Y2403" i="13"/>
  <c r="Z2402" i="13"/>
  <c r="Y2404" i="13"/>
  <c r="Z2403" i="13"/>
  <c r="Z2404" i="13"/>
  <c r="Y2405" i="13"/>
  <c r="Y2406" i="13"/>
  <c r="Z2405" i="13"/>
  <c r="Y2407" i="13"/>
  <c r="Z2406" i="13"/>
  <c r="Y2408" i="13"/>
  <c r="Z2407" i="13"/>
  <c r="Y2409" i="13"/>
  <c r="Z2408" i="13"/>
  <c r="Z2409" i="13"/>
  <c r="Y2410" i="13"/>
  <c r="Y2411" i="13"/>
  <c r="Z2410" i="13"/>
  <c r="Y2412" i="13"/>
  <c r="Z2411" i="13"/>
  <c r="Y2413" i="13"/>
  <c r="Z2412" i="13"/>
  <c r="Z2413" i="13"/>
  <c r="Y2414" i="13"/>
  <c r="Y2415" i="13"/>
  <c r="Z2414" i="13"/>
  <c r="Y2416" i="13"/>
  <c r="Z2415" i="13"/>
  <c r="Y2417" i="13"/>
  <c r="Z2416" i="13"/>
  <c r="Z2417" i="13"/>
  <c r="Y2418" i="13"/>
  <c r="Y2419" i="13"/>
  <c r="Z2418" i="13"/>
  <c r="Z2419" i="13"/>
  <c r="Y2420" i="13"/>
  <c r="Z2420" i="13"/>
  <c r="Y2421" i="13"/>
  <c r="Z2421" i="13"/>
  <c r="Y2422" i="13"/>
  <c r="Z2422" i="13"/>
  <c r="Y2423" i="13"/>
  <c r="Z2423" i="13"/>
  <c r="Y2424" i="13"/>
  <c r="Y2425" i="13"/>
  <c r="Z2424" i="13"/>
  <c r="Z2425" i="13"/>
  <c r="Y2426" i="13"/>
  <c r="Y2427" i="13"/>
  <c r="Z2426" i="13"/>
  <c r="Y2428" i="13"/>
  <c r="Z2427" i="13"/>
  <c r="Z2428" i="13"/>
  <c r="Y2429" i="13"/>
  <c r="Z2429" i="13"/>
  <c r="Y2430" i="13"/>
  <c r="Z2430" i="13"/>
  <c r="Y2431" i="13"/>
  <c r="Z2431" i="13"/>
  <c r="Y2432" i="13"/>
  <c r="Z2432" i="13"/>
  <c r="Y2433" i="13"/>
  <c r="Z2433" i="13"/>
  <c r="Y2434" i="13"/>
  <c r="Y2435" i="13"/>
  <c r="Z2434" i="13"/>
  <c r="Y2436" i="13"/>
  <c r="Z2435" i="13"/>
  <c r="Y2437" i="13"/>
  <c r="Z2436" i="13"/>
  <c r="Y2438" i="13"/>
  <c r="Z2437" i="13"/>
  <c r="Z2438" i="13"/>
  <c r="Y2439" i="13"/>
  <c r="Z2439" i="13"/>
  <c r="Y2440" i="13"/>
  <c r="Y2441" i="13"/>
  <c r="Z2440" i="13"/>
  <c r="Y2442" i="13"/>
  <c r="Z2441" i="13"/>
  <c r="Z2442" i="13"/>
  <c r="Y2443" i="13"/>
  <c r="Z2443" i="13"/>
  <c r="Y2444" i="13"/>
  <c r="Z2444" i="13"/>
  <c r="Y2445" i="13"/>
  <c r="Y2446" i="13"/>
  <c r="Z2445" i="13"/>
  <c r="Z2446" i="13"/>
  <c r="Y2447" i="13"/>
  <c r="Z2447" i="13"/>
  <c r="Y2448" i="13"/>
  <c r="Y2449" i="13"/>
  <c r="Z2448" i="13"/>
  <c r="Y2450" i="13"/>
  <c r="Z2449" i="13"/>
  <c r="Z2450" i="13"/>
  <c r="Y2451" i="13"/>
  <c r="Y2452" i="13"/>
  <c r="Z2451" i="13"/>
  <c r="Y2453" i="13"/>
  <c r="Z2452" i="13"/>
  <c r="Y2454" i="13"/>
  <c r="Z2453" i="13"/>
  <c r="Z2454" i="13"/>
  <c r="Y2455" i="13"/>
  <c r="Y2456" i="13"/>
  <c r="Z2455" i="13"/>
  <c r="Z2456" i="13"/>
  <c r="Y2457" i="13"/>
  <c r="Z2457" i="13"/>
  <c r="Y2458" i="13"/>
  <c r="Z2458" i="13"/>
  <c r="Y2459" i="13"/>
  <c r="Y2460" i="13"/>
  <c r="Z2459" i="13"/>
  <c r="Y2461" i="13"/>
  <c r="Z2460" i="13"/>
  <c r="Z2461" i="13"/>
  <c r="Y2462" i="13"/>
  <c r="Z2462" i="13"/>
  <c r="Y2463" i="13"/>
  <c r="Y2464" i="13"/>
  <c r="Z2463" i="13"/>
  <c r="Y2465" i="13"/>
  <c r="Z2464" i="13"/>
  <c r="Y2466" i="13"/>
  <c r="Z2465" i="13"/>
  <c r="Z2466" i="13"/>
  <c r="Y2467" i="13"/>
  <c r="Z2467" i="13"/>
  <c r="Y2468" i="13"/>
  <c r="Y2469" i="13"/>
  <c r="Z2468" i="13"/>
  <c r="Z2469" i="13"/>
  <c r="Y2470" i="13"/>
  <c r="Z2470" i="13"/>
  <c r="Y2471" i="13"/>
  <c r="Z2471" i="13"/>
  <c r="Y2472" i="13"/>
  <c r="Z2472" i="13"/>
  <c r="Y2473" i="13"/>
  <c r="Z2473" i="13"/>
  <c r="Y2474" i="13"/>
  <c r="Y2475" i="13"/>
  <c r="Z2474" i="13"/>
  <c r="Z2475" i="13"/>
  <c r="Y2476" i="13"/>
  <c r="Y2477" i="13"/>
  <c r="Z2476" i="13"/>
  <c r="Y2478" i="13"/>
  <c r="Z2477" i="13"/>
  <c r="Z2478" i="13"/>
  <c r="Y2479" i="13"/>
  <c r="Y2480" i="13"/>
  <c r="Z2479" i="13"/>
  <c r="Y2481" i="13"/>
  <c r="Z2480" i="13"/>
  <c r="Y2482" i="13"/>
  <c r="Z2481" i="13"/>
  <c r="Y2483" i="13"/>
  <c r="Z2482" i="13"/>
  <c r="Y2484" i="13"/>
  <c r="Z2483" i="13"/>
  <c r="Y2485" i="13"/>
  <c r="Z2484" i="13"/>
  <c r="Y2486" i="13"/>
  <c r="Z2485" i="13"/>
  <c r="Y2487" i="13"/>
  <c r="Z2486" i="13"/>
  <c r="Z2487" i="13"/>
  <c r="Y2488" i="13"/>
  <c r="Z2488" i="13"/>
  <c r="Y2489" i="13"/>
  <c r="Z2489" i="13"/>
  <c r="Y2490" i="13"/>
  <c r="Z2490" i="13"/>
  <c r="Y2491" i="13"/>
  <c r="Y2492" i="13"/>
  <c r="Z2491" i="13"/>
  <c r="Y2493" i="13"/>
  <c r="Z2492" i="13"/>
  <c r="Y2494" i="13"/>
  <c r="Z2493" i="13"/>
  <c r="Z2494" i="13"/>
  <c r="Y2495" i="13"/>
  <c r="Y2496" i="13"/>
  <c r="Z2495" i="13"/>
  <c r="Z2496" i="13"/>
  <c r="Y2497" i="13"/>
  <c r="Y2498" i="13"/>
  <c r="Z2497" i="13"/>
  <c r="Y2499" i="13"/>
  <c r="Z2498" i="13"/>
  <c r="Y2500" i="13"/>
  <c r="Z2499" i="13"/>
  <c r="Y2501" i="13"/>
  <c r="Z2500" i="13"/>
  <c r="Z2501" i="13"/>
  <c r="Y2502" i="13"/>
  <c r="Y2503" i="13"/>
  <c r="Z2502" i="13"/>
  <c r="Y2504" i="13"/>
  <c r="Z2503" i="13"/>
  <c r="Y2505" i="13"/>
  <c r="Z2504" i="13"/>
  <c r="Z2505" i="13"/>
  <c r="Y2506" i="13"/>
  <c r="Z2506" i="13"/>
  <c r="Y2507" i="13"/>
  <c r="Y2508" i="13"/>
  <c r="Z2507" i="13"/>
  <c r="Y2509" i="13"/>
  <c r="Z2508" i="13"/>
  <c r="Z2509" i="13"/>
  <c r="Y2510" i="13"/>
  <c r="Y2511" i="13"/>
  <c r="Z2510" i="13"/>
  <c r="Y2512" i="13"/>
  <c r="Z2511" i="13"/>
  <c r="Y2513" i="13"/>
  <c r="Z2512" i="13"/>
  <c r="Z2513" i="13"/>
  <c r="Y2514" i="13"/>
  <c r="Z2514" i="13"/>
  <c r="Y2515" i="13"/>
  <c r="Y2516" i="13"/>
  <c r="Z2515" i="13"/>
  <c r="Y2517" i="13"/>
  <c r="Z2516" i="13"/>
  <c r="Z2517" i="13"/>
  <c r="Y2518" i="13"/>
  <c r="Y2519" i="13"/>
  <c r="Z2518" i="13"/>
  <c r="Z2519" i="13"/>
  <c r="Y2520" i="13"/>
  <c r="Y2521" i="13"/>
  <c r="Z2520" i="13"/>
  <c r="Z2521" i="13"/>
  <c r="Y2522" i="13"/>
  <c r="Y2523" i="13"/>
  <c r="Z2522" i="13"/>
  <c r="Y2524" i="13"/>
  <c r="Z2523" i="13"/>
  <c r="Y2525" i="13"/>
  <c r="Z2524" i="13"/>
  <c r="Z2525" i="13"/>
  <c r="Y2526" i="13"/>
  <c r="Y2527" i="13"/>
  <c r="Z2526" i="13"/>
  <c r="Z2527" i="13"/>
  <c r="Y2528" i="13"/>
  <c r="Y2529" i="13"/>
  <c r="Z2528" i="13"/>
  <c r="Y2530" i="13"/>
  <c r="Z2529" i="13"/>
  <c r="Y2531" i="13"/>
  <c r="Z2530" i="13"/>
  <c r="Z2531" i="13"/>
  <c r="Y2532" i="13"/>
  <c r="Y2533" i="13"/>
  <c r="Z2532" i="13"/>
  <c r="Y2534" i="13"/>
  <c r="Z2533" i="13"/>
  <c r="Y2535" i="13"/>
  <c r="Z2534" i="13"/>
  <c r="Y2536" i="13"/>
  <c r="Z2535" i="13"/>
  <c r="Z2536" i="13"/>
  <c r="Y2537" i="13"/>
  <c r="Y2538" i="13"/>
  <c r="Z2537" i="13"/>
  <c r="Y2539" i="13"/>
  <c r="Z2538" i="13"/>
  <c r="Z2539" i="13"/>
  <c r="Y2540" i="13"/>
  <c r="Z2540" i="13"/>
  <c r="Y2541" i="13"/>
  <c r="Y2542" i="13"/>
  <c r="Z2541" i="13"/>
  <c r="Z2542" i="13"/>
  <c r="Y2543" i="13"/>
  <c r="Z2543" i="13"/>
  <c r="Y2544" i="13"/>
  <c r="Y2545" i="13"/>
  <c r="Z2544" i="13"/>
  <c r="Z2545" i="13"/>
  <c r="Y2546" i="13"/>
  <c r="Z2546" i="13"/>
  <c r="Y2547" i="13"/>
  <c r="Y2548" i="13"/>
  <c r="Z2547" i="13"/>
  <c r="Y2549" i="13"/>
  <c r="Z2548" i="13"/>
  <c r="Y2550" i="13"/>
  <c r="Z2549" i="13"/>
  <c r="Z2550" i="13"/>
  <c r="Y2551" i="13"/>
  <c r="Z2551" i="13"/>
  <c r="Y2552" i="13"/>
  <c r="Y2553" i="13"/>
  <c r="Z2552" i="13"/>
  <c r="Y2554" i="13"/>
  <c r="Z2553" i="13"/>
  <c r="Y2555" i="13"/>
  <c r="Z2554" i="13"/>
  <c r="Y2556" i="13"/>
  <c r="Z2555" i="13"/>
  <c r="Z2556" i="13"/>
  <c r="Y2557" i="13"/>
  <c r="Y2558" i="13"/>
  <c r="Z2557" i="13"/>
  <c r="Y2559" i="13"/>
  <c r="Z2558" i="13"/>
  <c r="Z2559" i="13"/>
  <c r="Y2560" i="13"/>
  <c r="Z2560" i="13"/>
  <c r="Y2561" i="13"/>
  <c r="Z2561" i="13"/>
  <c r="Y2562" i="13"/>
  <c r="Y2563" i="13"/>
  <c r="Z2562" i="13"/>
  <c r="Z2563" i="13"/>
  <c r="Y2564" i="13"/>
  <c r="Y2565" i="13"/>
  <c r="Z2564" i="13"/>
  <c r="Z2565" i="13"/>
  <c r="Y2566" i="13"/>
  <c r="Z2566" i="13"/>
  <c r="Y2567" i="13"/>
  <c r="Z2567" i="13"/>
  <c r="Y2568" i="13"/>
  <c r="Y2569" i="13"/>
  <c r="Z2568" i="13"/>
  <c r="Z2569" i="13"/>
  <c r="Y2570" i="13"/>
  <c r="Z2570" i="13"/>
  <c r="Y2571" i="13"/>
  <c r="Z2571" i="13"/>
  <c r="Y2572" i="13"/>
  <c r="Y2573" i="13"/>
  <c r="Z2572" i="13"/>
  <c r="Z2573" i="13"/>
  <c r="Y2574" i="13"/>
  <c r="Y2575" i="13"/>
  <c r="Z2574" i="13"/>
  <c r="Y2576" i="13"/>
  <c r="Z2575" i="13"/>
  <c r="Y2577" i="13"/>
  <c r="Z2576" i="13"/>
  <c r="Z2577" i="13"/>
  <c r="Y2578" i="13"/>
  <c r="Y2579" i="13"/>
  <c r="Z2578" i="13"/>
  <c r="Z2579" i="13"/>
  <c r="Y2580" i="13"/>
  <c r="Y2581" i="13"/>
  <c r="Z2580" i="13"/>
  <c r="Y2582" i="13"/>
  <c r="Z2581" i="13"/>
  <c r="Z2582" i="13"/>
  <c r="Y2583" i="13"/>
  <c r="Y2584" i="13"/>
  <c r="Z2583" i="13"/>
  <c r="Y2585" i="13"/>
  <c r="Z2584" i="13"/>
  <c r="Y2586" i="13"/>
  <c r="Z2585" i="13"/>
  <c r="Z2586" i="13"/>
  <c r="Y2587" i="13"/>
  <c r="Z2587" i="13"/>
  <c r="Y2588" i="13"/>
  <c r="Z2588" i="13"/>
  <c r="Y2589" i="13"/>
  <c r="Y2590" i="13"/>
  <c r="Z2589" i="13"/>
  <c r="Y2591" i="13"/>
  <c r="Z2590" i="13"/>
  <c r="Y2592" i="13"/>
  <c r="Z2591" i="13"/>
  <c r="Z2592" i="13"/>
  <c r="Y2593" i="13"/>
  <c r="Z2593" i="13"/>
  <c r="Y2594" i="13"/>
  <c r="Y2595" i="13"/>
  <c r="Z2594" i="13"/>
  <c r="Z2595" i="13"/>
  <c r="Y2596" i="13"/>
  <c r="Z2596" i="13"/>
  <c r="Y2597" i="13"/>
  <c r="Z2597" i="13"/>
  <c r="Y2598" i="13"/>
  <c r="Y2599" i="13"/>
  <c r="Z2598" i="13"/>
  <c r="Y2600" i="13"/>
  <c r="Z2599" i="13"/>
  <c r="Z2600" i="13"/>
  <c r="Y2601" i="13"/>
  <c r="Z2601" i="13"/>
  <c r="Y2602" i="13"/>
  <c r="Z2602" i="13"/>
  <c r="Y2603" i="13"/>
  <c r="Y2604" i="13"/>
  <c r="Z2603" i="13"/>
  <c r="Y2605" i="13"/>
  <c r="Z2604" i="13"/>
  <c r="Z2605" i="13"/>
  <c r="Y2606" i="13"/>
  <c r="Z2606" i="13"/>
  <c r="Y2607" i="13"/>
  <c r="Z2607" i="13"/>
  <c r="Y2608" i="13"/>
  <c r="Z2608" i="13"/>
  <c r="Y2609" i="13"/>
  <c r="Z2609" i="13"/>
  <c r="Y2610" i="13"/>
  <c r="Y2611" i="13"/>
  <c r="Z2610" i="13"/>
  <c r="Y2612" i="13"/>
  <c r="Z2611" i="13"/>
  <c r="Z2612" i="13"/>
  <c r="Y2613" i="13"/>
  <c r="Y2614" i="13"/>
  <c r="Z2613" i="13"/>
  <c r="Z2614" i="13"/>
  <c r="Y2615" i="13"/>
  <c r="Z2615" i="13"/>
  <c r="Y2616" i="13"/>
  <c r="Z2616" i="13"/>
  <c r="Y2617" i="13"/>
  <c r="Z2617" i="13"/>
  <c r="Y2618" i="13"/>
  <c r="Z2618" i="13"/>
  <c r="Y2619" i="13"/>
  <c r="Z2619" i="13"/>
  <c r="Y2620" i="13"/>
  <c r="Z2620" i="13"/>
  <c r="Y2621" i="13"/>
  <c r="Y2622" i="13"/>
  <c r="Z2621" i="13"/>
  <c r="Y2623" i="13"/>
  <c r="Z2622" i="13"/>
  <c r="Y2624" i="13"/>
  <c r="Z2623" i="13"/>
  <c r="Y2625" i="13"/>
  <c r="Z2624" i="13"/>
  <c r="Y2626" i="13"/>
  <c r="Z2625" i="13"/>
  <c r="Z2626" i="13"/>
  <c r="Y2627" i="13"/>
  <c r="Y2628" i="13"/>
  <c r="Z2627" i="13"/>
  <c r="Y2629" i="13"/>
  <c r="Z2628" i="13"/>
  <c r="Z2629" i="13"/>
  <c r="Y2630" i="13"/>
  <c r="Y2631" i="13"/>
  <c r="Z2630" i="13"/>
  <c r="Y2632" i="13"/>
  <c r="Z2631" i="13"/>
  <c r="Y2633" i="13"/>
  <c r="Z2632" i="13"/>
  <c r="Y2634" i="13"/>
  <c r="Z2633" i="13"/>
  <c r="Y2635" i="13"/>
  <c r="Z2634" i="13"/>
  <c r="Y2636" i="13"/>
  <c r="Z2635" i="13"/>
  <c r="Y2637" i="13"/>
  <c r="Z2636" i="13"/>
  <c r="Z2637" i="13"/>
  <c r="Y2638" i="13"/>
  <c r="Y2639" i="13"/>
  <c r="Z2638" i="13"/>
  <c r="Z2639" i="13"/>
  <c r="Y2640" i="13"/>
  <c r="Z2640" i="13"/>
  <c r="Y2641" i="13"/>
  <c r="Z2641" i="13"/>
  <c r="Y2642" i="13"/>
  <c r="Z2642" i="13"/>
  <c r="Y2643" i="13"/>
  <c r="Z2643" i="13"/>
  <c r="Y2644" i="13"/>
  <c r="Y2645" i="13"/>
  <c r="Z2644" i="13"/>
  <c r="Y2646" i="13"/>
  <c r="Z2645" i="13"/>
  <c r="Y2647" i="13"/>
  <c r="Z2646" i="13"/>
  <c r="Y2648" i="13"/>
  <c r="Z2647" i="13"/>
  <c r="Z2648" i="13"/>
  <c r="Y2649" i="13"/>
  <c r="Y2650" i="13"/>
  <c r="Z2649" i="13"/>
  <c r="Z2650" i="13"/>
  <c r="Y2651" i="13"/>
  <c r="Y2652" i="13"/>
  <c r="Z2651" i="13"/>
  <c r="Z2652" i="13"/>
  <c r="Y2653" i="13"/>
  <c r="Z2653" i="13"/>
  <c r="Y2654" i="13"/>
  <c r="Z2654" i="13"/>
  <c r="Y2655" i="13"/>
  <c r="Z2655" i="13"/>
  <c r="Y2656" i="13"/>
  <c r="Z2656" i="13"/>
  <c r="Y2657" i="13"/>
  <c r="Y2658" i="13"/>
  <c r="Z2657" i="13"/>
  <c r="Y2659" i="13"/>
  <c r="Z2658" i="13"/>
  <c r="Z2659" i="13"/>
  <c r="Y2660" i="13"/>
  <c r="Z2660" i="13"/>
  <c r="Y2661" i="13"/>
  <c r="Z2661" i="13"/>
  <c r="Y2662" i="13"/>
  <c r="Y2663" i="13"/>
  <c r="Z2662" i="13"/>
  <c r="Z2663" i="13"/>
  <c r="Y2664" i="13"/>
  <c r="Z2664" i="13"/>
  <c r="Y2665" i="13"/>
  <c r="Z2665" i="13"/>
  <c r="Y2666" i="13"/>
  <c r="Y2667" i="13"/>
  <c r="Z2666" i="13"/>
  <c r="Z2667" i="13"/>
  <c r="Y2668" i="13"/>
  <c r="Z2668" i="13"/>
  <c r="Y2669" i="13"/>
  <c r="Z2669" i="13"/>
  <c r="Y2670" i="13"/>
  <c r="Y2671" i="13"/>
  <c r="Z2670" i="13"/>
  <c r="Y2672" i="13"/>
  <c r="Z2671" i="13"/>
  <c r="Y2673" i="13"/>
  <c r="Z2672" i="13"/>
  <c r="Z2673" i="13"/>
  <c r="Y2674" i="13"/>
  <c r="Z2674" i="13"/>
  <c r="Y2675" i="13"/>
  <c r="Z2675" i="13"/>
  <c r="Y2676" i="13"/>
  <c r="Y2677" i="13"/>
  <c r="Z2676" i="13"/>
  <c r="Y2678" i="13"/>
  <c r="Z2677" i="13"/>
  <c r="Z2678" i="13"/>
  <c r="Y2679" i="13"/>
  <c r="Z2679" i="13"/>
  <c r="Y2680" i="13"/>
  <c r="Y2681" i="13"/>
  <c r="Z2680" i="13"/>
  <c r="Z2681" i="13"/>
  <c r="Y2682" i="13"/>
  <c r="Z2682" i="13"/>
  <c r="Y2683" i="13"/>
  <c r="Z2683" i="13"/>
  <c r="Y2684" i="13"/>
  <c r="Z2684" i="13"/>
  <c r="Y2685" i="13"/>
  <c r="Y2686" i="13"/>
  <c r="Z2685" i="13"/>
  <c r="Z2686" i="13"/>
  <c r="Y2687" i="13"/>
  <c r="Y2688" i="13"/>
  <c r="Z2687" i="13"/>
  <c r="Z2688" i="13"/>
  <c r="Y2689" i="13"/>
  <c r="Z2689" i="13"/>
  <c r="Y2690" i="13"/>
  <c r="Z2690" i="13"/>
  <c r="Y2691" i="13"/>
  <c r="Z2691" i="13"/>
  <c r="Y2692" i="13"/>
  <c r="Z2692" i="13"/>
  <c r="Y2693" i="13"/>
  <c r="Z2693" i="13"/>
  <c r="Y2694" i="13"/>
  <c r="Y2695" i="13"/>
  <c r="Z2694" i="13"/>
  <c r="Y2696" i="13"/>
  <c r="Z2695" i="13"/>
  <c r="Z2696" i="13"/>
  <c r="Y2697" i="13"/>
  <c r="Z2697" i="13"/>
  <c r="Y2698" i="13"/>
  <c r="Z2698" i="13"/>
  <c r="Y2699" i="13"/>
  <c r="Y2700" i="13"/>
  <c r="Z2699" i="13"/>
  <c r="Z2700" i="13"/>
  <c r="Y2701" i="13"/>
  <c r="Z2701" i="13"/>
  <c r="Y2702" i="13"/>
  <c r="Z2702" i="13"/>
  <c r="Y2703" i="13"/>
  <c r="Y2704" i="13"/>
  <c r="Z2703" i="13"/>
  <c r="Y2705" i="13"/>
  <c r="Z2704" i="13"/>
  <c r="Z2705" i="13"/>
  <c r="Y2706" i="13"/>
  <c r="Y2707" i="13"/>
  <c r="Z2706" i="13"/>
  <c r="Z2707" i="13"/>
  <c r="Y2708" i="13"/>
  <c r="Y2709" i="13"/>
  <c r="Z2708" i="13"/>
  <c r="Y2710" i="13"/>
  <c r="Z2709" i="13"/>
  <c r="Z2710" i="13"/>
  <c r="Y2711" i="13"/>
  <c r="Z2711" i="13"/>
  <c r="Y2712" i="13"/>
  <c r="Z2712" i="13"/>
  <c r="Y2713" i="13"/>
  <c r="Y2714" i="13"/>
  <c r="Z2713" i="13"/>
  <c r="Z2714" i="13"/>
  <c r="Y2715" i="13"/>
  <c r="Z2715" i="13"/>
  <c r="Y2716" i="13"/>
  <c r="Z2716" i="13"/>
  <c r="Y2717" i="13"/>
  <c r="Z2717" i="13"/>
  <c r="Y2718" i="13"/>
  <c r="Z2718" i="13"/>
  <c r="Y2719" i="13"/>
  <c r="Z2719" i="13"/>
  <c r="Y2720" i="13"/>
  <c r="Z2720" i="13"/>
  <c r="Y2721" i="13"/>
  <c r="Y2722" i="13"/>
  <c r="Z2721" i="13"/>
  <c r="Y2723" i="13"/>
  <c r="Z2722" i="13"/>
  <c r="Y2724" i="13"/>
  <c r="Z2723" i="13"/>
  <c r="Y2725" i="13"/>
  <c r="Z2724" i="13"/>
  <c r="Y2726" i="13"/>
  <c r="Z2725" i="13"/>
  <c r="Z2726" i="13"/>
  <c r="Y2727" i="13"/>
  <c r="Z2727" i="13"/>
  <c r="Y2728" i="13"/>
  <c r="Y2729" i="13"/>
  <c r="Z2728" i="13"/>
  <c r="Z2729" i="13"/>
  <c r="Y2730" i="13"/>
  <c r="Y2731" i="13"/>
  <c r="Z2730" i="13"/>
  <c r="Y2732" i="13"/>
  <c r="Z2731" i="13"/>
  <c r="Y2733" i="13"/>
  <c r="Z2732" i="13"/>
  <c r="Z2733" i="13"/>
  <c r="Y2734" i="13"/>
  <c r="Z2734" i="13"/>
  <c r="Y2735" i="13"/>
  <c r="Z2735" i="13"/>
  <c r="Y2736" i="13"/>
  <c r="Z2736" i="13"/>
  <c r="Y2737" i="13"/>
  <c r="Z2737" i="13"/>
  <c r="Y2738" i="13"/>
  <c r="Z2738" i="13"/>
  <c r="Y2739" i="13"/>
  <c r="Y2740" i="13"/>
  <c r="Z2739" i="13"/>
  <c r="Y2741" i="13"/>
  <c r="Z2740" i="13"/>
  <c r="Y2742" i="13"/>
  <c r="Z2741" i="13"/>
  <c r="Z2742" i="13"/>
  <c r="Y2743" i="13"/>
  <c r="Z2743" i="13"/>
  <c r="Y2744" i="13"/>
  <c r="Z2744" i="13"/>
  <c r="Y2745" i="13"/>
  <c r="Y2746" i="13"/>
  <c r="Z2745" i="13"/>
  <c r="Y2747" i="13"/>
  <c r="Z2746" i="13"/>
  <c r="Z2747" i="13"/>
  <c r="Y2748" i="13"/>
  <c r="Z2748" i="13"/>
  <c r="Y2749" i="13"/>
  <c r="Y2750" i="13"/>
  <c r="Z2749" i="13"/>
  <c r="Y2751" i="13"/>
  <c r="Z2750" i="13"/>
  <c r="Y2752" i="13"/>
  <c r="Z2751" i="13"/>
  <c r="Y2753" i="13"/>
  <c r="Z2752" i="13"/>
  <c r="Y2754" i="13"/>
  <c r="Z2753" i="13"/>
  <c r="Y2755" i="13"/>
  <c r="Z2754" i="13"/>
  <c r="Y2756" i="13"/>
  <c r="Z2755" i="13"/>
  <c r="Z2756" i="13"/>
  <c r="Y2757" i="13"/>
  <c r="Y2758" i="13"/>
  <c r="Z2757" i="13"/>
  <c r="Y2759" i="13"/>
  <c r="Z2758" i="13"/>
  <c r="Z2759" i="13"/>
  <c r="Y2760" i="13"/>
  <c r="Z2760" i="13"/>
  <c r="Y2761" i="13"/>
  <c r="Y2762" i="13"/>
  <c r="Z2761" i="13"/>
  <c r="Y2763" i="13"/>
  <c r="Z2762" i="13"/>
  <c r="Z2763" i="13"/>
  <c r="Y2764" i="13"/>
  <c r="Z2764" i="13"/>
  <c r="Y2765" i="13"/>
  <c r="Y2766" i="13"/>
  <c r="Z2765" i="13"/>
  <c r="Y2767" i="13"/>
  <c r="Z2766" i="13"/>
  <c r="Y2768" i="13"/>
  <c r="Z2767" i="13"/>
  <c r="Z2768" i="13"/>
  <c r="Y2769" i="13"/>
  <c r="Z2769" i="13"/>
  <c r="Y2770" i="13"/>
  <c r="Y2771" i="13"/>
  <c r="Z2770" i="13"/>
  <c r="Y2772" i="13"/>
  <c r="Z2771" i="13"/>
  <c r="Y2773" i="13"/>
  <c r="Z2772" i="13"/>
  <c r="Y2774" i="13"/>
  <c r="Z2773" i="13"/>
  <c r="Y2775" i="13"/>
  <c r="Z2774" i="13"/>
  <c r="Y2776" i="13"/>
  <c r="Z2775" i="13"/>
  <c r="Z2776" i="13"/>
  <c r="Y2777" i="13"/>
  <c r="Y2778" i="13"/>
  <c r="Z2777" i="13"/>
  <c r="Z2778" i="13"/>
  <c r="Y2779" i="13"/>
  <c r="Y2780" i="13"/>
  <c r="Z2779" i="13"/>
  <c r="Y2781" i="13"/>
  <c r="Z2780" i="13"/>
  <c r="Z2781" i="13"/>
  <c r="Y2782" i="13"/>
  <c r="Z2782" i="13"/>
  <c r="Y2783" i="13"/>
  <c r="Y2784" i="13"/>
  <c r="Z2783" i="13"/>
  <c r="Z2784" i="13"/>
  <c r="Y2785" i="13"/>
  <c r="Z2785" i="13"/>
  <c r="Y2786" i="13"/>
  <c r="Z2786" i="13"/>
  <c r="Y2787" i="13"/>
  <c r="Y2788" i="13"/>
  <c r="Z2787" i="13"/>
  <c r="Z2788" i="13"/>
  <c r="Y2789" i="13"/>
  <c r="Y2790" i="13"/>
  <c r="Z2789" i="13"/>
  <c r="Y2791" i="13"/>
  <c r="Z2790" i="13"/>
  <c r="Y2792" i="13"/>
  <c r="Z2791" i="13"/>
  <c r="Z2792" i="13"/>
  <c r="Y2793" i="13"/>
  <c r="Y2794" i="13"/>
  <c r="Z2793" i="13"/>
  <c r="Y2795" i="13"/>
  <c r="Z2794" i="13"/>
  <c r="Y2796" i="13"/>
  <c r="Z2795" i="13"/>
  <c r="Z2796" i="13"/>
  <c r="Y2797" i="13"/>
  <c r="Y2798" i="13"/>
  <c r="Z2797" i="13"/>
  <c r="Z2798" i="13"/>
  <c r="Y2799" i="13"/>
  <c r="Z2799" i="13"/>
  <c r="Y2800" i="13"/>
  <c r="Z2800" i="13"/>
  <c r="Y2801" i="13"/>
  <c r="Z2801" i="13"/>
  <c r="Y2802" i="13"/>
  <c r="Y2803" i="13"/>
  <c r="Z2802" i="13"/>
  <c r="Y2804" i="13"/>
  <c r="Z2803" i="13"/>
  <c r="Z2804" i="13"/>
  <c r="Y2805" i="13"/>
  <c r="Y2806" i="13"/>
  <c r="Z2805" i="13"/>
  <c r="Y2807" i="13"/>
  <c r="Z2806" i="13"/>
  <c r="Z2807" i="13"/>
  <c r="Y2808" i="13"/>
  <c r="Z2808" i="13"/>
  <c r="Y2809" i="13"/>
  <c r="Z2809" i="13"/>
  <c r="Y2810" i="13"/>
  <c r="Z2810" i="13"/>
  <c r="Y2811" i="13"/>
  <c r="Z2811" i="13"/>
  <c r="Y2812" i="13"/>
  <c r="Z2812" i="13"/>
  <c r="Y2813" i="13"/>
  <c r="Y2814" i="13"/>
  <c r="Z2813" i="13"/>
  <c r="Z2814" i="13"/>
  <c r="Y2815" i="13"/>
  <c r="Z2815" i="13"/>
  <c r="Y2816" i="13"/>
  <c r="Z2816" i="13"/>
  <c r="Y2817" i="13"/>
  <c r="Z2817" i="13"/>
  <c r="Y2818" i="13"/>
  <c r="Z2818" i="13"/>
  <c r="Y2819" i="13"/>
  <c r="Y2820" i="13"/>
  <c r="Z2819" i="13"/>
  <c r="Y2821" i="13"/>
  <c r="Z2820" i="13"/>
  <c r="Z2821" i="13"/>
  <c r="Y2822" i="13"/>
  <c r="Z2822" i="13"/>
  <c r="Y2823" i="13"/>
  <c r="Z2823" i="13"/>
  <c r="Y2824" i="13"/>
  <c r="Y2825" i="13"/>
  <c r="Z2824" i="13"/>
  <c r="Y2826" i="13"/>
  <c r="Z2825" i="13"/>
  <c r="Z2826" i="13"/>
  <c r="Y2827" i="13"/>
  <c r="Y2828" i="13"/>
  <c r="Z2827" i="13"/>
  <c r="Z2828" i="13"/>
  <c r="Y2829" i="13"/>
  <c r="Z2829" i="13"/>
  <c r="Y2830" i="13"/>
  <c r="Y2831" i="13"/>
  <c r="Z2830" i="13"/>
  <c r="Y2832" i="13"/>
  <c r="Z2831" i="13"/>
  <c r="Z2832" i="13"/>
  <c r="Y2833" i="13"/>
  <c r="Z2833" i="13"/>
  <c r="Y2834" i="13"/>
  <c r="Z2834" i="13"/>
  <c r="Y2835" i="13"/>
  <c r="Z2835" i="13"/>
  <c r="Y2836" i="13"/>
  <c r="Y2837" i="13"/>
  <c r="Z2836" i="13"/>
  <c r="Y2838" i="13"/>
  <c r="Z2837" i="13"/>
  <c r="Y2839" i="13"/>
  <c r="Z2838" i="13"/>
  <c r="Y2840" i="13"/>
  <c r="Z2839" i="13"/>
  <c r="Y2841" i="13"/>
  <c r="Z2840" i="13"/>
  <c r="Z2841" i="13"/>
  <c r="Y2842" i="13"/>
  <c r="Z2842" i="13"/>
  <c r="Y2843" i="13"/>
  <c r="Z2843" i="13"/>
  <c r="Y2844" i="13"/>
  <c r="Y2845" i="13"/>
  <c r="Z2844" i="13"/>
  <c r="Z2845" i="13"/>
  <c r="Y2846" i="13"/>
  <c r="Z2846" i="13"/>
  <c r="Y2847" i="13"/>
  <c r="Z2847" i="13"/>
  <c r="Y2848" i="13"/>
  <c r="Z2848" i="13"/>
  <c r="Y2849" i="13"/>
  <c r="Z2849" i="13"/>
  <c r="Y2850" i="13"/>
  <c r="Y2851" i="13"/>
  <c r="Z2850" i="13"/>
  <c r="Z2851" i="13"/>
  <c r="Y2852" i="13"/>
  <c r="Y2853" i="13"/>
  <c r="Z2852" i="13"/>
  <c r="Y2854" i="13"/>
  <c r="Z2853" i="13"/>
  <c r="Y2855" i="13"/>
  <c r="Z2854" i="13"/>
  <c r="Z2855" i="13"/>
  <c r="Y2856" i="13"/>
  <c r="Y2857" i="13"/>
  <c r="Z2856" i="13"/>
  <c r="Y2858" i="13"/>
  <c r="Z2857" i="13"/>
  <c r="Z2858" i="13"/>
  <c r="Y2859" i="13"/>
  <c r="Y2860" i="13"/>
  <c r="Z2859" i="13"/>
  <c r="Z2860" i="13"/>
  <c r="Y2861" i="13"/>
  <c r="Y2862" i="13"/>
  <c r="Z2861" i="13"/>
  <c r="Y2863" i="13"/>
  <c r="Z2862" i="13"/>
  <c r="Y2864" i="13"/>
  <c r="Z2863" i="13"/>
  <c r="Z2864" i="13"/>
  <c r="Y2865" i="13"/>
  <c r="Y2866" i="13"/>
  <c r="Z2865" i="13"/>
  <c r="Y2867" i="13"/>
  <c r="Z2866" i="13"/>
  <c r="Z2867" i="13"/>
  <c r="Y2868" i="13"/>
  <c r="Z2868" i="13"/>
  <c r="Y2869" i="13"/>
  <c r="Y2870" i="13"/>
  <c r="Z2869" i="13"/>
  <c r="Y2871" i="13"/>
  <c r="Z2870" i="13"/>
  <c r="Y2872" i="13"/>
  <c r="Z2871" i="13"/>
  <c r="Y2873" i="13"/>
  <c r="Z2872" i="13"/>
  <c r="Y2874" i="13"/>
  <c r="Z2873" i="13"/>
  <c r="Y2875" i="13"/>
  <c r="Z2874" i="13"/>
  <c r="Y2876" i="13"/>
  <c r="Z2875" i="13"/>
  <c r="Z2876" i="13"/>
  <c r="Y2877" i="13"/>
  <c r="Y2878" i="13"/>
  <c r="Z2877" i="13"/>
  <c r="Z2878" i="13"/>
  <c r="Y2879" i="13"/>
  <c r="Z2879" i="13"/>
  <c r="Y2880" i="13"/>
  <c r="Y2881" i="13"/>
  <c r="Z2880" i="13"/>
  <c r="Y2882" i="13"/>
  <c r="Z2881" i="13"/>
  <c r="Z2882" i="13"/>
  <c r="Y2883" i="13"/>
  <c r="Z2883" i="13"/>
  <c r="Y2884" i="13"/>
  <c r="Z2884" i="13"/>
  <c r="Y2885" i="13"/>
  <c r="Y2886" i="13"/>
  <c r="Z2885" i="13"/>
  <c r="Y2887" i="13"/>
  <c r="Z2886" i="13"/>
  <c r="Z2887" i="13"/>
  <c r="Y2888" i="13"/>
  <c r="Z2888" i="13"/>
  <c r="Y2889" i="13"/>
  <c r="Z2889" i="13"/>
  <c r="Y2890" i="13"/>
  <c r="Y2891" i="13"/>
  <c r="Z2890" i="13"/>
  <c r="Y2892" i="13"/>
  <c r="Z2891" i="13"/>
  <c r="Z2892" i="13"/>
  <c r="Y2893" i="13"/>
  <c r="Z2893" i="13"/>
  <c r="Y2894" i="13"/>
  <c r="Y2895" i="13"/>
  <c r="Z2894" i="13"/>
  <c r="Z2895" i="13"/>
  <c r="Y2896" i="13"/>
  <c r="Z2896" i="13"/>
  <c r="Y2897" i="13"/>
  <c r="Z2897" i="13"/>
  <c r="Y2898" i="13"/>
  <c r="Z2898" i="13"/>
  <c r="Y2899" i="13"/>
  <c r="Z2899" i="13"/>
  <c r="Y2900" i="13"/>
  <c r="Z2900" i="13"/>
  <c r="Y2901" i="13"/>
  <c r="Z2901" i="13"/>
  <c r="Y2902" i="13"/>
  <c r="Y2903" i="13"/>
  <c r="Z2902" i="13"/>
  <c r="Z2903" i="13"/>
  <c r="Y2904" i="13"/>
  <c r="Z2904" i="13"/>
  <c r="Y2905" i="13"/>
  <c r="Y2906" i="13"/>
  <c r="Z2905" i="13"/>
  <c r="Z2906" i="13"/>
  <c r="Y2907" i="13"/>
  <c r="Y2908" i="13"/>
  <c r="Z2907" i="13"/>
  <c r="Y2909" i="13"/>
  <c r="Z2908" i="13"/>
  <c r="Z2909" i="13"/>
  <c r="Y2910" i="13"/>
  <c r="Z2910" i="13"/>
  <c r="Y2911" i="13"/>
  <c r="Z2911" i="13"/>
  <c r="Y2912" i="13"/>
  <c r="Y2913" i="13"/>
  <c r="Z2912" i="13"/>
  <c r="Y2914" i="13"/>
  <c r="Z2913" i="13"/>
  <c r="Z2914" i="13"/>
  <c r="Y2915" i="13"/>
  <c r="Y2916" i="13"/>
  <c r="Z2915" i="13"/>
  <c r="Z2916" i="13"/>
  <c r="Y2917" i="13"/>
  <c r="Z2917" i="13"/>
  <c r="Y2918" i="13"/>
  <c r="Z2918" i="13"/>
  <c r="Y2919" i="13"/>
  <c r="Z2919" i="13"/>
  <c r="Y2920" i="13"/>
  <c r="Y2921" i="13"/>
  <c r="Z2920" i="13"/>
  <c r="Z2921" i="13"/>
  <c r="Y2922" i="13"/>
  <c r="Z2922" i="13"/>
  <c r="Y2923" i="13"/>
  <c r="Z2923" i="13"/>
  <c r="Y2924" i="13"/>
  <c r="Z2924" i="13"/>
  <c r="Y2925" i="13"/>
  <c r="Y2926" i="13"/>
  <c r="Z2925" i="13"/>
  <c r="Y2927" i="13"/>
  <c r="Z2926" i="13"/>
  <c r="Z2927" i="13"/>
  <c r="Y2928" i="13"/>
  <c r="Z2928" i="13"/>
  <c r="Y2929" i="13"/>
  <c r="Y2930" i="13"/>
  <c r="Z2929" i="13"/>
  <c r="Z2930" i="13"/>
  <c r="Y2931" i="13"/>
  <c r="Z2931" i="13"/>
  <c r="Y2932" i="13"/>
  <c r="Y2933" i="13"/>
  <c r="Z2932" i="13"/>
  <c r="Y2934" i="13"/>
  <c r="Z2933" i="13"/>
  <c r="Z2934" i="13"/>
  <c r="Y2935" i="13"/>
  <c r="Z2935" i="13"/>
  <c r="Y2936" i="13"/>
  <c r="Z2936" i="13"/>
  <c r="Y2937" i="13"/>
  <c r="Z2937" i="13"/>
  <c r="Y2938" i="13"/>
  <c r="Y2939" i="13"/>
  <c r="Z2938" i="13"/>
  <c r="Y2940" i="13"/>
  <c r="Z2939" i="13"/>
  <c r="Y2941" i="13"/>
  <c r="Z2940" i="13"/>
  <c r="Y2942" i="13"/>
  <c r="Z2941" i="13"/>
  <c r="Y2943" i="13"/>
  <c r="Z2942" i="13"/>
  <c r="Z2943" i="13"/>
  <c r="Y2944" i="13"/>
  <c r="Z2944" i="13"/>
  <c r="Y2945" i="13"/>
  <c r="Y2946" i="13"/>
  <c r="Z2945" i="13"/>
  <c r="Y2947" i="13"/>
  <c r="Z2946" i="13"/>
  <c r="Z2947" i="13"/>
  <c r="Y2948" i="13"/>
  <c r="Y2949" i="13"/>
  <c r="Z2948" i="13"/>
  <c r="Z2949" i="13"/>
  <c r="Y2950" i="13"/>
  <c r="Y2951" i="13"/>
  <c r="Z2950" i="13"/>
  <c r="Y2952" i="13"/>
  <c r="Z2951" i="13"/>
  <c r="Y2953" i="13"/>
  <c r="Z2952" i="13"/>
  <c r="Z2953" i="13"/>
  <c r="Y2954" i="13"/>
  <c r="Y2955" i="13"/>
  <c r="Z2954" i="13"/>
  <c r="Y2956" i="13"/>
  <c r="Z2955" i="13"/>
  <c r="Y2957" i="13"/>
  <c r="Z2956" i="13"/>
  <c r="Z2957" i="13"/>
  <c r="Y2958" i="13"/>
  <c r="Z2958" i="13"/>
  <c r="Y2959" i="13"/>
  <c r="Y2960" i="13"/>
  <c r="Z2959" i="13"/>
  <c r="Z2960" i="13"/>
  <c r="Y2961" i="13"/>
  <c r="Y2962" i="13"/>
  <c r="Z2961" i="13"/>
  <c r="Y2963" i="13"/>
  <c r="Z2962" i="13"/>
  <c r="Z2963" i="13"/>
  <c r="Y2964" i="13"/>
  <c r="Y2965" i="13"/>
  <c r="Z2964" i="13"/>
  <c r="Z2965" i="13"/>
  <c r="Y2966" i="13"/>
  <c r="Z2966" i="13"/>
  <c r="Y2967" i="13"/>
  <c r="Z2967" i="13"/>
  <c r="Y2968" i="13"/>
  <c r="Z2968" i="13"/>
  <c r="Y2969" i="13"/>
  <c r="Z2969" i="13"/>
  <c r="Y2970" i="13"/>
  <c r="Y2971" i="13"/>
  <c r="Z2970" i="13"/>
  <c r="Y2972" i="13"/>
  <c r="Z2971" i="13"/>
  <c r="Y2973" i="13"/>
  <c r="Z2972" i="13"/>
  <c r="Z2973" i="13"/>
  <c r="Y2974" i="13"/>
  <c r="Y2975" i="13"/>
  <c r="Z2974" i="13"/>
  <c r="Y2976" i="13"/>
  <c r="Z2975" i="13"/>
  <c r="Y2977" i="13"/>
  <c r="Z2976" i="13"/>
  <c r="Z2977" i="13"/>
  <c r="Y2978" i="13"/>
  <c r="Z2978" i="13"/>
  <c r="Y2979" i="13"/>
  <c r="Y2980" i="13"/>
  <c r="Z2979" i="13"/>
  <c r="Z2980" i="13"/>
  <c r="Y2981" i="13"/>
  <c r="Y2982" i="13"/>
  <c r="Z2981" i="13"/>
  <c r="Y2983" i="13"/>
  <c r="Z2982" i="13"/>
  <c r="Z2983" i="13"/>
  <c r="Y2984" i="13"/>
  <c r="Z2984" i="13"/>
  <c r="Y2985" i="13"/>
  <c r="Z2985" i="13"/>
  <c r="Y2986" i="13"/>
  <c r="Z2986" i="13"/>
  <c r="Y2987" i="13"/>
  <c r="Y2988" i="13"/>
  <c r="Z2987" i="13"/>
  <c r="Y2989" i="13"/>
  <c r="Z2988" i="13"/>
  <c r="Y2990" i="13"/>
  <c r="Z2989" i="13"/>
  <c r="Y2991" i="13"/>
  <c r="Z2990" i="13"/>
  <c r="Z2991" i="13"/>
  <c r="Y2992" i="13"/>
  <c r="Z2992" i="13"/>
  <c r="Y2993" i="13"/>
  <c r="Z2993" i="13"/>
  <c r="Y2994" i="13"/>
  <c r="Z2994" i="13"/>
  <c r="Y2995" i="13"/>
  <c r="Z2995" i="13"/>
  <c r="Y2996" i="13"/>
  <c r="Y2997" i="13"/>
  <c r="Z2996" i="13"/>
  <c r="Z2997" i="13"/>
  <c r="Y2998" i="13"/>
  <c r="Y2999" i="13"/>
  <c r="Z2998" i="13"/>
  <c r="Y3000" i="13"/>
  <c r="Z2999" i="13"/>
  <c r="Y3001" i="13"/>
  <c r="Z3000" i="13"/>
  <c r="Z3001" i="13"/>
  <c r="Y3002" i="13"/>
  <c r="Y3003" i="13"/>
  <c r="Z3002" i="13"/>
  <c r="Y3004" i="13"/>
  <c r="Z3003" i="13"/>
  <c r="Z3004" i="13"/>
  <c r="Y3005" i="13"/>
  <c r="Y3006" i="13"/>
  <c r="Z3005" i="13"/>
  <c r="Y3007" i="13"/>
  <c r="Z3006" i="13"/>
  <c r="Y3008" i="13"/>
  <c r="Z3007" i="13"/>
  <c r="Z3008" i="13"/>
  <c r="Y3009" i="13"/>
  <c r="Y3010" i="13"/>
  <c r="Z3009" i="13"/>
  <c r="Y3011" i="13"/>
  <c r="Z3010" i="13"/>
  <c r="Z3011" i="13"/>
  <c r="Y3012" i="13"/>
  <c r="Y3013" i="13"/>
  <c r="Z3012" i="13"/>
  <c r="Z3013" i="13"/>
  <c r="Y3014" i="13"/>
  <c r="Y3015" i="13"/>
  <c r="Z3014" i="13"/>
  <c r="Y3016" i="13"/>
  <c r="Z3015" i="13"/>
  <c r="Y3017" i="13"/>
  <c r="Z3016" i="13"/>
  <c r="Z3017" i="13"/>
  <c r="Y3018" i="13"/>
  <c r="Y3019" i="13"/>
  <c r="Z3018" i="13"/>
  <c r="Y3020" i="13"/>
  <c r="Z3019" i="13"/>
  <c r="Z3020" i="13"/>
  <c r="Y3021" i="13"/>
  <c r="Y3022" i="13"/>
  <c r="Z3021" i="13"/>
  <c r="Y3023" i="13"/>
  <c r="Z3022" i="13"/>
  <c r="Y3024" i="13"/>
  <c r="Z3023" i="13"/>
  <c r="Y3025" i="13"/>
  <c r="Z3024" i="13"/>
  <c r="Z3025" i="13"/>
  <c r="Y3026" i="13"/>
  <c r="Z3026" i="13"/>
  <c r="Y3027" i="13"/>
  <c r="Z3027" i="13"/>
  <c r="Y3028" i="13"/>
  <c r="Y3029" i="13"/>
  <c r="Z3028" i="13"/>
  <c r="Y3030" i="13"/>
  <c r="Z3029" i="13"/>
  <c r="Z3030" i="13"/>
  <c r="Y3031" i="13"/>
  <c r="Z3031" i="13"/>
  <c r="Y3032" i="13"/>
  <c r="Z3032" i="13"/>
  <c r="Y3033" i="13"/>
  <c r="Y3034" i="13"/>
  <c r="Z3033" i="13"/>
  <c r="Z3034" i="13"/>
  <c r="Y3035" i="13"/>
  <c r="Y3036" i="13"/>
  <c r="Z3035" i="13"/>
  <c r="Z3036" i="13"/>
  <c r="Y3037" i="13"/>
  <c r="Y3038" i="13"/>
  <c r="Z3037" i="13"/>
  <c r="Y3039" i="13"/>
  <c r="Z3038" i="13"/>
  <c r="Z3039" i="13"/>
  <c r="Y3040" i="13"/>
  <c r="Z3040" i="13"/>
  <c r="Y3041" i="13"/>
  <c r="Z3041" i="13"/>
  <c r="Y3042" i="13"/>
  <c r="Y3043" i="13"/>
  <c r="Z3042" i="13"/>
  <c r="Y3044" i="13"/>
  <c r="Z3043" i="13"/>
  <c r="Y3045" i="13"/>
  <c r="Z3044" i="13"/>
  <c r="Z3045" i="13"/>
  <c r="Y3046" i="13"/>
  <c r="Z3046" i="13"/>
  <c r="Y3047" i="13"/>
  <c r="Z3047" i="13"/>
  <c r="Y3048" i="13"/>
  <c r="Y3049" i="13"/>
  <c r="Z3048" i="13"/>
  <c r="Z3049" i="13"/>
  <c r="Y3050" i="13"/>
  <c r="Z3050" i="13"/>
  <c r="Y3051" i="13"/>
  <c r="Z3051" i="13"/>
  <c r="Y3052" i="13"/>
  <c r="Y3053" i="13"/>
  <c r="Z3052" i="13"/>
  <c r="Z3053" i="13"/>
  <c r="Y3054" i="13"/>
  <c r="Z3054" i="13"/>
  <c r="Y3055" i="13"/>
  <c r="Y3056" i="13"/>
  <c r="Z3055" i="13"/>
  <c r="Z3056" i="13"/>
  <c r="Y3057" i="13"/>
  <c r="Z3057" i="13"/>
  <c r="Y3058" i="13"/>
  <c r="Z3058" i="13"/>
  <c r="Y3059" i="13"/>
  <c r="Z3059" i="13"/>
  <c r="Y3060" i="13"/>
  <c r="Y3061" i="13"/>
  <c r="Z3060" i="13"/>
  <c r="Z3061" i="13"/>
  <c r="Y3062" i="13"/>
  <c r="Z3062" i="13"/>
  <c r="Y3063" i="13"/>
  <c r="Z3063" i="13"/>
  <c r="Y3064" i="13"/>
  <c r="Y3065" i="13"/>
  <c r="Z3064" i="13"/>
  <c r="Y3066" i="13"/>
  <c r="Z3065" i="13"/>
  <c r="Z3066" i="13"/>
  <c r="Y3067" i="13"/>
  <c r="Y3068" i="13"/>
  <c r="Z3067" i="13"/>
  <c r="Y3069" i="13"/>
  <c r="Z3068" i="13"/>
  <c r="Y3070" i="13"/>
  <c r="Z3069" i="13"/>
  <c r="Z3070" i="13"/>
  <c r="Y3071" i="13"/>
  <c r="Z3071" i="13"/>
  <c r="Y3072" i="13"/>
  <c r="Z3072" i="13"/>
  <c r="Y3073" i="13"/>
  <c r="Y3074" i="13"/>
  <c r="Z3073" i="13"/>
  <c r="Y3075" i="13"/>
  <c r="Z3074" i="13"/>
  <c r="Y3076" i="13"/>
  <c r="Z3075" i="13"/>
  <c r="Z3076" i="13"/>
  <c r="Y3077" i="13"/>
  <c r="Z3077" i="13"/>
  <c r="Y3078" i="13"/>
  <c r="Y3079" i="13"/>
  <c r="Z3078" i="13"/>
  <c r="Y3080" i="13"/>
  <c r="Z3079" i="13"/>
  <c r="Y3081" i="13"/>
  <c r="Z3080" i="13"/>
  <c r="Z3081" i="13"/>
  <c r="Y3082" i="13"/>
  <c r="Z3082" i="13"/>
  <c r="Y3083" i="13"/>
  <c r="Z3083" i="13"/>
  <c r="Y3084" i="13"/>
  <c r="Y3085" i="13"/>
  <c r="Z3084" i="13"/>
  <c r="Z3085" i="13"/>
  <c r="Y3086" i="13"/>
  <c r="Y3087" i="13"/>
  <c r="Z3086" i="13"/>
  <c r="Z3087" i="13"/>
  <c r="Y3088" i="13"/>
  <c r="Z3088" i="13"/>
  <c r="Y3089" i="13"/>
  <c r="Z3089" i="13"/>
  <c r="Y3090" i="13"/>
  <c r="Y3091" i="13"/>
  <c r="Z3090" i="13"/>
  <c r="Z3091" i="13"/>
  <c r="Y3092" i="13"/>
  <c r="Z3092" i="13"/>
  <c r="Y3093" i="13"/>
  <c r="Z3093" i="13"/>
  <c r="Y3094" i="13"/>
  <c r="Z3094" i="13"/>
  <c r="Y3095" i="13"/>
  <c r="Z3095" i="13"/>
  <c r="Y3096" i="13"/>
  <c r="Y3097" i="13"/>
  <c r="Z3096" i="13"/>
  <c r="Z3097" i="13"/>
  <c r="Y3098" i="13"/>
  <c r="Y3099" i="13"/>
  <c r="Z3098" i="13"/>
  <c r="Y3100" i="13"/>
  <c r="Z3099" i="13"/>
  <c r="Y3101" i="13"/>
  <c r="Z3100" i="13"/>
  <c r="Y3102" i="13"/>
  <c r="Z3101" i="13"/>
  <c r="Z3102" i="13"/>
  <c r="Y3103" i="13"/>
  <c r="Z3103" i="13"/>
  <c r="Y3104" i="13"/>
  <c r="Z3104" i="13"/>
  <c r="Y3105" i="13"/>
  <c r="Y3106" i="13"/>
  <c r="Z3105" i="13"/>
  <c r="Z3106" i="13"/>
  <c r="Y3107" i="13"/>
  <c r="Z3107" i="13"/>
  <c r="Y3108" i="13"/>
  <c r="Y3109" i="13"/>
  <c r="Z3108" i="13"/>
  <c r="Z3109" i="13"/>
  <c r="Y3110" i="13"/>
  <c r="Z3110" i="13"/>
  <c r="Y3111" i="13"/>
  <c r="Z3111" i="13"/>
  <c r="Y3112" i="13"/>
  <c r="Y3113" i="13"/>
  <c r="Z3112" i="13"/>
  <c r="Y3114" i="13"/>
  <c r="Z3113" i="13"/>
  <c r="Z3114" i="13"/>
  <c r="Y3115" i="13"/>
  <c r="Y3116" i="13"/>
  <c r="Z3115" i="13"/>
  <c r="Z3116" i="13"/>
  <c r="Y3117" i="13"/>
  <c r="Z3117" i="13"/>
  <c r="Y3118" i="13"/>
  <c r="Z3118" i="13"/>
  <c r="Y3119" i="13"/>
  <c r="Y3120" i="13"/>
  <c r="Z3119" i="13"/>
  <c r="Z3120" i="13"/>
  <c r="Y3121" i="13"/>
  <c r="Y3122" i="13"/>
  <c r="Z3121" i="13"/>
  <c r="Y3123" i="13"/>
  <c r="Z3122" i="13"/>
  <c r="Z3123" i="13"/>
  <c r="Y3124" i="13"/>
  <c r="Z3124" i="13"/>
  <c r="Y3125" i="13"/>
  <c r="Y3126" i="13"/>
  <c r="Z3125" i="13"/>
  <c r="Z3126" i="13"/>
  <c r="Y3127" i="13"/>
  <c r="Z3127" i="13"/>
  <c r="Y3128" i="13"/>
  <c r="Y3129" i="13"/>
  <c r="Z3128" i="13"/>
  <c r="Y3130" i="13"/>
  <c r="Z3129" i="13"/>
  <c r="Z3130" i="13"/>
  <c r="Y3131" i="13"/>
  <c r="Z3131" i="13"/>
  <c r="Y3132" i="13"/>
  <c r="Y3133" i="13"/>
  <c r="Z3132" i="13"/>
  <c r="Y3134" i="13"/>
  <c r="Z3133" i="13"/>
  <c r="Z3134" i="13"/>
  <c r="Y3135" i="13"/>
  <c r="Y3136" i="13"/>
  <c r="Z3135" i="13"/>
  <c r="Z3136" i="13"/>
  <c r="Y3137" i="13"/>
  <c r="Z3137" i="13"/>
  <c r="Y3138" i="13"/>
  <c r="Y3139" i="13"/>
  <c r="Z3138" i="13"/>
  <c r="Z3139" i="13"/>
  <c r="Y3140" i="13"/>
  <c r="Z3140" i="13"/>
  <c r="Y3141" i="13"/>
  <c r="Z3141" i="13"/>
  <c r="Y3142" i="13"/>
  <c r="Z3142" i="13"/>
  <c r="Y3143" i="13"/>
  <c r="Z3143" i="13"/>
  <c r="Y3144" i="13"/>
  <c r="Z3144" i="13"/>
  <c r="Y3145" i="13"/>
  <c r="Z3145" i="13"/>
  <c r="Y3146" i="13"/>
  <c r="Y3147" i="13"/>
  <c r="Z3146" i="13"/>
  <c r="Y3148" i="13"/>
  <c r="Z3147" i="13"/>
  <c r="Y3149" i="13"/>
  <c r="Z3148" i="13"/>
  <c r="Y3150" i="13"/>
  <c r="Z3149" i="13"/>
  <c r="Y3151" i="13"/>
  <c r="Z3150" i="13"/>
  <c r="Y3152" i="13"/>
  <c r="Z3151" i="13"/>
  <c r="Z3152" i="13"/>
  <c r="Y3153" i="13"/>
  <c r="Y3154" i="13"/>
  <c r="Z3153" i="13"/>
  <c r="Y3155" i="13"/>
  <c r="Z3154" i="13"/>
  <c r="Z3155" i="13"/>
  <c r="Y3156" i="13"/>
  <c r="Z3156" i="13"/>
  <c r="Y3157" i="13"/>
  <c r="Z3157" i="13"/>
  <c r="Y3158" i="13"/>
  <c r="Z3158" i="13"/>
  <c r="Y3159" i="13"/>
  <c r="Y3160" i="13"/>
  <c r="Z3159" i="13"/>
  <c r="Y3161" i="13"/>
  <c r="Z3160" i="13"/>
  <c r="Y3162" i="13"/>
  <c r="Z3161" i="13"/>
  <c r="Y3163" i="13"/>
  <c r="Z3162" i="13"/>
  <c r="Y3164" i="13"/>
  <c r="Z3163" i="13"/>
  <c r="Z3164" i="13"/>
  <c r="Y3165" i="13"/>
  <c r="Z3165" i="13"/>
  <c r="Y3166" i="13"/>
  <c r="Z3166" i="13"/>
  <c r="Y3167" i="13"/>
  <c r="Y3168" i="13"/>
  <c r="Z3167" i="13"/>
  <c r="Z3168" i="13"/>
  <c r="Y3169" i="13"/>
  <c r="Z3169" i="13"/>
  <c r="Y3170" i="13"/>
  <c r="Y3171" i="13"/>
  <c r="Z3170" i="13"/>
  <c r="Y3172" i="13"/>
  <c r="Z3171" i="13"/>
  <c r="Y3173" i="13"/>
  <c r="Z3172" i="13"/>
  <c r="Z3173" i="13"/>
  <c r="Y3174" i="13"/>
  <c r="Y3175" i="13"/>
  <c r="Z3174" i="13"/>
  <c r="Y3176" i="13"/>
  <c r="Z3175" i="13"/>
  <c r="Z3176" i="13"/>
  <c r="Y3177" i="13"/>
  <c r="Y3178" i="13"/>
  <c r="Z3177" i="13"/>
  <c r="Z3178" i="13"/>
  <c r="Y3179" i="13"/>
  <c r="Y3180" i="13"/>
  <c r="Z3179" i="13"/>
  <c r="Y3181" i="13"/>
  <c r="Z3180" i="13"/>
  <c r="Y3182" i="13"/>
  <c r="Z3181" i="13"/>
  <c r="Z3182" i="13"/>
  <c r="Y3183" i="13"/>
  <c r="Z3183" i="13"/>
  <c r="Y3184" i="13"/>
  <c r="Y3185" i="13"/>
  <c r="Z3184" i="13"/>
  <c r="Y3186" i="13"/>
  <c r="Z3185" i="13"/>
  <c r="Y3187" i="13"/>
  <c r="Z3186" i="13"/>
  <c r="Y3188" i="13"/>
  <c r="Z3187" i="13"/>
  <c r="Y3189" i="13"/>
  <c r="Z3188" i="13"/>
  <c r="Z3189" i="13"/>
  <c r="Y3190" i="13"/>
  <c r="Z3190" i="13"/>
  <c r="Y3191" i="13"/>
  <c r="Z3191" i="13"/>
  <c r="Y3192" i="13"/>
  <c r="Y3193" i="13"/>
  <c r="Z3192" i="13"/>
  <c r="Y3194" i="13"/>
  <c r="Z3193" i="13"/>
  <c r="Z3194" i="13"/>
  <c r="Y3195" i="13"/>
  <c r="Z3195" i="13"/>
  <c r="Y3196" i="13"/>
  <c r="Z3196" i="13"/>
  <c r="Y3197" i="13"/>
  <c r="Z3197" i="13"/>
  <c r="Y3198" i="13"/>
  <c r="Y3199" i="13"/>
  <c r="Z3198" i="13"/>
  <c r="Z3199" i="13"/>
  <c r="Y3200" i="13"/>
  <c r="Y3201" i="13"/>
  <c r="Z3200" i="13"/>
  <c r="Z3201" i="13"/>
  <c r="Y3202" i="13"/>
  <c r="Z3202" i="13"/>
  <c r="Y3203" i="13"/>
  <c r="Y3204" i="13"/>
  <c r="Z3203" i="13"/>
  <c r="Y3205" i="13"/>
  <c r="Z3204" i="13"/>
  <c r="Z3205" i="13"/>
  <c r="Y3206" i="13"/>
  <c r="Z3206" i="13"/>
  <c r="Y3207" i="13"/>
  <c r="Y3208" i="13"/>
  <c r="Z3207" i="13"/>
  <c r="Z3208" i="13"/>
  <c r="Y3209" i="13"/>
  <c r="Y3210" i="13"/>
  <c r="Z3209" i="13"/>
  <c r="Z3210" i="13"/>
  <c r="Y3211" i="13"/>
  <c r="Z3211" i="13"/>
  <c r="Y3212" i="13"/>
  <c r="Y3213" i="13"/>
  <c r="Z3212" i="13"/>
  <c r="Z3213" i="13"/>
  <c r="Y3214" i="13"/>
  <c r="Z3214" i="13"/>
  <c r="Y3215" i="13"/>
  <c r="Z3215" i="13"/>
  <c r="Y3216" i="13"/>
  <c r="Z3216" i="13"/>
  <c r="Y3217" i="13"/>
  <c r="Y3218" i="13"/>
  <c r="Z3217" i="13"/>
  <c r="Y3219" i="13"/>
  <c r="Z3218" i="13"/>
  <c r="Y3220" i="13"/>
  <c r="Z3219" i="13"/>
  <c r="Y3221" i="13"/>
  <c r="Z3220" i="13"/>
  <c r="Z3221" i="13"/>
  <c r="Y3222" i="13"/>
  <c r="Y3223" i="13"/>
  <c r="Z3222" i="13"/>
  <c r="Z3223" i="13"/>
  <c r="Y3224" i="13"/>
  <c r="Y3225" i="13"/>
  <c r="Z3224" i="13"/>
  <c r="Z3225" i="13"/>
  <c r="Y3226" i="13"/>
  <c r="Z3226" i="13"/>
  <c r="Y3227" i="13"/>
  <c r="Z3227" i="13"/>
  <c r="Y3228" i="13"/>
  <c r="Z3228" i="13"/>
  <c r="Y3229" i="13"/>
  <c r="Z3229" i="13"/>
  <c r="Y3230" i="13"/>
  <c r="Z3230" i="13"/>
  <c r="Y3231" i="13"/>
  <c r="Y3232" i="13"/>
  <c r="Z3231" i="13"/>
  <c r="Y3233" i="13"/>
  <c r="Z3232" i="13"/>
  <c r="Z3233" i="13"/>
  <c r="Y3234" i="13"/>
  <c r="Y3235" i="13"/>
  <c r="Z3234" i="13"/>
  <c r="Z3235" i="13"/>
  <c r="Y3236" i="13"/>
  <c r="Y3237" i="13"/>
  <c r="Z3236" i="13"/>
  <c r="Y3238" i="13"/>
  <c r="Z3237" i="13"/>
  <c r="Y3239" i="13"/>
  <c r="Z3238" i="13"/>
  <c r="Y3240" i="13"/>
  <c r="Z3239" i="13"/>
  <c r="Y3241" i="13"/>
  <c r="Z3240" i="13"/>
  <c r="Y3242" i="13"/>
  <c r="Z3241" i="13"/>
  <c r="Y3243" i="13"/>
  <c r="Z3242" i="13"/>
  <c r="Y3244" i="13"/>
  <c r="Z3243" i="13"/>
  <c r="Y3245" i="13"/>
  <c r="Z3244" i="13"/>
  <c r="Z3245" i="13"/>
  <c r="Y3246" i="13"/>
  <c r="Z3246" i="13"/>
  <c r="Y3247" i="13"/>
  <c r="Y3248" i="13"/>
  <c r="Z3247" i="13"/>
  <c r="Z3248" i="13"/>
  <c r="Y3249" i="13"/>
  <c r="Y3250" i="13"/>
  <c r="Z3249" i="13"/>
  <c r="Z3250" i="13"/>
  <c r="Y3251" i="13"/>
  <c r="Y3252" i="13"/>
  <c r="Z3251" i="13"/>
  <c r="Y3253" i="13"/>
  <c r="Z3252" i="13"/>
  <c r="Z3253" i="13"/>
  <c r="Y3254" i="13"/>
  <c r="Z3254" i="13"/>
  <c r="Y3255" i="13"/>
  <c r="Y3256" i="13"/>
  <c r="Z3255" i="13"/>
  <c r="Z3256" i="13"/>
  <c r="Y3257" i="13"/>
  <c r="Z3257" i="13"/>
  <c r="Y3258" i="13"/>
  <c r="Y3259" i="13"/>
  <c r="Z3258" i="13"/>
  <c r="Y3260" i="13"/>
  <c r="Z3259" i="13"/>
  <c r="Y3261" i="13"/>
  <c r="Z3260" i="13"/>
  <c r="Z3261" i="13"/>
  <c r="Y3262" i="13"/>
  <c r="Y3263" i="13"/>
  <c r="Z3262" i="13"/>
  <c r="Y3264" i="13"/>
  <c r="Z3263" i="13"/>
  <c r="Z3264" i="13"/>
  <c r="Y3265" i="13"/>
  <c r="Y3266" i="13"/>
  <c r="Z3265" i="13"/>
  <c r="Z3266" i="13"/>
  <c r="Y3267" i="13"/>
  <c r="Z3267" i="13"/>
  <c r="Y3268" i="13"/>
  <c r="Z3268" i="13"/>
  <c r="Y3269" i="13"/>
  <c r="Z3269" i="13"/>
  <c r="Y3270" i="13"/>
  <c r="Z3270" i="13"/>
  <c r="Y3271" i="13"/>
  <c r="Z3271" i="13"/>
  <c r="Y3272" i="13"/>
  <c r="Y3273" i="13"/>
  <c r="Z3272" i="13"/>
  <c r="Y3274" i="13"/>
  <c r="Z3273" i="13"/>
  <c r="Y3275" i="13"/>
  <c r="Z3274" i="13"/>
  <c r="Y3276" i="13"/>
  <c r="Z3275" i="13"/>
  <c r="Z3276" i="13"/>
  <c r="Y3277" i="13"/>
  <c r="Z3277" i="13"/>
  <c r="Y3278" i="13"/>
  <c r="Y3279" i="13"/>
  <c r="Z3278" i="13"/>
  <c r="Y3280" i="13"/>
  <c r="Z3279" i="13"/>
  <c r="Z3280" i="13"/>
  <c r="Y3281" i="13"/>
  <c r="Z3281" i="13"/>
  <c r="Y3282" i="13"/>
  <c r="Z3282" i="13"/>
  <c r="Y3283" i="13"/>
  <c r="Z3283" i="13"/>
  <c r="Y3284" i="13"/>
  <c r="Z3284" i="13"/>
  <c r="Y3285" i="13"/>
  <c r="Z3285" i="13"/>
  <c r="Y3286" i="13"/>
  <c r="Z3286" i="13"/>
  <c r="Y3287" i="13"/>
  <c r="Y3288" i="13"/>
  <c r="Z3287" i="13"/>
  <c r="Y3289" i="13"/>
  <c r="Z3288" i="13"/>
  <c r="Z3289" i="13"/>
  <c r="Y3290" i="13"/>
  <c r="Y3291" i="13"/>
  <c r="Z3290" i="13"/>
  <c r="Z3291" i="13"/>
  <c r="Y3292" i="13"/>
  <c r="Y3293" i="13"/>
  <c r="Z3292" i="13"/>
  <c r="Y3294" i="13"/>
  <c r="Z3293" i="13"/>
  <c r="Z3294" i="13"/>
  <c r="Y3295" i="13"/>
  <c r="Y3296" i="13"/>
  <c r="Z3295" i="13"/>
  <c r="Z3296" i="13"/>
  <c r="Y3297" i="13"/>
  <c r="Y3298" i="13"/>
  <c r="Z3297" i="13"/>
  <c r="Y3299" i="13"/>
  <c r="Z3298" i="13"/>
  <c r="Z3299" i="13"/>
  <c r="Y3300" i="13"/>
  <c r="Y3301" i="13"/>
  <c r="Z3300" i="13"/>
  <c r="Y3302" i="13"/>
  <c r="Z3301" i="13"/>
  <c r="Z3302" i="13"/>
  <c r="Y3303" i="13"/>
  <c r="Y3304" i="13"/>
  <c r="Z3303" i="13"/>
  <c r="Y3305" i="13"/>
  <c r="Z3304" i="13"/>
  <c r="Y3306" i="13"/>
  <c r="Z3305" i="13"/>
  <c r="Y3307" i="13"/>
  <c r="Z3306" i="13"/>
  <c r="Y3308" i="13"/>
  <c r="Z3307" i="13"/>
  <c r="Y3309" i="13"/>
  <c r="Z3308" i="13"/>
  <c r="Y3310" i="13"/>
  <c r="Z3309" i="13"/>
  <c r="Y3311" i="13"/>
  <c r="Z3310" i="13"/>
  <c r="Y3312" i="13"/>
  <c r="Z3311" i="13"/>
  <c r="Z3312" i="13"/>
  <c r="Y3313" i="13"/>
  <c r="Z3313" i="13"/>
  <c r="Y3314" i="13"/>
  <c r="Y3315" i="13"/>
  <c r="Z3314" i="13"/>
  <c r="Z3315" i="13"/>
  <c r="Y3316" i="13"/>
  <c r="Y3317" i="13"/>
  <c r="Z3316" i="13"/>
  <c r="Z3317" i="13"/>
  <c r="Y3318" i="13"/>
  <c r="Y3319" i="13"/>
  <c r="Z3318" i="13"/>
  <c r="Z3319" i="13"/>
  <c r="Y3320" i="13"/>
  <c r="Z3320" i="13"/>
  <c r="Y3321" i="13"/>
  <c r="Y3322" i="13"/>
  <c r="Z3321" i="13"/>
  <c r="Y3323" i="13"/>
  <c r="Z3322" i="13"/>
  <c r="Z3323" i="13"/>
  <c r="Y3324" i="13"/>
  <c r="Y3325" i="13"/>
  <c r="Z3324" i="13"/>
  <c r="Z3325" i="13"/>
  <c r="Y3326" i="13"/>
  <c r="Z3326" i="13"/>
  <c r="Y3327" i="13"/>
  <c r="Z3327" i="13"/>
  <c r="Y3328" i="13"/>
  <c r="Z3328" i="13"/>
  <c r="Y3329" i="13"/>
  <c r="Y3330" i="13"/>
  <c r="Z3329" i="13"/>
  <c r="Y3331" i="13"/>
  <c r="Z3330" i="13"/>
  <c r="Y3332" i="13"/>
  <c r="Z3331" i="13"/>
  <c r="Y3333" i="13"/>
  <c r="Z3332" i="13"/>
  <c r="Z3333" i="13"/>
  <c r="Y3334" i="13"/>
  <c r="Y3335" i="13"/>
  <c r="Z3334" i="13"/>
  <c r="Z3335" i="13"/>
  <c r="Y3336" i="13"/>
  <c r="Z3336" i="13"/>
  <c r="Y3337" i="13"/>
  <c r="Y3338" i="13"/>
  <c r="Z3337" i="13"/>
  <c r="Y3339" i="13"/>
  <c r="Z3338" i="13"/>
  <c r="Y3340" i="13"/>
  <c r="Z3339" i="13"/>
  <c r="Z3340" i="13"/>
  <c r="Y3341" i="13"/>
  <c r="Z3341" i="13"/>
  <c r="Y3342" i="13"/>
  <c r="Z3342" i="13"/>
  <c r="Y3343" i="13"/>
  <c r="Z3343" i="13"/>
  <c r="Y3344" i="13"/>
  <c r="Y3345" i="13"/>
  <c r="Z3344" i="13"/>
  <c r="Y3346" i="13"/>
  <c r="Z3345" i="13"/>
  <c r="Z3346" i="13"/>
  <c r="Y3347" i="13"/>
  <c r="Z3347" i="13"/>
  <c r="Y3348" i="13"/>
  <c r="Y3349" i="13"/>
  <c r="Z3348" i="13"/>
  <c r="Y3350" i="13"/>
  <c r="Z3349" i="13"/>
  <c r="Y3351" i="13"/>
  <c r="Z3350" i="13"/>
  <c r="Y3352" i="13"/>
  <c r="Z3351" i="13"/>
  <c r="Y3353" i="13"/>
  <c r="Z3352" i="13"/>
  <c r="Z3353" i="13"/>
  <c r="Y3354" i="13"/>
  <c r="Y3355" i="13"/>
  <c r="Z3354" i="13"/>
  <c r="Z3355" i="13"/>
  <c r="Y3356" i="13"/>
  <c r="Z3356" i="13"/>
  <c r="Y3357" i="13"/>
  <c r="Y3358" i="13"/>
  <c r="Z3357" i="13"/>
  <c r="Z3358" i="13"/>
  <c r="Y3359" i="13"/>
  <c r="Y3360" i="13"/>
  <c r="Z3359" i="13"/>
  <c r="Z3360" i="13"/>
  <c r="Y3361" i="13"/>
  <c r="Z3361" i="13"/>
  <c r="Y3362" i="13"/>
  <c r="Y3363" i="13"/>
  <c r="Z3362" i="13"/>
  <c r="Z3363" i="13"/>
  <c r="Y3364" i="13"/>
  <c r="Z3364" i="13"/>
  <c r="Y3365" i="13"/>
  <c r="Z3365" i="13"/>
  <c r="Y3366" i="13"/>
  <c r="Y3367" i="13"/>
  <c r="Z3366" i="13"/>
  <c r="Y3368" i="13"/>
  <c r="Z3367" i="13"/>
  <c r="Y3369" i="13"/>
  <c r="Z3368" i="13"/>
  <c r="Y3370" i="13"/>
  <c r="Z3369" i="13"/>
  <c r="Z3370" i="13"/>
  <c r="Y3371" i="13"/>
  <c r="Z3371" i="13"/>
  <c r="Y3372" i="13"/>
  <c r="Y3373" i="13"/>
  <c r="Z3372" i="13"/>
  <c r="Z3373" i="13"/>
  <c r="Y3374" i="13"/>
  <c r="Y3375" i="13"/>
  <c r="Z3374" i="13"/>
  <c r="Y3376" i="13"/>
  <c r="Z3375" i="13"/>
  <c r="Z3376" i="13"/>
  <c r="Y3377" i="13"/>
  <c r="Z3377" i="13"/>
  <c r="Y3378" i="13"/>
  <c r="Y3379" i="13"/>
  <c r="Z3378" i="13"/>
  <c r="Z3379" i="13"/>
  <c r="Y3380" i="13"/>
  <c r="Y3381" i="13"/>
  <c r="Z3380" i="13"/>
  <c r="Y3382" i="13"/>
  <c r="Z3381" i="13"/>
  <c r="Z3382" i="13"/>
  <c r="Y3383" i="13"/>
  <c r="Z3383" i="13"/>
  <c r="Y3384" i="13"/>
  <c r="Y3385" i="13"/>
  <c r="Z3384" i="13"/>
  <c r="Z3385" i="13"/>
  <c r="Y3386" i="13"/>
  <c r="Z3386" i="13"/>
  <c r="Y3387" i="13"/>
  <c r="Z3387" i="13"/>
  <c r="Y3388" i="13"/>
  <c r="Y3389" i="13"/>
  <c r="Z3388" i="13"/>
  <c r="Y3390" i="13"/>
  <c r="Z3389" i="13"/>
  <c r="Z3390" i="13"/>
  <c r="Y3391" i="13"/>
  <c r="Z3391" i="13"/>
  <c r="Y3392" i="13"/>
  <c r="Y3393" i="13"/>
  <c r="Z3392" i="13"/>
  <c r="Z3393" i="13"/>
  <c r="Y3394" i="13"/>
  <c r="Z3394" i="13"/>
  <c r="Y3395" i="13"/>
  <c r="Y3396" i="13"/>
  <c r="Z3395" i="13"/>
  <c r="Y3397" i="13"/>
  <c r="Z3396" i="13"/>
  <c r="Y3398" i="13"/>
  <c r="Z3397" i="13"/>
  <c r="Z3398" i="13"/>
  <c r="Y3399" i="13"/>
  <c r="Y3400" i="13"/>
  <c r="Z3399" i="13"/>
  <c r="Y3401" i="13"/>
  <c r="Z3400" i="13"/>
  <c r="Y3402" i="13"/>
  <c r="Z3401" i="13"/>
  <c r="Z3402" i="13"/>
  <c r="Y3403" i="13"/>
  <c r="Z3403" i="13"/>
  <c r="Y3404" i="13"/>
  <c r="Y3405" i="13"/>
  <c r="Z3404" i="13"/>
  <c r="Y3406" i="13"/>
  <c r="Z3405" i="13"/>
  <c r="Z3406" i="13"/>
  <c r="Y3407" i="13"/>
  <c r="Z3407" i="13"/>
  <c r="Y3408" i="13"/>
  <c r="Z3408" i="13"/>
  <c r="Y3409" i="13"/>
  <c r="Y3410" i="13"/>
  <c r="Z3409" i="13"/>
  <c r="Y3411" i="13"/>
  <c r="Z3410" i="13"/>
  <c r="Y3412" i="13"/>
  <c r="Z3411" i="13"/>
  <c r="Z3412" i="13"/>
  <c r="Y3413" i="13"/>
  <c r="Y3414" i="13"/>
  <c r="Z3413" i="13"/>
  <c r="Z3414" i="13"/>
  <c r="Y3415" i="13"/>
  <c r="Z3415" i="13"/>
  <c r="Y3416" i="13"/>
  <c r="Y3417" i="13"/>
  <c r="Z3416" i="13"/>
  <c r="Z3417" i="13"/>
  <c r="Y3418" i="13"/>
  <c r="Z3418" i="13"/>
  <c r="Y3419" i="13"/>
  <c r="Y3420" i="13"/>
  <c r="Z3419" i="13"/>
  <c r="Z3420" i="13"/>
  <c r="Y3421" i="13"/>
  <c r="Y3422" i="13"/>
  <c r="Z3421" i="13"/>
  <c r="Z3422" i="13"/>
  <c r="Y3423" i="13"/>
  <c r="Y3424" i="13"/>
  <c r="Z3423" i="13"/>
  <c r="Y3425" i="13"/>
  <c r="Z3424" i="13"/>
  <c r="Z3425" i="13"/>
  <c r="Y3426" i="13"/>
  <c r="Y3427" i="13"/>
  <c r="Z3426" i="13"/>
  <c r="Z3427" i="13"/>
  <c r="Y3428" i="13"/>
  <c r="Y3429" i="13"/>
  <c r="Z3428" i="13"/>
  <c r="Y3430" i="13"/>
  <c r="Z3429" i="13"/>
  <c r="Y3431" i="13"/>
  <c r="Z3430" i="13"/>
  <c r="Z3431" i="13"/>
  <c r="Y3432" i="13"/>
  <c r="Z3432" i="13"/>
  <c r="Y3433" i="13"/>
  <c r="Y3434" i="13"/>
  <c r="Z3433" i="13"/>
  <c r="Z3434" i="13"/>
  <c r="Y3435" i="13"/>
  <c r="Z3435" i="13"/>
  <c r="Y3436" i="13"/>
  <c r="Z3436" i="13"/>
  <c r="Y3437" i="13"/>
  <c r="Z3437" i="13"/>
  <c r="Y3438" i="13"/>
  <c r="Y3439" i="13"/>
  <c r="Z3438" i="13"/>
  <c r="Y3440" i="13"/>
  <c r="Z3439" i="13"/>
  <c r="Y3441" i="13"/>
  <c r="Z3440" i="13"/>
  <c r="Y3442" i="13"/>
  <c r="Z3441" i="13"/>
  <c r="Y3443" i="13"/>
  <c r="Z3442" i="13"/>
  <c r="Y3444" i="13"/>
  <c r="Z3443" i="13"/>
  <c r="Z3444" i="13"/>
  <c r="Y3445" i="13"/>
  <c r="Y3446" i="13"/>
  <c r="Z3445" i="13"/>
  <c r="Z3446" i="13"/>
  <c r="Y3447" i="13"/>
  <c r="Y3448" i="13"/>
  <c r="Z3447" i="13"/>
  <c r="Z3448" i="13"/>
  <c r="Y3449" i="13"/>
  <c r="Y3450" i="13"/>
  <c r="Z3449" i="13"/>
  <c r="Y3451" i="13"/>
  <c r="Z3450" i="13"/>
  <c r="Z3451" i="13"/>
  <c r="Y3452" i="13"/>
  <c r="Z3452" i="13"/>
  <c r="Y3453" i="13"/>
  <c r="Y3454" i="13"/>
  <c r="Z3453" i="13"/>
  <c r="Y3455" i="13"/>
  <c r="Z3454" i="13"/>
  <c r="Z3455" i="13"/>
  <c r="Y3456" i="13"/>
  <c r="Y3457" i="13"/>
  <c r="Z3456" i="13"/>
  <c r="Z3457" i="13"/>
  <c r="Y3458" i="13"/>
  <c r="Z3458" i="13"/>
  <c r="Y3459" i="13"/>
  <c r="Y3460" i="13"/>
  <c r="Z3459" i="13"/>
  <c r="Y3461" i="13"/>
  <c r="Z3460" i="13"/>
  <c r="Y3462" i="13"/>
  <c r="Z3461" i="13"/>
  <c r="Z3462" i="13"/>
  <c r="Y3463" i="13"/>
  <c r="Z3463" i="13"/>
  <c r="Y3464" i="13"/>
  <c r="Y3465" i="13"/>
  <c r="Z3464" i="13"/>
  <c r="Z3465" i="13"/>
  <c r="Y3466" i="13"/>
  <c r="Y3467" i="13"/>
  <c r="Z3466" i="13"/>
  <c r="Y3468" i="13"/>
  <c r="Z3467" i="13"/>
  <c r="Z3468" i="13"/>
  <c r="Y3469" i="13"/>
  <c r="Z3469" i="13"/>
  <c r="Y3470" i="13"/>
  <c r="Z3470" i="13"/>
  <c r="Y3471" i="13"/>
  <c r="Y3472" i="13"/>
  <c r="Z3471" i="13"/>
  <c r="Z3472" i="13"/>
  <c r="Y3473" i="13"/>
  <c r="Y3474" i="13"/>
  <c r="Z3473" i="13"/>
  <c r="Z3474" i="13"/>
  <c r="Y3475" i="13"/>
  <c r="Y3476" i="13"/>
  <c r="Z3475" i="13"/>
  <c r="Y3477" i="13"/>
  <c r="Z3476" i="13"/>
  <c r="Y3478" i="13"/>
  <c r="Z3477" i="13"/>
  <c r="Z3478" i="13"/>
  <c r="Y3479" i="13"/>
  <c r="Y3480" i="13"/>
  <c r="Z3479" i="13"/>
  <c r="Z3480" i="13"/>
  <c r="Y3481" i="13"/>
  <c r="Y3482" i="13"/>
  <c r="Z3481" i="13"/>
  <c r="Z3482" i="13"/>
  <c r="Y3483" i="13"/>
  <c r="Y3484" i="13"/>
  <c r="Z3483" i="13"/>
  <c r="Z3484" i="13"/>
  <c r="Y3485" i="13"/>
  <c r="Z3485" i="13"/>
  <c r="Y3486" i="13"/>
  <c r="Y3487" i="13"/>
  <c r="Z3486" i="13"/>
  <c r="Y3488" i="13"/>
  <c r="Z3487" i="13"/>
  <c r="Y3489" i="13"/>
  <c r="Z3488" i="13"/>
  <c r="Z3489" i="13"/>
  <c r="Y3490" i="13"/>
  <c r="Y3491" i="13"/>
  <c r="Z3490" i="13"/>
  <c r="Y3492" i="13"/>
  <c r="Z3491" i="13"/>
  <c r="Z3492" i="13"/>
  <c r="Y3493" i="13"/>
  <c r="Y3494" i="13"/>
  <c r="Z3493" i="13"/>
  <c r="Z3494" i="13"/>
  <c r="Y3495" i="13"/>
  <c r="Y3496" i="13"/>
  <c r="Z3495" i="13"/>
  <c r="Y3497" i="13"/>
  <c r="Z3496" i="13"/>
  <c r="Y3498" i="13"/>
  <c r="Z3497" i="13"/>
  <c r="Z3498" i="13"/>
  <c r="Y3499" i="13"/>
  <c r="Y3500" i="13"/>
  <c r="Z3499" i="13"/>
  <c r="Z3500" i="13"/>
  <c r="Y3501" i="13"/>
  <c r="Y3502" i="13"/>
  <c r="Z3501" i="13"/>
  <c r="Z3502" i="13"/>
  <c r="Y3503" i="13"/>
  <c r="Z3503" i="13"/>
  <c r="Y3504" i="13"/>
  <c r="Y3505" i="13"/>
  <c r="Z3504" i="13"/>
  <c r="Y3506" i="13"/>
  <c r="Z3505" i="13"/>
  <c r="Y3507" i="13"/>
  <c r="Z3506" i="13"/>
  <c r="Z3507" i="13"/>
  <c r="Y3508" i="13"/>
  <c r="Y3509" i="13"/>
  <c r="Z3508" i="13"/>
  <c r="Y3510" i="13"/>
  <c r="Z3509" i="13"/>
  <c r="Z3510" i="13"/>
  <c r="Y3511" i="13"/>
  <c r="Z3511" i="13"/>
  <c r="Y3512" i="13"/>
  <c r="Z3512" i="13"/>
  <c r="Y3513" i="13"/>
  <c r="Y3514" i="13"/>
  <c r="Z3513" i="13"/>
  <c r="Z3514" i="13"/>
  <c r="Y3515" i="13"/>
  <c r="Z3515" i="13"/>
  <c r="Y3516" i="13"/>
  <c r="Y3517" i="13"/>
  <c r="Z3516" i="13"/>
  <c r="Y3518" i="13"/>
  <c r="Z3517" i="13"/>
  <c r="Y3519" i="13"/>
  <c r="Z3518" i="13"/>
  <c r="Z3519" i="13"/>
  <c r="Y3520" i="13"/>
  <c r="Z3520" i="13"/>
  <c r="Y3521" i="13"/>
  <c r="Z3521" i="13"/>
  <c r="Y3522" i="13"/>
  <c r="Y3523" i="13"/>
  <c r="Z3522" i="13"/>
  <c r="Z3523" i="13"/>
  <c r="Y3524" i="13"/>
  <c r="Y3525" i="13"/>
  <c r="Z3524" i="13"/>
  <c r="Y3526" i="13"/>
  <c r="Z3525" i="13"/>
  <c r="Z3526" i="13"/>
  <c r="Y3527" i="13"/>
  <c r="Z3527" i="13"/>
  <c r="Y3528" i="13"/>
  <c r="Z3528" i="13"/>
  <c r="Y3529" i="13"/>
  <c r="Z3529" i="13"/>
  <c r="Y3530" i="13"/>
  <c r="Z3530" i="13"/>
  <c r="Y3531" i="13"/>
  <c r="Z3531" i="13"/>
  <c r="Y3532" i="13"/>
  <c r="Z3532" i="13"/>
  <c r="Y3533" i="13"/>
  <c r="Y3534" i="13"/>
  <c r="Z3533" i="13"/>
  <c r="Z3534" i="13"/>
  <c r="Y3535" i="13"/>
  <c r="Z3535" i="13"/>
  <c r="Y3536" i="13"/>
  <c r="Z3536" i="13"/>
  <c r="Y3537" i="13"/>
  <c r="Z3537" i="13"/>
  <c r="Y3538" i="13"/>
  <c r="Z3538" i="13"/>
  <c r="Y3539" i="13"/>
  <c r="Z3539" i="13"/>
  <c r="Y3540" i="13"/>
  <c r="Z3540" i="13"/>
  <c r="Y3541" i="13"/>
  <c r="Y3542" i="13"/>
  <c r="Z3541" i="13"/>
  <c r="Y3543" i="13"/>
  <c r="Z3542" i="13"/>
  <c r="Y3544" i="13"/>
  <c r="Z3543" i="13"/>
  <c r="Y3545" i="13"/>
  <c r="Z3544" i="13"/>
  <c r="Z3545" i="13"/>
  <c r="Y3546" i="13"/>
  <c r="Y3547" i="13"/>
  <c r="Z3546" i="13"/>
  <c r="Z3547" i="13"/>
  <c r="Y3548" i="13"/>
  <c r="Y3549" i="13"/>
  <c r="Z3548" i="13"/>
  <c r="Z3549" i="13"/>
  <c r="Y3550" i="13"/>
  <c r="Y3551" i="13"/>
  <c r="Z3550" i="13"/>
  <c r="Z3551" i="13"/>
  <c r="Y3552" i="13"/>
  <c r="Z3552" i="13" s="1"/>
  <c r="A16" i="4" l="1"/>
  <c r="A55" i="4"/>
  <c r="A45" i="4"/>
  <c r="A23" i="4"/>
  <c r="A31" i="4"/>
  <c r="A38" i="4"/>
  <c r="A34" i="4"/>
  <c r="A56" i="4"/>
  <c r="A30" i="4"/>
  <c r="A20" i="4"/>
  <c r="A44" i="4"/>
  <c r="A17" i="4"/>
  <c r="A25" i="4"/>
  <c r="A27" i="4"/>
  <c r="A43" i="4"/>
  <c r="A19" i="4"/>
  <c r="A47" i="4"/>
  <c r="A48" i="4"/>
  <c r="A36" i="4"/>
  <c r="A53" i="4"/>
  <c r="A50" i="4"/>
  <c r="A35" i="4"/>
  <c r="A51" i="4"/>
  <c r="A54" i="4"/>
  <c r="A52" i="4"/>
  <c r="A15" i="4"/>
  <c r="A29" i="4"/>
  <c r="A32" i="4"/>
  <c r="A18" i="4"/>
  <c r="A41" i="4"/>
  <c r="A49" i="4"/>
  <c r="A46" i="4"/>
  <c r="A22" i="4"/>
  <c r="A33" i="4"/>
  <c r="A37" i="4"/>
  <c r="A40" i="4"/>
  <c r="A26" i="4"/>
  <c r="A42" i="4"/>
  <c r="A39" i="4"/>
  <c r="A28" i="4"/>
  <c r="A24" i="4"/>
  <c r="A21" i="4"/>
  <c r="H16" i="4"/>
  <c r="D16" i="4"/>
  <c r="I16" i="4"/>
  <c r="B16" i="4"/>
  <c r="C16" i="4"/>
  <c r="D30" i="4"/>
  <c r="B30" i="4"/>
  <c r="C30" i="4"/>
  <c r="I30" i="4"/>
  <c r="H30" i="4"/>
  <c r="D47" i="4"/>
  <c r="C47" i="4"/>
  <c r="H47" i="4"/>
  <c r="B47" i="4"/>
  <c r="I47" i="4"/>
  <c r="D52" i="4"/>
  <c r="B52" i="4"/>
  <c r="H52" i="4"/>
  <c r="C52" i="4"/>
  <c r="I52" i="4"/>
  <c r="H22" i="4"/>
  <c r="C22" i="4"/>
  <c r="B22" i="4"/>
  <c r="I22" i="4"/>
  <c r="D22" i="4"/>
  <c r="I24" i="4"/>
  <c r="D24" i="4"/>
  <c r="B24" i="4"/>
  <c r="H24" i="4"/>
  <c r="C24" i="4"/>
  <c r="I55" i="4"/>
  <c r="C55" i="4"/>
  <c r="D55" i="4"/>
  <c r="B55" i="4"/>
  <c r="H55" i="4"/>
  <c r="C20" i="4"/>
  <c r="D20" i="4"/>
  <c r="B20" i="4"/>
  <c r="I20" i="4"/>
  <c r="H20" i="4"/>
  <c r="D48" i="4"/>
  <c r="B48" i="4"/>
  <c r="I48" i="4"/>
  <c r="C48" i="4"/>
  <c r="H48" i="4"/>
  <c r="D2" i="5" a="1"/>
  <c r="C15" i="4"/>
  <c r="H15" i="4"/>
  <c r="D15" i="4"/>
  <c r="B15" i="4"/>
  <c r="I15" i="4"/>
  <c r="B33" i="4"/>
  <c r="I33" i="4"/>
  <c r="D33" i="4"/>
  <c r="C33" i="4"/>
  <c r="H33" i="4"/>
  <c r="C21" i="4"/>
  <c r="H21" i="4"/>
  <c r="B21" i="4"/>
  <c r="I21" i="4"/>
  <c r="D21" i="4"/>
  <c r="C45" i="4"/>
  <c r="D45" i="4"/>
  <c r="I45" i="4"/>
  <c r="B45" i="4"/>
  <c r="H45" i="4"/>
  <c r="C44" i="4"/>
  <c r="I44" i="4"/>
  <c r="H44" i="4"/>
  <c r="D44" i="4"/>
  <c r="B44" i="4"/>
  <c r="H36" i="4"/>
  <c r="D36" i="4"/>
  <c r="C36" i="4"/>
  <c r="B36" i="4"/>
  <c r="I36" i="4"/>
  <c r="H29" i="4"/>
  <c r="I29" i="4"/>
  <c r="C29" i="4"/>
  <c r="B29" i="4"/>
  <c r="D29" i="4"/>
  <c r="D37" i="4"/>
  <c r="B37" i="4"/>
  <c r="C37" i="4"/>
  <c r="I37" i="4"/>
  <c r="H37" i="4"/>
  <c r="M73" i="13" a="1"/>
  <c r="H23" i="4"/>
  <c r="B23" i="4"/>
  <c r="D23" i="4"/>
  <c r="C23" i="4"/>
  <c r="I23" i="4"/>
  <c r="B17" i="4"/>
  <c r="H17" i="4"/>
  <c r="I17" i="4"/>
  <c r="C17" i="4"/>
  <c r="D17" i="4"/>
  <c r="D53" i="4"/>
  <c r="B53" i="4"/>
  <c r="C53" i="4"/>
  <c r="I53" i="4"/>
  <c r="H53" i="4"/>
  <c r="D32" i="4"/>
  <c r="C32" i="4"/>
  <c r="I32" i="4"/>
  <c r="H32" i="4"/>
  <c r="B32" i="4"/>
  <c r="I40" i="4"/>
  <c r="C40" i="4"/>
  <c r="D40" i="4"/>
  <c r="B40" i="4"/>
  <c r="H40" i="4"/>
  <c r="Z20" i="13"/>
  <c r="B31" i="4"/>
  <c r="C31" i="4"/>
  <c r="D31" i="4"/>
  <c r="I31" i="4"/>
  <c r="H31" i="4"/>
  <c r="H25" i="4"/>
  <c r="B25" i="4"/>
  <c r="I25" i="4"/>
  <c r="C25" i="4"/>
  <c r="D25" i="4"/>
  <c r="C50" i="4"/>
  <c r="D50" i="4"/>
  <c r="H50" i="4"/>
  <c r="B50" i="4"/>
  <c r="I50" i="4"/>
  <c r="D18" i="4"/>
  <c r="B18" i="4"/>
  <c r="C18" i="4"/>
  <c r="I18" i="4"/>
  <c r="H18" i="4"/>
  <c r="B26" i="4"/>
  <c r="D26" i="4"/>
  <c r="C26" i="4"/>
  <c r="I26" i="4"/>
  <c r="H26" i="4"/>
  <c r="H38" i="4"/>
  <c r="C38" i="4"/>
  <c r="I38" i="4"/>
  <c r="B38" i="4"/>
  <c r="D38" i="4"/>
  <c r="C27" i="4"/>
  <c r="I27" i="4"/>
  <c r="B27" i="4"/>
  <c r="D27" i="4"/>
  <c r="H27" i="4"/>
  <c r="I35" i="4"/>
  <c r="B35" i="4"/>
  <c r="D35" i="4"/>
  <c r="C35" i="4"/>
  <c r="H35" i="4"/>
  <c r="B41" i="4"/>
  <c r="C41" i="4"/>
  <c r="I41" i="4"/>
  <c r="H41" i="4"/>
  <c r="D41" i="4"/>
  <c r="D42" i="4"/>
  <c r="B42" i="4"/>
  <c r="H42" i="4"/>
  <c r="I42" i="4"/>
  <c r="C42" i="4"/>
  <c r="I34" i="4"/>
  <c r="H34" i="4"/>
  <c r="C34" i="4"/>
  <c r="B34" i="4"/>
  <c r="D34" i="4"/>
  <c r="I43" i="4"/>
  <c r="D43" i="4"/>
  <c r="B43" i="4"/>
  <c r="H43" i="4"/>
  <c r="C43" i="4"/>
  <c r="I51" i="4"/>
  <c r="H51" i="4"/>
  <c r="B51" i="4"/>
  <c r="D51" i="4"/>
  <c r="C51" i="4"/>
  <c r="C49" i="4"/>
  <c r="B49" i="4"/>
  <c r="D49" i="4"/>
  <c r="H49" i="4"/>
  <c r="I49" i="4"/>
  <c r="B39" i="4"/>
  <c r="D39" i="4"/>
  <c r="C39" i="4"/>
  <c r="I39" i="4"/>
  <c r="H39" i="4"/>
  <c r="H56" i="4"/>
  <c r="B56" i="4"/>
  <c r="I56" i="4"/>
  <c r="C56" i="4"/>
  <c r="D56" i="4"/>
  <c r="H19" i="4"/>
  <c r="B19" i="4"/>
  <c r="D19" i="4"/>
  <c r="I19" i="4"/>
  <c r="C19" i="4"/>
  <c r="D54" i="4"/>
  <c r="H54" i="4"/>
  <c r="I54" i="4"/>
  <c r="B54" i="4"/>
  <c r="C54" i="4"/>
  <c r="H46" i="4"/>
  <c r="C46" i="4"/>
  <c r="D46" i="4"/>
  <c r="I46" i="4"/>
  <c r="B46" i="4"/>
  <c r="C28" i="4"/>
  <c r="I28" i="4"/>
  <c r="D28" i="4"/>
  <c r="H28" i="4"/>
  <c r="B28" i="4"/>
  <c r="M19" i="13" a="1"/>
  <c r="D97" i="5" l="1"/>
  <c r="D33" i="5"/>
  <c r="D37" i="5"/>
  <c r="D113" i="5"/>
  <c r="D56" i="5"/>
  <c r="D20" i="5"/>
  <c r="D87" i="5"/>
  <c r="D24" i="5"/>
  <c r="D26" i="5"/>
  <c r="D27" i="5"/>
  <c r="D54" i="5"/>
  <c r="D108" i="5"/>
  <c r="D36" i="5"/>
  <c r="D25" i="5"/>
  <c r="D55" i="5"/>
  <c r="D116" i="5"/>
  <c r="D29" i="5"/>
  <c r="D100" i="5"/>
  <c r="D111" i="5"/>
  <c r="D57" i="5"/>
  <c r="D35" i="5"/>
  <c r="D69" i="5"/>
  <c r="D12" i="5"/>
  <c r="D6" i="5"/>
  <c r="D11" i="5"/>
  <c r="D74" i="5"/>
  <c r="D9" i="5"/>
  <c r="D83" i="5"/>
  <c r="D63" i="5"/>
  <c r="D92" i="5"/>
  <c r="D51" i="5"/>
  <c r="D101" i="5"/>
  <c r="D89" i="5"/>
  <c r="D81" i="5"/>
  <c r="D16" i="5"/>
  <c r="D103" i="5"/>
  <c r="D23" i="5"/>
  <c r="D76" i="5"/>
  <c r="D104" i="5"/>
  <c r="D118" i="5"/>
  <c r="D22" i="5"/>
  <c r="D73" i="5"/>
  <c r="D95" i="5"/>
  <c r="D109" i="5"/>
  <c r="D60" i="5"/>
  <c r="D30" i="5"/>
  <c r="D85" i="5"/>
  <c r="D42" i="5"/>
  <c r="D86" i="5"/>
  <c r="D110" i="5"/>
  <c r="D123" i="5"/>
  <c r="D114" i="5"/>
  <c r="D8" i="5"/>
  <c r="D115" i="5"/>
  <c r="D65" i="5"/>
  <c r="D117" i="5"/>
  <c r="D105" i="5"/>
  <c r="D106" i="5"/>
  <c r="D78" i="5"/>
  <c r="D53" i="5"/>
  <c r="D31" i="5"/>
  <c r="D91" i="5"/>
  <c r="D43" i="5"/>
  <c r="D96" i="5"/>
  <c r="D41" i="5"/>
  <c r="D17" i="5"/>
  <c r="D14" i="5"/>
  <c r="D126" i="5"/>
  <c r="D80" i="5"/>
  <c r="D79" i="5"/>
  <c r="D48" i="5"/>
  <c r="D28" i="5"/>
  <c r="D10" i="5"/>
  <c r="D5" i="5"/>
  <c r="D66" i="5"/>
  <c r="D112" i="5"/>
  <c r="D34" i="5"/>
  <c r="D19" i="5"/>
  <c r="D62" i="5"/>
  <c r="D122" i="5"/>
  <c r="D93" i="5"/>
  <c r="D7" i="5"/>
  <c r="D2" i="5"/>
  <c r="D21" i="5"/>
  <c r="D47" i="5"/>
  <c r="D121" i="5"/>
  <c r="D50" i="5"/>
  <c r="D120" i="5"/>
  <c r="D90" i="5"/>
  <c r="D38" i="5"/>
  <c r="D3" i="5"/>
  <c r="D52" i="5"/>
  <c r="D84" i="5"/>
  <c r="D82" i="5"/>
  <c r="D72" i="5"/>
  <c r="D58" i="5"/>
  <c r="D77" i="5"/>
  <c r="D61" i="5"/>
  <c r="D40" i="5"/>
  <c r="D13" i="5"/>
  <c r="D67" i="5"/>
  <c r="D88" i="5"/>
  <c r="D39" i="5"/>
  <c r="D75" i="5"/>
  <c r="D59" i="5"/>
  <c r="D44" i="5"/>
  <c r="D99" i="5"/>
  <c r="D46" i="5"/>
  <c r="D64" i="5"/>
  <c r="D15" i="5"/>
  <c r="D4" i="5"/>
  <c r="D45" i="5"/>
  <c r="D124" i="5"/>
  <c r="D125" i="5"/>
  <c r="D32" i="5"/>
  <c r="D119" i="5"/>
  <c r="D68" i="5"/>
  <c r="D18" i="5"/>
  <c r="D94" i="5"/>
  <c r="D71" i="5"/>
  <c r="D98" i="5"/>
  <c r="D107" i="5"/>
  <c r="D102" i="5"/>
  <c r="D49" i="5"/>
  <c r="D70" i="5"/>
  <c r="M22" i="13"/>
  <c r="M77" i="13"/>
  <c r="M20" i="13"/>
  <c r="M78" i="13"/>
  <c r="M23" i="13"/>
  <c r="M75" i="13"/>
  <c r="M19" i="13"/>
  <c r="M74" i="13"/>
  <c r="M21" i="13"/>
  <c r="M24" i="13"/>
  <c r="M76" i="13"/>
  <c r="M73" i="13"/>
  <c r="O22" i="13"/>
  <c r="N22" i="13"/>
  <c r="P22" i="13"/>
  <c r="M46" i="4"/>
  <c r="M39" i="4"/>
  <c r="L34" i="4"/>
  <c r="L27" i="4"/>
  <c r="M50" i="4"/>
  <c r="L32" i="4"/>
  <c r="O76" i="13"/>
  <c r="N76" i="13"/>
  <c r="L29" i="4"/>
  <c r="M21" i="4"/>
  <c r="F37" i="5"/>
  <c r="G37" i="5"/>
  <c r="H37" i="5"/>
  <c r="E37" i="5"/>
  <c r="I37" i="5"/>
  <c r="F54" i="5"/>
  <c r="G54" i="5"/>
  <c r="E54" i="5"/>
  <c r="H54" i="5"/>
  <c r="I54" i="5"/>
  <c r="E111" i="5"/>
  <c r="G111" i="5"/>
  <c r="F111" i="5"/>
  <c r="H111" i="5"/>
  <c r="I111" i="5"/>
  <c r="H9" i="5"/>
  <c r="F9" i="5"/>
  <c r="E9" i="5"/>
  <c r="I9" i="5"/>
  <c r="G9" i="5"/>
  <c r="G16" i="5"/>
  <c r="E16" i="5"/>
  <c r="H16" i="5"/>
  <c r="F16" i="5"/>
  <c r="I16" i="5"/>
  <c r="F95" i="5"/>
  <c r="G95" i="5"/>
  <c r="I95" i="5"/>
  <c r="E95" i="5"/>
  <c r="H95" i="5"/>
  <c r="F123" i="5"/>
  <c r="G123" i="5"/>
  <c r="H123" i="5"/>
  <c r="E123" i="5"/>
  <c r="I123" i="5"/>
  <c r="H78" i="5"/>
  <c r="I78" i="5"/>
  <c r="G78" i="5"/>
  <c r="F78" i="5"/>
  <c r="E78" i="5"/>
  <c r="H14" i="5"/>
  <c r="E14" i="5"/>
  <c r="F14" i="5"/>
  <c r="I14" i="5"/>
  <c r="G14" i="5"/>
  <c r="E66" i="5"/>
  <c r="I66" i="5"/>
  <c r="F66" i="5"/>
  <c r="H66" i="5"/>
  <c r="G66" i="5"/>
  <c r="F2" i="5"/>
  <c r="E2" i="5"/>
  <c r="G2" i="5"/>
  <c r="I2" i="5"/>
  <c r="H2" i="5"/>
  <c r="E3" i="5"/>
  <c r="I3" i="5"/>
  <c r="H3" i="5"/>
  <c r="F3" i="5"/>
  <c r="G3" i="5"/>
  <c r="E40" i="5"/>
  <c r="H40" i="5"/>
  <c r="F40" i="5"/>
  <c r="G40" i="5"/>
  <c r="I40" i="5"/>
  <c r="H99" i="5"/>
  <c r="I99" i="5"/>
  <c r="E99" i="5"/>
  <c r="G99" i="5"/>
  <c r="F99" i="5"/>
  <c r="H32" i="5"/>
  <c r="G32" i="5"/>
  <c r="E32" i="5"/>
  <c r="I32" i="5"/>
  <c r="F32" i="5"/>
  <c r="E102" i="5"/>
  <c r="F102" i="5"/>
  <c r="I102" i="5"/>
  <c r="H102" i="5"/>
  <c r="G102" i="5"/>
  <c r="M55" i="4"/>
  <c r="M47" i="4"/>
  <c r="N20" i="13"/>
  <c r="P20" i="13"/>
  <c r="O20" i="13"/>
  <c r="L46" i="4"/>
  <c r="L39" i="4"/>
  <c r="M34" i="4"/>
  <c r="M27" i="4"/>
  <c r="L50" i="4"/>
  <c r="M32" i="4"/>
  <c r="N73" i="13"/>
  <c r="O73" i="13"/>
  <c r="M29" i="4"/>
  <c r="L21" i="4"/>
  <c r="I113" i="5"/>
  <c r="F113" i="5"/>
  <c r="H113" i="5"/>
  <c r="E113" i="5"/>
  <c r="G113" i="5"/>
  <c r="F108" i="5"/>
  <c r="G108" i="5"/>
  <c r="E108" i="5"/>
  <c r="I108" i="5"/>
  <c r="H108" i="5"/>
  <c r="F57" i="5"/>
  <c r="I57" i="5"/>
  <c r="E57" i="5"/>
  <c r="G57" i="5"/>
  <c r="H57" i="5"/>
  <c r="F83" i="5"/>
  <c r="E83" i="5"/>
  <c r="G83" i="5"/>
  <c r="H83" i="5"/>
  <c r="I83" i="5"/>
  <c r="I103" i="5"/>
  <c r="E103" i="5"/>
  <c r="F103" i="5"/>
  <c r="G103" i="5"/>
  <c r="H103" i="5"/>
  <c r="G109" i="5"/>
  <c r="F109" i="5"/>
  <c r="H109" i="5"/>
  <c r="I109" i="5"/>
  <c r="E109" i="5"/>
  <c r="G114" i="5"/>
  <c r="H114" i="5"/>
  <c r="F114" i="5"/>
  <c r="I114" i="5"/>
  <c r="E114" i="5"/>
  <c r="F53" i="5"/>
  <c r="G53" i="5"/>
  <c r="E53" i="5"/>
  <c r="H53" i="5"/>
  <c r="I53" i="5"/>
  <c r="E126" i="5"/>
  <c r="H126" i="5"/>
  <c r="G126" i="5"/>
  <c r="I126" i="5"/>
  <c r="F126" i="5"/>
  <c r="I112" i="5"/>
  <c r="E112" i="5"/>
  <c r="G112" i="5"/>
  <c r="H112" i="5"/>
  <c r="F112" i="5"/>
  <c r="F21" i="5"/>
  <c r="I21" i="5"/>
  <c r="H21" i="5"/>
  <c r="G21" i="5"/>
  <c r="E21" i="5"/>
  <c r="F52" i="5"/>
  <c r="H52" i="5"/>
  <c r="G52" i="5"/>
  <c r="I52" i="5"/>
  <c r="E52" i="5"/>
  <c r="G13" i="5"/>
  <c r="I13" i="5"/>
  <c r="E13" i="5"/>
  <c r="F13" i="5"/>
  <c r="H13" i="5"/>
  <c r="G46" i="5"/>
  <c r="F46" i="5"/>
  <c r="I46" i="5"/>
  <c r="H46" i="5"/>
  <c r="E46" i="5"/>
  <c r="E119" i="5"/>
  <c r="F119" i="5"/>
  <c r="I119" i="5"/>
  <c r="H119" i="5"/>
  <c r="G119" i="5"/>
  <c r="H49" i="5"/>
  <c r="I49" i="5"/>
  <c r="F49" i="5"/>
  <c r="E49" i="5"/>
  <c r="G49" i="5"/>
  <c r="M24" i="4"/>
  <c r="L30" i="4"/>
  <c r="P23" i="13"/>
  <c r="N23" i="13"/>
  <c r="O23" i="13"/>
  <c r="L54" i="4"/>
  <c r="M49" i="4"/>
  <c r="L42" i="4"/>
  <c r="L38" i="4"/>
  <c r="L25" i="4"/>
  <c r="L53" i="4"/>
  <c r="O77" i="13"/>
  <c r="N77" i="13"/>
  <c r="L36" i="4"/>
  <c r="L33" i="4"/>
  <c r="E56" i="5"/>
  <c r="G56" i="5"/>
  <c r="I56" i="5"/>
  <c r="H56" i="5"/>
  <c r="F56" i="5"/>
  <c r="H36" i="5"/>
  <c r="F36" i="5"/>
  <c r="I36" i="5"/>
  <c r="G36" i="5"/>
  <c r="E36" i="5"/>
  <c r="E35" i="5"/>
  <c r="H35" i="5"/>
  <c r="G35" i="5"/>
  <c r="F35" i="5"/>
  <c r="I35" i="5"/>
  <c r="H63" i="5"/>
  <c r="I63" i="5"/>
  <c r="E63" i="5"/>
  <c r="F63" i="5"/>
  <c r="G63" i="5"/>
  <c r="I23" i="5"/>
  <c r="E23" i="5"/>
  <c r="H23" i="5"/>
  <c r="G23" i="5"/>
  <c r="F23" i="5"/>
  <c r="E60" i="5"/>
  <c r="G60" i="5"/>
  <c r="I60" i="5"/>
  <c r="H60" i="5"/>
  <c r="F60" i="5"/>
  <c r="G8" i="5"/>
  <c r="E8" i="5"/>
  <c r="H8" i="5"/>
  <c r="I8" i="5"/>
  <c r="F8" i="5"/>
  <c r="F31" i="5"/>
  <c r="I31" i="5"/>
  <c r="G31" i="5"/>
  <c r="H31" i="5"/>
  <c r="E31" i="5"/>
  <c r="F80" i="5"/>
  <c r="I80" i="5"/>
  <c r="H80" i="5"/>
  <c r="G80" i="5"/>
  <c r="E80" i="5"/>
  <c r="I34" i="5"/>
  <c r="F34" i="5"/>
  <c r="H34" i="5"/>
  <c r="E34" i="5"/>
  <c r="G34" i="5"/>
  <c r="I47" i="5"/>
  <c r="F47" i="5"/>
  <c r="H47" i="5"/>
  <c r="G47" i="5"/>
  <c r="E47" i="5"/>
  <c r="H84" i="5"/>
  <c r="F84" i="5"/>
  <c r="I84" i="5"/>
  <c r="E84" i="5"/>
  <c r="G84" i="5"/>
  <c r="I67" i="5"/>
  <c r="E67" i="5"/>
  <c r="H67" i="5"/>
  <c r="F67" i="5"/>
  <c r="G67" i="5"/>
  <c r="G64" i="5"/>
  <c r="H64" i="5"/>
  <c r="F64" i="5"/>
  <c r="E64" i="5"/>
  <c r="I64" i="5"/>
  <c r="E68" i="5"/>
  <c r="I68" i="5"/>
  <c r="F68" i="5"/>
  <c r="H68" i="5"/>
  <c r="G68" i="5"/>
  <c r="E70" i="5"/>
  <c r="I70" i="5"/>
  <c r="F70" i="5"/>
  <c r="H70" i="5"/>
  <c r="G70" i="5"/>
  <c r="L24" i="4"/>
  <c r="M30" i="4"/>
  <c r="N19" i="13"/>
  <c r="P19" i="13"/>
  <c r="O19" i="13"/>
  <c r="M54" i="4"/>
  <c r="L49" i="4"/>
  <c r="M42" i="4"/>
  <c r="M38" i="4"/>
  <c r="M25" i="4"/>
  <c r="M53" i="4"/>
  <c r="O78" i="13"/>
  <c r="N78" i="13"/>
  <c r="M36" i="4"/>
  <c r="M33" i="4"/>
  <c r="G20" i="5"/>
  <c r="F20" i="5"/>
  <c r="I20" i="5"/>
  <c r="E20" i="5"/>
  <c r="H20" i="5"/>
  <c r="G25" i="5"/>
  <c r="F25" i="5"/>
  <c r="E25" i="5"/>
  <c r="H25" i="5"/>
  <c r="I25" i="5"/>
  <c r="G69" i="5"/>
  <c r="I69" i="5"/>
  <c r="E69" i="5"/>
  <c r="H69" i="5"/>
  <c r="F69" i="5"/>
  <c r="I92" i="5"/>
  <c r="E92" i="5"/>
  <c r="F92" i="5"/>
  <c r="G92" i="5"/>
  <c r="H92" i="5"/>
  <c r="G76" i="5"/>
  <c r="E76" i="5"/>
  <c r="H76" i="5"/>
  <c r="F76" i="5"/>
  <c r="I76" i="5"/>
  <c r="E30" i="5"/>
  <c r="F30" i="5"/>
  <c r="I30" i="5"/>
  <c r="H30" i="5"/>
  <c r="G30" i="5"/>
  <c r="G115" i="5"/>
  <c r="H115" i="5"/>
  <c r="E115" i="5"/>
  <c r="F115" i="5"/>
  <c r="I115" i="5"/>
  <c r="F91" i="5"/>
  <c r="E91" i="5"/>
  <c r="G91" i="5"/>
  <c r="H91" i="5"/>
  <c r="I91" i="5"/>
  <c r="H79" i="5"/>
  <c r="F79" i="5"/>
  <c r="G79" i="5"/>
  <c r="E79" i="5"/>
  <c r="I79" i="5"/>
  <c r="E19" i="5"/>
  <c r="I19" i="5"/>
  <c r="H19" i="5"/>
  <c r="F19" i="5"/>
  <c r="G19" i="5"/>
  <c r="F121" i="5"/>
  <c r="E121" i="5"/>
  <c r="H121" i="5"/>
  <c r="G121" i="5"/>
  <c r="I121" i="5"/>
  <c r="F82" i="5"/>
  <c r="H82" i="5"/>
  <c r="G82" i="5"/>
  <c r="E82" i="5"/>
  <c r="I82" i="5"/>
  <c r="I88" i="5"/>
  <c r="G88" i="5"/>
  <c r="H88" i="5"/>
  <c r="E88" i="5"/>
  <c r="F88" i="5"/>
  <c r="E15" i="5"/>
  <c r="F15" i="5"/>
  <c r="H15" i="5"/>
  <c r="I15" i="5"/>
  <c r="G15" i="5"/>
  <c r="E18" i="5"/>
  <c r="I18" i="5"/>
  <c r="H18" i="5"/>
  <c r="F18" i="5"/>
  <c r="G18" i="5"/>
  <c r="L48" i="4"/>
  <c r="L22" i="4"/>
  <c r="L16" i="4"/>
  <c r="N21" i="13"/>
  <c r="O21" i="13"/>
  <c r="P21" i="13"/>
  <c r="L19" i="4"/>
  <c r="L51" i="4"/>
  <c r="L41" i="4"/>
  <c r="L26" i="4"/>
  <c r="L31" i="4"/>
  <c r="L17" i="4"/>
  <c r="O75" i="13"/>
  <c r="N75" i="13"/>
  <c r="L44" i="4"/>
  <c r="M15" i="4"/>
  <c r="I87" i="5"/>
  <c r="E87" i="5"/>
  <c r="F87" i="5"/>
  <c r="H87" i="5"/>
  <c r="G87" i="5"/>
  <c r="G55" i="5"/>
  <c r="I55" i="5"/>
  <c r="E55" i="5"/>
  <c r="F55" i="5"/>
  <c r="H55" i="5"/>
  <c r="G12" i="5"/>
  <c r="F12" i="5"/>
  <c r="I12" i="5"/>
  <c r="H12" i="5"/>
  <c r="E12" i="5"/>
  <c r="F51" i="5"/>
  <c r="E51" i="5"/>
  <c r="I51" i="5"/>
  <c r="G51" i="5"/>
  <c r="H51" i="5"/>
  <c r="E104" i="5"/>
  <c r="F104" i="5"/>
  <c r="H104" i="5"/>
  <c r="I104" i="5"/>
  <c r="G104" i="5"/>
  <c r="E85" i="5"/>
  <c r="H85" i="5"/>
  <c r="I85" i="5"/>
  <c r="F85" i="5"/>
  <c r="G85" i="5"/>
  <c r="I65" i="5"/>
  <c r="H65" i="5"/>
  <c r="F65" i="5"/>
  <c r="G65" i="5"/>
  <c r="E65" i="5"/>
  <c r="E43" i="5"/>
  <c r="H43" i="5"/>
  <c r="I43" i="5"/>
  <c r="G43" i="5"/>
  <c r="F43" i="5"/>
  <c r="H48" i="5"/>
  <c r="F48" i="5"/>
  <c r="I48" i="5"/>
  <c r="E48" i="5"/>
  <c r="G48" i="5"/>
  <c r="E62" i="5"/>
  <c r="F62" i="5"/>
  <c r="G62" i="5"/>
  <c r="H62" i="5"/>
  <c r="I62" i="5"/>
  <c r="G50" i="5"/>
  <c r="I50" i="5"/>
  <c r="E50" i="5"/>
  <c r="H50" i="5"/>
  <c r="F50" i="5"/>
  <c r="G72" i="5"/>
  <c r="I72" i="5"/>
  <c r="E72" i="5"/>
  <c r="F72" i="5"/>
  <c r="H72" i="5"/>
  <c r="I39" i="5"/>
  <c r="F39" i="5"/>
  <c r="G39" i="5"/>
  <c r="E39" i="5"/>
  <c r="H39" i="5"/>
  <c r="E4" i="5"/>
  <c r="I4" i="5"/>
  <c r="G4" i="5"/>
  <c r="H4" i="5"/>
  <c r="F4" i="5"/>
  <c r="G94" i="5"/>
  <c r="E94" i="5"/>
  <c r="I94" i="5"/>
  <c r="H94" i="5"/>
  <c r="F94" i="5"/>
  <c r="M48" i="4"/>
  <c r="M22" i="4"/>
  <c r="M16" i="4"/>
  <c r="P24" i="13"/>
  <c r="O24" i="13"/>
  <c r="N24" i="13"/>
  <c r="M19" i="4"/>
  <c r="M51" i="4"/>
  <c r="M41" i="4"/>
  <c r="M26" i="4"/>
  <c r="M31" i="4"/>
  <c r="M17" i="4"/>
  <c r="N74" i="13"/>
  <c r="O74" i="13"/>
  <c r="M44" i="4"/>
  <c r="L15" i="4"/>
  <c r="I24" i="5"/>
  <c r="F24" i="5"/>
  <c r="H24" i="5"/>
  <c r="G24" i="5"/>
  <c r="E24" i="5"/>
  <c r="F116" i="5"/>
  <c r="G116" i="5"/>
  <c r="I116" i="5"/>
  <c r="H116" i="5"/>
  <c r="E116" i="5"/>
  <c r="E6" i="5"/>
  <c r="I6" i="5"/>
  <c r="F6" i="5"/>
  <c r="H6" i="5"/>
  <c r="G6" i="5"/>
  <c r="H101" i="5"/>
  <c r="F101" i="5"/>
  <c r="I101" i="5"/>
  <c r="E101" i="5"/>
  <c r="G101" i="5"/>
  <c r="F118" i="5"/>
  <c r="H118" i="5"/>
  <c r="I118" i="5"/>
  <c r="G118" i="5"/>
  <c r="E118" i="5"/>
  <c r="G42" i="5"/>
  <c r="E42" i="5"/>
  <c r="F42" i="5"/>
  <c r="H42" i="5"/>
  <c r="I42" i="5"/>
  <c r="F117" i="5"/>
  <c r="H117" i="5"/>
  <c r="I117" i="5"/>
  <c r="E117" i="5"/>
  <c r="G117" i="5"/>
  <c r="F96" i="5"/>
  <c r="E96" i="5"/>
  <c r="I96" i="5"/>
  <c r="G96" i="5"/>
  <c r="H96" i="5"/>
  <c r="E28" i="5"/>
  <c r="H28" i="5"/>
  <c r="I28" i="5"/>
  <c r="F28" i="5"/>
  <c r="G28" i="5"/>
  <c r="E122" i="5"/>
  <c r="I122" i="5"/>
  <c r="H122" i="5"/>
  <c r="G122" i="5"/>
  <c r="F122" i="5"/>
  <c r="G120" i="5"/>
  <c r="I120" i="5"/>
  <c r="E120" i="5"/>
  <c r="H120" i="5"/>
  <c r="F120" i="5"/>
  <c r="F58" i="5"/>
  <c r="H58" i="5"/>
  <c r="G58" i="5"/>
  <c r="I58" i="5"/>
  <c r="E58" i="5"/>
  <c r="F75" i="5"/>
  <c r="H75" i="5"/>
  <c r="E75" i="5"/>
  <c r="I75" i="5"/>
  <c r="G75" i="5"/>
  <c r="G45" i="5"/>
  <c r="H45" i="5"/>
  <c r="E45" i="5"/>
  <c r="I45" i="5"/>
  <c r="F45" i="5"/>
  <c r="G71" i="5"/>
  <c r="E71" i="5"/>
  <c r="I71" i="5"/>
  <c r="H71" i="5"/>
  <c r="F71" i="5"/>
  <c r="L20" i="4"/>
  <c r="L52" i="4"/>
  <c r="L28" i="4"/>
  <c r="L56" i="4"/>
  <c r="L43" i="4"/>
  <c r="L35" i="4"/>
  <c r="L18" i="4"/>
  <c r="L40" i="4"/>
  <c r="L23" i="4"/>
  <c r="M37" i="4"/>
  <c r="M45" i="4"/>
  <c r="I97" i="5"/>
  <c r="E97" i="5"/>
  <c r="H97" i="5"/>
  <c r="F97" i="5"/>
  <c r="G97" i="5"/>
  <c r="F26" i="5"/>
  <c r="H26" i="5"/>
  <c r="I26" i="5"/>
  <c r="E26" i="5"/>
  <c r="G26" i="5"/>
  <c r="G29" i="5"/>
  <c r="F29" i="5"/>
  <c r="E29" i="5"/>
  <c r="I29" i="5"/>
  <c r="H29" i="5"/>
  <c r="E11" i="5"/>
  <c r="I11" i="5"/>
  <c r="G11" i="5"/>
  <c r="H11" i="5"/>
  <c r="F11" i="5"/>
  <c r="I89" i="5"/>
  <c r="E89" i="5"/>
  <c r="F89" i="5"/>
  <c r="H89" i="5"/>
  <c r="G89" i="5"/>
  <c r="I22" i="5"/>
  <c r="H22" i="5"/>
  <c r="F22" i="5"/>
  <c r="G22" i="5"/>
  <c r="E22" i="5"/>
  <c r="I86" i="5"/>
  <c r="H86" i="5"/>
  <c r="E86" i="5"/>
  <c r="F86" i="5"/>
  <c r="G86" i="5"/>
  <c r="F105" i="5"/>
  <c r="I105" i="5"/>
  <c r="H105" i="5"/>
  <c r="G105" i="5"/>
  <c r="E105" i="5"/>
  <c r="I41" i="5"/>
  <c r="H41" i="5"/>
  <c r="F41" i="5"/>
  <c r="G41" i="5"/>
  <c r="E41" i="5"/>
  <c r="H10" i="5"/>
  <c r="E10" i="5"/>
  <c r="F10" i="5"/>
  <c r="I10" i="5"/>
  <c r="G10" i="5"/>
  <c r="I93" i="5"/>
  <c r="F93" i="5"/>
  <c r="G93" i="5"/>
  <c r="H93" i="5"/>
  <c r="E93" i="5"/>
  <c r="E90" i="5"/>
  <c r="H90" i="5"/>
  <c r="G90" i="5"/>
  <c r="F90" i="5"/>
  <c r="I90" i="5"/>
  <c r="H77" i="5"/>
  <c r="E77" i="5"/>
  <c r="G77" i="5"/>
  <c r="I77" i="5"/>
  <c r="F77" i="5"/>
  <c r="H59" i="5"/>
  <c r="E59" i="5"/>
  <c r="I59" i="5"/>
  <c r="F59" i="5"/>
  <c r="G59" i="5"/>
  <c r="I124" i="5"/>
  <c r="H124" i="5"/>
  <c r="E124" i="5"/>
  <c r="G124" i="5"/>
  <c r="F124" i="5"/>
  <c r="F98" i="5"/>
  <c r="E98" i="5"/>
  <c r="G98" i="5"/>
  <c r="H98" i="5"/>
  <c r="I98" i="5"/>
  <c r="M20" i="4"/>
  <c r="M52" i="4"/>
  <c r="M28" i="4"/>
  <c r="M56" i="4"/>
  <c r="M43" i="4"/>
  <c r="M35" i="4"/>
  <c r="M18" i="4"/>
  <c r="M40" i="4"/>
  <c r="M23" i="4"/>
  <c r="L37" i="4"/>
  <c r="L45" i="4"/>
  <c r="F33" i="5"/>
  <c r="G33" i="5"/>
  <c r="H33" i="5"/>
  <c r="I33" i="5"/>
  <c r="E33" i="5"/>
  <c r="I27" i="5"/>
  <c r="H27" i="5"/>
  <c r="F27" i="5"/>
  <c r="G27" i="5"/>
  <c r="E27" i="5"/>
  <c r="E100" i="5"/>
  <c r="H100" i="5"/>
  <c r="F100" i="5"/>
  <c r="I100" i="5"/>
  <c r="G100" i="5"/>
  <c r="I74" i="5"/>
  <c r="E74" i="5"/>
  <c r="F74" i="5"/>
  <c r="G74" i="5"/>
  <c r="H74" i="5"/>
  <c r="F81" i="5"/>
  <c r="I81" i="5"/>
  <c r="E81" i="5"/>
  <c r="H81" i="5"/>
  <c r="G81" i="5"/>
  <c r="H73" i="5"/>
  <c r="G73" i="5"/>
  <c r="F73" i="5"/>
  <c r="I73" i="5"/>
  <c r="E73" i="5"/>
  <c r="I110" i="5"/>
  <c r="E110" i="5"/>
  <c r="H110" i="5"/>
  <c r="G110" i="5"/>
  <c r="F110" i="5"/>
  <c r="I106" i="5"/>
  <c r="H106" i="5"/>
  <c r="E106" i="5"/>
  <c r="G106" i="5"/>
  <c r="F106" i="5"/>
  <c r="G17" i="5"/>
  <c r="I17" i="5"/>
  <c r="H17" i="5"/>
  <c r="E17" i="5"/>
  <c r="F17" i="5"/>
  <c r="G5" i="5"/>
  <c r="H5" i="5"/>
  <c r="F5" i="5"/>
  <c r="I5" i="5"/>
  <c r="E5" i="5"/>
  <c r="I7" i="5"/>
  <c r="F7" i="5"/>
  <c r="E7" i="5"/>
  <c r="H7" i="5"/>
  <c r="G7" i="5"/>
  <c r="H38" i="5"/>
  <c r="G38" i="5"/>
  <c r="I38" i="5"/>
  <c r="E38" i="5"/>
  <c r="F38" i="5"/>
  <c r="E61" i="5"/>
  <c r="G61" i="5"/>
  <c r="F61" i="5"/>
  <c r="I61" i="5"/>
  <c r="H61" i="5"/>
  <c r="G44" i="5"/>
  <c r="E44" i="5"/>
  <c r="I44" i="5"/>
  <c r="H44" i="5"/>
  <c r="F44" i="5"/>
  <c r="G125" i="5"/>
  <c r="E125" i="5"/>
  <c r="I125" i="5"/>
  <c r="F125" i="5"/>
  <c r="H125" i="5"/>
  <c r="F107" i="5"/>
  <c r="I107" i="5"/>
  <c r="E107" i="5"/>
  <c r="G107" i="5"/>
  <c r="H107" i="5"/>
  <c r="L55" i="4"/>
  <c r="L47" i="4"/>
  <c r="M27" i="13" s="1" a="1"/>
  <c r="R74" i="13" l="1"/>
  <c r="R75" i="13"/>
  <c r="R78" i="13"/>
  <c r="R77" i="13"/>
  <c r="R73" i="13"/>
  <c r="R76" i="13"/>
  <c r="M45" i="13"/>
  <c r="M33" i="13"/>
  <c r="M57" i="13"/>
  <c r="M53" i="13"/>
  <c r="M60" i="13"/>
  <c r="M49" i="13"/>
  <c r="M28" i="13"/>
  <c r="M56" i="13"/>
  <c r="M36" i="13"/>
  <c r="M47" i="13"/>
  <c r="M44" i="13"/>
  <c r="M35" i="13"/>
  <c r="M43" i="13"/>
  <c r="M31" i="13"/>
  <c r="M46" i="13"/>
  <c r="M38" i="13"/>
  <c r="M50" i="13"/>
  <c r="M52" i="13"/>
  <c r="M37" i="13"/>
  <c r="M41" i="13"/>
  <c r="M32" i="13"/>
  <c r="M42" i="13"/>
  <c r="M54" i="13"/>
  <c r="M59" i="13"/>
  <c r="M40" i="13"/>
  <c r="M27" i="13"/>
  <c r="M58" i="13"/>
  <c r="M55" i="13"/>
  <c r="M30" i="13"/>
  <c r="M48" i="13"/>
  <c r="M39" i="13"/>
  <c r="M51" i="13"/>
  <c r="M29" i="13"/>
  <c r="M34" i="13"/>
  <c r="N45" i="13"/>
  <c r="O50" i="13"/>
  <c r="N52" i="13"/>
  <c r="N58" i="13"/>
  <c r="N41" i="13"/>
  <c r="P42" i="13"/>
  <c r="N56" i="13"/>
  <c r="P47" i="13"/>
  <c r="P35" i="13"/>
  <c r="O31" i="13"/>
  <c r="N59" i="13"/>
  <c r="N49" i="13"/>
  <c r="O38" i="13"/>
  <c r="O45" i="13"/>
  <c r="N40" i="13"/>
  <c r="O52" i="13"/>
  <c r="O58" i="13"/>
  <c r="N43" i="13"/>
  <c r="N42" i="13"/>
  <c r="P56" i="13"/>
  <c r="N27" i="13"/>
  <c r="N35" i="13"/>
  <c r="N31" i="13"/>
  <c r="P57" i="13"/>
  <c r="O49" i="13"/>
  <c r="N38" i="13"/>
  <c r="S78" i="13"/>
  <c r="P45" i="13"/>
  <c r="O40" i="13"/>
  <c r="P34" i="13"/>
  <c r="P58" i="13"/>
  <c r="P43" i="13"/>
  <c r="N46" i="13"/>
  <c r="O56" i="13"/>
  <c r="P27" i="13"/>
  <c r="N55" i="13"/>
  <c r="P31" i="13"/>
  <c r="N57" i="13"/>
  <c r="O48" i="13"/>
  <c r="P38" i="13"/>
  <c r="S77" i="13"/>
  <c r="N36" i="13"/>
  <c r="P40" i="13"/>
  <c r="O34" i="13"/>
  <c r="O53" i="13"/>
  <c r="O43" i="13"/>
  <c r="P46" i="13"/>
  <c r="N33" i="13"/>
  <c r="O27" i="13"/>
  <c r="P55" i="13"/>
  <c r="P28" i="13"/>
  <c r="O57" i="13"/>
  <c r="N48" i="13"/>
  <c r="O51" i="13"/>
  <c r="P36" i="13"/>
  <c r="N29" i="13"/>
  <c r="N34" i="13"/>
  <c r="P53" i="13"/>
  <c r="N32" i="13"/>
  <c r="O46" i="13"/>
  <c r="O33" i="13"/>
  <c r="N44" i="13"/>
  <c r="O55" i="13"/>
  <c r="N28" i="13"/>
  <c r="N60" i="13"/>
  <c r="P48" i="13"/>
  <c r="P51" i="13"/>
  <c r="S76" i="13"/>
  <c r="O36" i="13"/>
  <c r="O29" i="13"/>
  <c r="N53" i="13"/>
  <c r="P32" i="13"/>
  <c r="N39" i="13"/>
  <c r="P33" i="13"/>
  <c r="O44" i="13"/>
  <c r="N30" i="13"/>
  <c r="O28" i="13"/>
  <c r="O60" i="13"/>
  <c r="P54" i="13"/>
  <c r="N51" i="13"/>
  <c r="P50" i="13"/>
  <c r="O37" i="13"/>
  <c r="P41" i="13"/>
  <c r="P39" i="13"/>
  <c r="P44" i="13"/>
  <c r="P60" i="13"/>
  <c r="P52" i="13"/>
  <c r="O42" i="13"/>
  <c r="O35" i="13"/>
  <c r="O59" i="13"/>
  <c r="P49" i="13"/>
  <c r="P37" i="13"/>
  <c r="P29" i="13"/>
  <c r="O32" i="13"/>
  <c r="N47" i="13"/>
  <c r="O30" i="13"/>
  <c r="P59" i="13"/>
  <c r="O54" i="13"/>
  <c r="N50" i="13"/>
  <c r="N37" i="13"/>
  <c r="O41" i="13"/>
  <c r="O39" i="13"/>
  <c r="O47" i="13"/>
  <c r="P30" i="13"/>
  <c r="N54" i="13"/>
  <c r="Q51" i="13" l="1"/>
  <c r="Q38" i="13"/>
  <c r="Q54" i="13"/>
  <c r="Q48" i="13"/>
  <c r="Q49" i="13"/>
  <c r="Q60" i="13"/>
  <c r="Q57" i="13"/>
  <c r="Q59" i="13"/>
  <c r="Q28" i="13"/>
  <c r="Q31" i="13"/>
  <c r="Q30" i="13"/>
  <c r="Q55" i="13"/>
  <c r="Q35" i="13"/>
  <c r="Q44" i="13"/>
  <c r="Q27" i="13"/>
  <c r="Q47" i="13"/>
  <c r="Q33" i="13"/>
  <c r="Q56" i="13"/>
  <c r="Q39" i="13"/>
  <c r="Q46" i="13"/>
  <c r="Q42" i="13"/>
  <c r="Q32" i="13"/>
  <c r="Q43" i="13"/>
  <c r="Q41" i="13"/>
  <c r="Q53" i="13"/>
  <c r="Q58" i="13"/>
  <c r="Q37" i="13"/>
  <c r="Q34" i="13"/>
  <c r="Q52" i="13"/>
  <c r="Q29" i="13"/>
  <c r="Q40" i="13"/>
  <c r="Q50" i="13"/>
  <c r="Q36" i="13"/>
  <c r="Q45" i="13"/>
  <c r="T77" i="13"/>
  <c r="T78" i="13"/>
  <c r="T76" i="13"/>
  <c r="M63" i="13" a="1"/>
  <c r="C28" i="6"/>
  <c r="M64" i="13" l="1"/>
  <c r="M69" i="13"/>
  <c r="M66" i="13"/>
  <c r="M67" i="13"/>
  <c r="M70" i="13"/>
  <c r="M63" i="13"/>
  <c r="M65" i="13"/>
  <c r="M68" i="13"/>
  <c r="O64" i="13"/>
  <c r="P64" i="13"/>
  <c r="N64" i="13"/>
  <c r="N69" i="13"/>
  <c r="P69" i="13"/>
  <c r="O69" i="13"/>
  <c r="O66" i="13"/>
  <c r="P66" i="13"/>
  <c r="N66" i="13"/>
  <c r="P67" i="13"/>
  <c r="O67" i="13"/>
  <c r="N67" i="13"/>
  <c r="O70" i="13"/>
  <c r="N70" i="13"/>
  <c r="P70" i="13"/>
  <c r="P63" i="13"/>
  <c r="N63" i="13"/>
  <c r="O63" i="13"/>
  <c r="P65" i="13"/>
  <c r="N65" i="13"/>
  <c r="O65" i="13"/>
  <c r="N68" i="13"/>
  <c r="P68" i="13"/>
  <c r="O68" i="13"/>
  <c r="D14" i="6" l="1"/>
  <c r="P73" i="13"/>
  <c r="P75" i="13"/>
  <c r="P77" i="13"/>
  <c r="AB17" i="13"/>
  <c r="AB19" i="13" a="1"/>
  <c r="J1" i="5" a="1"/>
  <c r="P74" i="13"/>
  <c r="C27" i="6"/>
  <c r="J23" i="13"/>
  <c r="P76" i="13"/>
  <c r="D15" i="6"/>
  <c r="V25" i="13"/>
  <c r="AA17" i="13"/>
  <c r="S23" i="13"/>
  <c r="T23" i="13"/>
  <c r="S24" i="13"/>
  <c r="S22" i="13"/>
  <c r="T22" i="13"/>
  <c r="AA19" i="13" a="1"/>
  <c r="S20" i="13"/>
  <c r="T20" i="13"/>
  <c r="S19" i="13"/>
  <c r="S21" i="13"/>
  <c r="T21" i="13"/>
  <c r="P78" i="13"/>
  <c r="T19" i="13"/>
  <c r="T24" i="13"/>
  <c r="D30" i="6"/>
  <c r="U24" i="13"/>
  <c r="AA2579" i="13"/>
  <c r="AA2730" i="13"/>
  <c r="AA2347" i="13"/>
  <c r="AA2286" i="13"/>
  <c r="AA3161" i="13"/>
  <c r="AA2957" i="13"/>
  <c r="AA981" i="13"/>
  <c r="AA1715" i="13"/>
  <c r="AA3463" i="13"/>
  <c r="AA990" i="13"/>
  <c r="AA2278" i="13"/>
  <c r="AA2534" i="13"/>
  <c r="AA1093" i="13"/>
  <c r="AA1220" i="13"/>
  <c r="AA2309" i="13"/>
  <c r="AA2998" i="13"/>
  <c r="AA750" i="13"/>
  <c r="AA919" i="13"/>
  <c r="AA770" i="13"/>
  <c r="AA974" i="13"/>
  <c r="AA3001" i="13"/>
  <c r="AA2598" i="13"/>
  <c r="AA1030" i="13"/>
  <c r="AA2436" i="13"/>
  <c r="AA406" i="13"/>
  <c r="AA3465" i="13"/>
  <c r="AA2346" i="13"/>
  <c r="AA1563" i="13"/>
  <c r="AA1244" i="13"/>
  <c r="AA2308" i="13"/>
  <c r="AA1373" i="13"/>
  <c r="AA3379" i="13"/>
  <c r="AA1678" i="13"/>
  <c r="AA698" i="13"/>
  <c r="AA2542" i="13"/>
  <c r="AA663" i="13"/>
  <c r="AA646" i="13"/>
  <c r="AA825" i="13"/>
  <c r="AA1303" i="13"/>
  <c r="AA2995" i="13"/>
  <c r="AA3116" i="13"/>
  <c r="AA1316" i="13"/>
  <c r="AA977" i="13"/>
  <c r="AA3416" i="13"/>
  <c r="AA107" i="13"/>
  <c r="AA2741" i="13"/>
  <c r="AA3238" i="13"/>
  <c r="AA2473" i="13"/>
  <c r="AA2492" i="13"/>
  <c r="AA1131" i="13"/>
  <c r="AA1296" i="13"/>
  <c r="AA2157" i="13"/>
  <c r="AA1791" i="13"/>
  <c r="AA725" i="13"/>
  <c r="AA630" i="13"/>
  <c r="AA1821" i="13"/>
  <c r="AA2942" i="13"/>
  <c r="AA1934" i="13"/>
  <c r="AA1228" i="13"/>
  <c r="AA3394" i="13"/>
  <c r="AA166" i="13"/>
  <c r="AA1036" i="13"/>
  <c r="AA2310" i="13"/>
  <c r="AA3191" i="13"/>
  <c r="AA657" i="13"/>
  <c r="AA523" i="13"/>
  <c r="AA2838" i="13"/>
  <c r="AA1478" i="13"/>
  <c r="AA1538" i="13"/>
  <c r="AA1266" i="13"/>
  <c r="AA2129" i="13"/>
  <c r="AA2188" i="13"/>
  <c r="AA1262" i="13"/>
  <c r="AA2951" i="13"/>
  <c r="AA833" i="13"/>
  <c r="AA2377" i="13"/>
  <c r="AA650" i="13"/>
  <c r="AA3184" i="13"/>
  <c r="AA2808" i="13"/>
  <c r="AA1351" i="13"/>
  <c r="AA1422" i="13"/>
  <c r="AA2937" i="13"/>
  <c r="AA337" i="13"/>
  <c r="AA1068" i="13"/>
  <c r="AA2442" i="13"/>
  <c r="AA794" i="13"/>
  <c r="AA2532" i="13"/>
  <c r="AA53" i="13"/>
  <c r="AA2566" i="13"/>
  <c r="AA2297" i="13"/>
  <c r="AA1736" i="13"/>
  <c r="AA3317" i="13"/>
  <c r="AA2935" i="13"/>
  <c r="AA1805" i="13"/>
  <c r="AA238" i="13"/>
  <c r="AA2923" i="13"/>
  <c r="AA2122" i="13"/>
  <c r="AA2002" i="13"/>
  <c r="AA617" i="13"/>
  <c r="AA1258" i="13"/>
  <c r="AA305" i="13"/>
  <c r="AA1002" i="13"/>
  <c r="AA2084" i="13"/>
  <c r="AA2167" i="13"/>
  <c r="AA326" i="13"/>
  <c r="AA1125" i="13"/>
  <c r="AA52" i="13"/>
  <c r="AA131" i="13"/>
  <c r="AA1006" i="13"/>
  <c r="AA796" i="13"/>
  <c r="AA2313" i="13"/>
  <c r="AA47" i="13"/>
  <c r="AA1271" i="13"/>
  <c r="AA1781" i="13"/>
  <c r="AA3366" i="13"/>
  <c r="AA1750" i="13"/>
  <c r="AA369" i="13"/>
  <c r="AA1595" i="13"/>
  <c r="AA1163" i="13"/>
  <c r="AA3204" i="13"/>
  <c r="AA2772" i="13"/>
  <c r="AA1187" i="13"/>
  <c r="AA1569" i="13"/>
  <c r="AA1856" i="13"/>
  <c r="AA478" i="13"/>
  <c r="AA3125" i="13"/>
  <c r="AA2168" i="13"/>
  <c r="AA2171" i="13"/>
  <c r="AA2595" i="13"/>
  <c r="AA1247" i="13"/>
  <c r="AA2374" i="13"/>
  <c r="AA1287" i="13"/>
  <c r="AA1442" i="13"/>
  <c r="AA3016" i="13"/>
  <c r="AA649" i="13"/>
  <c r="AA208" i="13"/>
  <c r="AA1004" i="13"/>
  <c r="AA838" i="13"/>
  <c r="AA1021" i="13"/>
  <c r="AA2583" i="13"/>
  <c r="AA56" i="13"/>
  <c r="AA437" i="13"/>
  <c r="AA1800" i="13"/>
  <c r="AA1313" i="13"/>
  <c r="AA1847" i="13"/>
  <c r="AA2062" i="13"/>
  <c r="AA3403" i="13"/>
  <c r="AA563" i="13"/>
  <c r="AA2221" i="13"/>
  <c r="AA128" i="13"/>
  <c r="AA3402" i="13"/>
  <c r="AA1673" i="13"/>
  <c r="AA381" i="13"/>
  <c r="AA727" i="13"/>
  <c r="AA1089" i="13"/>
  <c r="AA1431" i="13"/>
  <c r="AA48" i="13"/>
  <c r="AA1926" i="13"/>
  <c r="AA832" i="13"/>
  <c r="AA1016" i="13"/>
  <c r="AA2172" i="13"/>
  <c r="AA922" i="13"/>
  <c r="AA3535" i="13"/>
  <c r="AA143" i="13"/>
  <c r="AA1477" i="13"/>
  <c r="AA411" i="13"/>
  <c r="AA1837" i="13"/>
  <c r="AA1772" i="13"/>
  <c r="AA3114" i="13"/>
  <c r="AA2546" i="13"/>
  <c r="AA2898" i="13"/>
  <c r="AA2050" i="13"/>
  <c r="AA934" i="13"/>
  <c r="AA3484" i="13"/>
  <c r="AA1924" i="13"/>
  <c r="AA664" i="13"/>
  <c r="AA717" i="13"/>
  <c r="AA1998" i="13"/>
  <c r="AA1361" i="13"/>
  <c r="AA1307" i="13"/>
  <c r="AA2580" i="13"/>
  <c r="AA1718" i="13"/>
  <c r="AA3438" i="13"/>
  <c r="AA1433" i="13"/>
  <c r="AA2892" i="13"/>
  <c r="AA1655" i="13"/>
  <c r="AA1062" i="13"/>
  <c r="AA2863" i="13"/>
  <c r="AA2982" i="13"/>
  <c r="AA1090" i="13"/>
  <c r="AA3127" i="13"/>
  <c r="AA626" i="13"/>
  <c r="AA1515" i="13"/>
  <c r="AA3305" i="13"/>
  <c r="AA341" i="13"/>
  <c r="AA2704" i="13"/>
  <c r="AA2531" i="13"/>
  <c r="AA3436" i="13"/>
  <c r="AA2764" i="13"/>
  <c r="AA2830" i="13"/>
  <c r="AA174" i="13"/>
  <c r="AA1337" i="13"/>
  <c r="AA873" i="13"/>
  <c r="AA2634" i="13"/>
  <c r="AA2132" i="13"/>
  <c r="AA1028" i="13"/>
  <c r="AA3190" i="13"/>
  <c r="AA2725" i="13"/>
  <c r="AA778" i="13"/>
  <c r="AA150" i="13"/>
  <c r="AA233" i="13"/>
  <c r="AA3411" i="13"/>
  <c r="AA3269" i="13"/>
  <c r="AA1916" i="13"/>
  <c r="AA72" i="13"/>
  <c r="AA1663" i="13"/>
  <c r="AA2125" i="13"/>
  <c r="AA1254" i="13"/>
  <c r="AA1165" i="13"/>
  <c r="AA774" i="13"/>
  <c r="AA1024" i="13"/>
  <c r="AA177" i="13"/>
  <c r="AA2663" i="13"/>
  <c r="AA797" i="13"/>
  <c r="AA1583" i="13"/>
  <c r="AA2558" i="13"/>
  <c r="AA1482" i="13"/>
  <c r="AA2692" i="13"/>
  <c r="AA1714" i="13"/>
  <c r="AA439" i="13"/>
  <c r="AA1641" i="13"/>
  <c r="AA2325" i="13"/>
  <c r="AA1544" i="13"/>
  <c r="AA1173" i="13"/>
  <c r="AA415" i="13"/>
  <c r="AA386" i="13"/>
  <c r="AA414" i="13"/>
  <c r="AA1620" i="13"/>
  <c r="AA1927" i="13"/>
  <c r="AA41" i="13"/>
  <c r="AA2230" i="13"/>
  <c r="AA2225" i="13"/>
  <c r="AA2821" i="13"/>
  <c r="AA2459" i="13"/>
  <c r="AA1840" i="13"/>
  <c r="AA2706" i="13"/>
  <c r="AA1382" i="13"/>
  <c r="AA2973" i="13"/>
  <c r="AA2902" i="13"/>
  <c r="AA1887" i="13"/>
  <c r="AA1695" i="13"/>
  <c r="AA3354" i="13"/>
  <c r="AA1352" i="13"/>
  <c r="AA674" i="13"/>
  <c r="AA3415" i="13"/>
  <c r="AA2607" i="13"/>
  <c r="AA2555" i="13"/>
  <c r="AA3422" i="13"/>
  <c r="AA2101" i="13"/>
  <c r="AA1479" i="13"/>
  <c r="AA2543" i="13"/>
  <c r="AA3155" i="13"/>
  <c r="AA1470" i="13"/>
  <c r="AA51" i="13"/>
  <c r="AA346" i="13"/>
  <c r="AA26" i="13"/>
  <c r="AA3106" i="13"/>
  <c r="AA3036" i="13"/>
  <c r="AA1814" i="13"/>
  <c r="AA1372" i="13"/>
  <c r="AA2908" i="13"/>
  <c r="AA1288" i="13"/>
  <c r="AA3166" i="13"/>
  <c r="AA1095" i="13"/>
  <c r="AA1152" i="13"/>
  <c r="AA2284" i="13"/>
  <c r="AA253" i="13"/>
  <c r="AA3120" i="13"/>
  <c r="AA1183" i="13"/>
  <c r="AA1653" i="13"/>
  <c r="AA3429" i="13"/>
  <c r="AA1987" i="13"/>
  <c r="AA700" i="13"/>
  <c r="AA1335" i="13"/>
  <c r="AA1694" i="13"/>
  <c r="AA1513" i="13"/>
  <c r="AA1720" i="13"/>
  <c r="AA705" i="13"/>
  <c r="AA587" i="13"/>
  <c r="AA278" i="13"/>
  <c r="AA1299" i="13"/>
  <c r="AA3223" i="13"/>
  <c r="AA3240" i="13"/>
  <c r="AA602" i="13"/>
  <c r="AA961" i="13"/>
  <c r="AA1727" i="13"/>
  <c r="AA1121" i="13"/>
  <c r="AA1280" i="13"/>
  <c r="AA423" i="13"/>
  <c r="AA2393" i="13"/>
  <c r="AA1123" i="13"/>
  <c r="AA2326" i="13"/>
  <c r="AA2036" i="13"/>
  <c r="AA3464" i="13"/>
  <c r="AA522" i="13"/>
  <c r="AA1556" i="13"/>
  <c r="AA3040" i="13"/>
  <c r="AA1273" i="13"/>
  <c r="AA3529" i="13"/>
  <c r="AA358" i="13"/>
  <c r="AA2496" i="13"/>
  <c r="AA3330" i="13"/>
  <c r="AA1610" i="13"/>
  <c r="AA2571" i="13"/>
  <c r="AA259" i="13"/>
  <c r="AA3230" i="13"/>
  <c r="AA535" i="13"/>
  <c r="AA1630" i="13"/>
  <c r="AA997" i="13"/>
  <c r="AA329" i="13"/>
  <c r="AA1730" i="13"/>
  <c r="AA1447" i="13"/>
  <c r="AA1063" i="13"/>
  <c r="AA30" i="13"/>
  <c r="AA1128" i="13"/>
  <c r="AA3532" i="13"/>
  <c r="AA1111" i="13"/>
  <c r="AA3216" i="13"/>
  <c r="AA2450" i="13"/>
  <c r="AA1215" i="13"/>
  <c r="AA2962" i="13"/>
  <c r="AA971" i="13"/>
  <c r="AA3375" i="13"/>
  <c r="AA1079" i="13"/>
  <c r="AA182" i="13"/>
  <c r="AA1568" i="13"/>
  <c r="AA1399" i="13"/>
  <c r="AA401" i="13"/>
  <c r="U21" i="13"/>
  <c r="AA1218" i="13"/>
  <c r="AA678" i="13"/>
  <c r="AA939" i="13"/>
  <c r="AA870" i="13"/>
  <c r="AA793" i="13"/>
  <c r="AA2128" i="13"/>
  <c r="AA3531" i="13"/>
  <c r="AA249" i="13"/>
  <c r="AA367" i="13"/>
  <c r="AA2017" i="13"/>
  <c r="AA1647" i="13"/>
  <c r="AA147" i="13"/>
  <c r="AA1704" i="13"/>
  <c r="AA229" i="13"/>
  <c r="AA151" i="13"/>
  <c r="AA1347" i="13"/>
  <c r="AA1854" i="13"/>
  <c r="AA3144" i="13"/>
  <c r="AA2829" i="13"/>
  <c r="AA1124" i="13"/>
  <c r="AA723" i="13"/>
  <c r="AA1436" i="13"/>
  <c r="AA2954" i="13"/>
  <c r="AA2319" i="13"/>
  <c r="AA2422" i="13"/>
  <c r="AA3545" i="13"/>
  <c r="AA3430" i="13"/>
  <c r="AA3270" i="13"/>
  <c r="AA3037" i="13"/>
  <c r="AA3340" i="13"/>
  <c r="AA3445" i="13"/>
  <c r="AA731" i="13"/>
  <c r="AA2747" i="13"/>
  <c r="AA687" i="13"/>
  <c r="AA896" i="13"/>
  <c r="AA730" i="13"/>
  <c r="AA3115" i="13"/>
  <c r="AA915" i="13"/>
  <c r="AA2666" i="13"/>
  <c r="AA1391" i="13"/>
  <c r="AA614" i="13"/>
  <c r="AA1539" i="13"/>
  <c r="AA2432" i="13"/>
  <c r="AA2446" i="13"/>
  <c r="AA2337" i="13"/>
  <c r="AA1930" i="13"/>
  <c r="AA2240" i="13"/>
  <c r="AA3541" i="13"/>
  <c r="AA712" i="13"/>
  <c r="AA2282" i="13"/>
  <c r="AA1369" i="13"/>
  <c r="AA2438" i="13"/>
  <c r="AA2965" i="13"/>
  <c r="AA1606" i="13"/>
  <c r="AA1877" i="13"/>
  <c r="AA1507" i="13"/>
  <c r="AA210" i="13"/>
  <c r="AA2373" i="13"/>
  <c r="AA1276" i="13"/>
  <c r="AA3231" i="13"/>
  <c r="AA670" i="13"/>
  <c r="AA1505" i="13"/>
  <c r="AA224" i="13"/>
  <c r="AA2096" i="13"/>
  <c r="AA2059" i="13"/>
  <c r="AA1598" i="13"/>
  <c r="AA1589" i="13"/>
  <c r="AA3289" i="13"/>
  <c r="AA2358" i="13"/>
  <c r="AA2192" i="13"/>
  <c r="AA605" i="13"/>
  <c r="AA1963" i="13"/>
  <c r="AA2515" i="13"/>
  <c r="AA830" i="13"/>
  <c r="AA3338" i="13"/>
  <c r="AA911" i="13"/>
  <c r="AA2756" i="13"/>
  <c r="AA1375" i="13"/>
  <c r="AA2416" i="13"/>
  <c r="AA2021" i="13"/>
  <c r="AA2261" i="13"/>
  <c r="AA1625" i="13"/>
  <c r="AA2426" i="13"/>
  <c r="AA1233" i="13"/>
  <c r="AA2837" i="13"/>
  <c r="AA1816" i="13"/>
  <c r="AA1751" i="13"/>
  <c r="AA2283" i="13"/>
  <c r="AA1707" i="13"/>
  <c r="AA2176" i="13"/>
  <c r="AA55" i="13"/>
  <c r="AA1202" i="13"/>
  <c r="AA3333" i="13"/>
  <c r="AA1231" i="13"/>
  <c r="AA2699" i="13"/>
  <c r="AA1549" i="13"/>
  <c r="AA2357" i="13"/>
  <c r="AA1590" i="13"/>
  <c r="AA3472" i="13"/>
  <c r="AA1238" i="13"/>
  <c r="AA910" i="13"/>
  <c r="AA175" i="13"/>
  <c r="AA2562" i="13"/>
  <c r="AA814" i="13"/>
  <c r="AA3374" i="13"/>
  <c r="AA526" i="13"/>
  <c r="AA2216" i="13"/>
  <c r="AA1735" i="13"/>
  <c r="AA1743" i="13"/>
  <c r="AA1737" i="13"/>
  <c r="AA2661" i="13"/>
  <c r="AA90" i="13"/>
  <c r="AA1820" i="13"/>
  <c r="AA2810" i="13"/>
  <c r="AA2738" i="13"/>
  <c r="AA1739" i="13"/>
  <c r="AA2818" i="13"/>
  <c r="AA764" i="13"/>
  <c r="AA1075" i="13"/>
  <c r="AA3023" i="13"/>
  <c r="AA3018" i="13"/>
  <c r="AA1446" i="13"/>
  <c r="AA3077" i="13"/>
  <c r="AA2613" i="13"/>
  <c r="AA317" i="13"/>
  <c r="AA3483" i="13"/>
  <c r="AA1788" i="13"/>
  <c r="AA2591" i="13"/>
  <c r="AA2140" i="13"/>
  <c r="AA3423" i="13"/>
  <c r="AA3380" i="13"/>
  <c r="AA345" i="13"/>
  <c r="AA1613" i="13"/>
  <c r="AA314" i="13"/>
  <c r="AA2362" i="13"/>
  <c r="AA2556" i="13"/>
  <c r="AA1162" i="13"/>
  <c r="AA395" i="13"/>
  <c r="AA3462" i="13"/>
  <c r="AA2383" i="13"/>
  <c r="AA2163" i="13"/>
  <c r="AA951" i="13"/>
  <c r="AA61" i="13"/>
  <c r="AA899" i="13"/>
  <c r="AA3013" i="13"/>
  <c r="AA1000" i="13"/>
  <c r="AA3441" i="13"/>
  <c r="AA1632" i="13"/>
  <c r="AA909" i="13"/>
  <c r="AA1418" i="13"/>
  <c r="AA117" i="13"/>
  <c r="AA351" i="13"/>
  <c r="AA562" i="13"/>
  <c r="AA637" i="13"/>
  <c r="AA847" i="13"/>
  <c r="AA2237" i="13"/>
  <c r="AA193" i="13"/>
  <c r="AA3049" i="13"/>
  <c r="AA1807" i="13"/>
  <c r="AA606" i="13"/>
  <c r="AA3519" i="13"/>
  <c r="AA553" i="13"/>
  <c r="AA2815" i="13"/>
  <c r="AA2134" i="13"/>
  <c r="AA1898" i="13"/>
  <c r="AA2270" i="13"/>
  <c r="AA2679" i="13"/>
  <c r="AA2674" i="13"/>
  <c r="AA3280" i="13"/>
  <c r="AA2693" i="13"/>
  <c r="AA1702" i="13"/>
  <c r="AA1416" i="13"/>
  <c r="AA347" i="13"/>
  <c r="AA388" i="13"/>
  <c r="AA3081" i="13"/>
  <c r="AA1185" i="13"/>
  <c r="AA2948" i="13"/>
  <c r="AA1838" i="13"/>
  <c r="AA488" i="13"/>
  <c r="AA2363" i="13"/>
  <c r="AA690" i="13"/>
  <c r="AA3369" i="13"/>
  <c r="AA2020" i="13"/>
  <c r="AA2732" i="13"/>
  <c r="AA110" i="13"/>
  <c r="AA2113" i="13"/>
  <c r="AA2582" i="13"/>
  <c r="AA1842" i="13"/>
  <c r="AA799" i="13"/>
  <c r="AA1195" i="13"/>
  <c r="AA2836" i="13"/>
  <c r="AA747" i="13"/>
  <c r="AA2586" i="13"/>
  <c r="AA112" i="13"/>
  <c r="AA1756" i="13"/>
  <c r="AA3038" i="13"/>
  <c r="AA3131" i="13"/>
  <c r="AA2012" i="13"/>
  <c r="AA2668" i="13"/>
  <c r="AA2985" i="13"/>
  <c r="AA1902" i="13"/>
  <c r="AA2735" i="13"/>
  <c r="AA202" i="13"/>
  <c r="AA635" i="13"/>
  <c r="AA1367" i="13"/>
  <c r="AA2200" i="13"/>
  <c r="AA2124" i="13"/>
  <c r="AA1793" i="13"/>
  <c r="AA1272" i="13"/>
  <c r="AA831" i="13"/>
  <c r="AA1423" i="13"/>
  <c r="AA139" i="13"/>
  <c r="AA3065" i="13"/>
  <c r="AA136" i="13"/>
  <c r="AA2451" i="13"/>
  <c r="AA2972" i="13"/>
  <c r="AA703" i="13"/>
  <c r="AA987" i="13"/>
  <c r="AA3326" i="13"/>
  <c r="AA1940" i="13"/>
  <c r="AA3044" i="13"/>
  <c r="AA271" i="13"/>
  <c r="AA2650" i="13"/>
  <c r="AA1193" i="13"/>
  <c r="AA2268" i="13"/>
  <c r="AA1040" i="13"/>
  <c r="AA1592" i="13"/>
  <c r="AA338" i="13"/>
  <c r="AA3396" i="13"/>
  <c r="AA452" i="13"/>
  <c r="AA653" i="13"/>
  <c r="AA3332" i="13"/>
  <c r="AA3033" i="13"/>
  <c r="AA3130" i="13"/>
  <c r="AA999" i="13"/>
  <c r="AA1328" i="13"/>
  <c r="AA3071" i="13"/>
  <c r="AA2968" i="13"/>
  <c r="AA1946" i="13"/>
  <c r="AA1514" i="13"/>
  <c r="AA77" i="13"/>
  <c r="AA2349" i="13"/>
  <c r="AA1744" i="13"/>
  <c r="AA3501" i="13"/>
  <c r="AA595" i="13"/>
  <c r="AA2063" i="13"/>
  <c r="AA87" i="13"/>
  <c r="AA2765" i="13"/>
  <c r="AA933" i="13"/>
  <c r="AA2691" i="13"/>
  <c r="AA330" i="13"/>
  <c r="AA189" i="13"/>
  <c r="AA37" i="13"/>
  <c r="AA641" i="13"/>
  <c r="AA1248" i="13"/>
  <c r="AA1376" i="13"/>
  <c r="AA2399" i="13"/>
  <c r="AA1677" i="13"/>
  <c r="AA3461" i="13"/>
  <c r="AA1975" i="13"/>
  <c r="AA677" i="13"/>
  <c r="AA3003" i="13"/>
  <c r="AA187" i="13"/>
  <c r="AA2498" i="13"/>
  <c r="AA1053" i="13"/>
  <c r="AA2969" i="13"/>
  <c r="AA3139" i="13"/>
  <c r="AA132" i="13"/>
  <c r="AA142" i="13"/>
  <c r="AA575" i="13"/>
  <c r="AA1056" i="13"/>
  <c r="AA3432" i="13"/>
  <c r="AA2514" i="13"/>
  <c r="AA455" i="13"/>
  <c r="AA2088" i="13"/>
  <c r="AA2254" i="13"/>
  <c r="AA1657" i="13"/>
  <c r="AA3439" i="13"/>
  <c r="AA3180" i="13"/>
  <c r="AA3404" i="13"/>
  <c r="AA2529" i="13"/>
  <c r="AA1409" i="13"/>
  <c r="AA3506" i="13"/>
  <c r="AA844" i="13"/>
  <c r="AA836" i="13"/>
  <c r="AA1878" i="13"/>
  <c r="AA1525" i="13"/>
  <c r="AA2201" i="13"/>
  <c r="AA3281" i="13"/>
  <c r="AA2617" i="13"/>
  <c r="AA807" i="13"/>
  <c r="AA180" i="13"/>
  <c r="AA1213" i="13"/>
  <c r="AA2018" i="13"/>
  <c r="AA3183" i="13"/>
  <c r="AA1115" i="13"/>
  <c r="AA1935" i="13"/>
  <c r="AA1340" i="13"/>
  <c r="AA3524" i="13"/>
  <c r="AA1826" i="13"/>
  <c r="AA560" i="13"/>
  <c r="AA3165" i="13"/>
  <c r="AA898" i="13"/>
  <c r="AA471" i="13"/>
  <c r="AA160" i="13"/>
  <c r="AA2152" i="13"/>
  <c r="AA1368" i="13"/>
  <c r="AA1103" i="13"/>
  <c r="AA696" i="13"/>
  <c r="AA468" i="13"/>
  <c r="AA1864" i="13"/>
  <c r="AA1259" i="13"/>
  <c r="AA154" i="13"/>
  <c r="AA1395" i="13"/>
  <c r="AA2460" i="13"/>
  <c r="AA3258" i="13"/>
  <c r="AA1619" i="13"/>
  <c r="AA2231" i="13"/>
  <c r="AA810" i="13"/>
  <c r="AA1356" i="13"/>
  <c r="AA2327" i="13"/>
  <c r="AA1461" i="13"/>
  <c r="AA2676" i="13"/>
  <c r="AA3290" i="13"/>
  <c r="AA1037" i="13"/>
  <c r="AA254" i="13"/>
  <c r="AA1615" i="13"/>
  <c r="AA511" i="13"/>
  <c r="AA524" i="13"/>
  <c r="AA2911" i="13"/>
  <c r="AA3448" i="13"/>
  <c r="AA265" i="13"/>
  <c r="AA1484" i="13"/>
  <c r="AA3473" i="13"/>
  <c r="AA1943" i="13"/>
  <c r="AA2724" i="13"/>
  <c r="AA129" i="13"/>
  <c r="AA244" i="13"/>
  <c r="U23" i="13"/>
  <c r="AA2409" i="13"/>
  <c r="AA2350" i="13"/>
  <c r="AA3156" i="13"/>
  <c r="AA2806" i="13"/>
  <c r="AA2440" i="13"/>
  <c r="AA952" i="13"/>
  <c r="AA1459" i="13"/>
  <c r="AA3490" i="13"/>
  <c r="AA3425" i="13"/>
  <c r="AA479" i="13"/>
  <c r="AA3455" i="13"/>
  <c r="AA541" i="13"/>
  <c r="AA1427" i="13"/>
  <c r="AA3476" i="13"/>
  <c r="AA3178" i="13"/>
  <c r="AA1029" i="13"/>
  <c r="AA616" i="13"/>
  <c r="AA1003" i="13"/>
  <c r="AA1732" i="13"/>
  <c r="AA2731" i="13"/>
  <c r="AA2142" i="13"/>
  <c r="AA248" i="13"/>
  <c r="AA1519" i="13"/>
  <c r="AA1543" i="13"/>
  <c r="AA2371" i="13"/>
  <c r="AA68" i="13"/>
  <c r="AA3060" i="13"/>
  <c r="AA2165" i="13"/>
  <c r="AA3257" i="13"/>
  <c r="AA487" i="13"/>
  <c r="AA1379" i="13"/>
  <c r="AA2030" i="13"/>
  <c r="AA3276" i="13"/>
  <c r="AA2743" i="13"/>
  <c r="AA3111" i="13"/>
  <c r="AA2271" i="13"/>
  <c r="AA2334" i="13"/>
  <c r="AA1609" i="13"/>
  <c r="AA2056" i="13"/>
  <c r="AA2229" i="13"/>
  <c r="AA1875" i="13"/>
  <c r="AA1950" i="13"/>
  <c r="AA1905" i="13"/>
  <c r="AA86" i="13"/>
  <c r="AA1283" i="13"/>
  <c r="AA2103" i="13"/>
  <c r="AA1432" i="13"/>
  <c r="AA227" i="13"/>
  <c r="AA1403" i="13"/>
  <c r="AA762" i="13"/>
  <c r="AA537" i="13"/>
  <c r="AA927" i="13"/>
  <c r="AA579" i="13"/>
  <c r="AA494" i="13"/>
  <c r="AA312" i="13"/>
  <c r="AA3029" i="13"/>
  <c r="AA819" i="13"/>
  <c r="AA3550" i="13"/>
  <c r="AA3157" i="13"/>
  <c r="AA159" i="13"/>
  <c r="AA44" i="13"/>
  <c r="AA2420" i="13"/>
  <c r="AA3466" i="13"/>
  <c r="AA1105" i="13"/>
  <c r="AA2871" i="13"/>
  <c r="AA2013" i="13"/>
  <c r="AA2495" i="13"/>
  <c r="AA1086" i="13"/>
  <c r="AA2541" i="13"/>
  <c r="AA3031" i="13"/>
  <c r="AA1920" i="13"/>
  <c r="AA422" i="13"/>
  <c r="AA728" i="13"/>
  <c r="AA891" i="13"/>
  <c r="AA2862" i="13"/>
  <c r="AA1644" i="13"/>
  <c r="AA710" i="13"/>
  <c r="AA947" i="13"/>
  <c r="AA2980" i="13"/>
  <c r="AA66" i="13"/>
  <c r="AA3237" i="13"/>
  <c r="AA3500" i="13"/>
  <c r="AA3542" i="13"/>
  <c r="AA2711" i="13"/>
  <c r="AA2031" i="13"/>
  <c r="AA3527" i="13"/>
  <c r="AA3172" i="13"/>
  <c r="AA3284" i="13"/>
  <c r="AA2494" i="13"/>
  <c r="AA3504" i="13"/>
  <c r="AA3075" i="13"/>
  <c r="AA2832" i="13"/>
  <c r="AA804" i="13"/>
  <c r="AA3079" i="13"/>
  <c r="AA1862" i="13"/>
  <c r="AA428" i="13"/>
  <c r="AA3388" i="13"/>
  <c r="AA559" i="13"/>
  <c r="AA2116" i="13"/>
  <c r="AA2315" i="13"/>
  <c r="AA2336" i="13"/>
  <c r="AA1475" i="13"/>
  <c r="AA2154" i="13"/>
  <c r="AA3523" i="13"/>
  <c r="AA485" i="13"/>
  <c r="AA3342" i="13"/>
  <c r="AA2236" i="13"/>
  <c r="AA1681" i="13"/>
  <c r="AA295" i="13"/>
  <c r="AA2545" i="13"/>
  <c r="AA1456" i="13"/>
  <c r="AA3122" i="13"/>
  <c r="AA1229" i="13"/>
  <c r="AA1637" i="13"/>
  <c r="AA3399" i="13"/>
  <c r="AA2941" i="13"/>
  <c r="AA266" i="13"/>
  <c r="AA1697" i="13"/>
  <c r="AA2448" i="13"/>
  <c r="AA3450" i="13"/>
  <c r="AA1803" i="13"/>
  <c r="AA3034" i="13"/>
  <c r="AA262" i="13"/>
  <c r="AA1179" i="13"/>
  <c r="AA1880" i="13"/>
  <c r="AA464" i="13"/>
  <c r="AA1069" i="13"/>
  <c r="AA3498" i="13"/>
  <c r="AA3318" i="13"/>
  <c r="AA2689" i="13"/>
  <c r="AA1783" i="13"/>
  <c r="AA869" i="13"/>
  <c r="AA3362" i="13"/>
  <c r="AA3205" i="13"/>
  <c r="AA486" i="13"/>
  <c r="AA1241" i="13"/>
  <c r="AA2488" i="13"/>
  <c r="AA3350" i="13"/>
  <c r="AA2833" i="13"/>
  <c r="AA828" i="13"/>
  <c r="AA1577" i="13"/>
  <c r="AA1323" i="13"/>
  <c r="AA2568" i="13"/>
  <c r="AA1318" i="13"/>
  <c r="AA2601" i="13"/>
  <c r="AA2115" i="13"/>
  <c r="AA3292" i="13"/>
  <c r="AA84" i="13"/>
  <c r="AA2249" i="13"/>
  <c r="AA1972" i="13"/>
  <c r="AA3467" i="13"/>
  <c r="AA548" i="13"/>
  <c r="AA2456" i="13"/>
  <c r="AA213" i="13"/>
  <c r="AA1767" i="13"/>
  <c r="AA1954" i="13"/>
  <c r="AA2146" i="13"/>
  <c r="AA100" i="13"/>
  <c r="AA1122" i="13"/>
  <c r="AA865" i="13"/>
  <c r="AA3505" i="13"/>
  <c r="AA2805" i="13"/>
  <c r="AA1700" i="13"/>
  <c r="AA1522" i="13"/>
  <c r="AA3186" i="13"/>
  <c r="AA3242" i="13"/>
  <c r="AA2288" i="13"/>
  <c r="AA1883" i="13"/>
  <c r="AA223" i="13"/>
  <c r="AA3459" i="13"/>
  <c r="AA2947" i="13"/>
  <c r="AA443" i="13"/>
  <c r="AA2685" i="13"/>
  <c r="AA1680" i="13"/>
  <c r="AA2194" i="13"/>
  <c r="AA3308" i="13"/>
  <c r="AA2300" i="13"/>
  <c r="AA585" i="13"/>
  <c r="AA1806" i="13"/>
  <c r="AA2604" i="13"/>
  <c r="AA2632" i="13"/>
  <c r="AA3014" i="13"/>
  <c r="AA1132" i="13"/>
  <c r="AA2878" i="13"/>
  <c r="AA2606" i="13"/>
  <c r="AA1078" i="13"/>
  <c r="AA3056" i="13"/>
  <c r="AA3211" i="13"/>
  <c r="AA91" i="13"/>
  <c r="AA1900" i="13"/>
  <c r="AA1967" i="13"/>
  <c r="AA1721" i="13"/>
  <c r="AA2792" i="13"/>
  <c r="AA3272" i="13"/>
  <c r="AA734" i="13"/>
  <c r="AA1635" i="13"/>
  <c r="AA1019" i="13"/>
  <c r="AA973" i="13"/>
  <c r="AA2105" i="13"/>
  <c r="AA1705" i="13"/>
  <c r="AA1753" i="13"/>
  <c r="AA2748" i="13"/>
  <c r="AA1904" i="13"/>
  <c r="AA2435" i="13"/>
  <c r="AA854" i="13"/>
  <c r="AA2104" i="13"/>
  <c r="AA2008" i="13"/>
  <c r="AA610" i="13"/>
  <c r="AA521" i="13"/>
  <c r="AA3496" i="13"/>
  <c r="AA1377" i="13"/>
  <c r="AA1648" i="13"/>
  <c r="AA1039" i="13"/>
  <c r="AA2397" i="13"/>
  <c r="AA1795" i="13"/>
  <c r="AA2045" i="13"/>
  <c r="AA1712" i="13"/>
  <c r="AA94" i="13"/>
  <c r="AA2675" i="13"/>
  <c r="AA3278" i="13"/>
  <c r="AA2367" i="13"/>
  <c r="AA1210" i="13"/>
  <c r="AA1768" i="13"/>
  <c r="AA1281" i="13"/>
  <c r="AA3022" i="13"/>
  <c r="AA2683" i="13"/>
  <c r="AA3123" i="13"/>
  <c r="AA1420" i="13"/>
  <c r="AA1144" i="13"/>
  <c r="AA3118" i="13"/>
  <c r="AA2081" i="13"/>
  <c r="AA3358" i="13"/>
  <c r="AA1142" i="13"/>
  <c r="AA3282" i="13"/>
  <c r="AA2003" i="13"/>
  <c r="AA709" i="13"/>
  <c r="AA3262" i="13"/>
  <c r="AA2513" i="13"/>
  <c r="AA1817" i="13"/>
  <c r="AA2296" i="13"/>
  <c r="AA3283" i="13"/>
  <c r="AA986" i="13"/>
  <c r="AA373" i="13"/>
  <c r="AA2345" i="13"/>
  <c r="AA2394" i="13"/>
  <c r="AA3546" i="13"/>
  <c r="AA1148" i="13"/>
  <c r="AA2572" i="13"/>
  <c r="AA1596" i="13"/>
  <c r="AA1725" i="13"/>
  <c r="AA490" i="13"/>
  <c r="AA894" i="13"/>
  <c r="AA1469" i="13"/>
  <c r="AA2411" i="13"/>
  <c r="AA3247" i="13"/>
  <c r="AA372" i="13"/>
  <c r="AA2840" i="13"/>
  <c r="AA1970" i="13"/>
  <c r="AA2430" i="13"/>
  <c r="AA108" i="13"/>
  <c r="AA1845" i="13"/>
  <c r="AA1242" i="13"/>
  <c r="AA1201" i="13"/>
  <c r="AA148" i="13"/>
  <c r="AA3426" i="13"/>
  <c r="AA3254" i="13"/>
  <c r="AA1555" i="13"/>
  <c r="AA2653" i="13"/>
  <c r="AA1112" i="13"/>
  <c r="AA1167" i="13"/>
  <c r="AA853" i="13"/>
  <c r="AA2247" i="13"/>
  <c r="AA1839" i="13"/>
  <c r="AA665" i="13"/>
  <c r="AA682" i="13"/>
  <c r="AA551" i="13"/>
  <c r="AA1334" i="13"/>
  <c r="AA2932" i="13"/>
  <c r="AA2879" i="13"/>
  <c r="AA1722" i="13"/>
  <c r="AA378" i="13"/>
  <c r="AA785" i="13"/>
  <c r="AA1576" i="13"/>
  <c r="AA2891" i="13"/>
  <c r="AA389" i="13"/>
  <c r="AA2709" i="13"/>
  <c r="AA67" i="13"/>
  <c r="AA1277" i="13"/>
  <c r="AA1130" i="13"/>
  <c r="AA1256" i="13"/>
  <c r="AA905" i="13"/>
  <c r="AA3209" i="13"/>
  <c r="AA3105" i="13"/>
  <c r="AA2631" i="13"/>
  <c r="AA396" i="13"/>
  <c r="AA2548" i="13"/>
  <c r="AA80" i="13"/>
  <c r="AA1957" i="13"/>
  <c r="AA2092" i="13"/>
  <c r="AA2427" i="13"/>
  <c r="AA982" i="13"/>
  <c r="AA989" i="13"/>
  <c r="AA1533" i="13"/>
  <c r="AA2112" i="13"/>
  <c r="AA2481" i="13"/>
  <c r="AA1294" i="13"/>
  <c r="AA2022" i="13"/>
  <c r="AA1766" i="13"/>
  <c r="AA1724" i="13"/>
  <c r="AA63" i="13"/>
  <c r="AA214" i="13"/>
  <c r="AA1017" i="13"/>
  <c r="AA105" i="13"/>
  <c r="AA3086" i="13"/>
  <c r="AA2769" i="13"/>
  <c r="AA1861" i="13"/>
  <c r="AA2963" i="13"/>
  <c r="AA2966" i="13"/>
  <c r="AA1341" i="13"/>
  <c r="AA561" i="13"/>
  <c r="AA2149" i="13"/>
  <c r="AA163" i="13"/>
  <c r="AA3241" i="13"/>
  <c r="AA332" i="13"/>
  <c r="AA74" i="13"/>
  <c r="AA1331" i="13"/>
  <c r="AA2788" i="13"/>
  <c r="AA335" i="13"/>
  <c r="AA3039" i="13"/>
  <c r="AA1453" i="13"/>
  <c r="AA101" i="13"/>
  <c r="AA644" i="13"/>
  <c r="AA812" i="13"/>
  <c r="AA2816" i="13"/>
  <c r="AA837" i="13"/>
  <c r="AA235" i="13"/>
  <c r="AA809" i="13"/>
  <c r="AA35" i="13"/>
  <c r="AA3478" i="13"/>
  <c r="AA1582" i="13"/>
  <c r="AA2734" i="13"/>
  <c r="AA71" i="13"/>
  <c r="AA121" i="13"/>
  <c r="AA3045" i="13"/>
  <c r="AA758" i="13"/>
  <c r="AA1216" i="13"/>
  <c r="AA744" i="13"/>
  <c r="AA1214" i="13"/>
  <c r="AA3401" i="13"/>
  <c r="AA2465" i="13"/>
  <c r="AA257" i="13"/>
  <c r="AA92" i="13"/>
  <c r="AA1870" i="13"/>
  <c r="AA288" i="13"/>
  <c r="AA863" i="13"/>
  <c r="AA2412" i="13"/>
  <c r="AA454" i="13"/>
  <c r="AA2509" i="13"/>
  <c r="AA2466" i="13"/>
  <c r="AA719" i="13"/>
  <c r="AA2260" i="13"/>
  <c r="AA1683" i="13"/>
  <c r="AA200" i="13"/>
  <c r="AA2316" i="13"/>
  <c r="AA1197" i="13"/>
  <c r="AA2551" i="13"/>
  <c r="AA1424" i="13"/>
  <c r="AA1194" i="13"/>
  <c r="AA3377" i="13"/>
  <c r="AA542" i="13"/>
  <c r="AA134" i="13"/>
  <c r="AA1009" i="13"/>
  <c r="AA3213" i="13"/>
  <c r="AA342" i="13"/>
  <c r="AA1044" i="13"/>
  <c r="AA2099" i="13"/>
  <c r="AA1091" i="13"/>
  <c r="AA408" i="13"/>
  <c r="AA1071" i="13"/>
  <c r="AA3400" i="13"/>
  <c r="AA2825" i="13"/>
  <c r="AA3458" i="13"/>
  <c r="AA3267" i="13"/>
  <c r="AA3548" i="13"/>
  <c r="AA3382" i="13"/>
  <c r="AA1385" i="13"/>
  <c r="AA1493" i="13"/>
  <c r="AA2170" i="13"/>
  <c r="AA377" i="13"/>
  <c r="AA106" i="13"/>
  <c r="AA1498" i="13"/>
  <c r="AA2118" i="13"/>
  <c r="AA527" i="13"/>
  <c r="AA2658" i="13"/>
  <c r="AA1651" i="13"/>
  <c r="AA2695" i="13"/>
  <c r="AA3224" i="13"/>
  <c r="AA2912" i="13"/>
  <c r="AA498" i="13"/>
  <c r="AA840" i="13"/>
  <c r="AA1264" i="13"/>
  <c r="AA3043" i="13"/>
  <c r="AA1824" i="13"/>
  <c r="AA2516" i="13"/>
  <c r="AA1208" i="13"/>
  <c r="AA1108" i="13"/>
  <c r="AA817" i="13"/>
  <c r="AA3167" i="13"/>
  <c r="AA2729" i="13"/>
  <c r="AA2803" i="13"/>
  <c r="AA1679" i="13"/>
  <c r="AA3104" i="13"/>
  <c r="AA3159" i="13"/>
  <c r="AA1485" i="13"/>
  <c r="AA3133" i="13"/>
  <c r="AA1013" i="13"/>
  <c r="AA76" i="13"/>
  <c r="AA2797" i="13"/>
  <c r="AA680" i="13"/>
  <c r="AA376" i="13"/>
  <c r="AA310" i="13"/>
  <c r="AA2239" i="13"/>
  <c r="AA3132" i="13"/>
  <c r="AA3208" i="13"/>
  <c r="AA2828" i="13"/>
  <c r="AA1945" i="13"/>
  <c r="AA1282" i="13"/>
  <c r="AA2500" i="13"/>
  <c r="AA827" i="13"/>
  <c r="AA1097" i="13"/>
  <c r="AA3229" i="13"/>
  <c r="AA2049" i="13"/>
  <c r="AA2956" i="13"/>
  <c r="AA862" i="13"/>
  <c r="AA509" i="13"/>
  <c r="AA1073" i="13"/>
  <c r="AA1696" i="13"/>
  <c r="AA3090" i="13"/>
  <c r="AA2040" i="13"/>
  <c r="AA2108" i="13"/>
  <c r="AA1849" i="13"/>
  <c r="AA2205" i="13"/>
  <c r="AA714" i="13"/>
  <c r="AA3203" i="13"/>
  <c r="AA858" i="13"/>
  <c r="AA2903" i="13"/>
  <c r="AA149" i="13"/>
  <c r="AA3000" i="13"/>
  <c r="AA591" i="13"/>
  <c r="AA1483" i="13"/>
  <c r="AA3522" i="13"/>
  <c r="AA1917" i="13"/>
  <c r="AA1164" i="13"/>
  <c r="AA390" i="13"/>
  <c r="AA979" i="13"/>
  <c r="AA1585" i="13"/>
  <c r="AA3437" i="13"/>
  <c r="AA2943" i="13"/>
  <c r="AA1884" i="13"/>
  <c r="AA1658" i="13"/>
  <c r="AA3173" i="13"/>
  <c r="AA829" i="13"/>
  <c r="AA944" i="13"/>
  <c r="AA118" i="13"/>
  <c r="AA438" i="13"/>
  <c r="AA1965" i="13"/>
  <c r="AA597" i="13"/>
  <c r="AA2148" i="13"/>
  <c r="AA119" i="13"/>
  <c r="AA2067" i="13"/>
  <c r="AA344" i="13"/>
  <c r="AA782" i="13"/>
  <c r="AA1443" i="13"/>
  <c r="AA2927" i="13"/>
  <c r="AA1022" i="13"/>
  <c r="AA689" i="13"/>
  <c r="AA851" i="13"/>
  <c r="AA2359" i="13"/>
  <c r="AA1224" i="13"/>
  <c r="AA2890" i="13"/>
  <c r="AA1129" i="13"/>
  <c r="AA197" i="13"/>
  <c r="AA1034" i="13"/>
  <c r="AA625" i="13"/>
  <c r="AA2301" i="13"/>
  <c r="AA2696" i="13"/>
  <c r="AA2024" i="13"/>
  <c r="AA2753" i="13"/>
  <c r="AA985" i="13"/>
  <c r="AA1419" i="13"/>
  <c r="AA42" i="13"/>
  <c r="AA3421" i="13"/>
  <c r="AA2924" i="13"/>
  <c r="AA2502" i="13"/>
  <c r="AA1293" i="13"/>
  <c r="AA1907" i="13"/>
  <c r="AA995" i="13"/>
  <c r="AA3256" i="13"/>
  <c r="AA218" i="13"/>
  <c r="AA2317" i="13"/>
  <c r="AA2530" i="13"/>
  <c r="AA1415" i="13"/>
  <c r="AA2360" i="13"/>
  <c r="AA515" i="13"/>
  <c r="AA2329" i="13"/>
  <c r="AA1643" i="13"/>
  <c r="AA1492" i="13"/>
  <c r="AA3142" i="13"/>
  <c r="AA3268" i="13"/>
  <c r="AA3200" i="13"/>
  <c r="AA699" i="13"/>
  <c r="AA608" i="13"/>
  <c r="AA1733" i="13"/>
  <c r="AA1775" i="13"/>
  <c r="AA618" i="13"/>
  <c r="AA1381" i="13"/>
  <c r="AA584" i="13"/>
  <c r="AA3062" i="13"/>
  <c r="AA138" i="13"/>
  <c r="AA632" i="13"/>
  <c r="AA1263" i="13"/>
  <c r="AA2740" i="13"/>
  <c r="AA1811" i="13"/>
  <c r="AA3124" i="13"/>
  <c r="AA2341" i="13"/>
  <c r="AA1466" i="13"/>
  <c r="AA1754" i="13"/>
  <c r="AA943" i="13"/>
  <c r="AA2703" i="13"/>
  <c r="AA1182" i="13"/>
  <c r="AA3517" i="13"/>
  <c r="AA357" i="13"/>
  <c r="AA1931" i="13"/>
  <c r="AA1960" i="13"/>
  <c r="AA2535" i="13"/>
  <c r="AA2752" i="13"/>
  <c r="AA272" i="13"/>
  <c r="AA592" i="13"/>
  <c r="AA2385" i="13"/>
  <c r="AA940" i="13"/>
  <c r="AA1429" i="13"/>
  <c r="AA440" i="13"/>
  <c r="AA1145" i="13"/>
  <c r="AA3533" i="13"/>
  <c r="AA3259" i="13"/>
  <c r="AA1564" i="13"/>
  <c r="AA2402" i="13"/>
  <c r="AA783" i="13"/>
  <c r="AA298" i="13"/>
  <c r="AA2981" i="13"/>
  <c r="AA2707" i="13"/>
  <c r="AA2408" i="13"/>
  <c r="AA2667" i="13"/>
  <c r="AA2719" i="13"/>
  <c r="AA1588" i="13"/>
  <c r="AA1638" i="13"/>
  <c r="AA228" i="13"/>
  <c r="AA3507" i="13"/>
  <c r="AA1035" i="13"/>
  <c r="AA1057" i="13"/>
  <c r="AA1915" i="13"/>
  <c r="AA2307" i="13"/>
  <c r="AA648" i="13"/>
  <c r="AA1835" i="13"/>
  <c r="AA2431" i="13"/>
  <c r="AA3493" i="13"/>
  <c r="AA1027" i="13"/>
  <c r="AA2702" i="13"/>
  <c r="AA2629" i="13"/>
  <c r="AA1117" i="13"/>
  <c r="AA349" i="13"/>
  <c r="AA2928" i="13"/>
  <c r="AA1652" i="13"/>
  <c r="AA2873" i="13"/>
  <c r="AA2726" i="13"/>
  <c r="AA495" i="13"/>
  <c r="AA370" i="13"/>
  <c r="AA2916" i="13"/>
  <c r="AA1153" i="13"/>
  <c r="AA1380" i="13"/>
  <c r="AA550" i="13"/>
  <c r="AA3207" i="13"/>
  <c r="AA991" i="13"/>
  <c r="AA3481" i="13"/>
  <c r="AA2214" i="13"/>
  <c r="AA1508" i="13"/>
  <c r="AA1843" i="13"/>
  <c r="AA1221" i="13"/>
  <c r="AA1953" i="13"/>
  <c r="AA798" i="13"/>
  <c r="AA3007" i="13"/>
  <c r="AA331" i="13"/>
  <c r="AA2302" i="13"/>
  <c r="AA1143" i="13"/>
  <c r="AA2721" i="13"/>
  <c r="AA2379" i="13"/>
  <c r="AA1796" i="13"/>
  <c r="AA1397" i="13"/>
  <c r="AA666" i="13"/>
  <c r="AA2052" i="13"/>
  <c r="AA1939" i="13"/>
  <c r="AA2004" i="13"/>
  <c r="AA2127" i="13"/>
  <c r="AA113" i="13"/>
  <c r="AA1559" i="13"/>
  <c r="AA2619" i="13"/>
  <c r="AA842" i="13"/>
  <c r="AA2961" i="13"/>
  <c r="AA2279" i="13"/>
  <c r="AA1387" i="13"/>
  <c r="AA1562" i="13"/>
  <c r="AA176" i="13"/>
  <c r="AA1929" i="13"/>
  <c r="AA156" i="13"/>
  <c r="AA800" i="13"/>
  <c r="AA935" i="13"/>
  <c r="AA2814" i="13"/>
  <c r="AA2796" i="13"/>
  <c r="AA518" i="13"/>
  <c r="AA2323" i="13"/>
  <c r="AA1298" i="13"/>
  <c r="AA2354" i="13"/>
  <c r="AA2398" i="13"/>
  <c r="AA3052" i="13"/>
  <c r="AA2671" i="13"/>
  <c r="AA2561" i="13"/>
  <c r="AA1222" i="13"/>
  <c r="AA1819" i="13"/>
  <c r="AA3053" i="13"/>
  <c r="J85" i="5"/>
  <c r="J125" i="5"/>
  <c r="J122" i="5"/>
  <c r="J52" i="5"/>
  <c r="J7" i="5"/>
  <c r="J27" i="5"/>
  <c r="J1" i="5"/>
  <c r="J51" i="5"/>
  <c r="J81" i="5"/>
  <c r="J28" i="5"/>
  <c r="J32" i="5"/>
  <c r="J46" i="5"/>
  <c r="J59" i="5"/>
  <c r="J56" i="5"/>
  <c r="J19" i="5"/>
  <c r="J98" i="5"/>
  <c r="AB3084" i="13"/>
  <c r="AB2041" i="13"/>
  <c r="AB641" i="13"/>
  <c r="AB2424" i="13"/>
  <c r="AB1562" i="13"/>
  <c r="AB1759" i="13"/>
  <c r="AB3388" i="13"/>
  <c r="AB1880" i="13"/>
  <c r="AB3118" i="13"/>
  <c r="AB1124" i="13"/>
  <c r="AB3010" i="13"/>
  <c r="AB2877" i="13"/>
  <c r="AB2984" i="13"/>
  <c r="AB1382" i="13"/>
  <c r="AB1403" i="13"/>
  <c r="AB3517" i="13"/>
  <c r="AB3482" i="13"/>
  <c r="AB1357" i="13"/>
  <c r="AB3358" i="13"/>
  <c r="AB1061" i="13"/>
  <c r="AB2242" i="13"/>
  <c r="AB553" i="13"/>
  <c r="AB2605" i="13"/>
  <c r="AB2919" i="13"/>
  <c r="AB1424" i="13"/>
  <c r="AB998" i="13"/>
  <c r="AB1278" i="13"/>
  <c r="AB3244" i="13"/>
  <c r="AB1828" i="13"/>
  <c r="AB1080" i="13"/>
  <c r="AB2525" i="13"/>
  <c r="AB2429" i="13"/>
  <c r="AB1409" i="13"/>
  <c r="AB2713" i="13"/>
  <c r="AB2810" i="13"/>
  <c r="AB3411" i="13"/>
  <c r="AB329" i="13"/>
  <c r="AB134" i="13"/>
  <c r="AB2470" i="13"/>
  <c r="AB3240" i="13"/>
  <c r="AB1875" i="13"/>
  <c r="AB918" i="13"/>
  <c r="AB1771" i="13"/>
  <c r="AB1360" i="13"/>
  <c r="AB217" i="13"/>
  <c r="AB1865" i="13"/>
  <c r="AB2606" i="13"/>
  <c r="AB3421" i="13"/>
  <c r="AB2335" i="13"/>
  <c r="AB3369" i="13"/>
  <c r="AB806" i="13"/>
  <c r="AB1809" i="13"/>
  <c r="AB1254" i="13"/>
  <c r="AB2563" i="13"/>
  <c r="AB2619" i="13"/>
  <c r="AB2074" i="13"/>
  <c r="AB28" i="13"/>
  <c r="AB546" i="13"/>
  <c r="AB1644" i="13"/>
  <c r="AB2775" i="13"/>
  <c r="AB1630" i="13"/>
  <c r="AB3308" i="13"/>
  <c r="AB2091" i="13"/>
  <c r="AB2219" i="13"/>
  <c r="AB522" i="13"/>
  <c r="AB1901" i="13"/>
  <c r="AB2548" i="13"/>
  <c r="AB1495" i="13"/>
  <c r="AB520" i="13"/>
  <c r="AB2110" i="13"/>
  <c r="AB1268" i="13"/>
  <c r="AB202" i="13"/>
  <c r="AB395" i="13"/>
  <c r="AB3077" i="13"/>
  <c r="AB2151" i="13"/>
  <c r="AB2289" i="13"/>
  <c r="AB827" i="13"/>
  <c r="AB3174" i="13"/>
  <c r="AB3235" i="13"/>
  <c r="AB1578" i="13"/>
  <c r="AB99" i="13"/>
  <c r="AB46" i="13"/>
  <c r="AB1356" i="13"/>
  <c r="AB2580" i="13"/>
  <c r="AB1243" i="13"/>
  <c r="AB2403" i="13"/>
  <c r="AB2319" i="13"/>
  <c r="AB916" i="13"/>
  <c r="AB2658" i="13"/>
  <c r="AB975" i="13"/>
  <c r="AB914" i="13"/>
  <c r="AB2342" i="13"/>
  <c r="AB218" i="13"/>
  <c r="AB260" i="13"/>
  <c r="AB3471" i="13"/>
  <c r="AB503" i="13"/>
  <c r="AB939" i="13"/>
  <c r="AB964" i="13"/>
  <c r="AB3263" i="13"/>
  <c r="AB1279" i="13"/>
  <c r="AB1617" i="13"/>
  <c r="AB2237" i="13"/>
  <c r="AB732" i="13"/>
  <c r="AB44" i="13"/>
  <c r="AB2106" i="13"/>
  <c r="AB1628" i="13"/>
  <c r="AB3390" i="13"/>
  <c r="AB2837" i="13"/>
  <c r="AB3501" i="13"/>
  <c r="AB1250" i="13"/>
  <c r="AA2370" i="13"/>
  <c r="AA2768" i="13"/>
  <c r="AA2930" i="13"/>
  <c r="AA1503" i="13"/>
  <c r="AA1230" i="13"/>
  <c r="AA3413" i="13"/>
  <c r="AA1846" i="13"/>
  <c r="AA2812" i="13"/>
  <c r="AA732" i="13"/>
  <c r="AA2993" i="13"/>
  <c r="AA707" i="13"/>
  <c r="AA2722" i="13"/>
  <c r="AA2475" i="13"/>
  <c r="AA1370" i="13"/>
  <c r="AA3074" i="13"/>
  <c r="AA892" i="13"/>
  <c r="AA2150" i="13"/>
  <c r="AA1310" i="13"/>
  <c r="AA1445" i="13"/>
  <c r="AA2151" i="13"/>
  <c r="AA669" i="13"/>
  <c r="AA3494" i="13"/>
  <c r="AA2644" i="13"/>
  <c r="AA1450" i="13"/>
  <c r="AA1336" i="13"/>
  <c r="AA599" i="13"/>
  <c r="AA1171" i="13"/>
  <c r="AA1603" i="13"/>
  <c r="AA688" i="13"/>
  <c r="AA1156" i="13"/>
  <c r="AA970" i="13"/>
  <c r="AA2786" i="13"/>
  <c r="AA49" i="13"/>
  <c r="AA2608" i="13"/>
  <c r="AA1859" i="13"/>
  <c r="AA497" i="13"/>
  <c r="AA2353" i="13"/>
  <c r="AA3141" i="13"/>
  <c r="AA1275" i="13"/>
  <c r="AA2322" i="13"/>
  <c r="AA875" i="13"/>
  <c r="AA781" i="13"/>
  <c r="AA399" i="13"/>
  <c r="AA362" i="13"/>
  <c r="AA1189" i="13"/>
  <c r="AA120" i="13"/>
  <c r="AA1863" i="13"/>
  <c r="AA2820" i="13"/>
  <c r="AA638" i="13"/>
  <c r="AA1981" i="13"/>
  <c r="AA1330" i="13"/>
  <c r="AA924" i="13"/>
  <c r="AA3489" i="13"/>
  <c r="AA984" i="13"/>
  <c r="AA514" i="13"/>
  <c r="AA3175" i="13"/>
  <c r="AA737" i="13"/>
  <c r="AA901" i="13"/>
  <c r="AA3534" i="13"/>
  <c r="AA2181" i="13"/>
  <c r="AA3409" i="13"/>
  <c r="AA779" i="13"/>
  <c r="AA1688" i="13"/>
  <c r="AA600" i="13"/>
  <c r="AA512" i="13"/>
  <c r="AA3378" i="13"/>
  <c r="AA102" i="13"/>
  <c r="AA2983" i="13"/>
  <c r="AA1488" i="13"/>
  <c r="AA2991" i="13"/>
  <c r="AA3364" i="13"/>
  <c r="AA114" i="13"/>
  <c r="AA2528" i="13"/>
  <c r="AA2472" i="13"/>
  <c r="AA1332" i="13"/>
  <c r="AA22" i="13"/>
  <c r="AA1660" i="13"/>
  <c r="AA2079" i="13"/>
  <c r="AA2265" i="13"/>
  <c r="AA3158" i="13"/>
  <c r="AA466" i="13"/>
  <c r="AA270" i="13"/>
  <c r="AA1506" i="13"/>
  <c r="AA738" i="13"/>
  <c r="AA1810" i="13"/>
  <c r="AA2662" i="13"/>
  <c r="AA1995" i="13"/>
  <c r="AA1571" i="13"/>
  <c r="AA1914" i="13"/>
  <c r="AA126" i="13"/>
  <c r="AA578" i="13"/>
  <c r="AA3121" i="13"/>
  <c r="AA1025" i="13"/>
  <c r="AA1491" i="13"/>
  <c r="AA1604" i="13"/>
  <c r="AA1426" i="13"/>
  <c r="AA2351" i="13"/>
  <c r="AA2687" i="13"/>
  <c r="AA968" i="13"/>
  <c r="AA3544" i="13"/>
  <c r="AA172" i="13"/>
  <c r="AA3468" i="13"/>
  <c r="AA2396" i="13"/>
  <c r="AA2540" i="13"/>
  <c r="AA3431" i="13"/>
  <c r="AA967" i="13"/>
  <c r="AA2682" i="13"/>
  <c r="AA2755" i="13"/>
  <c r="AA3019" i="13"/>
  <c r="AA2839" i="13"/>
  <c r="AA1853" i="13"/>
  <c r="AA321" i="13"/>
  <c r="AA2025" i="13"/>
  <c r="AA1552" i="13"/>
  <c r="AA2391" i="13"/>
  <c r="AA1537" i="13"/>
  <c r="AA932" i="13"/>
  <c r="AA1980" i="13"/>
  <c r="AA3214" i="13"/>
  <c r="AA1782" i="13"/>
  <c r="AA319" i="13"/>
  <c r="AA1147" i="13"/>
  <c r="AA1815" i="13"/>
  <c r="AA1908" i="13"/>
  <c r="AA2380" i="13"/>
  <c r="AA2295" i="13"/>
  <c r="AA1211" i="13"/>
  <c r="AA2887" i="13"/>
  <c r="AA1540" i="13"/>
  <c r="AA1536" i="13"/>
  <c r="AA296" i="13"/>
  <c r="AA623" i="13"/>
  <c r="AA1956" i="13"/>
  <c r="AA3287" i="13"/>
  <c r="AA1005" i="13"/>
  <c r="AA2178" i="13"/>
  <c r="AA1901" i="13"/>
  <c r="AA2292" i="13"/>
  <c r="AA805" i="13"/>
  <c r="AA685" i="13"/>
  <c r="AA144" i="13"/>
  <c r="AA656" i="13"/>
  <c r="AA1951" i="13"/>
  <c r="AA3355" i="13"/>
  <c r="AA1311" i="13"/>
  <c r="AA3170" i="13"/>
  <c r="AA791" i="13"/>
  <c r="AA1882" i="13"/>
  <c r="AA1639" i="13"/>
  <c r="AA1291" i="13"/>
  <c r="AA78" i="13"/>
  <c r="AA222" i="13"/>
  <c r="AA421" i="13"/>
  <c r="AA2333" i="13"/>
  <c r="AA3309" i="13"/>
  <c r="AA3313" i="13"/>
  <c r="AA2291" i="13"/>
  <c r="AA459" i="13"/>
  <c r="AA1150" i="13"/>
  <c r="AA1414" i="13"/>
  <c r="AA3515" i="13"/>
  <c r="AA2880" i="13"/>
  <c r="AA1094" i="13"/>
  <c r="AA211" i="13"/>
  <c r="AA1999" i="13"/>
  <c r="AA1172" i="13"/>
  <c r="AA871" i="13"/>
  <c r="AA2267" i="13"/>
  <c r="AA2470" i="13"/>
  <c r="AA1100" i="13"/>
  <c r="AA2565" i="13"/>
  <c r="AA1339" i="13"/>
  <c r="AA1425" i="13"/>
  <c r="AA1642" i="13"/>
  <c r="AA3109" i="13"/>
  <c r="AA1177" i="13"/>
  <c r="AA3096" i="13"/>
  <c r="AA2437" i="13"/>
  <c r="AA525" i="13"/>
  <c r="AA3063" i="13"/>
  <c r="AA1872" i="13"/>
  <c r="AA1400" i="13"/>
  <c r="AA3414" i="13"/>
  <c r="AA3442" i="13"/>
  <c r="AA316" i="13"/>
  <c r="AA3235" i="13"/>
  <c r="AA2655" i="13"/>
  <c r="AA2109" i="13"/>
  <c r="AA3293" i="13"/>
  <c r="AA203" i="13"/>
  <c r="AA429" i="13"/>
  <c r="AA3521" i="13"/>
  <c r="AA1454" i="13"/>
  <c r="AA1260" i="13"/>
  <c r="AA3392" i="13"/>
  <c r="AA2770" i="13"/>
  <c r="AA3100" i="13"/>
  <c r="AA394" i="13"/>
  <c r="AA3390" i="13"/>
  <c r="AA923" i="13"/>
  <c r="AA1398" i="13"/>
  <c r="AA611" i="13"/>
  <c r="AA2032" i="13"/>
  <c r="AA2639" i="13"/>
  <c r="AA3085" i="13"/>
  <c r="AA2257" i="13"/>
  <c r="AA801" i="13"/>
  <c r="AA580" i="13"/>
  <c r="AA872" i="13"/>
  <c r="AA2677" i="13"/>
  <c r="AA3331" i="13"/>
  <c r="AA1997" i="13"/>
  <c r="AA2232" i="13"/>
  <c r="AA323" i="13"/>
  <c r="AA3179" i="13"/>
  <c r="AA404" i="13"/>
  <c r="AA230" i="13"/>
  <c r="AA1084" i="13"/>
  <c r="AA2970" i="13"/>
  <c r="AA1891" i="13"/>
  <c r="AA848" i="13"/>
  <c r="AA1474" i="13"/>
  <c r="AA693" i="13"/>
  <c r="AA1472" i="13"/>
  <c r="AA2914" i="13"/>
  <c r="AA3306" i="13"/>
  <c r="AA1059" i="13"/>
  <c r="AA3174" i="13"/>
  <c r="AA2593" i="13"/>
  <c r="AA1353" i="13"/>
  <c r="AA350" i="13"/>
  <c r="AA1922" i="13"/>
  <c r="AA1085" i="13"/>
  <c r="AA3091" i="13"/>
  <c r="AA2615" i="13"/>
  <c r="AA2728" i="13"/>
  <c r="AA1561" i="13"/>
  <c r="AA914" i="13"/>
  <c r="AA2817" i="13"/>
  <c r="AA3103" i="13"/>
  <c r="AA2539" i="13"/>
  <c r="AA2777" i="13"/>
  <c r="AA3539" i="13"/>
  <c r="AA3320" i="13"/>
  <c r="AA941" i="13"/>
  <c r="AA287" i="13"/>
  <c r="AA1961" i="13"/>
  <c r="AA765" i="13"/>
  <c r="AA3391" i="13"/>
  <c r="AA2339" i="13"/>
  <c r="AA1161" i="13"/>
  <c r="AA720" i="13"/>
  <c r="AA2710" i="13"/>
  <c r="AA1407" i="13"/>
  <c r="AA1534" i="13"/>
  <c r="AA477" i="13"/>
  <c r="AA3323" i="13"/>
  <c r="AA1621" i="13"/>
  <c r="AA2694" i="13"/>
  <c r="AA2453" i="13"/>
  <c r="AA463" i="13"/>
  <c r="AA45" i="13"/>
  <c r="AA3341" i="13"/>
  <c r="AA3189" i="13"/>
  <c r="AA1007" i="13"/>
  <c r="AA125" i="13"/>
  <c r="AA2074" i="13"/>
  <c r="AA3236" i="13"/>
  <c r="AA320" i="13"/>
  <c r="AA2520" i="13"/>
  <c r="AA2011" i="13"/>
  <c r="AA1151" i="13"/>
  <c r="AA3073" i="13"/>
  <c r="AA2051" i="13"/>
  <c r="AA3164" i="13"/>
  <c r="AA2119" i="13"/>
  <c r="AA1269" i="13"/>
  <c r="AA2992" i="13"/>
  <c r="AA2452" i="13"/>
  <c r="AA161" i="13"/>
  <c r="AA3021" i="13"/>
  <c r="AA2441" i="13"/>
  <c r="AA3228" i="13"/>
  <c r="AA767" i="13"/>
  <c r="AA1903" i="13"/>
  <c r="AA2033" i="13"/>
  <c r="AA2241" i="13"/>
  <c r="AA3152" i="13"/>
  <c r="AA627" i="13"/>
  <c r="AA3058" i="13"/>
  <c r="AA1118" i="13"/>
  <c r="AA2920" i="13"/>
  <c r="AA2193" i="13"/>
  <c r="AA792" i="13"/>
  <c r="AA3181" i="13"/>
  <c r="AA681" i="13"/>
  <c r="AA353" i="13"/>
  <c r="AA1574" i="13"/>
  <c r="AA1869" i="13"/>
  <c r="AA2006" i="13"/>
  <c r="AA942" i="13"/>
  <c r="AA334" i="13"/>
  <c r="AA1984" i="13"/>
  <c r="AA2708" i="13"/>
  <c r="AA2536" i="13"/>
  <c r="AA2280" i="13"/>
  <c r="AA859" i="13"/>
  <c r="AA28" i="13"/>
  <c r="AA450" i="13"/>
  <c r="AA3291" i="13"/>
  <c r="AA3119" i="13"/>
  <c r="AA1855" i="13"/>
  <c r="AA392" i="13"/>
  <c r="AA2330" i="13"/>
  <c r="AA1026" i="13"/>
  <c r="AA1441" i="13"/>
  <c r="AA1251" i="13"/>
  <c r="AA1460" i="13"/>
  <c r="J97" i="5"/>
  <c r="J88" i="5"/>
  <c r="J83" i="5"/>
  <c r="J93" i="5"/>
  <c r="J101" i="5"/>
  <c r="J5" i="5"/>
  <c r="J43" i="5"/>
  <c r="J55" i="5"/>
  <c r="J89" i="5"/>
  <c r="J65" i="5"/>
  <c r="J53" i="5"/>
  <c r="J35" i="5"/>
  <c r="J6" i="5"/>
  <c r="J22" i="5"/>
  <c r="J113" i="5"/>
  <c r="J71" i="5"/>
  <c r="AB2662" i="13"/>
  <c r="AB367" i="13"/>
  <c r="AB3339" i="13"/>
  <c r="U20" i="13"/>
  <c r="AA1542" i="13"/>
  <c r="AA2245" i="13"/>
  <c r="AA3005" i="13"/>
  <c r="AA866" i="13"/>
  <c r="AA2851" i="13"/>
  <c r="AA1204" i="13"/>
  <c r="AA1664" i="13"/>
  <c r="AA2751" i="13"/>
  <c r="AA366" i="13"/>
  <c r="AA169" i="13"/>
  <c r="AA3198" i="13"/>
  <c r="AA1237" i="13"/>
  <c r="AA3251" i="13"/>
  <c r="AA3434" i="13"/>
  <c r="AA304" i="13"/>
  <c r="AA1389" i="13"/>
  <c r="AA3145" i="13"/>
  <c r="AA857" i="13"/>
  <c r="AA3067" i="13"/>
  <c r="AA1776" i="13"/>
  <c r="AA1600" i="13"/>
  <c r="AA3008" i="13"/>
  <c r="AA1292" i="13"/>
  <c r="AA1098" i="13"/>
  <c r="AA845" i="13"/>
  <c r="AA2849" i="13"/>
  <c r="AA1127" i="13"/>
  <c r="AA3530" i="13"/>
  <c r="AA2776" i="13"/>
  <c r="AA3310" i="13"/>
  <c r="AA1692" i="13"/>
  <c r="AA1038" i="13"/>
  <c r="AA75" i="13"/>
  <c r="AA3250" i="13"/>
  <c r="AA65" i="13"/>
  <c r="AA3286" i="13"/>
  <c r="AA3407" i="13"/>
  <c r="AA2073" i="13"/>
  <c r="AA291" i="13"/>
  <c r="AA387" i="13"/>
  <c r="AA1349" i="13"/>
  <c r="AA759" i="13"/>
  <c r="AA1936" i="13"/>
  <c r="AA3322" i="13"/>
  <c r="AA2487" i="13"/>
  <c r="AA40" i="13"/>
  <c r="AA188" i="13"/>
  <c r="AA3356" i="13"/>
  <c r="AA103" i="13"/>
  <c r="AA3117" i="13"/>
  <c r="AA1631" i="13"/>
  <c r="AA1989" i="13"/>
  <c r="AA695" i="13"/>
  <c r="AA473" i="13"/>
  <c r="AA3470" i="13"/>
  <c r="AA1629" i="13"/>
  <c r="AA3059" i="13"/>
  <c r="AA1344" i="13"/>
  <c r="AA2158" i="13"/>
  <c r="AA2847" i="13"/>
  <c r="AA1928" i="13"/>
  <c r="AA322" i="13"/>
  <c r="AA751" i="13"/>
  <c r="AA1601" i="13"/>
  <c r="AA1463" i="13"/>
  <c r="AA1979" i="13"/>
  <c r="AA2630" i="13"/>
  <c r="AA2557" i="13"/>
  <c r="AA1731" i="13"/>
  <c r="AA574" i="13"/>
  <c r="AA1253" i="13"/>
  <c r="AA3451" i="13"/>
  <c r="AA3042" i="13"/>
  <c r="AA1404" i="13"/>
  <c r="AA1764" i="13"/>
  <c r="AA508" i="13"/>
  <c r="AA2761" i="13"/>
  <c r="AA1348" i="13"/>
  <c r="AA2153" i="13"/>
  <c r="AA1046" i="13"/>
  <c r="AA1252" i="13"/>
  <c r="AA111" i="13"/>
  <c r="AA2065" i="13"/>
  <c r="AA1140" i="13"/>
  <c r="AA2612" i="13"/>
  <c r="AA1434" i="13"/>
  <c r="AA290" i="13"/>
  <c r="AA435" i="13"/>
  <c r="AA843" i="13"/>
  <c r="AA2749" i="13"/>
  <c r="AA1393" i="13"/>
  <c r="AA1687" i="13"/>
  <c r="AA1489" i="13"/>
  <c r="AA2855" i="13"/>
  <c r="AA1622" i="13"/>
  <c r="AA1417" i="13"/>
  <c r="AA2413" i="13"/>
  <c r="AA631" i="13"/>
  <c r="AA601" i="13"/>
  <c r="AA1074" i="13"/>
  <c r="AA1881" i="13"/>
  <c r="AA3328" i="13"/>
  <c r="AA1829" i="13"/>
  <c r="AA2425" i="13"/>
  <c r="AA1741" i="13"/>
  <c r="AA958" i="13"/>
  <c r="AA2130" i="13"/>
  <c r="AA784" i="13"/>
  <c r="AA2559" i="13"/>
  <c r="AA3361" i="13"/>
  <c r="AA2600" i="13"/>
  <c r="AA1959" i="13"/>
  <c r="AA2480" i="13"/>
  <c r="AA2218" i="13"/>
  <c r="AA874" i="13"/>
  <c r="AA3233" i="13"/>
  <c r="AA82" i="13"/>
  <c r="AA1011" i="13"/>
  <c r="AA1119" i="13"/>
  <c r="AA3444" i="13"/>
  <c r="AA2046" i="13"/>
  <c r="AA530" i="13"/>
  <c r="AA2787" i="13"/>
  <c r="AA83" i="13"/>
  <c r="AA2274" i="13"/>
  <c r="AA1994" i="13"/>
  <c r="U19" i="13"/>
  <c r="AA2390" i="13"/>
  <c r="AA2404" i="13"/>
  <c r="AA206" i="13"/>
  <c r="AA2015" i="13"/>
  <c r="AA572" i="13"/>
  <c r="AA3528" i="13"/>
  <c r="AA1170" i="13"/>
  <c r="AA2804" i="13"/>
  <c r="AA1830" i="13"/>
  <c r="AA913" i="13"/>
  <c r="AA1358" i="13"/>
  <c r="AA3069" i="13"/>
  <c r="AA38" i="13"/>
  <c r="AA893" i="13"/>
  <c r="AA2750" i="13"/>
  <c r="AA1602" i="13"/>
  <c r="AA3092" i="13"/>
  <c r="AA2977" i="13"/>
  <c r="AA2841" i="13"/>
  <c r="AA540" i="13"/>
  <c r="AA1205" i="13"/>
  <c r="AA1528" i="13"/>
  <c r="AA178" i="13"/>
  <c r="AA885" i="13"/>
  <c r="AA2384" i="13"/>
  <c r="AA2080" i="13"/>
  <c r="AA2392" i="13"/>
  <c r="AA2055" i="13"/>
  <c r="AA1627" i="13"/>
  <c r="AA489" i="13"/>
  <c r="AA1591" i="13"/>
  <c r="AA3325" i="13"/>
  <c r="AA556" i="13"/>
  <c r="AA1778" i="13"/>
  <c r="AA567" i="13"/>
  <c r="AA472" i="13"/>
  <c r="AA594" i="13"/>
  <c r="AA2757" i="13"/>
  <c r="AA1844" i="13"/>
  <c r="AA1386" i="13"/>
  <c r="AA2844" i="13"/>
  <c r="AA2736" i="13"/>
  <c r="AA2220" i="13"/>
  <c r="AA1364" i="13"/>
  <c r="AA1868" i="13"/>
  <c r="AA1874" i="13"/>
  <c r="AA2072" i="13"/>
  <c r="AA1290" i="13"/>
  <c r="AA1623" i="13"/>
  <c r="AA2620" i="13"/>
  <c r="AA2057" i="13"/>
  <c r="AA2121" i="13"/>
  <c r="AA2918" i="13"/>
  <c r="AA945" i="13"/>
  <c r="AA3536" i="13"/>
  <c r="AA1968" i="13"/>
  <c r="AA1278" i="13"/>
  <c r="AA1952" i="13"/>
  <c r="AA3006" i="13"/>
  <c r="AA733" i="13"/>
  <c r="AA3097" i="13"/>
  <c r="AA2853" i="13"/>
  <c r="AA1988" i="13"/>
  <c r="AA1138" i="13"/>
  <c r="AA3143" i="13"/>
  <c r="AA1941" i="13"/>
  <c r="AA659" i="13"/>
  <c r="AA949" i="13"/>
  <c r="AA1949" i="13"/>
  <c r="AA1301" i="13"/>
  <c r="AA826" i="13"/>
  <c r="AA2552" i="13"/>
  <c r="AA1250" i="13"/>
  <c r="AA2975" i="13"/>
  <c r="AA2866" i="13"/>
  <c r="AA1745" i="13"/>
  <c r="AA352" i="13"/>
  <c r="AA1008" i="13"/>
  <c r="AA2366" i="13"/>
  <c r="AA2356" i="13"/>
  <c r="AA2834" i="13"/>
  <c r="AA359" i="13"/>
  <c r="AA1668" i="13"/>
  <c r="AA2005" i="13"/>
  <c r="AA1180" i="13"/>
  <c r="AA2712" i="13"/>
  <c r="AA1289" i="13"/>
  <c r="AA318" i="13"/>
  <c r="AA3193" i="13"/>
  <c r="AA948" i="13"/>
  <c r="AA2713" i="13"/>
  <c r="AA2549" i="13"/>
  <c r="AA622" i="13"/>
  <c r="AA577" i="13"/>
  <c r="AA54" i="13"/>
  <c r="AA1430" i="13"/>
  <c r="AA2294" i="13"/>
  <c r="AA1390" i="13"/>
  <c r="AA2305" i="13"/>
  <c r="AA2053" i="13"/>
  <c r="AA216" i="13"/>
  <c r="AA263" i="13"/>
  <c r="AA1530" i="13"/>
  <c r="AA124" i="13"/>
  <c r="AA501" i="13"/>
  <c r="AA2078" i="13"/>
  <c r="AA2269" i="13"/>
  <c r="AA2505" i="13"/>
  <c r="AA3047" i="13"/>
  <c r="AA3526" i="13"/>
  <c r="AA1748" i="13"/>
  <c r="AA199" i="13"/>
  <c r="AA130" i="13"/>
  <c r="AA2164" i="13"/>
  <c r="AA3304" i="13"/>
  <c r="AA2774" i="13"/>
  <c r="AA425" i="13"/>
  <c r="AA1308" i="13"/>
  <c r="AA2976" i="13"/>
  <c r="AA2106" i="13"/>
  <c r="AA1977" i="13"/>
  <c r="AA1747" i="13"/>
  <c r="AA1109" i="13"/>
  <c r="AA2169" i="13"/>
  <c r="AA1088" i="13"/>
  <c r="AA2996" i="13"/>
  <c r="AA1268" i="13"/>
  <c r="AA936" i="13"/>
  <c r="AA2107" i="13"/>
  <c r="AA1061" i="13"/>
  <c r="AA484" i="13"/>
  <c r="AA3275" i="13"/>
  <c r="AA3012" i="13"/>
  <c r="AA2145" i="13"/>
  <c r="AA834" i="13"/>
  <c r="AA2054" i="13"/>
  <c r="AA127" i="13"/>
  <c r="AA1196" i="13"/>
  <c r="AA2910" i="13"/>
  <c r="AA1081" i="13"/>
  <c r="AA980" i="13"/>
  <c r="AA2217" i="13"/>
  <c r="AA59" i="13"/>
  <c r="AA3300" i="13"/>
  <c r="AA2007" i="13"/>
  <c r="AA633" i="13"/>
  <c r="AA3327" i="13"/>
  <c r="AA2243" i="13"/>
  <c r="AA2511" i="13"/>
  <c r="AA1363" i="13"/>
  <c r="AA2469" i="13"/>
  <c r="AA2581" i="13"/>
  <c r="AA1176" i="13"/>
  <c r="AA133" i="13"/>
  <c r="AA3552" i="13"/>
  <c r="AA3547" i="13"/>
  <c r="AA3243" i="13"/>
  <c r="AA2518" i="13"/>
  <c r="AA2784" i="13"/>
  <c r="AA2523" i="13"/>
  <c r="AA1693" i="13"/>
  <c r="AA1168" i="13"/>
  <c r="AA2688" i="13"/>
  <c r="AA2872" i="13"/>
  <c r="AA1305" i="13"/>
  <c r="AA62" i="13"/>
  <c r="AA2785" i="13"/>
  <c r="AA1155" i="13"/>
  <c r="AA2690" i="13"/>
  <c r="AA2133" i="13"/>
  <c r="AA3239" i="13"/>
  <c r="AA1402" i="13"/>
  <c r="AA431" i="13"/>
  <c r="AA1512" i="13"/>
  <c r="AA2126" i="13"/>
  <c r="AA1327" i="13"/>
  <c r="AA2567" i="13"/>
  <c r="AA3271" i="13"/>
  <c r="AA502" i="13"/>
  <c r="AA1411" i="13"/>
  <c r="AA1717" i="13"/>
  <c r="AA1066" i="13"/>
  <c r="AA3192" i="13"/>
  <c r="AA2250" i="13"/>
  <c r="AA2285" i="13"/>
  <c r="AA2793" i="13"/>
  <c r="AA3050" i="13"/>
  <c r="AA1656" i="13"/>
  <c r="AA2717" i="13"/>
  <c r="AA582" i="13"/>
  <c r="AA256" i="13"/>
  <c r="AA1558" i="13"/>
  <c r="AA904" i="13"/>
  <c r="AA1405" i="13"/>
  <c r="AA2177" i="13"/>
  <c r="AA549" i="13"/>
  <c r="AA2223" i="13"/>
  <c r="AA1763" i="13"/>
  <c r="AA2094" i="13"/>
  <c r="AA1689" i="13"/>
  <c r="AA761" i="13"/>
  <c r="AA3147" i="13"/>
  <c r="AA2449" i="13"/>
  <c r="AA2802" i="13"/>
  <c r="AA3146" i="13"/>
  <c r="AA2189" i="13"/>
  <c r="AA867" i="13"/>
  <c r="AA3360" i="13"/>
  <c r="AA3440" i="13"/>
  <c r="AA3393" i="13"/>
  <c r="AA1113" i="13"/>
  <c r="AA234" i="13"/>
  <c r="AA418" i="13"/>
  <c r="AA3509" i="13"/>
  <c r="AA3162" i="13"/>
  <c r="AA2896" i="13"/>
  <c r="AA448" i="13"/>
  <c r="AA3099" i="13"/>
  <c r="AA2763" i="13"/>
  <c r="AA3471" i="13"/>
  <c r="AA609" i="13"/>
  <c r="AA3469" i="13"/>
  <c r="AA1020" i="13"/>
  <c r="J37" i="5"/>
  <c r="J44" i="5"/>
  <c r="J13" i="5"/>
  <c r="J62" i="5"/>
  <c r="J120" i="5"/>
  <c r="J47" i="5"/>
  <c r="J118" i="5"/>
  <c r="J74" i="5"/>
  <c r="J8" i="5"/>
  <c r="J69" i="5"/>
  <c r="J38" i="5"/>
  <c r="J16" i="5"/>
  <c r="AB2842" i="13"/>
  <c r="AB460" i="13"/>
  <c r="AB1220" i="13"/>
  <c r="AB2691" i="13"/>
  <c r="AB3500" i="13"/>
  <c r="AB1655" i="13"/>
  <c r="AB189" i="13"/>
  <c r="AB3449" i="13"/>
  <c r="AB873" i="13"/>
  <c r="AB50" i="13"/>
  <c r="AB1125" i="13"/>
  <c r="AB2540" i="13"/>
  <c r="AB3377" i="13"/>
  <c r="AB156" i="13"/>
  <c r="AB2710" i="13"/>
  <c r="AB713" i="13"/>
  <c r="AB2811" i="13"/>
  <c r="AB2063" i="13"/>
  <c r="AB2206" i="13"/>
  <c r="AB3436" i="13"/>
  <c r="AB2402" i="13"/>
  <c r="AB1952" i="13"/>
  <c r="AB1805" i="13"/>
  <c r="AB1141" i="13"/>
  <c r="AB2533" i="13"/>
  <c r="AB910" i="13"/>
  <c r="AB677" i="13"/>
  <c r="AB1342" i="13"/>
  <c r="AB2967" i="13"/>
  <c r="AB2139" i="13"/>
  <c r="AB1468" i="13"/>
  <c r="AB858" i="13"/>
  <c r="AB573" i="13"/>
  <c r="AB1535" i="13"/>
  <c r="AB616" i="13"/>
  <c r="AB1294" i="13"/>
  <c r="AB3422" i="13"/>
  <c r="AB3522" i="13"/>
  <c r="AB1970" i="13"/>
  <c r="AB897" i="13"/>
  <c r="AB1029" i="13"/>
  <c r="AB1597" i="13"/>
  <c r="AB74" i="13"/>
  <c r="AB2865" i="13"/>
  <c r="AB1917" i="13"/>
  <c r="AB2514" i="13"/>
  <c r="AB1505" i="13"/>
  <c r="AB116" i="13"/>
  <c r="AB1189" i="13"/>
  <c r="AB2821" i="13"/>
  <c r="AB267" i="13"/>
  <c r="AB2681" i="13"/>
  <c r="AB1539" i="13"/>
  <c r="AB1186" i="13"/>
  <c r="AB3486" i="13"/>
  <c r="AB3539" i="13"/>
  <c r="AB424" i="13"/>
  <c r="AB326" i="13"/>
  <c r="AB303" i="13"/>
  <c r="AB2026" i="13"/>
  <c r="AB1073" i="13"/>
  <c r="AB2805" i="13"/>
  <c r="AB3310" i="13"/>
  <c r="AB1772" i="13"/>
  <c r="AB3171" i="13"/>
  <c r="AB754" i="13"/>
  <c r="AB2794" i="13"/>
  <c r="AB2409" i="13"/>
  <c r="AB2973" i="13"/>
  <c r="AB176" i="13"/>
  <c r="AB1355" i="13"/>
  <c r="AB1122" i="13"/>
  <c r="AB2092" i="13"/>
  <c r="AB1271" i="13"/>
  <c r="AB2611" i="13"/>
  <c r="AB21" i="13"/>
  <c r="AB1350" i="13"/>
  <c r="AB2308" i="13"/>
  <c r="AB2872" i="13"/>
  <c r="AB1320" i="13"/>
  <c r="AB3148" i="13"/>
  <c r="AB3021" i="13"/>
  <c r="AB2870" i="13"/>
  <c r="AB1821" i="13"/>
  <c r="AB928" i="13"/>
  <c r="AB2532" i="13"/>
  <c r="AB1948" i="13"/>
  <c r="AB487" i="13"/>
  <c r="AB2949" i="13"/>
  <c r="AB615" i="13"/>
  <c r="AB1572" i="13"/>
  <c r="AB3079" i="13"/>
  <c r="AB612" i="13"/>
  <c r="AB2070" i="13"/>
  <c r="AB1105" i="13"/>
  <c r="AB353" i="13"/>
  <c r="AB129" i="13"/>
  <c r="AB3015" i="13"/>
  <c r="AB262" i="13"/>
  <c r="AB1813" i="13"/>
  <c r="AB2031" i="13"/>
  <c r="AB2002" i="13"/>
  <c r="AB773" i="13"/>
  <c r="AB1432" i="13"/>
  <c r="AB727" i="13"/>
  <c r="AB1766" i="13"/>
  <c r="AB2347" i="13"/>
  <c r="AB2389" i="13"/>
  <c r="AB1785" i="13"/>
  <c r="AB1484" i="13"/>
  <c r="AB1715" i="13"/>
  <c r="AB1717" i="13"/>
  <c r="AB1749" i="13"/>
  <c r="AB2180" i="13"/>
  <c r="AB2504" i="13"/>
  <c r="AB2643" i="13"/>
  <c r="AB2272" i="13"/>
  <c r="AB1005" i="13"/>
  <c r="AB1827" i="13"/>
  <c r="AB859" i="13"/>
  <c r="AB2948" i="13"/>
  <c r="AB2230" i="13"/>
  <c r="AB369" i="13"/>
  <c r="AB962" i="13"/>
  <c r="AB3289" i="13"/>
  <c r="AB1464" i="13"/>
  <c r="AB86" i="13"/>
  <c r="AB1127" i="13"/>
  <c r="AB634" i="13"/>
  <c r="AB82" i="13"/>
  <c r="AB3442" i="13"/>
  <c r="AB1016" i="13"/>
  <c r="AB940" i="13"/>
  <c r="AB2697" i="13"/>
  <c r="AB1787" i="13"/>
  <c r="AB3076" i="13"/>
  <c r="AB1413" i="13"/>
  <c r="AB2702" i="13"/>
  <c r="AB2932" i="13"/>
  <c r="AB413" i="13"/>
  <c r="AB1584" i="13"/>
  <c r="AB2581" i="13"/>
  <c r="AB2157" i="13"/>
  <c r="AB2675" i="13"/>
  <c r="AB680" i="13"/>
  <c r="AB2130" i="13"/>
  <c r="AB1159" i="13"/>
  <c r="AB2128" i="13"/>
  <c r="AB578" i="13"/>
  <c r="AB1923" i="13"/>
  <c r="AB3391" i="13"/>
  <c r="AB2097" i="13"/>
  <c r="AB2536" i="13"/>
  <c r="AB1797" i="13"/>
  <c r="AB1284" i="13"/>
  <c r="AB1626" i="13"/>
  <c r="AB2252" i="13"/>
  <c r="AB1262" i="13"/>
  <c r="AB1427" i="13"/>
  <c r="AB2384" i="13"/>
  <c r="AB405" i="13"/>
  <c r="AB3144" i="13"/>
  <c r="AB2303" i="13"/>
  <c r="AB1000" i="13"/>
  <c r="AB47" i="13"/>
  <c r="AB1182" i="13"/>
  <c r="AB620" i="13"/>
  <c r="AB488" i="13"/>
  <c r="AB1556" i="13"/>
  <c r="AB1173" i="13"/>
  <c r="AB3292" i="13"/>
  <c r="AB2784" i="13"/>
  <c r="AB1842" i="13"/>
  <c r="AB636" i="13"/>
  <c r="AB1211" i="13"/>
  <c r="AB2364" i="13"/>
  <c r="AB936" i="13"/>
  <c r="AB251" i="13"/>
  <c r="AB1301" i="13"/>
  <c r="AB1767" i="13"/>
  <c r="AB301" i="13"/>
  <c r="AB3062" i="13"/>
  <c r="AB2644" i="13"/>
  <c r="AB1408" i="13"/>
  <c r="AB3268" i="13"/>
  <c r="AB898" i="13"/>
  <c r="AB1889" i="13"/>
  <c r="AB1078" i="13"/>
  <c r="AB467" i="13"/>
  <c r="AB2778" i="13"/>
  <c r="AB2615" i="13"/>
  <c r="AB493" i="13"/>
  <c r="AB1144" i="13"/>
  <c r="AB978" i="13"/>
  <c r="AB1764" i="13"/>
  <c r="AB2159" i="13"/>
  <c r="AB1669" i="13"/>
  <c r="AB159" i="13"/>
  <c r="AB776" i="13"/>
  <c r="AB196" i="13"/>
  <c r="AB1179" i="13"/>
  <c r="AB1410" i="13"/>
  <c r="AB1968" i="13"/>
  <c r="AB2657" i="13"/>
  <c r="AB1323" i="13"/>
  <c r="AB3378" i="13"/>
  <c r="AB1208" i="13"/>
  <c r="AB1131" i="13"/>
  <c r="AB441" i="13"/>
  <c r="AB3090" i="13"/>
  <c r="AB1561" i="13"/>
  <c r="AB2760" i="13"/>
  <c r="AB1006" i="13"/>
  <c r="AB3075" i="13"/>
  <c r="AB3026" i="13"/>
  <c r="AB1974" i="13"/>
  <c r="AB2936" i="13"/>
  <c r="AB538" i="13"/>
  <c r="AB1274" i="13"/>
  <c r="AB1525" i="13"/>
  <c r="AB1365" i="13"/>
  <c r="AB62" i="13"/>
  <c r="AB2582" i="13"/>
  <c r="AB1367" i="13"/>
  <c r="AB3057" i="13"/>
  <c r="AB2588" i="13"/>
  <c r="AB2325" i="13"/>
  <c r="AB3191" i="13"/>
  <c r="AB676" i="13"/>
  <c r="AB3168" i="13"/>
  <c r="AB2337" i="13"/>
  <c r="AB3093" i="13"/>
  <c r="AB1090" i="13"/>
  <c r="AB3534" i="13"/>
  <c r="AB2737" i="13"/>
  <c r="AB3117" i="13"/>
  <c r="AB205" i="13"/>
  <c r="AB1108" i="13"/>
  <c r="AB2134" i="13"/>
  <c r="AB2051" i="13"/>
  <c r="AB3091" i="13"/>
  <c r="AB1174" i="13"/>
  <c r="AB757" i="13"/>
  <c r="AB1372" i="13"/>
  <c r="AB2198" i="13"/>
  <c r="AB1230" i="13"/>
  <c r="AB1153" i="13"/>
  <c r="AB2629" i="13"/>
  <c r="AB1990" i="13"/>
  <c r="AB2460" i="13"/>
  <c r="AB2497" i="13"/>
  <c r="AB2144" i="13"/>
  <c r="AB2178" i="13"/>
  <c r="AB2857" i="13"/>
  <c r="AB2348" i="13"/>
  <c r="AB2676" i="13"/>
  <c r="AB69" i="13"/>
  <c r="AB3444" i="13"/>
  <c r="AB2552" i="13"/>
  <c r="AB3247" i="13"/>
  <c r="AB837" i="13"/>
  <c r="AB1784" i="13"/>
  <c r="AB540" i="13"/>
  <c r="AB725" i="13"/>
  <c r="AB111" i="13"/>
  <c r="AB3002" i="13"/>
  <c r="AB631" i="13"/>
  <c r="AB1936" i="13"/>
  <c r="AB3298" i="13"/>
  <c r="AB2313" i="13"/>
  <c r="AB143" i="13"/>
  <c r="AB2396" i="13"/>
  <c r="AB166" i="13"/>
  <c r="AB1611" i="13"/>
  <c r="AB495" i="13"/>
  <c r="AB2748" i="13"/>
  <c r="AB1417" i="13"/>
  <c r="AB154" i="13"/>
  <c r="AB3426" i="13"/>
  <c r="AB334" i="13"/>
  <c r="AB1148" i="13"/>
  <c r="AB2890" i="13"/>
  <c r="AB1325" i="13"/>
  <c r="AB554" i="13"/>
  <c r="AB1947" i="13"/>
  <c r="AB3246" i="13"/>
  <c r="AB2998" i="13"/>
  <c r="AB1398" i="13"/>
  <c r="AB2971" i="13"/>
  <c r="AB1790" i="13"/>
  <c r="AB893" i="13"/>
  <c r="AB882" i="13"/>
  <c r="AB952" i="13"/>
  <c r="AB1054" i="13"/>
  <c r="AB2033" i="13"/>
  <c r="AB1594" i="13"/>
  <c r="AB2632" i="13"/>
  <c r="AB2349" i="13"/>
  <c r="AB183" i="13"/>
  <c r="AB432" i="13"/>
  <c r="AB966" i="13"/>
  <c r="AB3476" i="13"/>
  <c r="AB3550" i="13"/>
  <c r="U22" i="13"/>
  <c r="AA2585" i="13"/>
  <c r="AA168" i="13"/>
  <c r="AA1157" i="13"/>
  <c r="AA3324" i="13"/>
  <c r="AA1746" i="13"/>
  <c r="AA1742" i="13"/>
  <c r="AA1865" i="13"/>
  <c r="AA145" i="13"/>
  <c r="AA2665" i="13"/>
  <c r="AA2745" i="13"/>
  <c r="AA2060" i="13"/>
  <c r="AA3352" i="13"/>
  <c r="AA925" i="13"/>
  <c r="AA283" i="13"/>
  <c r="AA2870" i="13"/>
  <c r="AA2180" i="13"/>
  <c r="AA2989" i="13"/>
  <c r="AA491" i="13"/>
  <c r="AA3336" i="13"/>
  <c r="AA668" i="13"/>
  <c r="AA1134" i="13"/>
  <c r="AA1285" i="13"/>
  <c r="AA3551" i="13"/>
  <c r="AA1300" i="13"/>
  <c r="AA1659" i="13"/>
  <c r="AA3385" i="13"/>
  <c r="AA2800" i="13"/>
  <c r="AA2064" i="13"/>
  <c r="AA2213" i="13"/>
  <c r="AA465" i="13"/>
  <c r="AA2185" i="13"/>
  <c r="AA2720" i="13"/>
  <c r="AA1699" i="13"/>
  <c r="AA624" i="13"/>
  <c r="AA427" i="13"/>
  <c r="AA3128" i="13"/>
  <c r="AA1217" i="13"/>
  <c r="AA273" i="13"/>
  <c r="AA2664" i="13"/>
  <c r="AA507" i="13"/>
  <c r="AA1338" i="13"/>
  <c r="AA1257" i="13"/>
  <c r="AA2856" i="13"/>
  <c r="AA412" i="13"/>
  <c r="AA2262" i="13"/>
  <c r="AA2102" i="13"/>
  <c r="AA1608" i="13"/>
  <c r="AA552" i="13"/>
  <c r="AA2083" i="13"/>
  <c r="AA3032" i="13"/>
  <c r="AA1955" i="13"/>
  <c r="AA2771" i="13"/>
  <c r="AA1944" i="13"/>
  <c r="AA2182" i="13"/>
  <c r="AA2794" i="13"/>
  <c r="AA2479" i="13"/>
  <c r="AA3094" i="13"/>
  <c r="AA739" i="13"/>
  <c r="AA3273" i="13"/>
  <c r="AA2605" i="13"/>
  <c r="AA667" i="13"/>
  <c r="AA191" i="13"/>
  <c r="AA3227" i="13"/>
  <c r="AA2069" i="13"/>
  <c r="AA2395" i="13"/>
  <c r="AA2352" i="13"/>
  <c r="AA1149" i="13"/>
  <c r="AA3549" i="13"/>
  <c r="AA756" i="13"/>
  <c r="AA1366" i="13"/>
  <c r="AA671" i="13"/>
  <c r="AA2076" i="13"/>
  <c r="AA364" i="13"/>
  <c r="AA1937" i="13"/>
  <c r="AA2819" i="13"/>
  <c r="AA2589" i="13"/>
  <c r="AA3028" i="13"/>
  <c r="AA398" i="13"/>
  <c r="AA534" i="13"/>
  <c r="AA240" i="13"/>
  <c r="AA2375" i="13"/>
  <c r="AA1794" i="13"/>
  <c r="AA2443" i="13"/>
  <c r="AA3503" i="13"/>
  <c r="AA2489" i="13"/>
  <c r="AA742" i="13"/>
  <c r="AA2027" i="13"/>
  <c r="AA1001" i="13"/>
  <c r="AA282" i="13"/>
  <c r="AA1832" i="13"/>
  <c r="AA3055" i="13"/>
  <c r="AA1465" i="13"/>
  <c r="AA123" i="13"/>
  <c r="AA3171" i="13"/>
  <c r="AA1686" i="13"/>
  <c r="AA1178" i="13"/>
  <c r="AA2624" i="13"/>
  <c r="AA3386" i="13"/>
  <c r="AA852" i="13"/>
  <c r="AA1779" i="13"/>
  <c r="AA2423" i="13"/>
  <c r="AA64" i="13"/>
  <c r="AA1312" i="13"/>
  <c r="AA2253" i="13"/>
  <c r="AA3427" i="13"/>
  <c r="AA729" i="13"/>
  <c r="AA721" i="13"/>
  <c r="AA2490" i="13"/>
  <c r="AA3083" i="13"/>
  <c r="AA2594" i="13"/>
  <c r="AA743" i="13"/>
  <c r="AA2407" i="13"/>
  <c r="AA1126" i="13"/>
  <c r="AA581" i="13"/>
  <c r="AA407" i="13"/>
  <c r="AA503" i="13"/>
  <c r="AA3072" i="13"/>
  <c r="AA2519" i="13"/>
  <c r="AA2860" i="13"/>
  <c r="AA1716" i="13"/>
  <c r="AA58" i="13"/>
  <c r="AA1302" i="13"/>
  <c r="AA1771" i="13"/>
  <c r="AA302" i="13"/>
  <c r="AA2510" i="13"/>
  <c r="AA1723" i="13"/>
  <c r="AA2266" i="13"/>
  <c r="AA1719" i="13"/>
  <c r="AA1045" i="13"/>
  <c r="AA992" i="13"/>
  <c r="AA99" i="13"/>
  <c r="AA1813" i="13"/>
  <c r="AA2110" i="13"/>
  <c r="AA2636" i="13"/>
  <c r="AA2789" i="13"/>
  <c r="AA2476" i="13"/>
  <c r="AA645" i="13"/>
  <c r="AA303" i="13"/>
  <c r="AA2563" i="13"/>
  <c r="AA2256" i="13"/>
  <c r="AA3196" i="13"/>
  <c r="AA1374" i="13"/>
  <c r="AA2429" i="13"/>
  <c r="AA938" i="13"/>
  <c r="AA823" i="13"/>
  <c r="AA959" i="13"/>
  <c r="AA1575" i="13"/>
  <c r="AA2389" i="13"/>
  <c r="AA1665" i="13"/>
  <c r="AA1991" i="13"/>
  <c r="AA1765" i="13"/>
  <c r="AA3182" i="13"/>
  <c r="AA2698" i="13"/>
  <c r="AA467" i="13"/>
  <c r="AA771" i="13"/>
  <c r="AA1834" i="13"/>
  <c r="AA741" i="13"/>
  <c r="AA1329" i="13"/>
  <c r="AA2854" i="13"/>
  <c r="AA2190" i="13"/>
  <c r="AA1396" i="13"/>
  <c r="AA2160" i="13"/>
  <c r="AA3126" i="13"/>
  <c r="AA1058" i="13"/>
  <c r="AA2338" i="13"/>
  <c r="AA3518" i="13"/>
  <c r="AA242" i="13"/>
  <c r="AA493" i="13"/>
  <c r="AA628" i="13"/>
  <c r="AA546" i="13"/>
  <c r="AA1394" i="13"/>
  <c r="AA2405" i="13"/>
  <c r="AA25" i="13"/>
  <c r="AA1886" i="13"/>
  <c r="AA2915" i="13"/>
  <c r="AA2461" i="13"/>
  <c r="AA1060" i="13"/>
  <c r="AA2843" i="13"/>
  <c r="AA1866" i="13"/>
  <c r="AA1468" i="13"/>
  <c r="AA2372" i="13"/>
  <c r="AA2068" i="13"/>
  <c r="AA1378" i="13"/>
  <c r="AA930" i="13"/>
  <c r="AA135" i="13"/>
  <c r="AA965" i="13"/>
  <c r="AA1490" i="13"/>
  <c r="AA1885" i="13"/>
  <c r="AA647" i="13"/>
  <c r="AA3376" i="13"/>
  <c r="AA3510" i="13"/>
  <c r="AA492" i="13"/>
  <c r="AA3337" i="13"/>
  <c r="AA3026" i="13"/>
  <c r="AA2039" i="13"/>
  <c r="AA2647" i="13"/>
  <c r="AA2952" i="13"/>
  <c r="AA3347" i="13"/>
  <c r="AA1051" i="13"/>
  <c r="AA1212" i="13"/>
  <c r="AA1633" i="13"/>
  <c r="AA2739" i="13"/>
  <c r="AA3288" i="13"/>
  <c r="AA3428" i="13"/>
  <c r="AA2028" i="13"/>
  <c r="AA1495" i="13"/>
  <c r="AA2290" i="13"/>
  <c r="AA3221" i="13"/>
  <c r="AA2775" i="13"/>
  <c r="AA2893" i="13"/>
  <c r="AA289" i="13"/>
  <c r="AA1966" i="13"/>
  <c r="AA3010" i="13"/>
  <c r="AA749" i="13"/>
  <c r="AA654" i="13"/>
  <c r="AA444" i="13"/>
  <c r="AA98" i="13"/>
  <c r="AA293" i="13"/>
  <c r="AA2553" i="13"/>
  <c r="AA1851" i="13"/>
  <c r="AA2614" i="13"/>
  <c r="AA538" i="13"/>
  <c r="AA3113" i="13"/>
  <c r="J2" i="5"/>
  <c r="J92" i="5"/>
  <c r="J121" i="5"/>
  <c r="J58" i="5"/>
  <c r="J104" i="5"/>
  <c r="J79" i="5"/>
  <c r="J45" i="5"/>
  <c r="J10" i="5"/>
  <c r="J57" i="5"/>
  <c r="J70" i="5"/>
  <c r="J73" i="5"/>
  <c r="J112" i="5"/>
  <c r="AB1543" i="13"/>
  <c r="AB705" i="13"/>
  <c r="AB830" i="13"/>
  <c r="AB3456" i="13"/>
  <c r="AB682" i="13"/>
  <c r="AB1395" i="13"/>
  <c r="AB1792" i="13"/>
  <c r="AB1925" i="13"/>
  <c r="AB704" i="13"/>
  <c r="AB2944" i="13"/>
  <c r="AB25" i="13"/>
  <c r="AB1933" i="13"/>
  <c r="AB1070" i="13"/>
  <c r="AB1351" i="13"/>
  <c r="AB1433" i="13"/>
  <c r="AB826" i="13"/>
  <c r="AB1705" i="13"/>
  <c r="AB22" i="13"/>
  <c r="AB2062" i="13"/>
  <c r="AB3304" i="13"/>
  <c r="AB2633" i="13"/>
  <c r="AB1448" i="13"/>
  <c r="AB2265" i="13"/>
  <c r="AB257" i="13"/>
  <c r="AB3103" i="13"/>
  <c r="AB2573" i="13"/>
  <c r="AB3291" i="13"/>
  <c r="AB2477" i="13"/>
  <c r="AB2798" i="13"/>
  <c r="AB1077" i="13"/>
  <c r="AB2001" i="13"/>
  <c r="AB767" i="13"/>
  <c r="AB1477" i="13"/>
  <c r="AB3094" i="13"/>
  <c r="AB524" i="13"/>
  <c r="AB464" i="13"/>
  <c r="AB1694" i="13"/>
  <c r="AB1567" i="13"/>
  <c r="AB1472" i="13"/>
  <c r="AB2607" i="13"/>
  <c r="AB436" i="13"/>
  <c r="AB563" i="13"/>
  <c r="AB2823" i="13"/>
  <c r="AB349" i="13"/>
  <c r="AB2858" i="13"/>
  <c r="AB678" i="13"/>
  <c r="AB173" i="13"/>
  <c r="AB309" i="13"/>
  <c r="AB3163" i="13"/>
  <c r="AB1613" i="13"/>
  <c r="AB2431" i="13"/>
  <c r="AB866" i="13"/>
  <c r="AB3404" i="13"/>
  <c r="AB547" i="13"/>
  <c r="AB71" i="13"/>
  <c r="AB2282" i="13"/>
  <c r="AB2649" i="13"/>
  <c r="AB2341" i="13"/>
  <c r="AB2694" i="13"/>
  <c r="AB2975" i="13"/>
  <c r="AB838" i="13"/>
  <c r="AB280" i="13"/>
  <c r="AB3133" i="13"/>
  <c r="AB174" i="13"/>
  <c r="AB671" i="13"/>
  <c r="AB3032" i="13"/>
  <c r="AB389" i="13"/>
  <c r="AB1753" i="13"/>
  <c r="AB644" i="13"/>
  <c r="AB3458" i="13"/>
  <c r="AB2674" i="13"/>
  <c r="AB3530" i="13"/>
  <c r="AB2788" i="13"/>
  <c r="AB611" i="13"/>
  <c r="AB1761" i="13"/>
  <c r="AB2359" i="13"/>
  <c r="AB1720" i="13"/>
  <c r="AB2515" i="13"/>
  <c r="AB2385" i="13"/>
  <c r="AB1971" i="13"/>
  <c r="AB1930" i="13"/>
  <c r="AB2829" i="13"/>
  <c r="AB658" i="13"/>
  <c r="AB2596" i="13"/>
  <c r="AB1589" i="13"/>
  <c r="AB2449" i="13"/>
  <c r="AB2064" i="13"/>
  <c r="AB431" i="13"/>
  <c r="AB1757" i="13"/>
  <c r="AB1992" i="13"/>
  <c r="AB2315" i="13"/>
  <c r="AB1668" i="13"/>
  <c r="AB2785" i="13"/>
  <c r="AB3284" i="13"/>
  <c r="AB800" i="13"/>
  <c r="AB3497" i="13"/>
  <c r="AB2496" i="13"/>
  <c r="AB1222" i="13"/>
  <c r="AB2698" i="13"/>
  <c r="AB2220" i="13"/>
  <c r="AB2231" i="13"/>
  <c r="AB1497" i="13"/>
  <c r="AB1072" i="13"/>
  <c r="AB1139" i="13"/>
  <c r="AB2029" i="13"/>
  <c r="AB1958" i="13"/>
  <c r="AB810" i="13"/>
  <c r="AB2680" i="13"/>
  <c r="AB1943" i="13"/>
  <c r="AB2387" i="13"/>
  <c r="AB150" i="13"/>
  <c r="AB1937" i="13"/>
  <c r="AB665" i="13"/>
  <c r="AB1684" i="13"/>
  <c r="AB1798" i="13"/>
  <c r="AB1380" i="13"/>
  <c r="AB2701" i="13"/>
  <c r="AB387" i="13"/>
  <c r="AB1840" i="13"/>
  <c r="AB1929" i="13"/>
  <c r="AB570" i="13"/>
  <c r="AB2912" i="13"/>
  <c r="AB889" i="13"/>
  <c r="AB1962" i="13"/>
  <c r="AB971" i="13"/>
  <c r="AB970" i="13"/>
  <c r="AB3265" i="13"/>
  <c r="AB3368" i="13"/>
  <c r="AB567" i="13"/>
  <c r="AB844" i="13"/>
  <c r="AB2183" i="13"/>
  <c r="AB1754" i="13"/>
  <c r="AB637" i="13"/>
  <c r="AB2861" i="13"/>
  <c r="AB1114" i="13"/>
  <c r="AB1422" i="13"/>
  <c r="AB904" i="13"/>
  <c r="AB3110" i="13"/>
  <c r="AB3027" i="13"/>
  <c r="AB236" i="13"/>
  <c r="AB2045" i="13"/>
  <c r="AB2079" i="13"/>
  <c r="AB2656" i="13"/>
  <c r="AB756" i="13"/>
  <c r="AB992" i="13"/>
  <c r="AB1171" i="13"/>
  <c r="AB1601" i="13"/>
  <c r="AB920" i="13"/>
  <c r="AB333" i="13"/>
  <c r="AB1603" i="13"/>
  <c r="AB771" i="13"/>
  <c r="AB1627" i="13"/>
  <c r="AB814" i="13"/>
  <c r="AB3107" i="13"/>
  <c r="AB908" i="13"/>
  <c r="AB1510" i="13"/>
  <c r="AB2049" i="13"/>
  <c r="AB2562" i="13"/>
  <c r="AB2979" i="13"/>
  <c r="AB2925" i="13"/>
  <c r="AB3514" i="13"/>
  <c r="AB2992" i="13"/>
  <c r="AB3164" i="13"/>
  <c r="AB2379" i="13"/>
  <c r="AB2773" i="13"/>
  <c r="AB861" i="13"/>
  <c r="AB1027" i="13"/>
  <c r="AB1444" i="13"/>
  <c r="AB3420" i="13"/>
  <c r="AB1739" i="13"/>
  <c r="AB1132" i="13"/>
  <c r="AB2642" i="13"/>
  <c r="AB2934" i="13"/>
  <c r="AB89" i="13"/>
  <c r="AB959" i="13"/>
  <c r="AB2405" i="13"/>
  <c r="AB3119" i="13"/>
  <c r="AB1740" i="13"/>
  <c r="AB1882" i="13"/>
  <c r="AB2253" i="13"/>
  <c r="AB359" i="13"/>
  <c r="AB3257" i="13"/>
  <c r="AB2687" i="13"/>
  <c r="AB1640" i="13"/>
  <c r="AB3150" i="13"/>
  <c r="AB2239" i="13"/>
  <c r="AB238" i="13"/>
  <c r="AB75" i="13"/>
  <c r="AB1349" i="13"/>
  <c r="AB847" i="13"/>
  <c r="AB2080" i="13"/>
  <c r="AB3463" i="13"/>
  <c r="AB2746" i="13"/>
  <c r="AB1168" i="13"/>
  <c r="AB2423" i="13"/>
  <c r="AB2146" i="13"/>
  <c r="AB480" i="13"/>
  <c r="AB1217" i="13"/>
  <c r="AB1581" i="13"/>
  <c r="AB1634" i="13"/>
  <c r="AB589" i="13"/>
  <c r="AB905" i="13"/>
  <c r="AB2054" i="13"/>
  <c r="AB1138" i="13"/>
  <c r="AB569" i="13"/>
  <c r="AB1566" i="13"/>
  <c r="AB3052" i="13"/>
  <c r="AB1190" i="13"/>
  <c r="AB2602" i="13"/>
  <c r="AB501" i="13"/>
  <c r="AB3454" i="13"/>
  <c r="AB305" i="13"/>
  <c r="AB1411" i="13"/>
  <c r="AB1158" i="13"/>
  <c r="AB1777" i="13"/>
  <c r="AB1726" i="13"/>
  <c r="AB1532" i="13"/>
  <c r="AB1881" i="13"/>
  <c r="AB2579" i="13"/>
  <c r="AB2537" i="13"/>
  <c r="AB2465" i="13"/>
  <c r="AB408" i="13"/>
  <c r="AB96" i="13"/>
  <c r="AB2859" i="13"/>
  <c r="AB2099" i="13"/>
  <c r="AB248" i="13"/>
  <c r="AB3493" i="13"/>
  <c r="AB1358" i="13"/>
  <c r="AB1201" i="13"/>
  <c r="AB1209" i="13"/>
  <c r="AB3058" i="13"/>
  <c r="AB3531" i="13"/>
  <c r="AB3319" i="13"/>
  <c r="AB2904" i="13"/>
  <c r="AB798" i="13"/>
  <c r="AB2160" i="13"/>
  <c r="AB2291" i="13"/>
  <c r="AB1849" i="13"/>
  <c r="AB843" i="13"/>
  <c r="AB3266" i="13"/>
  <c r="AB2905" i="13"/>
  <c r="AB2269" i="13"/>
  <c r="AA2782" i="13"/>
  <c r="AA2445" i="13"/>
  <c r="AA1675" i="13"/>
  <c r="AA1383" i="13"/>
  <c r="AA2246" i="13"/>
  <c r="AA3314" i="13"/>
  <c r="AA3453" i="13"/>
  <c r="AA2622" i="13"/>
  <c r="AA2179" i="13"/>
  <c r="AA1545" i="13"/>
  <c r="AA2533" i="13"/>
  <c r="AA510" i="13"/>
  <c r="AA2641" i="13"/>
  <c r="AA1541" i="13"/>
  <c r="AA3234" i="13"/>
  <c r="AA1798" i="13"/>
  <c r="AA3112" i="13"/>
  <c r="AA769" i="13"/>
  <c r="AA469" i="13"/>
  <c r="AA795" i="13"/>
  <c r="AA1565" i="13"/>
  <c r="AA1670" i="13"/>
  <c r="AA3219" i="13"/>
  <c r="AA740" i="13"/>
  <c r="AA3499" i="13"/>
  <c r="AA153" i="13"/>
  <c r="AA3420" i="13"/>
  <c r="AA2550" i="13"/>
  <c r="AA1520" i="13"/>
  <c r="AA2570" i="13"/>
  <c r="AA1938" i="13"/>
  <c r="AA1646" i="13"/>
  <c r="AA3087" i="13"/>
  <c r="AA2184" i="13"/>
  <c r="AA2070" i="13"/>
  <c r="AA1160" i="13"/>
  <c r="AA1860" i="13"/>
  <c r="AA2086" i="13"/>
  <c r="AA1476" i="13"/>
  <c r="AA1092" i="13"/>
  <c r="AA2161" i="13"/>
  <c r="AA3485" i="13"/>
  <c r="AA2716" i="13"/>
  <c r="AA777" i="13"/>
  <c r="AA975" i="13"/>
  <c r="AA1611" i="13"/>
  <c r="AA889" i="13"/>
  <c r="AA2467" i="13"/>
  <c r="AA3475" i="13"/>
  <c r="AA285" i="13"/>
  <c r="AA908" i="13"/>
  <c r="AA1671" i="13"/>
  <c r="AA1041" i="13"/>
  <c r="AA2251" i="13"/>
  <c r="AA754" i="13"/>
  <c r="AA416" i="13"/>
  <c r="AA1809" i="13"/>
  <c r="AA2196" i="13"/>
  <c r="AA2936" i="13"/>
  <c r="AA2907" i="13"/>
  <c r="AA1580" i="13"/>
  <c r="AA385" i="13"/>
  <c r="AA897" i="13"/>
  <c r="AA789" i="13"/>
  <c r="AA694" i="13"/>
  <c r="AA1304" i="13"/>
  <c r="AA460" i="13"/>
  <c r="AA1023" i="13"/>
  <c r="AA835" i="13"/>
  <c r="AA1052" i="13"/>
  <c r="AA1133" i="13"/>
  <c r="AA185" i="13"/>
  <c r="AA2173" i="13"/>
  <c r="AA219" i="13"/>
  <c r="AA1343" i="13"/>
  <c r="AA1246" i="13"/>
  <c r="AA173" i="13"/>
  <c r="AA2144" i="13"/>
  <c r="AA589" i="13"/>
  <c r="AA620" i="13"/>
  <c r="AA2754" i="13"/>
  <c r="AA1899" i="13"/>
  <c r="AA2897" i="13"/>
  <c r="AA2258" i="13"/>
  <c r="AA269" i="13"/>
  <c r="AA2988" i="13"/>
  <c r="AA2198" i="13"/>
  <c r="AA1978" i="13"/>
  <c r="AA1529" i="13"/>
  <c r="AA2955" i="13"/>
  <c r="AA462" i="13"/>
  <c r="AA2381" i="13"/>
  <c r="AA2673" i="13"/>
  <c r="AA2554" i="13"/>
  <c r="AA2066" i="13"/>
  <c r="AA878" i="13"/>
  <c r="AA2226" i="13"/>
  <c r="AA33" i="13"/>
  <c r="AA1190" i="13"/>
  <c r="AA1597" i="13"/>
  <c r="AA195" i="13"/>
  <c r="AA1801" i="13"/>
  <c r="AA569" i="13"/>
  <c r="AA141" i="13"/>
  <c r="AA3252" i="13"/>
  <c r="AA2264" i="13"/>
  <c r="AA1408" i="13"/>
  <c r="AA2321" i="13"/>
  <c r="AA1139" i="13"/>
  <c r="AA3051" i="13"/>
  <c r="AA3480" i="13"/>
  <c r="AA962" i="13"/>
  <c r="AA137" i="13"/>
  <c r="AA1435" i="13"/>
  <c r="AA2649" i="13"/>
  <c r="AA506" i="13"/>
  <c r="AA1848" i="13"/>
  <c r="AA662" i="13"/>
  <c r="AA1850" i="13"/>
  <c r="AA2009" i="13"/>
  <c r="AA3540" i="13"/>
  <c r="AA1892" i="13"/>
  <c r="AA2209" i="13"/>
  <c r="AA368" i="13"/>
  <c r="AA787" i="13"/>
  <c r="AA3299" i="13"/>
  <c r="AA1617" i="13"/>
  <c r="AA2507" i="13"/>
  <c r="AA1893" i="13"/>
  <c r="AA2835" i="13"/>
  <c r="AA2842" i="13"/>
  <c r="AA1209" i="13"/>
  <c r="AA1261" i="13"/>
  <c r="AA1752" i="13"/>
  <c r="AA1802" i="13"/>
  <c r="AA1690" i="13"/>
  <c r="AA1106" i="13"/>
  <c r="AA2365" i="13"/>
  <c r="AA2417" i="13"/>
  <c r="AA70" i="13"/>
  <c r="AA1757" i="13"/>
  <c r="AA2314" i="13"/>
  <c r="AA3149" i="13"/>
  <c r="AA1032" i="13"/>
  <c r="AA2681" i="13"/>
  <c r="AA2203" i="13"/>
  <c r="AA888" i="13"/>
  <c r="AA820" i="13"/>
  <c r="AA3346" i="13"/>
  <c r="AA554" i="13"/>
  <c r="AA170" i="13"/>
  <c r="AA2651" i="13"/>
  <c r="AA2418" i="13"/>
  <c r="AA2826" i="13"/>
  <c r="AA246" i="13"/>
  <c r="AA954" i="13"/>
  <c r="AA3512" i="13"/>
  <c r="AA1141" i="13"/>
  <c r="AA886" i="13"/>
  <c r="AA2010" i="13"/>
  <c r="AA2547" i="13"/>
  <c r="AA963" i="13"/>
  <c r="AA1894" i="13"/>
  <c r="AA882" i="13"/>
  <c r="AA2883" i="13"/>
  <c r="AA309" i="13"/>
  <c r="AA2328" i="13"/>
  <c r="AA231" i="13"/>
  <c r="AA1857" i="13"/>
  <c r="AA1645" i="13"/>
  <c r="AA1634" i="13"/>
  <c r="AA3367" i="13"/>
  <c r="AA1219" i="13"/>
  <c r="AA2501" i="13"/>
  <c r="AA573" i="13"/>
  <c r="AA517" i="13"/>
  <c r="AA1357" i="13"/>
  <c r="AA1578" i="13"/>
  <c r="AA1760" i="13"/>
  <c r="AA642" i="13"/>
  <c r="AA2950" i="13"/>
  <c r="AA2945" i="13"/>
  <c r="AA1932" i="13"/>
  <c r="AA1200" i="13"/>
  <c r="AA2672" i="13"/>
  <c r="AA3285" i="13"/>
  <c r="AA2512" i="13"/>
  <c r="AA167" i="13"/>
  <c r="AA363" i="13"/>
  <c r="AA380" i="13"/>
  <c r="AA916" i="13"/>
  <c r="AA2477" i="13"/>
  <c r="AA2415" i="13"/>
  <c r="AA2884" i="13"/>
  <c r="AA2684" i="13"/>
  <c r="AA3516" i="13"/>
  <c r="AA301" i="13"/>
  <c r="AA2029" i="13"/>
  <c r="AA612" i="13"/>
  <c r="AA93" i="13"/>
  <c r="AA300" i="13"/>
  <c r="AA3311" i="13"/>
  <c r="AA2482" i="13"/>
  <c r="AA1321" i="13"/>
  <c r="AA146" i="13"/>
  <c r="AA1708" i="13"/>
  <c r="AA1713" i="13"/>
  <c r="AA1546" i="13"/>
  <c r="AA2242" i="13"/>
  <c r="AA3488" i="13"/>
  <c r="AA2042" i="13"/>
  <c r="AA1371" i="13"/>
  <c r="AA194" i="13"/>
  <c r="AA1769" i="13"/>
  <c r="AA2224" i="13"/>
  <c r="AA1624" i="13"/>
  <c r="AA2590" i="13"/>
  <c r="AA2882" i="13"/>
  <c r="AA2447" i="13"/>
  <c r="AA1833" i="13"/>
  <c r="AA2131" i="13"/>
  <c r="AA545" i="13"/>
  <c r="AA27" i="13"/>
  <c r="AA1080" i="13"/>
  <c r="J39" i="5"/>
  <c r="J82" i="5"/>
  <c r="J117" i="5"/>
  <c r="J26" i="5"/>
  <c r="J72" i="5"/>
  <c r="J31" i="5"/>
  <c r="J96" i="5"/>
  <c r="J119" i="5"/>
  <c r="J95" i="5"/>
  <c r="J18" i="5"/>
  <c r="J29" i="5"/>
  <c r="J40" i="5"/>
  <c r="AB896" i="13"/>
  <c r="AB2544" i="13"/>
  <c r="AB66" i="13"/>
  <c r="AB724" i="13"/>
  <c r="AB1494" i="13"/>
  <c r="AB3046" i="13"/>
  <c r="AB1710" i="13"/>
  <c r="AB1227" i="13"/>
  <c r="AB266" i="13"/>
  <c r="AB2016" i="13"/>
  <c r="AB755" i="13"/>
  <c r="AB587" i="13"/>
  <c r="AB1386" i="13"/>
  <c r="AB298" i="13"/>
  <c r="AB1203" i="13"/>
  <c r="AB1026" i="13"/>
  <c r="AB2756" i="13"/>
  <c r="AB932" i="13"/>
  <c r="AB802" i="13"/>
  <c r="AB1536" i="13"/>
  <c r="AB92" i="13"/>
  <c r="AB2227" i="13"/>
  <c r="AB921" i="13"/>
  <c r="AB2184" i="13"/>
  <c r="AB2894" i="13"/>
  <c r="AB3524" i="13"/>
  <c r="AB2623" i="13"/>
  <c r="AB160" i="13"/>
  <c r="AB2517" i="13"/>
  <c r="AB1967" i="13"/>
  <c r="AB2388" i="13"/>
  <c r="AB486" i="13"/>
  <c r="AB3523" i="13"/>
  <c r="AB1418" i="13"/>
  <c r="AB1053" i="13"/>
  <c r="AB1390" i="13"/>
  <c r="AB2940" i="13"/>
  <c r="AB3323" i="13"/>
  <c r="AB2166" i="13"/>
  <c r="AB1612" i="13"/>
  <c r="AB207" i="13"/>
  <c r="AB3490" i="13"/>
  <c r="AB39" i="13"/>
  <c r="AB2648" i="13"/>
  <c r="AB1499" i="13"/>
  <c r="AB1808" i="13"/>
  <c r="AB1979" i="13"/>
  <c r="AB1635" i="13"/>
  <c r="AB3348" i="13"/>
  <c r="AB212" i="13"/>
  <c r="AB1295" i="13"/>
  <c r="AB230" i="13"/>
  <c r="AB1285" i="13"/>
  <c r="AB1334" i="13"/>
  <c r="AB1529" i="13"/>
  <c r="AB3126" i="13"/>
  <c r="AB1255" i="13"/>
  <c r="AB1591" i="13"/>
  <c r="AB1602" i="13"/>
  <c r="AB1049" i="13"/>
  <c r="AB689" i="13"/>
  <c r="AB3429" i="13"/>
  <c r="AB938" i="13"/>
  <c r="AB3261" i="13"/>
  <c r="AB720" i="13"/>
  <c r="AB2597" i="13"/>
  <c r="AB2386" i="13"/>
  <c r="AB2813" i="13"/>
  <c r="AB1725" i="13"/>
  <c r="AB270" i="13"/>
  <c r="AB1345" i="13"/>
  <c r="AB3236" i="13"/>
  <c r="AB1504" i="13"/>
  <c r="AB2391" i="13"/>
  <c r="AB343" i="13"/>
  <c r="AB3384" i="13"/>
  <c r="AB527" i="13"/>
  <c r="AB77" i="13"/>
  <c r="AB1476" i="13"/>
  <c r="AB2576" i="13"/>
  <c r="AB1316" i="13"/>
  <c r="AB3382" i="13"/>
  <c r="AB2745" i="13"/>
  <c r="AB55" i="13"/>
  <c r="AB2017" i="13"/>
  <c r="AB1794" i="13"/>
  <c r="AB2879" i="13"/>
  <c r="AB1523" i="13"/>
  <c r="AB118" i="13"/>
  <c r="AB715" i="13"/>
  <c r="AB234" i="13"/>
  <c r="AB877" i="13"/>
  <c r="AB708" i="13"/>
  <c r="AB3143" i="13"/>
  <c r="AB1724" i="13"/>
  <c r="AB232" i="13"/>
  <c r="AB1177" i="13"/>
  <c r="AB94" i="13"/>
  <c r="AB292" i="13"/>
  <c r="AB3137" i="13"/>
  <c r="AB2896" i="13"/>
  <c r="AB736" i="13"/>
  <c r="AB1983" i="13"/>
  <c r="AB1154" i="13"/>
  <c r="AB2840" i="13"/>
  <c r="AA1618" i="13"/>
  <c r="AA2705" i="13"/>
  <c r="AA3497" i="13"/>
  <c r="AA917" i="13"/>
  <c r="AA1199" i="13"/>
  <c r="AA1962" i="13"/>
  <c r="AA1464" i="13"/>
  <c r="AA1360" i="13"/>
  <c r="AA3486" i="13"/>
  <c r="AA1255" i="13"/>
  <c r="AA513" i="13"/>
  <c r="AA1509" i="13"/>
  <c r="AA1818" i="13"/>
  <c r="AA391" i="13"/>
  <c r="AA1245" i="13"/>
  <c r="AA1650" i="13"/>
  <c r="AA629" i="13"/>
  <c r="AA2428" i="13"/>
  <c r="AA2464" i="13"/>
  <c r="AA1421" i="13"/>
  <c r="AA658" i="13"/>
  <c r="AA3487" i="13"/>
  <c r="AA1836" i="13"/>
  <c r="AA790" i="13"/>
  <c r="AA2206" i="13"/>
  <c r="AA354" i="13"/>
  <c r="AA1096" i="13"/>
  <c r="AA1077" i="13"/>
  <c r="AA3353" i="13"/>
  <c r="AA2905" i="13"/>
  <c r="AA1654" i="13"/>
  <c r="AA1333" i="13"/>
  <c r="AA2599" i="13"/>
  <c r="AA533" i="13"/>
  <c r="AA2621" i="13"/>
  <c r="AA1740" i="13"/>
  <c r="AA2517" i="13"/>
  <c r="AA2767" i="13"/>
  <c r="AA726" i="13"/>
  <c r="AA3004" i="13"/>
  <c r="AA2813" i="13"/>
  <c r="AA583" i="13"/>
  <c r="AA57" i="13"/>
  <c r="AA2208" i="13"/>
  <c r="AA397" i="13"/>
  <c r="AA957" i="13"/>
  <c r="AA557" i="13"/>
  <c r="AA1158" i="13"/>
  <c r="AA3226" i="13"/>
  <c r="AA928" i="13"/>
  <c r="AA299" i="13"/>
  <c r="AA3076" i="13"/>
  <c r="AA1239" i="13"/>
  <c r="AA1306" i="13"/>
  <c r="AA328" i="13"/>
  <c r="AA2678" i="13"/>
  <c r="AA2633" i="13"/>
  <c r="AA776" i="13"/>
  <c r="AA1669" i="13"/>
  <c r="AA3248" i="13"/>
  <c r="AA1206" i="13"/>
  <c r="AA3098" i="13"/>
  <c r="AA2990" i="13"/>
  <c r="AA3261" i="13"/>
  <c r="AA2886" i="13"/>
  <c r="AA2468" i="13"/>
  <c r="AA757" i="13"/>
  <c r="AA2807" i="13"/>
  <c r="AA1586" i="13"/>
  <c r="AA711" i="13"/>
  <c r="AA3443" i="13"/>
  <c r="AA1107" i="13"/>
  <c r="AA2861" i="13"/>
  <c r="AA2953" i="13"/>
  <c r="AA1614" i="13"/>
  <c r="AA1467" i="13"/>
  <c r="AA1616" i="13"/>
  <c r="AA96" i="13"/>
  <c r="AA225" i="13"/>
  <c r="AA2894" i="13"/>
  <c r="AA2648" i="13"/>
  <c r="AA1828" i="13"/>
  <c r="AA722" i="13"/>
  <c r="AA436" i="13"/>
  <c r="AA3511" i="13"/>
  <c r="AA2023" i="13"/>
  <c r="AA32" i="13"/>
  <c r="AA2388" i="13"/>
  <c r="AA2575" i="13"/>
  <c r="AA1232" i="13"/>
  <c r="AA2760" i="13"/>
  <c r="AA374" i="13"/>
  <c r="AA2175" i="13"/>
  <c r="AA1879" i="13"/>
  <c r="AA1554" i="13"/>
  <c r="AA2848" i="13"/>
  <c r="AA1933" i="13"/>
  <c r="AA2640" i="13"/>
  <c r="AA1384" i="13"/>
  <c r="AA2874" i="13"/>
  <c r="AA1919" i="13"/>
  <c r="AA2211" i="13"/>
  <c r="AA3319" i="13"/>
  <c r="AA297" i="13"/>
  <c r="AA1913" i="13"/>
  <c r="AA713" i="13"/>
  <c r="AA1947" i="13"/>
  <c r="AA3405" i="13"/>
  <c r="AA596" i="13"/>
  <c r="AA184" i="13"/>
  <c r="AA2660" i="13"/>
  <c r="AA2727" i="13"/>
  <c r="AA3383" i="13"/>
  <c r="AA2000" i="13"/>
  <c r="AA327" i="13"/>
  <c r="AA2098" i="13"/>
  <c r="AA2485" i="13"/>
  <c r="AA1102" i="13"/>
  <c r="AA43" i="13"/>
  <c r="AA1910" i="13"/>
  <c r="AA483" i="13"/>
  <c r="AA2233" i="13"/>
  <c r="AA2791" i="13"/>
  <c r="AA3101" i="13"/>
  <c r="AA3344" i="13"/>
  <c r="AA3351" i="13"/>
  <c r="AA2638" i="13"/>
  <c r="AA3482" i="13"/>
  <c r="AA884" i="13"/>
  <c r="AA3011" i="13"/>
  <c r="AA3093" i="13"/>
  <c r="AA1911" i="13"/>
  <c r="AA1780" i="13"/>
  <c r="AA2410" i="13"/>
  <c r="AA1958" i="13"/>
  <c r="AA3446" i="13"/>
  <c r="AA2491" i="13"/>
  <c r="AA343" i="13"/>
  <c r="AA36" i="13"/>
  <c r="AA3329" i="13"/>
  <c r="AA969" i="13"/>
  <c r="AA850" i="13"/>
  <c r="AA1324" i="13"/>
  <c r="AA1925" i="13"/>
  <c r="AA2061" i="13"/>
  <c r="AA89" i="13"/>
  <c r="AA268" i="13"/>
  <c r="AA3406" i="13"/>
  <c r="AA3316" i="13"/>
  <c r="AA1243" i="13"/>
  <c r="J126" i="5"/>
  <c r="J115" i="5"/>
  <c r="J86" i="5"/>
  <c r="J49" i="5"/>
  <c r="J20" i="5"/>
  <c r="J61" i="5"/>
  <c r="J4" i="5"/>
  <c r="AB1059" i="13"/>
  <c r="AB1430" i="13"/>
  <c r="AB949" i="13"/>
  <c r="AB2435" i="13"/>
  <c r="AB1020" i="13"/>
  <c r="AB1765" i="13"/>
  <c r="AB2624" i="13"/>
  <c r="AB3361" i="13"/>
  <c r="AB2299" i="13"/>
  <c r="AB291" i="13"/>
  <c r="AB2072" i="13"/>
  <c r="AB1565" i="13"/>
  <c r="AB215" i="13"/>
  <c r="AB54" i="13"/>
  <c r="AB3124" i="13"/>
  <c r="AB421" i="13"/>
  <c r="AB803" i="13"/>
  <c r="AB2888" i="13"/>
  <c r="AB2357" i="13"/>
  <c r="AB2824" i="13"/>
  <c r="AB2627" i="13"/>
  <c r="AB2469" i="13"/>
  <c r="AB3306" i="13"/>
  <c r="AB1309" i="13"/>
  <c r="AB2068" i="13"/>
  <c r="AB451" i="13"/>
  <c r="AB987" i="13"/>
  <c r="AB1836" i="13"/>
  <c r="AB1149" i="13"/>
  <c r="AB3481" i="13"/>
  <c r="AB1204" i="13"/>
  <c r="AB2501" i="13"/>
  <c r="AB2907" i="13"/>
  <c r="AB870" i="13"/>
  <c r="AB3162" i="13"/>
  <c r="AB2705" i="13"/>
  <c r="AB639" i="13"/>
  <c r="AB3396" i="13"/>
  <c r="AB813" i="13"/>
  <c r="AB3483" i="13"/>
  <c r="AB321" i="13"/>
  <c r="AB2886" i="13"/>
  <c r="AB711" i="13"/>
  <c r="AB2170" i="13"/>
  <c r="AB76" i="13"/>
  <c r="AB1233" i="13"/>
  <c r="AB2042" i="13"/>
  <c r="AB2714" i="13"/>
  <c r="AB38" i="13"/>
  <c r="AB1713" i="13"/>
  <c r="AB240" i="13"/>
  <c r="AB2142" i="13"/>
  <c r="AB3097" i="13"/>
  <c r="AB2804" i="13"/>
  <c r="AB1548" i="13"/>
  <c r="AB3034" i="13"/>
  <c r="AB471" i="13"/>
  <c r="AB565" i="13"/>
  <c r="AB3129" i="13"/>
  <c r="AB3078" i="13"/>
  <c r="AB2445" i="13"/>
  <c r="AB1213" i="13"/>
  <c r="AB2499" i="13"/>
  <c r="AB2769" i="13"/>
  <c r="AB2133" i="13"/>
  <c r="AB2441" i="13"/>
  <c r="AB2104" i="13"/>
  <c r="AB2835" i="13"/>
  <c r="AB3048" i="13"/>
  <c r="AB1679" i="13"/>
  <c r="AB1040" i="13"/>
  <c r="AB1069" i="13"/>
  <c r="AB2011" i="13"/>
  <c r="AB955" i="13"/>
  <c r="AB2498" i="13"/>
  <c r="AB2751" i="13"/>
  <c r="AB141" i="13"/>
  <c r="AB878" i="13"/>
  <c r="AB3297" i="13"/>
  <c r="AB1980" i="13"/>
  <c r="AB2182" i="13"/>
  <c r="AB341" i="13"/>
  <c r="AB2797" i="13"/>
  <c r="AB779" i="13"/>
  <c r="AB2902" i="13"/>
  <c r="AB2365" i="13"/>
  <c r="AB1554" i="13"/>
  <c r="AB979" i="13"/>
  <c r="AB1368" i="13"/>
  <c r="AB2539" i="13"/>
  <c r="AB1200" i="13"/>
  <c r="AB504" i="13"/>
  <c r="AB3238" i="13"/>
  <c r="AB2915" i="13"/>
  <c r="AB508" i="13"/>
  <c r="AB2073" i="13"/>
  <c r="AB2148" i="13"/>
  <c r="AB1533" i="13"/>
  <c r="AB1707" i="13"/>
  <c r="AB1491" i="13"/>
  <c r="AB1043" i="13"/>
  <c r="AB45" i="13"/>
  <c r="AB1155" i="13"/>
  <c r="AB3063" i="13"/>
  <c r="AB2918" i="13"/>
  <c r="AB1834" i="13"/>
  <c r="AB895" i="13"/>
  <c r="AB2962" i="13"/>
  <c r="AB274" i="13"/>
  <c r="AB1176" i="13"/>
  <c r="AB1225" i="13"/>
  <c r="AB2917" i="13"/>
  <c r="AB1198" i="13"/>
  <c r="AB2781" i="13"/>
  <c r="AB2057" i="13"/>
  <c r="AB579" i="13"/>
  <c r="AB3488" i="13"/>
  <c r="AB571" i="13"/>
  <c r="AB2035" i="13"/>
  <c r="AB768" i="13"/>
  <c r="AB2755" i="13"/>
  <c r="AB831" i="13"/>
  <c r="AB3528" i="13"/>
  <c r="AB2415" i="13"/>
  <c r="AB1615" i="13"/>
  <c r="AB2739" i="13"/>
  <c r="AB3095" i="13"/>
  <c r="AB3227" i="13"/>
  <c r="AB2867" i="13"/>
  <c r="AB1926" i="13"/>
  <c r="AB2598" i="13"/>
  <c r="AB1273" i="13"/>
  <c r="AB630" i="13"/>
  <c r="AB3130" i="13"/>
  <c r="AB3478" i="13"/>
  <c r="AB3475" i="13"/>
  <c r="AB2637" i="13"/>
  <c r="AB3300" i="13"/>
  <c r="AB269" i="13"/>
  <c r="AB559" i="13"/>
  <c r="AB288" i="13"/>
  <c r="AB2850" i="13"/>
  <c r="AB2173" i="13"/>
  <c r="AB112" i="13"/>
  <c r="AB2765" i="13"/>
  <c r="AB2719" i="13"/>
  <c r="AB2437" i="13"/>
  <c r="AB1534" i="13"/>
  <c r="AB440" i="13"/>
  <c r="AB2901" i="13"/>
  <c r="AB1776" i="13"/>
  <c r="AB3336" i="13"/>
  <c r="AB1218" i="13"/>
  <c r="AB2297" i="13"/>
  <c r="AB1701" i="13"/>
  <c r="AB1975" i="13"/>
  <c r="AB384" i="13"/>
  <c r="AB3234" i="13"/>
  <c r="AB167" i="13"/>
  <c r="AB3066" i="13"/>
  <c r="AB1210" i="13"/>
  <c r="AB1995" i="13"/>
  <c r="AB582" i="13"/>
  <c r="AB2351" i="13"/>
  <c r="AB285" i="13"/>
  <c r="AB1691" i="13"/>
  <c r="AB3008" i="13"/>
  <c r="AB194" i="13"/>
  <c r="AB2668" i="13"/>
  <c r="AB209" i="13"/>
  <c r="AB1728" i="13"/>
  <c r="AB2876" i="13"/>
  <c r="AB2855" i="13"/>
  <c r="AB698" i="13"/>
  <c r="AB1704" i="13"/>
  <c r="AB1169" i="13"/>
  <c r="AB3372" i="13"/>
  <c r="AB2446" i="13"/>
  <c r="AB3419" i="13"/>
  <c r="AB2527" i="13"/>
  <c r="AB1982" i="13"/>
  <c r="AB1305" i="13"/>
  <c r="AB1014" i="13"/>
  <c r="AB1338" i="13"/>
  <c r="AB378" i="13"/>
  <c r="AB26" i="13"/>
  <c r="AB2140" i="13"/>
  <c r="AB575" i="13"/>
  <c r="AB1552" i="13"/>
  <c r="AB2482" i="13"/>
  <c r="AB3467" i="13"/>
  <c r="AB2799" i="13"/>
  <c r="AB2332" i="13"/>
  <c r="AB3085" i="13"/>
  <c r="AB1526" i="13"/>
  <c r="AB278" i="13"/>
  <c r="AB1503" i="13"/>
  <c r="AB3326" i="13"/>
  <c r="AB604" i="13"/>
  <c r="AB2327" i="13"/>
  <c r="AB1513" i="13"/>
  <c r="AB2152" i="13"/>
  <c r="AB58" i="13"/>
  <c r="AB3047" i="13"/>
  <c r="AB187" i="13"/>
  <c r="AB2613" i="13"/>
  <c r="AB1246" i="13"/>
  <c r="AB3416" i="13"/>
  <c r="AB2344" i="13"/>
  <c r="AB375" i="13"/>
  <c r="AB2893" i="13"/>
  <c r="AB110" i="13"/>
  <c r="AB2557" i="13"/>
  <c r="AB1383" i="13"/>
  <c r="AB2616" i="13"/>
  <c r="AB3526" i="13"/>
  <c r="AB518" i="13"/>
  <c r="AB3018" i="13"/>
  <c r="AB3338" i="13"/>
  <c r="AB3434" i="13"/>
  <c r="AB2521" i="13"/>
  <c r="AB744" i="13"/>
  <c r="AB1471" i="13"/>
  <c r="AB688" i="13"/>
  <c r="AB2314" i="13"/>
  <c r="AB2958" i="13"/>
  <c r="AB2444" i="13"/>
  <c r="AB3145" i="13"/>
  <c r="AB3303" i="13"/>
  <c r="AB2601" i="13"/>
  <c r="AB2193" i="13"/>
  <c r="AB3277" i="13"/>
  <c r="AB1456" i="13"/>
  <c r="AB2849" i="13"/>
  <c r="AB601" i="13"/>
  <c r="AB3355" i="13"/>
  <c r="AB1831" i="13"/>
  <c r="AB876" i="13"/>
  <c r="AB576" i="13"/>
  <c r="AB2129" i="13"/>
  <c r="AB3267" i="13"/>
  <c r="AB2096" i="13"/>
  <c r="AB2490" i="13"/>
  <c r="AB241" i="13"/>
  <c r="AB403" i="13"/>
  <c r="AB228" i="13"/>
  <c r="AB237" i="13"/>
  <c r="AB290" i="13"/>
  <c r="AB2786" i="13"/>
  <c r="AB3005" i="13"/>
  <c r="AB1332" i="13"/>
  <c r="AB2413" i="13"/>
  <c r="AB1214" i="13"/>
  <c r="AB185" i="13"/>
  <c r="AB2257" i="13"/>
  <c r="AB1463" i="13"/>
  <c r="AB2709" i="13"/>
  <c r="AB2711" i="13"/>
  <c r="AB1150" i="13"/>
  <c r="AB2881" i="13"/>
  <c r="AB2645" i="13"/>
  <c r="AB3256" i="13"/>
  <c r="AB3435" i="13"/>
  <c r="AB2873" i="13"/>
  <c r="AB2093" i="13"/>
  <c r="AB239" i="13"/>
  <c r="AB973" i="13"/>
  <c r="AB2543" i="13"/>
  <c r="AB2825" i="13"/>
  <c r="AB842" i="13"/>
  <c r="AB1795" i="13"/>
  <c r="AB3020" i="13"/>
  <c r="AB3441" i="13"/>
  <c r="AB2707" i="13"/>
  <c r="AB3527" i="13"/>
  <c r="AB3309" i="13"/>
  <c r="AB3314" i="13"/>
  <c r="AB1283" i="13"/>
  <c r="AB2400" i="13"/>
  <c r="AB2034" i="13"/>
  <c r="AB2241" i="13"/>
  <c r="AB1706" i="13"/>
  <c r="AB874" i="13"/>
  <c r="AB2854" i="13"/>
  <c r="AB1582" i="13"/>
  <c r="AB362" i="13"/>
  <c r="AB687" i="13"/>
  <c r="AB1520" i="13"/>
  <c r="AB2957" i="13"/>
  <c r="AB1575" i="13"/>
  <c r="AB1521" i="13"/>
  <c r="AB1750" i="13"/>
  <c r="AB1851" i="13"/>
  <c r="AB564" i="13"/>
  <c r="AB328" i="13"/>
  <c r="AB769" i="13"/>
  <c r="AB521" i="13"/>
  <c r="AB1147" i="13"/>
  <c r="AB1221" i="13"/>
  <c r="AB1081" i="13"/>
  <c r="AB618" i="13"/>
  <c r="AB1067" i="13"/>
  <c r="AB452" i="13"/>
  <c r="AB1659" i="13"/>
  <c r="AB3242" i="13"/>
  <c r="AB542" i="13"/>
  <c r="AB1044" i="13"/>
  <c r="AB1656" i="13"/>
  <c r="AB2417" i="13"/>
  <c r="AB275" i="13"/>
  <c r="AB1819" i="13"/>
  <c r="AB925" i="13"/>
  <c r="AB730" i="13"/>
  <c r="AB999" i="13"/>
  <c r="AB95" i="13"/>
  <c r="AB1060" i="13"/>
  <c r="AB937" i="13"/>
  <c r="AB1103" i="13"/>
  <c r="AB1563" i="13"/>
  <c r="AB3302" i="13"/>
  <c r="AB3038" i="13"/>
  <c r="AB223" i="13"/>
  <c r="AB1379" i="13"/>
  <c r="AB583" i="13"/>
  <c r="AB1921" i="13"/>
  <c r="AB868" i="13"/>
  <c r="AB1426" i="13"/>
  <c r="AB2399" i="13"/>
  <c r="AB3147" i="13"/>
  <c r="AB2427" i="13"/>
  <c r="AB1793" i="13"/>
  <c r="AB1030" i="13"/>
  <c r="AB1976" i="13"/>
  <c r="AB719" i="13"/>
  <c r="AB2279" i="13"/>
  <c r="AB2052" i="13"/>
  <c r="AB1695" i="13"/>
  <c r="AB2793" i="13"/>
  <c r="AB1400" i="13"/>
  <c r="AB1104" i="13"/>
  <c r="AB426" i="13"/>
  <c r="AB621" i="13"/>
  <c r="AB3374" i="13"/>
  <c r="AB1900" i="13"/>
  <c r="AB366" i="13"/>
  <c r="AB3214" i="13"/>
  <c r="AB2474" i="13"/>
  <c r="AB857" i="13"/>
  <c r="AB1590" i="13"/>
  <c r="AB3320" i="13"/>
  <c r="AB1393" i="13"/>
  <c r="AB37" i="13"/>
  <c r="AB2132" i="13"/>
  <c r="AB3317" i="13"/>
  <c r="AB3290" i="13"/>
  <c r="AB80" i="13"/>
  <c r="AB3344" i="13"/>
  <c r="AB3318" i="13"/>
  <c r="AB2736" i="13"/>
  <c r="AB1895" i="13"/>
  <c r="AB1142" i="13"/>
  <c r="AB2027" i="13"/>
  <c r="AB3089" i="13"/>
  <c r="AB3387" i="13"/>
  <c r="AB2869" i="13"/>
  <c r="AB2787" i="13"/>
  <c r="AB1622" i="13"/>
  <c r="AB473" i="13"/>
  <c r="AB461" i="13"/>
  <c r="AB944" i="13"/>
  <c r="AB977" i="13"/>
  <c r="AB3457" i="13"/>
  <c r="AB317" i="13"/>
  <c r="AB3325" i="13"/>
  <c r="AB2732" i="13"/>
  <c r="AB2667" i="13"/>
  <c r="AB557" i="13"/>
  <c r="AB533" i="13"/>
  <c r="AB1639" i="13"/>
  <c r="AB1466" i="13"/>
  <c r="AB2459" i="13"/>
  <c r="AB1698" i="13"/>
  <c r="AB3340" i="13"/>
  <c r="AB308" i="13"/>
  <c r="AB2673" i="13"/>
  <c r="AB2946" i="13"/>
  <c r="AB1443" i="13"/>
  <c r="AB536" i="13"/>
  <c r="AB2511" i="13"/>
  <c r="AB385" i="13"/>
  <c r="AB213" i="13"/>
  <c r="AB3403" i="13"/>
  <c r="AB1712" i="13"/>
  <c r="AB1963" i="13"/>
  <c r="AB502" i="13"/>
  <c r="AB2082" i="13"/>
  <c r="AB525" i="13"/>
  <c r="AB73" i="13"/>
  <c r="AB2008" i="13"/>
  <c r="AB492" i="13"/>
  <c r="AA1181" i="13"/>
  <c r="AA3206" i="13"/>
  <c r="AA2227" i="13"/>
  <c r="AA2602" i="13"/>
  <c r="AA1315" i="13"/>
  <c r="AA1831" i="13"/>
  <c r="AA576" i="13"/>
  <c r="AA931" i="13"/>
  <c r="AA2493" i="13"/>
  <c r="AA3491" i="13"/>
  <c r="AA2318" i="13"/>
  <c r="AA365" i="13"/>
  <c r="AA1174" i="13"/>
  <c r="AA929" i="13"/>
  <c r="AA2406" i="13"/>
  <c r="AA815" i="13"/>
  <c r="AA1992" i="13"/>
  <c r="AA1557" i="13"/>
  <c r="AA3212" i="13"/>
  <c r="AA1236" i="13"/>
  <c r="AA2868" i="13"/>
  <c r="AA3150" i="13"/>
  <c r="AA2038" i="13"/>
  <c r="AA2780" i="13"/>
  <c r="AA2737" i="13"/>
  <c r="AA2499" i="13"/>
  <c r="AA205" i="13"/>
  <c r="AA528" i="13"/>
  <c r="AA50" i="13"/>
  <c r="AA1701" i="13"/>
  <c r="AA3245" i="13"/>
  <c r="AA2293" i="13"/>
  <c r="AA2001" i="13"/>
  <c r="AA226" i="13"/>
  <c r="AA3177" i="13"/>
  <c r="AA877" i="13"/>
  <c r="AA3041" i="13"/>
  <c r="AA2082" i="13"/>
  <c r="AA2123" i="13"/>
  <c r="AA410" i="13"/>
  <c r="AA1852" i="13"/>
  <c r="AA383" i="13"/>
  <c r="AA570" i="13"/>
  <c r="AA1120" i="13"/>
  <c r="AA1786" i="13"/>
  <c r="AA2087" i="13"/>
  <c r="AA2637" i="13"/>
  <c r="AA1055" i="13"/>
  <c r="AA2889" i="13"/>
  <c r="AA1521" i="13"/>
  <c r="AA920" i="13"/>
  <c r="AA3084" i="13"/>
  <c r="AA3335" i="13"/>
  <c r="AA2455" i="13"/>
  <c r="AA2569" i="13"/>
  <c r="AA496" i="13"/>
  <c r="AA2940" i="13"/>
  <c r="AA3457" i="13"/>
  <c r="AA475" i="13"/>
  <c r="AA1072" i="13"/>
  <c r="AA382" i="13"/>
  <c r="AA3015" i="13"/>
  <c r="AA3279" i="13"/>
  <c r="AA3220" i="13"/>
  <c r="AA1518" i="13"/>
  <c r="AA937" i="13"/>
  <c r="AA1286" i="13"/>
  <c r="AA3339" i="13"/>
  <c r="AA2984" i="13"/>
  <c r="AA3107" i="13"/>
  <c r="AA2597" i="13"/>
  <c r="AA1048" i="13"/>
  <c r="AA1033" i="13"/>
  <c r="AA2645" i="13"/>
  <c r="AA2577" i="13"/>
  <c r="AA1270" i="13"/>
  <c r="AA403" i="13"/>
  <c r="AA1993" i="13"/>
  <c r="AA2378" i="13"/>
  <c r="AA2723" i="13"/>
  <c r="AA1667" i="13"/>
  <c r="AA2463" i="13"/>
  <c r="AA1284" i="13"/>
  <c r="AA3020" i="13"/>
  <c r="AA1502" i="13"/>
  <c r="AA786" i="13"/>
  <c r="AA2311" i="13"/>
  <c r="AA1345" i="13"/>
  <c r="AA451" i="13"/>
  <c r="AA3027" i="13"/>
  <c r="AA634" i="13"/>
  <c r="AA2421" i="13"/>
  <c r="AA1526" i="13"/>
  <c r="AA846" i="13"/>
  <c r="AA204" i="13"/>
  <c r="AA1265" i="13"/>
  <c r="AA763" i="13"/>
  <c r="AA2204" i="13"/>
  <c r="AA505" i="13"/>
  <c r="AA2670" i="13"/>
  <c r="AA2248" i="13"/>
  <c r="AA3089" i="13"/>
  <c r="AA162" i="13"/>
  <c r="AA1462" i="13"/>
  <c r="AA1799" i="13"/>
  <c r="AA3297" i="13"/>
  <c r="AA516" i="13"/>
  <c r="AA1169" i="13"/>
  <c r="AA3080" i="13"/>
  <c r="AA3187" i="13"/>
  <c r="AA1438" i="13"/>
  <c r="AA456" i="13"/>
  <c r="AA2564" i="13"/>
  <c r="AA1501" i="13"/>
  <c r="AA684" i="13"/>
  <c r="AA2584" i="13"/>
  <c r="AA1401" i="13"/>
  <c r="AA1031" i="13"/>
  <c r="AA2424" i="13"/>
  <c r="AA1359" i="13"/>
  <c r="AA1451" i="13"/>
  <c r="AA3538" i="13"/>
  <c r="AA236" i="13"/>
  <c r="AA1682" i="13"/>
  <c r="AA1867" i="13"/>
  <c r="AA1761" i="13"/>
  <c r="AA500" i="13"/>
  <c r="AA2320" i="13"/>
  <c r="AA2058" i="13"/>
  <c r="AA519" i="13"/>
  <c r="AA921" i="13"/>
  <c r="AA3449" i="13"/>
  <c r="AA220" i="13"/>
  <c r="AA2718" i="13"/>
  <c r="AA1628" i="13"/>
  <c r="AA673" i="13"/>
  <c r="AA1203" i="13"/>
  <c r="AA1587" i="13"/>
  <c r="J25" i="5"/>
  <c r="J9" i="5"/>
  <c r="J33" i="5"/>
  <c r="J77" i="5"/>
  <c r="J23" i="5"/>
  <c r="J100" i="5"/>
  <c r="J36" i="5"/>
  <c r="AB1996" i="13"/>
  <c r="AB2507" i="13"/>
  <c r="AB958" i="13"/>
  <c r="AB2440" i="13"/>
  <c r="AB2509" i="13"/>
  <c r="AB1051" i="13"/>
  <c r="AB972" i="13"/>
  <c r="AB1111" i="13"/>
  <c r="AB1719" i="13"/>
  <c r="AB2862" i="13"/>
  <c r="AB735" i="13"/>
  <c r="AB2491" i="13"/>
  <c r="AB1022" i="13"/>
  <c r="AB635" i="13"/>
  <c r="AB545" i="13"/>
  <c r="AB153" i="13"/>
  <c r="AB2817" i="13"/>
  <c r="AB909" i="13"/>
  <c r="AB1838" i="13"/>
  <c r="AB3170" i="13"/>
  <c r="AB539" i="13"/>
  <c r="AB887" i="13"/>
  <c r="AB1339" i="13"/>
  <c r="AB3461" i="13"/>
  <c r="AB1331" i="13"/>
  <c r="AB2276" i="13"/>
  <c r="AB1796" i="13"/>
  <c r="AB1414" i="13"/>
  <c r="AB1253" i="13"/>
  <c r="AB3417" i="13"/>
  <c r="AB3259" i="13"/>
  <c r="AB2834" i="13"/>
  <c r="AB434" i="13"/>
  <c r="AB1559" i="13"/>
  <c r="AB2883" i="13"/>
  <c r="AB1126" i="13"/>
  <c r="AB1039" i="13"/>
  <c r="AB458" i="13"/>
  <c r="AB1460" i="13"/>
  <c r="AB700" i="13"/>
  <c r="AB3153" i="13"/>
  <c r="AB2980" i="13"/>
  <c r="AB1961" i="13"/>
  <c r="AB2014" i="13"/>
  <c r="AB2782" i="13"/>
  <c r="AB1729" i="13"/>
  <c r="AB2610" i="13"/>
  <c r="AB1839" i="13"/>
  <c r="AB1055" i="13"/>
  <c r="AB2575" i="13"/>
  <c r="AB2878" i="13"/>
  <c r="AB3521" i="13"/>
  <c r="AB523" i="13"/>
  <c r="AB2679" i="13"/>
  <c r="AB399" i="13"/>
  <c r="AB2485" i="13"/>
  <c r="AB1854" i="13"/>
  <c r="AB820" i="13"/>
  <c r="AB3071" i="13"/>
  <c r="AB1598" i="13"/>
  <c r="AB2346" i="13"/>
  <c r="AB2718" i="13"/>
  <c r="AB1318" i="13"/>
  <c r="AB85" i="13"/>
  <c r="AB549" i="13"/>
  <c r="AB3459" i="13"/>
  <c r="AB1810" i="13"/>
  <c r="AB469" i="13"/>
  <c r="AB3073" i="13"/>
  <c r="AB750" i="13"/>
  <c r="AB3123" i="13"/>
  <c r="AB640" i="13"/>
  <c r="AB2841" i="13"/>
  <c r="AB409" i="13"/>
  <c r="AB3525" i="13"/>
  <c r="AB2493" i="13"/>
  <c r="AB2993" i="13"/>
  <c r="AB2986" i="13"/>
  <c r="AB1065" i="13"/>
  <c r="AB1550" i="13"/>
  <c r="AB1249" i="13"/>
  <c r="AB903" i="13"/>
  <c r="AB548" i="13"/>
  <c r="AB3161" i="13"/>
  <c r="AB1133" i="13"/>
  <c r="AB1461" i="13"/>
  <c r="AB352" i="13"/>
  <c r="AB2716" i="13"/>
  <c r="AB529" i="13"/>
  <c r="AB1773" i="13"/>
  <c r="AB2438" i="13"/>
  <c r="AB862" i="13"/>
  <c r="AB224" i="13"/>
  <c r="AB2374" i="13"/>
  <c r="AB1312" i="13"/>
  <c r="AB1369" i="13"/>
  <c r="AB2274" i="13"/>
  <c r="AB3139" i="13"/>
  <c r="AB120" i="13"/>
  <c r="AB2154" i="13"/>
  <c r="AB101" i="13"/>
  <c r="AB2502" i="13"/>
  <c r="AB2006" i="13"/>
  <c r="AB1985" i="13"/>
  <c r="AB2604" i="13"/>
  <c r="AB2595" i="13"/>
  <c r="AB1801" i="13"/>
  <c r="AB1429" i="13"/>
  <c r="AB3149" i="13"/>
  <c r="AB3254" i="13"/>
  <c r="AB1264" i="13"/>
  <c r="AB572" i="13"/>
  <c r="AB381" i="13"/>
  <c r="AB684" i="13"/>
  <c r="AB1643" i="13"/>
  <c r="AB605" i="13"/>
  <c r="AB1093" i="13"/>
  <c r="AB454" i="13"/>
  <c r="AB2048" i="13"/>
  <c r="AB1638" i="13"/>
  <c r="AB1941" i="13"/>
  <c r="AB3039" i="13"/>
  <c r="AB2381" i="13"/>
  <c r="AB1402" i="13"/>
  <c r="AB2495" i="13"/>
  <c r="AB127" i="13"/>
  <c r="AB2780" i="13"/>
  <c r="AB3064" i="13"/>
  <c r="AB268" i="13"/>
  <c r="AB3311" i="13"/>
  <c r="AB138" i="13"/>
  <c r="AB2654" i="13"/>
  <c r="AB1988" i="13"/>
  <c r="AB965" i="13"/>
  <c r="AB2039" i="13"/>
  <c r="AB1377" i="13"/>
  <c r="AB3324" i="13"/>
  <c r="AB1914" i="13"/>
  <c r="AB114" i="13"/>
  <c r="AB3203" i="13"/>
  <c r="AB2259" i="13"/>
  <c r="AB3335" i="13"/>
  <c r="AB3067" i="13"/>
  <c r="AB2683" i="13"/>
  <c r="AB3151" i="13"/>
  <c r="AB3296" i="13"/>
  <c r="AB2909" i="13"/>
  <c r="AB2530" i="13"/>
  <c r="AB2997" i="13"/>
  <c r="AB1516" i="13"/>
  <c r="AB2767" i="13"/>
  <c r="AB2553" i="13"/>
  <c r="AB961" i="13"/>
  <c r="AB3474" i="13"/>
  <c r="AB2757" i="13"/>
  <c r="AB117" i="13"/>
  <c r="AB2141" i="13"/>
  <c r="AB1517" i="13"/>
  <c r="AB2248" i="13"/>
  <c r="AB282" i="13"/>
  <c r="AB2038" i="13"/>
  <c r="AB3013" i="13"/>
  <c r="AB2763" i="13"/>
  <c r="AB1343" i="13"/>
  <c r="AB2626" i="13"/>
  <c r="AB23" i="13"/>
  <c r="AB3386" i="13"/>
  <c r="AB2572" i="13"/>
  <c r="AB235" i="13"/>
  <c r="AB1298" i="13"/>
  <c r="AB380" i="13"/>
  <c r="AB2225" i="13"/>
  <c r="AB1898" i="13"/>
  <c r="AB829" i="13"/>
  <c r="AB989" i="13"/>
  <c r="AB401" i="13"/>
  <c r="AB2926" i="13"/>
  <c r="AB2715" i="13"/>
  <c r="AB2729" i="13"/>
  <c r="AB1237" i="13"/>
  <c r="AB1650" i="13"/>
  <c r="AB1134" i="13"/>
  <c r="AB3169" i="13"/>
  <c r="AB739" i="13"/>
  <c r="AB825" i="13"/>
  <c r="AB2119" i="13"/>
  <c r="AB35" i="13"/>
  <c r="AB3394" i="13"/>
  <c r="AB1524" i="13"/>
  <c r="AB2321" i="13"/>
  <c r="AB2275" i="13"/>
  <c r="AB2302" i="13"/>
  <c r="AB2547" i="13"/>
  <c r="AB2720" i="13"/>
  <c r="AB2318" i="13"/>
  <c r="AB3230" i="13"/>
  <c r="AB3520" i="13"/>
  <c r="AB1036" i="13"/>
  <c r="AB463" i="13"/>
  <c r="AB1056" i="13"/>
  <c r="AB2734" i="13"/>
  <c r="AB3024" i="13"/>
  <c r="AB1311" i="13"/>
  <c r="AB2101" i="13"/>
  <c r="AB3431" i="13"/>
  <c r="AB2847" i="13"/>
  <c r="AB3536" i="13"/>
  <c r="AB179" i="13"/>
  <c r="AB252" i="13"/>
  <c r="AB1269" i="13"/>
  <c r="AB1993" i="13"/>
  <c r="AB2551" i="13"/>
  <c r="AB3409" i="13"/>
  <c r="AB2076" i="13"/>
  <c r="AB976" i="13"/>
  <c r="AB2987" i="13"/>
  <c r="AB2738" i="13"/>
  <c r="AB3307" i="13"/>
  <c r="AB633" i="13"/>
  <c r="AB356" i="13"/>
  <c r="AB758" i="13"/>
  <c r="AB793" i="13"/>
  <c r="AB2831" i="13"/>
  <c r="AB490" i="13"/>
  <c r="AB1151" i="13"/>
  <c r="AB139" i="13"/>
  <c r="AB1722" i="13"/>
  <c r="AB2158" i="13"/>
  <c r="AB199" i="13"/>
  <c r="AB1467" i="13"/>
  <c r="AB1663" i="13"/>
  <c r="AB1330" i="13"/>
  <c r="AB746" i="13"/>
  <c r="AB1540" i="13"/>
  <c r="AB957" i="13"/>
  <c r="AB65" i="13"/>
  <c r="AB913" i="13"/>
  <c r="AB2188" i="13"/>
  <c r="AB3506" i="13"/>
  <c r="AB318" i="13"/>
  <c r="AB2203" i="13"/>
  <c r="AB1569" i="13"/>
  <c r="AB1440" i="13"/>
  <c r="AB590" i="13"/>
  <c r="AB2848" i="13"/>
  <c r="AB51" i="13"/>
  <c r="AB709" i="13"/>
  <c r="AB373" i="13"/>
  <c r="AB2471" i="13"/>
  <c r="AB691" i="13"/>
  <c r="AB3381" i="13"/>
  <c r="AB1244" i="13"/>
  <c r="AB2589" i="13"/>
  <c r="AB242" i="13"/>
  <c r="AB1469" i="13"/>
  <c r="AB412" i="13"/>
  <c r="AB1512" i="13"/>
  <c r="AB1820" i="13"/>
  <c r="AB2531" i="13"/>
  <c r="AB332" i="13"/>
  <c r="AB1291" i="13"/>
  <c r="AB2600" i="13"/>
  <c r="AB2489" i="13"/>
  <c r="AB410" i="13"/>
  <c r="AB911" i="13"/>
  <c r="AB2213" i="13"/>
  <c r="AB2956" i="13"/>
  <c r="AB1196" i="13"/>
  <c r="AB2362" i="13"/>
  <c r="AB2277" i="13"/>
  <c r="AB56" i="13"/>
  <c r="AB342" i="13"/>
  <c r="AB811" i="13"/>
  <c r="AB2726" i="13"/>
  <c r="AB934" i="13"/>
  <c r="AB1207" i="13"/>
  <c r="AB627" i="13"/>
  <c r="AB2116" i="13"/>
  <c r="AB946" i="13"/>
  <c r="AB733" i="13"/>
  <c r="AB1451" i="13"/>
  <c r="AB2112" i="13"/>
  <c r="AB140" i="13"/>
  <c r="AB2283" i="13"/>
  <c r="AB1087" i="13"/>
  <c r="AB1389" i="13"/>
  <c r="AB2461" i="13"/>
  <c r="AB3167" i="13"/>
  <c r="AB1135" i="13"/>
  <c r="AB3439" i="13"/>
  <c r="AB674" i="13"/>
  <c r="AB32" i="13"/>
  <c r="AB2966" i="13"/>
  <c r="AB294" i="13"/>
  <c r="AB2690" i="13"/>
  <c r="AB2968" i="13"/>
  <c r="AB67" i="13"/>
  <c r="AB2722" i="13"/>
  <c r="AB652" i="13"/>
  <c r="AA504" i="13"/>
  <c r="AA3381" i="13"/>
  <c r="AA1974" i="13"/>
  <c r="AA2944" i="13"/>
  <c r="AA3349" i="13"/>
  <c r="AA2401" i="13"/>
  <c r="AA907" i="13"/>
  <c r="AA1295" i="13"/>
  <c r="AA434" i="13"/>
  <c r="AA2799" i="13"/>
  <c r="AA3246" i="13"/>
  <c r="AA964" i="13"/>
  <c r="AA264" i="13"/>
  <c r="AA3136" i="13"/>
  <c r="AA2925" i="13"/>
  <c r="AA1676" i="13"/>
  <c r="AA2625" i="13"/>
  <c r="AA768" i="13"/>
  <c r="AA806" i="13"/>
  <c r="AA1504" i="13"/>
  <c r="AA2652" i="13"/>
  <c r="AA2166" i="13"/>
  <c r="AA402" i="13"/>
  <c r="AA3244" i="13"/>
  <c r="AA3135" i="13"/>
  <c r="AA2822" i="13"/>
  <c r="AA1480" i="13"/>
  <c r="AA1499" i="13"/>
  <c r="AA1481" i="13"/>
  <c r="AA20" i="13"/>
  <c r="AA2471" i="13"/>
  <c r="AA1551" i="13"/>
  <c r="AA1636" i="13"/>
  <c r="AA476" i="13"/>
  <c r="AA2275" i="13"/>
  <c r="AA555" i="13"/>
  <c r="AA3153" i="13"/>
  <c r="AA3260" i="13"/>
  <c r="AA1906" i="13"/>
  <c r="AA849" i="13"/>
  <c r="AA880" i="13"/>
  <c r="AA702" i="13"/>
  <c r="AA2823" i="13"/>
  <c r="AA1207" i="13"/>
  <c r="AA1444" i="13"/>
  <c r="AA3137" i="13"/>
  <c r="AA1762" i="13"/>
  <c r="AA588" i="13"/>
  <c r="AA2207" i="13"/>
  <c r="AA926" i="13"/>
  <c r="AA2287" i="13"/>
  <c r="AA3298" i="13"/>
  <c r="AA2306" i="13"/>
  <c r="AA155" i="13"/>
  <c r="AA2885" i="13"/>
  <c r="AA2762" i="13"/>
  <c r="AA2522" i="13"/>
  <c r="AA841" i="13"/>
  <c r="AA2994" i="13"/>
  <c r="AA79" i="13"/>
  <c r="AA661" i="13"/>
  <c r="AA281" i="13"/>
  <c r="AA1773" i="13"/>
  <c r="AA724" i="13"/>
  <c r="AA198" i="13"/>
  <c r="AA3264" i="13"/>
  <c r="AA1897" i="13"/>
  <c r="AA760" i="13"/>
  <c r="AA3312" i="13"/>
  <c r="AA808" i="13"/>
  <c r="AA1014" i="13"/>
  <c r="AA1010" i="13"/>
  <c r="AA2414" i="13"/>
  <c r="AA2949" i="13"/>
  <c r="AA360" i="13"/>
  <c r="AA993" i="13"/>
  <c r="AA2869" i="13"/>
  <c r="AA3397" i="13"/>
  <c r="AA1728" i="13"/>
  <c r="AA704" i="13"/>
  <c r="AA2934" i="13"/>
  <c r="AA325" i="13"/>
  <c r="AA2659" i="13"/>
  <c r="AA3199" i="13"/>
  <c r="AA1982" i="13"/>
  <c r="AA3277" i="13"/>
  <c r="AA1871" i="13"/>
  <c r="AA424" i="13"/>
  <c r="AA566" i="13"/>
  <c r="AA2071" i="13"/>
  <c r="AA3363" i="13"/>
  <c r="AA876" i="13"/>
  <c r="AA2654" i="13"/>
  <c r="AA2186" i="13"/>
  <c r="AA261" i="13"/>
  <c r="AA3194" i="13"/>
  <c r="AA1087" i="13"/>
  <c r="AA2746" i="13"/>
  <c r="AA3048" i="13"/>
  <c r="AA1804" i="13"/>
  <c r="AA275" i="13"/>
  <c r="AA1749" i="13"/>
  <c r="AA23" i="13"/>
  <c r="AA2929" i="13"/>
  <c r="AA267" i="13"/>
  <c r="AA3068" i="13"/>
  <c r="AA3266" i="13"/>
  <c r="AA1449" i="13"/>
  <c r="AA243" i="13"/>
  <c r="AA2700" i="13"/>
  <c r="AA1042" i="13"/>
  <c r="AA1342" i="13"/>
  <c r="AA2289" i="13"/>
  <c r="AA2946" i="13"/>
  <c r="AA1691" i="13"/>
  <c r="AA1099" i="13"/>
  <c r="AA2331" i="13"/>
  <c r="AA3134" i="13"/>
  <c r="AA547" i="13"/>
  <c r="AA2444" i="13"/>
  <c r="AA2089" i="13"/>
  <c r="AA679" i="13"/>
  <c r="AA3410" i="13"/>
  <c r="AA1297" i="13"/>
  <c r="AA2997" i="13"/>
  <c r="AA1706" i="13"/>
  <c r="AA773" i="13"/>
  <c r="AA3321" i="13"/>
  <c r="AA2881" i="13"/>
  <c r="AA2097" i="13"/>
  <c r="AA2034" i="13"/>
  <c r="AA3017" i="13"/>
  <c r="AA333" i="13"/>
  <c r="AA2277" i="13"/>
  <c r="AA241" i="13"/>
  <c r="AA2228" i="13"/>
  <c r="AA192" i="13"/>
  <c r="AA19" i="13"/>
  <c r="J76" i="5"/>
  <c r="J41" i="5"/>
  <c r="J14" i="5"/>
  <c r="J30" i="5"/>
  <c r="J107" i="5"/>
  <c r="J124" i="5"/>
  <c r="J75" i="5"/>
  <c r="AB279" i="13"/>
  <c r="AB1048" i="13"/>
  <c r="AB1247" i="13"/>
  <c r="AB850" i="13"/>
  <c r="AB3285" i="13"/>
  <c r="AB2397" i="13"/>
  <c r="AB982" i="13"/>
  <c r="AB2730" i="13"/>
  <c r="AB2202" i="13"/>
  <c r="AB255" i="13"/>
  <c r="AB3424" i="13"/>
  <c r="AB2800" i="13"/>
  <c r="AB1938" i="13"/>
  <c r="AB2201" i="13"/>
  <c r="AB3224" i="13"/>
  <c r="AB2693" i="13"/>
  <c r="AB1997" i="13"/>
  <c r="AB3141" i="13"/>
  <c r="AB244" i="13"/>
  <c r="AB1064" i="13"/>
  <c r="AB2294" i="13"/>
  <c r="AB2639" i="13"/>
  <c r="AB787" i="13"/>
  <c r="AB3099" i="13"/>
  <c r="AB1340" i="13"/>
  <c r="AB3477" i="13"/>
  <c r="AB995" i="13"/>
  <c r="AB338" i="13"/>
  <c r="AB1987" i="13"/>
  <c r="AB1496" i="13"/>
  <c r="AB81" i="13"/>
  <c r="AB3183" i="13"/>
  <c r="AB1551" i="13"/>
  <c r="AB734" i="13"/>
  <c r="AB1038" i="13"/>
  <c r="AB1734" i="13"/>
  <c r="AB1984" i="13"/>
  <c r="AB1596" i="13"/>
  <c r="AB2822" i="13"/>
  <c r="AB1687" i="13"/>
  <c r="AB2487" i="13"/>
  <c r="AB142" i="13"/>
  <c r="AB193" i="13"/>
  <c r="AB324" i="13"/>
  <c r="AB2280" i="13"/>
  <c r="AB3241" i="13"/>
  <c r="AB2599" i="13"/>
  <c r="AB472" i="13"/>
  <c r="AB1915" i="13"/>
  <c r="AB3532" i="13"/>
  <c r="AB3055" i="13"/>
  <c r="AB2268" i="13"/>
  <c r="AB2404" i="13"/>
  <c r="AB880" i="13"/>
  <c r="AB1260" i="13"/>
  <c r="AB1348" i="13"/>
  <c r="AB1197" i="13"/>
  <c r="AB1824" i="13"/>
  <c r="AB33" i="13"/>
  <c r="AB3195" i="13"/>
  <c r="AB1099" i="13"/>
  <c r="AB2671" i="13"/>
  <c r="AB437" i="13"/>
  <c r="AB2108" i="13"/>
  <c r="AB1475" i="13"/>
  <c r="AB2105" i="13"/>
  <c r="AB2037" i="13"/>
  <c r="AB3019" i="13"/>
  <c r="AB2947" i="13"/>
  <c r="AB1868" i="13"/>
  <c r="AB1188" i="13"/>
  <c r="AB1768" i="13"/>
  <c r="AB1835" i="13"/>
  <c r="AB2789" i="13"/>
  <c r="AB3206" i="13"/>
  <c r="AB348" i="13"/>
  <c r="AB2522" i="13"/>
  <c r="AB2622" i="13"/>
  <c r="AB3305" i="13"/>
  <c r="AB1946" i="13"/>
  <c r="AB1001" i="13"/>
  <c r="AB128" i="13"/>
  <c r="AB1272" i="13"/>
  <c r="AB3533" i="13"/>
  <c r="AB2868" i="13"/>
  <c r="AB197" i="13"/>
  <c r="AB3472" i="13"/>
  <c r="AB1735" i="13"/>
  <c r="AB2982" i="13"/>
  <c r="AB345" i="13"/>
  <c r="AB3218" i="13"/>
  <c r="AB2743" i="13"/>
  <c r="AB1455" i="13"/>
  <c r="AB3519" i="13"/>
  <c r="AB3518" i="13"/>
  <c r="AB697" i="13"/>
  <c r="AB1212" i="13"/>
  <c r="AB2630" i="13"/>
  <c r="AB3113" i="13"/>
  <c r="AB3098" i="13"/>
  <c r="AB1514" i="13"/>
  <c r="AB1546" i="13"/>
  <c r="AB429" i="13"/>
  <c r="AB3072" i="13"/>
  <c r="AB2752" i="13"/>
  <c r="AB2508" i="13"/>
  <c r="AB617" i="13"/>
  <c r="AB354" i="13"/>
  <c r="AB1165" i="13"/>
  <c r="AB2845" i="13"/>
  <c r="AB823" i="13"/>
  <c r="AB2880" i="13"/>
  <c r="AB3255" i="13"/>
  <c r="AB411" i="13"/>
  <c r="AB2047" i="13"/>
  <c r="AB1396" i="13"/>
  <c r="AB2375" i="13"/>
  <c r="AB3410" i="13"/>
  <c r="AB1811" i="13"/>
  <c r="AB852" i="13"/>
  <c r="AB1416" i="13"/>
  <c r="AB737" i="13"/>
  <c r="AB435" i="13"/>
  <c r="AB446" i="13"/>
  <c r="AB3287" i="13"/>
  <c r="AB3443" i="13"/>
  <c r="AB1033" i="13"/>
  <c r="AB2330" i="13"/>
  <c r="AB1326" i="13"/>
  <c r="AB322" i="13"/>
  <c r="AB2843" i="13"/>
  <c r="AB2436" i="13"/>
  <c r="AB3371" i="13"/>
  <c r="AB2927" i="13"/>
  <c r="AB2754" i="13"/>
  <c r="AB1708" i="13"/>
  <c r="AB2238" i="13"/>
  <c r="AB370" i="13"/>
  <c r="AB1146" i="13"/>
  <c r="AB2122" i="13"/>
  <c r="AB3359" i="13"/>
  <c r="AB3001" i="13"/>
  <c r="AB2181" i="13"/>
  <c r="AB3074" i="13"/>
  <c r="AB2570" i="13"/>
  <c r="AB2102" i="13"/>
  <c r="AB960" i="13"/>
  <c r="AB3541" i="13"/>
  <c r="AB48" i="13"/>
  <c r="AB1297" i="13"/>
  <c r="AB2538" i="13"/>
  <c r="AB1195" i="13"/>
  <c r="AB3049" i="13"/>
  <c r="AB1845" i="13"/>
  <c r="AB1015" i="13"/>
  <c r="AB2298" i="13"/>
  <c r="AB624" i="13"/>
  <c r="AB374" i="13"/>
  <c r="AB2712" i="13"/>
  <c r="AB2703" i="13"/>
  <c r="AB361" i="13"/>
  <c r="AB1910" i="13"/>
  <c r="AB892" i="13"/>
  <c r="AB3249" i="13"/>
  <c r="AB924" i="13"/>
  <c r="AB3205" i="13"/>
  <c r="AB2990" i="13"/>
  <c r="AB516" i="13"/>
  <c r="AB3155" i="13"/>
  <c r="AB3455" i="13"/>
  <c r="AB2292" i="13"/>
  <c r="AB558" i="13"/>
  <c r="AB2578" i="13"/>
  <c r="AB3264" i="13"/>
  <c r="AB723" i="13"/>
  <c r="AB2114" i="13"/>
  <c r="AB3159" i="13"/>
  <c r="AB984" i="13"/>
  <c r="AB3357" i="13"/>
  <c r="AB1241" i="13"/>
  <c r="AB307" i="13"/>
  <c r="AB1335" i="13"/>
  <c r="AB1894" i="13"/>
  <c r="AB394" i="13"/>
  <c r="AB519" i="13"/>
  <c r="AB2390" i="13"/>
  <c r="AB1290" i="13"/>
  <c r="AB19" i="13"/>
  <c r="AB2081" i="13"/>
  <c r="AB2343" i="13"/>
  <c r="AB3050" i="13"/>
  <c r="AB2950" i="13"/>
  <c r="AB1327" i="13"/>
  <c r="AB3258" i="13"/>
  <c r="AB336" i="13"/>
  <c r="AB2442" i="13"/>
  <c r="AB192" i="13"/>
  <c r="AB1031" i="13"/>
  <c r="AB1769" i="13"/>
  <c r="AB2256" i="13"/>
  <c r="AB3453" i="13"/>
  <c r="AB1322" i="13"/>
  <c r="AB2827" i="13"/>
  <c r="AB3376" i="13"/>
  <c r="AB931" i="13"/>
  <c r="AB265" i="13"/>
  <c r="AB1610" i="13"/>
  <c r="AB210" i="13"/>
  <c r="AB722" i="13"/>
  <c r="AB3004" i="13"/>
  <c r="AB3466" i="13"/>
  <c r="AB1858" i="13"/>
  <c r="AB2217" i="13"/>
  <c r="AB1913" i="13"/>
  <c r="AB2304" i="13"/>
  <c r="AB3413" i="13"/>
  <c r="AB1579" i="13"/>
  <c r="AB765" i="13"/>
  <c r="AB807" i="13"/>
  <c r="AB175" i="13"/>
  <c r="AB994" i="13"/>
  <c r="AB2376" i="13"/>
  <c r="AB933" i="13"/>
  <c r="AB1261" i="13"/>
  <c r="AB836" i="13"/>
  <c r="AB774" i="13"/>
  <c r="AB628" i="13"/>
  <c r="AB152" i="13"/>
  <c r="AB2452" i="13"/>
  <c r="AB1538" i="13"/>
  <c r="AB1307" i="13"/>
  <c r="AB3540" i="13"/>
  <c r="AB259" i="13"/>
  <c r="AB2408" i="13"/>
  <c r="AB87" i="13"/>
  <c r="AB172" i="13"/>
  <c r="AB997" i="13"/>
  <c r="AB2172" i="13"/>
  <c r="AB137" i="13"/>
  <c r="AB2777" i="13"/>
  <c r="AB785" i="13"/>
  <c r="AB1730" i="13"/>
  <c r="AB530" i="13"/>
  <c r="AB577" i="13"/>
  <c r="AB1366" i="13"/>
  <c r="AB1592" i="13"/>
  <c r="AB1324" i="13"/>
  <c r="AB2208" i="13"/>
  <c r="AB1727" i="13"/>
  <c r="AB2524" i="13"/>
  <c r="AB3192" i="13"/>
  <c r="AB3512" i="13"/>
  <c r="AB2914" i="13"/>
  <c r="AB1666" i="13"/>
  <c r="AB1741" i="13"/>
  <c r="AB2612" i="13"/>
  <c r="AB2353" i="13"/>
  <c r="AB119" i="13"/>
  <c r="AB1966" i="13"/>
  <c r="AB3312" i="13"/>
  <c r="AB2218" i="13"/>
  <c r="AB1473" i="13"/>
  <c r="AB200" i="13"/>
  <c r="AB365" i="13"/>
  <c r="AB1744" i="13"/>
  <c r="AB2254" i="13"/>
  <c r="AB902" i="13"/>
  <c r="AB2416" i="13"/>
  <c r="AB2205" i="13"/>
  <c r="AB1595" i="13"/>
  <c r="AB261" i="13"/>
  <c r="AB2295" i="13"/>
  <c r="AB36" i="13"/>
  <c r="AB3115" i="13"/>
  <c r="AB2996" i="13"/>
  <c r="AB710" i="13"/>
  <c r="AB2430" i="13"/>
  <c r="AB3507" i="13"/>
  <c r="AB1235" i="13"/>
  <c r="AB566" i="13"/>
  <c r="AB2249" i="13"/>
  <c r="AB3469" i="13"/>
  <c r="AB1457" i="13"/>
  <c r="AB3542" i="13"/>
  <c r="AB293" i="13"/>
  <c r="AB2814" i="13"/>
  <c r="AB3397" i="13"/>
  <c r="AB805" i="13"/>
  <c r="AB3229" i="13"/>
  <c r="AB1002" i="13"/>
  <c r="AB1568" i="13"/>
  <c r="AB3365" i="13"/>
  <c r="AB1047" i="13"/>
  <c r="AB1321" i="13"/>
  <c r="AB453" i="13"/>
  <c r="AB2991" i="13"/>
  <c r="AB2392" i="13"/>
  <c r="AB666" i="13"/>
  <c r="AB3543" i="13"/>
  <c r="AB2542" i="13"/>
  <c r="AB839" i="13"/>
  <c r="AB273" i="13"/>
  <c r="AB1723" i="13"/>
  <c r="AB3106" i="13"/>
  <c r="AB3253" i="13"/>
  <c r="AB3125" i="13"/>
  <c r="AB917" i="13"/>
  <c r="AB1991" i="13"/>
  <c r="AB3294" i="13"/>
  <c r="AB1412" i="13"/>
  <c r="AB2801" i="13"/>
  <c r="AB423" i="13"/>
  <c r="AB295" i="13"/>
  <c r="AB2836" i="13"/>
  <c r="AB1670" i="13"/>
  <c r="AB3496" i="13"/>
  <c r="AB2267" i="13"/>
  <c r="AB2686" i="13"/>
  <c r="AB250" i="13"/>
  <c r="AB1482" i="13"/>
  <c r="AB3179" i="13"/>
  <c r="AB1920" i="13"/>
  <c r="AB2961" i="13"/>
  <c r="AB125" i="13"/>
  <c r="AB208" i="13"/>
  <c r="AB675" i="13"/>
  <c r="AB609" i="13"/>
  <c r="AB795" i="13"/>
  <c r="AB1493" i="13"/>
  <c r="AB1571" i="13"/>
  <c r="AB315" i="13"/>
  <c r="AB614" i="13"/>
  <c r="AB3286" i="13"/>
  <c r="AB2439" i="13"/>
  <c r="AB2109" i="13"/>
  <c r="AB1336" i="13"/>
  <c r="AB59" i="13"/>
  <c r="AB1621" i="13"/>
  <c r="AB2075" i="13"/>
  <c r="AB3432" i="13"/>
  <c r="AB84" i="13"/>
  <c r="AA3102" i="13"/>
  <c r="AA2263" i="13"/>
  <c r="AA2576" i="13"/>
  <c r="AA3537" i="13"/>
  <c r="AA752" i="13"/>
  <c r="AA3070" i="13"/>
  <c r="AA813" i="13"/>
  <c r="AA21" i="13"/>
  <c r="AA3249" i="13"/>
  <c r="AA2544" i="13"/>
  <c r="AA1322" i="13"/>
  <c r="AA586" i="13"/>
  <c r="AA2197" i="13"/>
  <c r="AA2484" i="13"/>
  <c r="AA683" i="13"/>
  <c r="AA2117" i="13"/>
  <c r="AA3514" i="13"/>
  <c r="AA735" i="13"/>
  <c r="AA239" i="13"/>
  <c r="AA571" i="13"/>
  <c r="AA95" i="13"/>
  <c r="AA855" i="13"/>
  <c r="AA1110" i="13"/>
  <c r="AA2458" i="13"/>
  <c r="AA1146" i="13"/>
  <c r="AA3110" i="13"/>
  <c r="AA2202" i="13"/>
  <c r="AA3185" i="13"/>
  <c r="AA3492" i="13"/>
  <c r="AA2759" i="13"/>
  <c r="AA3419" i="13"/>
  <c r="AA3061" i="13"/>
  <c r="AA3202" i="13"/>
  <c r="AA441" i="13"/>
  <c r="AA2483" i="13"/>
  <c r="AA3315" i="13"/>
  <c r="AA1458" i="13"/>
  <c r="AA3025" i="13"/>
  <c r="AA2095" i="13"/>
  <c r="AA1607" i="13"/>
  <c r="AA29" i="13"/>
  <c r="AA1136" i="13"/>
  <c r="AA2259" i="13"/>
  <c r="AA890" i="13"/>
  <c r="AA803" i="13"/>
  <c r="AA748" i="13"/>
  <c r="AA2895" i="13"/>
  <c r="AA2120" i="13"/>
  <c r="AA1674" i="13"/>
  <c r="AA2686" i="13"/>
  <c r="AA3357" i="13"/>
  <c r="AA2527" i="13"/>
  <c r="AA3140" i="13"/>
  <c r="AA461" i="13"/>
  <c r="AA2387" i="13"/>
  <c r="AA2434" i="13"/>
  <c r="AA1976" i="13"/>
  <c r="AA1774" i="13"/>
  <c r="AA2210" i="13"/>
  <c r="AA2364" i="13"/>
  <c r="AA2400" i="13"/>
  <c r="AA1510" i="13"/>
  <c r="AA247" i="13"/>
  <c r="AA442" i="13"/>
  <c r="AA1047" i="13"/>
  <c r="AA1841" i="13"/>
  <c r="AA348" i="13"/>
  <c r="AA3447" i="13"/>
  <c r="AA116" i="13"/>
  <c r="AA2921" i="13"/>
  <c r="AA355" i="13"/>
  <c r="AA2790" i="13"/>
  <c r="AA232" i="13"/>
  <c r="AA912" i="13"/>
  <c r="AA2386" i="13"/>
  <c r="AA209" i="13"/>
  <c r="AA1895" i="13"/>
  <c r="AA2758" i="13"/>
  <c r="AA960" i="13"/>
  <c r="AA706" i="13"/>
  <c r="AA2324" i="13"/>
  <c r="AA2939" i="13"/>
  <c r="AA1888" i="13"/>
  <c r="AA1785" i="13"/>
  <c r="AA2626" i="13"/>
  <c r="AA2986" i="13"/>
  <c r="AA2026" i="13"/>
  <c r="AA1626" i="13"/>
  <c r="AA405" i="13"/>
  <c r="AA453" i="13"/>
  <c r="AA371" i="13"/>
  <c r="AA3303" i="13"/>
  <c r="AA2114" i="13"/>
  <c r="AA2616" i="13"/>
  <c r="AA426" i="13"/>
  <c r="AA306" i="13"/>
  <c r="AA1439" i="13"/>
  <c r="AA2867" i="13"/>
  <c r="AA1227" i="13"/>
  <c r="AA308" i="13"/>
  <c r="AA3138" i="13"/>
  <c r="AA2850" i="13"/>
  <c r="AA746" i="13"/>
  <c r="AA158" i="13"/>
  <c r="AA883" i="13"/>
  <c r="AA1392" i="13"/>
  <c r="AA590" i="13"/>
  <c r="AA2303" i="13"/>
  <c r="AA2778" i="13"/>
  <c r="AA753" i="13"/>
  <c r="AA1666" i="13"/>
  <c r="AA529" i="13"/>
  <c r="AA31" i="13"/>
  <c r="AA2085" i="13"/>
  <c r="AA2016" i="13"/>
  <c r="AA1531" i="13"/>
  <c r="AA1709" i="13"/>
  <c r="AA201" i="13"/>
  <c r="AA1137" i="13"/>
  <c r="AA593" i="13"/>
  <c r="AA2917" i="13"/>
  <c r="AA532" i="13"/>
  <c r="AA196" i="13"/>
  <c r="AA640" i="13"/>
  <c r="AA3398" i="13"/>
  <c r="AA536" i="13"/>
  <c r="AA568" i="13"/>
  <c r="AA1448" i="13"/>
  <c r="AA445" i="13"/>
  <c r="AA458" i="13"/>
  <c r="AA3302" i="13"/>
  <c r="AA2077" i="13"/>
  <c r="AA1890" i="13"/>
  <c r="AA470" i="13"/>
  <c r="AA115" i="13"/>
  <c r="AA2824" i="13"/>
  <c r="AA2174" i="13"/>
  <c r="AA1198" i="13"/>
  <c r="AA1986" i="13"/>
  <c r="AA3301" i="13"/>
  <c r="AA2926" i="13"/>
  <c r="AA1777" i="13"/>
  <c r="AA2075" i="13"/>
  <c r="AA895" i="13"/>
  <c r="AA1918" i="13"/>
  <c r="AA97" i="13"/>
  <c r="AA2876" i="13"/>
  <c r="AA3543" i="13"/>
  <c r="AA2587" i="13"/>
  <c r="AA2014" i="13"/>
  <c r="AA2244" i="13"/>
  <c r="AA1734" i="13"/>
  <c r="AA621" i="13"/>
  <c r="AA1912" i="13"/>
  <c r="AA956" i="13"/>
  <c r="AA3296" i="13"/>
  <c r="AA2857" i="13"/>
  <c r="AA607" i="13"/>
  <c r="AA2809" i="13"/>
  <c r="AA447" i="13"/>
  <c r="AA1964" i="13"/>
  <c r="AA531" i="13"/>
  <c r="AA2971" i="13"/>
  <c r="AA1191" i="13"/>
  <c r="AA736" i="13"/>
  <c r="AA1166" i="13"/>
  <c r="AA260" i="13"/>
  <c r="AA1685" i="13"/>
  <c r="AA1572" i="13"/>
  <c r="AA1770" i="13"/>
  <c r="AA1759" i="13"/>
  <c r="AA2090" i="13"/>
  <c r="AA1500" i="13"/>
  <c r="AA3295" i="13"/>
  <c r="AA2044" i="13"/>
  <c r="AA165" i="13"/>
  <c r="AA3066" i="13"/>
  <c r="AA104" i="13"/>
  <c r="AA3348" i="13"/>
  <c r="AA2043" i="13"/>
  <c r="AA2141" i="13"/>
  <c r="AA39" i="13"/>
  <c r="AA716" i="13"/>
  <c r="AA2596" i="13"/>
  <c r="AA2938" i="13"/>
  <c r="AA1996" i="13"/>
  <c r="AA212" i="13"/>
  <c r="AA603" i="13"/>
  <c r="AA1827" i="13"/>
  <c r="AA2657" i="13"/>
  <c r="AA294" i="13"/>
  <c r="AA2382" i="13"/>
  <c r="AA2136" i="13"/>
  <c r="AA276" i="13"/>
  <c r="AA818" i="13"/>
  <c r="AA1354" i="13"/>
  <c r="AA3345" i="13"/>
  <c r="AA1317" i="13"/>
  <c r="AA2779" i="13"/>
  <c r="AA2901" i="13"/>
  <c r="AA2610" i="13"/>
  <c r="AA2781" i="13"/>
  <c r="AA85" i="13"/>
  <c r="AA181" i="13"/>
  <c r="AA788" i="13"/>
  <c r="AA250" i="13"/>
  <c r="AA2340" i="13"/>
  <c r="AA3218" i="13"/>
  <c r="AA1043" i="13"/>
  <c r="AA1573" i="13"/>
  <c r="AA60" i="13"/>
  <c r="AA2368" i="13"/>
  <c r="AA2298" i="13"/>
  <c r="AA1471" i="13"/>
  <c r="AA1362" i="13"/>
  <c r="AA1550" i="13"/>
  <c r="AA619" i="13"/>
  <c r="AA1711" i="13"/>
  <c r="AA2635" i="13"/>
  <c r="AA1649" i="13"/>
  <c r="AA2852" i="13"/>
  <c r="AA3222" i="13"/>
  <c r="AA313" i="13"/>
  <c r="AA1787" i="13"/>
  <c r="AA3525" i="13"/>
  <c r="AA1455" i="13"/>
  <c r="AA2877" i="13"/>
  <c r="AA3389" i="13"/>
  <c r="AA3433" i="13"/>
  <c r="AA1049" i="13"/>
  <c r="AA1672" i="13"/>
  <c r="AA251" i="13"/>
  <c r="J12" i="5"/>
  <c r="J108" i="5"/>
  <c r="J105" i="5"/>
  <c r="J114" i="5"/>
  <c r="J80" i="5"/>
  <c r="AB2549" i="13"/>
  <c r="AB1680" i="13"/>
  <c r="AB891" i="13"/>
  <c r="AB2261" i="13"/>
  <c r="AB1956" i="13"/>
  <c r="AB2628" i="13"/>
  <c r="AB1527" i="13"/>
  <c r="AB551" i="13"/>
  <c r="AB1747" i="13"/>
  <c r="AB2300" i="13"/>
  <c r="AB3301" i="13"/>
  <c r="AB2771" i="13"/>
  <c r="AB1097" i="13"/>
  <c r="AB2426" i="13"/>
  <c r="AB668" i="13"/>
  <c r="AB2258" i="13"/>
  <c r="AB2727" i="13"/>
  <c r="AB2113" i="13"/>
  <c r="AB1120" i="13"/>
  <c r="AB1737" i="13"/>
  <c r="AB1152" i="13"/>
  <c r="AB2647" i="13"/>
  <c r="AB1091" i="13"/>
  <c r="AB2941" i="13"/>
  <c r="AB3250" i="13"/>
  <c r="AB358" i="13"/>
  <c r="AB2322" i="13"/>
  <c r="AB3204" i="13"/>
  <c r="AB1986" i="13"/>
  <c r="AB3061" i="13"/>
  <c r="AB2891" i="13"/>
  <c r="AB2625" i="13"/>
  <c r="AB3069" i="13"/>
  <c r="AB788" i="13"/>
  <c r="AB2434" i="13"/>
  <c r="AB2221" i="13"/>
  <c r="AB3108" i="13"/>
  <c r="AB2952" i="13"/>
  <c r="AB1450" i="13"/>
  <c r="AB107" i="13"/>
  <c r="AB796" i="13"/>
  <c r="AB1955" i="13"/>
  <c r="AB2783" i="13"/>
  <c r="AB2988" i="13"/>
  <c r="AB3198" i="13"/>
  <c r="AB2323" i="13"/>
  <c r="AB1431" i="13"/>
  <c r="AB3462" i="13"/>
  <c r="AB1549" i="13"/>
  <c r="AB1800" i="13"/>
  <c r="AB195" i="13"/>
  <c r="AB3354" i="13"/>
  <c r="AB214" i="13"/>
  <c r="AB2380" i="13"/>
  <c r="AB3452" i="13"/>
  <c r="AB391" i="13"/>
  <c r="AB1185" i="13"/>
  <c r="AB448" i="13"/>
  <c r="AB1509" i="13"/>
  <c r="AB751" i="13"/>
  <c r="AB3178" i="13"/>
  <c r="AB1013" i="13"/>
  <c r="AB2750" i="13"/>
  <c r="AB2156" i="13"/>
  <c r="AB1888" i="13"/>
  <c r="AB1909" i="13"/>
  <c r="AB3489" i="13"/>
  <c r="AB506" i="13"/>
  <c r="AB1172" i="13"/>
  <c r="AB912" i="13"/>
  <c r="AB1911" i="13"/>
  <c r="AB770" i="13"/>
  <c r="AB534" i="13"/>
  <c r="AB320" i="13"/>
  <c r="AB2666" i="13"/>
  <c r="AB1489" i="13"/>
  <c r="AB146" i="13"/>
  <c r="AB1600" i="13"/>
  <c r="AB2094" i="13"/>
  <c r="AB2972" i="13"/>
  <c r="AB2833" i="13"/>
  <c r="AB1531" i="13"/>
  <c r="AB2519" i="13"/>
  <c r="AB2290" i="13"/>
  <c r="AB2394" i="13"/>
  <c r="AB3414" i="13"/>
  <c r="AB2421" i="13"/>
  <c r="AB2025" i="13"/>
  <c r="AB1435" i="13"/>
  <c r="AB660" i="13"/>
  <c r="AB2179" i="13"/>
  <c r="AB2806" i="13"/>
  <c r="AB414" i="13"/>
  <c r="AB2185" i="13"/>
  <c r="AB3487" i="13"/>
  <c r="AB1193" i="13"/>
  <c r="AB263" i="13"/>
  <c r="AB1088" i="13"/>
  <c r="AB743" i="13"/>
  <c r="AB2422" i="13"/>
  <c r="AB1859" i="13"/>
  <c r="AB2071" i="13"/>
  <c r="AB289" i="13"/>
  <c r="AB27" i="13"/>
  <c r="AB2123" i="13"/>
  <c r="AB3216" i="13"/>
  <c r="AB281" i="13"/>
  <c r="AB879" i="13"/>
  <c r="AB1170" i="13"/>
  <c r="AB3033" i="13"/>
  <c r="AB3087" i="13"/>
  <c r="AB3043" i="13"/>
  <c r="AB1447" i="13"/>
  <c r="AB124" i="13"/>
  <c r="AB2640" i="13"/>
  <c r="AB2189" i="13"/>
  <c r="AB804" i="13"/>
  <c r="AB2620" i="13"/>
  <c r="AB3003" i="13"/>
  <c r="AB846" i="13"/>
  <c r="AB1651" i="13"/>
  <c r="AB1251" i="13"/>
  <c r="AB1082" i="13"/>
  <c r="AB2393" i="13"/>
  <c r="AB853" i="13"/>
  <c r="AB2020" i="13"/>
  <c r="AB2577" i="13"/>
  <c r="AB3237" i="13"/>
  <c r="AB561" i="13"/>
  <c r="AB2733" i="13"/>
  <c r="AB742" i="13"/>
  <c r="AB993" i="13"/>
  <c r="AB2333" i="13"/>
  <c r="AB72" i="13"/>
  <c r="AB2145" i="13"/>
  <c r="AB753" i="13"/>
  <c r="AB2955" i="13"/>
  <c r="AB3460" i="13"/>
  <c r="AB42" i="13"/>
  <c r="AB2271" i="13"/>
  <c r="AB2650" i="13"/>
  <c r="AB182" i="13"/>
  <c r="AB1337" i="13"/>
  <c r="AB3393" i="13"/>
  <c r="AB2791" i="13"/>
  <c r="AB3059" i="13"/>
  <c r="AB2518" i="13"/>
  <c r="AB1362" i="13"/>
  <c r="AB3181" i="13"/>
  <c r="AB1011" i="13"/>
  <c r="AB1731" i="13"/>
  <c r="AB1577" i="13"/>
  <c r="AB3440" i="13"/>
  <c r="AB144" i="13"/>
  <c r="AB1407" i="13"/>
  <c r="AB300" i="13"/>
  <c r="AB1660" i="13"/>
  <c r="AB68" i="13"/>
  <c r="AB1175" i="13"/>
  <c r="AB2243" i="13"/>
  <c r="AB1361" i="13"/>
  <c r="AB3271" i="13"/>
  <c r="AB851" i="13"/>
  <c r="AB1763" i="13"/>
  <c r="AB706" i="13"/>
  <c r="AB1511" i="13"/>
  <c r="AB645" i="13"/>
  <c r="AB3316" i="13"/>
  <c r="AB415" i="13"/>
  <c r="AB1647" i="13"/>
  <c r="AB1256" i="13"/>
  <c r="AB271" i="13"/>
  <c r="AB1163" i="13"/>
  <c r="AB3353" i="13"/>
  <c r="AB1094" i="13"/>
  <c r="AB3275" i="13"/>
  <c r="AB2721" i="13"/>
  <c r="AB3209" i="13"/>
  <c r="AB654" i="13"/>
  <c r="AB2492" i="13"/>
  <c r="AB3545" i="13"/>
  <c r="AB1267" i="13"/>
  <c r="AB1908" i="13"/>
  <c r="AB828" i="13"/>
  <c r="AB1697" i="13"/>
  <c r="AB3494" i="13"/>
  <c r="AB149" i="13"/>
  <c r="AB1890" i="13"/>
  <c r="AB3356" i="13"/>
  <c r="AB2860" i="13"/>
  <c r="AB1633" i="13"/>
  <c r="AB2969" i="13"/>
  <c r="AB528" i="13"/>
  <c r="AB1296" i="13"/>
  <c r="AB2030" i="13"/>
  <c r="AB1394" i="13"/>
  <c r="AB2126" i="13"/>
  <c r="AB1375" i="13"/>
  <c r="AB2863" i="13"/>
  <c r="AB162" i="13"/>
  <c r="AB2568" i="13"/>
  <c r="AB2060" i="13"/>
  <c r="AB1187" i="13"/>
  <c r="AB3551" i="13"/>
  <c r="AB2255" i="13"/>
  <c r="AB1288" i="13"/>
  <c r="AB3346" i="13"/>
  <c r="AB1236" i="13"/>
  <c r="AB1184" i="13"/>
  <c r="AB901" i="13"/>
  <c r="AB703" i="13"/>
  <c r="AB2040" i="13"/>
  <c r="AB276" i="13"/>
  <c r="AB1661" i="13"/>
  <c r="AB31" i="13"/>
  <c r="AB2566" i="13"/>
  <c r="AB799" i="13"/>
  <c r="AB3328" i="13"/>
  <c r="AB899" i="13"/>
  <c r="AB2195" i="13"/>
  <c r="AB1286" i="13"/>
  <c r="AB588" i="13"/>
  <c r="AB1606" i="13"/>
  <c r="AB2229" i="13"/>
  <c r="AB2354" i="13"/>
  <c r="AB762" i="13"/>
  <c r="AB1555" i="13"/>
  <c r="AB376" i="13"/>
  <c r="AB3223" i="13"/>
  <c r="AB1281" i="13"/>
  <c r="AB1742" i="13"/>
  <c r="AB2513" i="13"/>
  <c r="AB3465" i="13"/>
  <c r="AB3515" i="13"/>
  <c r="AB2204" i="13"/>
  <c r="AB2366" i="13"/>
  <c r="AB681" i="13"/>
  <c r="AB2528" i="13"/>
  <c r="AB2815" i="13"/>
  <c r="AB3366" i="13"/>
  <c r="AB1732" i="13"/>
  <c r="AB1711" i="13"/>
  <c r="AB3351" i="13"/>
  <c r="AB2363" i="13"/>
  <c r="AB190" i="13"/>
  <c r="AB1588" i="13"/>
  <c r="AB1240" i="13"/>
  <c r="AB855" i="13"/>
  <c r="AB2735" i="13"/>
  <c r="AB2660" i="13"/>
  <c r="AB1879" i="13"/>
  <c r="AB586" i="13"/>
  <c r="AB2747" i="13"/>
  <c r="AB2911" i="13"/>
  <c r="AB1363" i="13"/>
  <c r="AB2050" i="13"/>
  <c r="AB466" i="13"/>
  <c r="AB2635" i="13"/>
  <c r="AB1445" i="13"/>
  <c r="AB184" i="13"/>
  <c r="AB1825" i="13"/>
  <c r="AB2609" i="13"/>
  <c r="AB2475" i="13"/>
  <c r="AB3281" i="13"/>
  <c r="AB3464" i="13"/>
  <c r="AB1609" i="13"/>
  <c r="AB1258" i="13"/>
  <c r="AB1438" i="13"/>
  <c r="AB1459" i="13"/>
  <c r="AB2176" i="13"/>
  <c r="AB1292" i="13"/>
  <c r="AB246" i="13"/>
  <c r="AB2246" i="13"/>
  <c r="AB983" i="13"/>
  <c r="AB655" i="13"/>
  <c r="AB2235" i="13"/>
  <c r="AB3405" i="13"/>
  <c r="AB1700" i="13"/>
  <c r="AB245" i="13"/>
  <c r="AB2856" i="13"/>
  <c r="AB3380" i="13"/>
  <c r="AB2545" i="13"/>
  <c r="AB1887" i="13"/>
  <c r="AB3450" i="13"/>
  <c r="AB3262" i="13"/>
  <c r="AB2795" i="13"/>
  <c r="AB537" i="13"/>
  <c r="AB2803" i="13"/>
  <c r="AB1583" i="13"/>
  <c r="AB988" i="13"/>
  <c r="AB325" i="13"/>
  <c r="AB968" i="13"/>
  <c r="AB2264" i="13"/>
  <c r="AB1130" i="13"/>
  <c r="AB3068" i="13"/>
  <c r="AB790" i="13"/>
  <c r="AB1818" i="13"/>
  <c r="AB2928" i="13"/>
  <c r="AB2882" i="13"/>
  <c r="AB664" i="13"/>
  <c r="AB2191" i="13"/>
  <c r="AB1599" i="13"/>
  <c r="AB3433" i="13"/>
  <c r="AB191" i="13"/>
  <c r="AB3132" i="13"/>
  <c r="AB1906" i="13"/>
  <c r="AB3173" i="13"/>
  <c r="AB1018" i="13"/>
  <c r="AB792" i="13"/>
  <c r="AB360" i="13"/>
  <c r="AB1856" i="13"/>
  <c r="AB1783" i="13"/>
  <c r="AB2653" i="13"/>
  <c r="AB3495" i="13"/>
  <c r="AB1623" i="13"/>
  <c r="AB3345" i="13"/>
  <c r="AB1076" i="13"/>
  <c r="AB3321" i="13"/>
  <c r="AB1075" i="13"/>
  <c r="AB1755" i="13"/>
  <c r="AB1289" i="13"/>
  <c r="AB2970" i="13"/>
  <c r="AB2895" i="13"/>
  <c r="AB3202" i="13"/>
  <c r="AB1328" i="13"/>
  <c r="AB2816" i="13"/>
  <c r="AB1021" i="13"/>
  <c r="AB1950" i="13"/>
  <c r="AB3270" i="13"/>
  <c r="AB3363" i="13"/>
  <c r="AB3537" i="13"/>
  <c r="AB1415" i="13"/>
  <c r="AB3017" i="13"/>
  <c r="AB2646" i="13"/>
  <c r="AB1604" i="13"/>
  <c r="AB1004" i="13"/>
  <c r="AB683" i="13"/>
  <c r="AB2138" i="13"/>
  <c r="AB1580" i="13"/>
  <c r="AB1816" i="13"/>
  <c r="AB2410" i="13"/>
  <c r="AB2260" i="13"/>
  <c r="AB599" i="13"/>
  <c r="AB1829" i="13"/>
  <c r="AB669" i="13"/>
  <c r="AB794" i="13"/>
  <c r="AB2022" i="13"/>
  <c r="AB1374" i="13"/>
  <c r="AB335" i="13"/>
  <c r="AB1657" i="13"/>
  <c r="AB3398" i="13"/>
  <c r="AB3243" i="13"/>
  <c r="AB2753" i="13"/>
  <c r="AB2212" i="13"/>
  <c r="AB1862" i="13"/>
  <c r="AB3092" i="13"/>
  <c r="AB2021" i="13"/>
  <c r="AB1263" i="13"/>
  <c r="AB287" i="13"/>
  <c r="AB203" i="13"/>
  <c r="AB427" i="13"/>
  <c r="AB24" i="13"/>
  <c r="AB3269" i="13"/>
  <c r="AB422" i="13"/>
  <c r="AB643" i="13"/>
  <c r="AB83" i="13"/>
  <c r="AB1442" i="13"/>
  <c r="AA1511" i="13"/>
  <c r="AA1517" i="13"/>
  <c r="AA822" i="13"/>
  <c r="AA978" i="13"/>
  <c r="AA413" i="13"/>
  <c r="AA1532" i="13"/>
  <c r="AA2979" i="13"/>
  <c r="AA1082" i="13"/>
  <c r="AA3371" i="13"/>
  <c r="AA2628" i="13"/>
  <c r="AA2913" i="13"/>
  <c r="AA2526" i="13"/>
  <c r="AA375" i="13"/>
  <c r="AA356" i="13"/>
  <c r="AA2611" i="13"/>
  <c r="AA1314" i="13"/>
  <c r="AA88" i="13"/>
  <c r="AA2888" i="13"/>
  <c r="AA3479" i="13"/>
  <c r="AA564" i="13"/>
  <c r="AA1473" i="13"/>
  <c r="AA1889" i="13"/>
  <c r="AA1758" i="13"/>
  <c r="AA639" i="13"/>
  <c r="AA1018" i="13"/>
  <c r="AA2047" i="13"/>
  <c r="AA715" i="13"/>
  <c r="AA2183" i="13"/>
  <c r="AA1104" i="13"/>
  <c r="AA918" i="13"/>
  <c r="AA3368" i="13"/>
  <c r="AA775" i="13"/>
  <c r="AA1279" i="13"/>
  <c r="AA2592" i="13"/>
  <c r="AA2680" i="13"/>
  <c r="AA3477" i="13"/>
  <c r="AA3169" i="13"/>
  <c r="AA3176" i="13"/>
  <c r="AA3151" i="13"/>
  <c r="AA2560" i="13"/>
  <c r="AA384" i="13"/>
  <c r="J111" i="5"/>
  <c r="J123" i="5"/>
  <c r="J78" i="5"/>
  <c r="J91" i="5"/>
  <c r="AB3029" i="13"/>
  <c r="AB692" i="13"/>
  <c r="AB515" i="13"/>
  <c r="AB2920" i="13"/>
  <c r="AB585" i="13"/>
  <c r="AB1928" i="13"/>
  <c r="AB2135" i="13"/>
  <c r="AB619" i="13"/>
  <c r="AB1502" i="13"/>
  <c r="AB656" i="13"/>
  <c r="AB763" i="13"/>
  <c r="AB2774" i="13"/>
  <c r="AB1781" i="13"/>
  <c r="AB1607" i="13"/>
  <c r="AB97" i="13"/>
  <c r="AB1714" i="13"/>
  <c r="AB3260" i="13"/>
  <c r="AB2161" i="13"/>
  <c r="AB650" i="13"/>
  <c r="AB355" i="13"/>
  <c r="AB642" i="13"/>
  <c r="AB3030" i="13"/>
  <c r="AB2875" i="13"/>
  <c r="AB782" i="13"/>
  <c r="AB1333" i="13"/>
  <c r="AB2587" i="13"/>
  <c r="AB662" i="13"/>
  <c r="AB1346" i="13"/>
  <c r="AB2724" i="13"/>
  <c r="AB517" i="13"/>
  <c r="AB1960" i="13"/>
  <c r="AB2326" i="13"/>
  <c r="AB253" i="13"/>
  <c r="AB115" i="13"/>
  <c r="AB2078" i="13"/>
  <c r="AB2339" i="13"/>
  <c r="AB1191" i="13"/>
  <c r="AB491" i="13"/>
  <c r="AB3546" i="13"/>
  <c r="AB484" i="13"/>
  <c r="AB3233" i="13"/>
  <c r="AB3152" i="13"/>
  <c r="AB3128" i="13"/>
  <c r="AB1071" i="13"/>
  <c r="AB2456" i="13"/>
  <c r="AB507" i="13"/>
  <c r="AB1662" i="13"/>
  <c r="AB1874" i="13"/>
  <c r="AB1673" i="13"/>
  <c r="AB2670" i="13"/>
  <c r="AB3407" i="13"/>
  <c r="AB2010" i="13"/>
  <c r="AB3009" i="13"/>
  <c r="AB1308" i="13"/>
  <c r="AB817" i="13"/>
  <c r="AB442" i="13"/>
  <c r="AB935" i="13"/>
  <c r="AB1748" i="13"/>
  <c r="AB1259" i="13"/>
  <c r="AB867" i="13"/>
  <c r="AB2286" i="13"/>
  <c r="AB2908" i="13"/>
  <c r="AB2555" i="13"/>
  <c r="AB607" i="13"/>
  <c r="AB647" i="13"/>
  <c r="AB2954" i="13"/>
  <c r="AB1117" i="13"/>
  <c r="AB3544" i="13"/>
  <c r="AB1904" i="13"/>
  <c r="AB1560" i="13"/>
  <c r="AB3342" i="13"/>
  <c r="AB1671" i="13"/>
  <c r="AB2761" i="13"/>
  <c r="AB2233" i="13"/>
  <c r="AB1896" i="13"/>
  <c r="AB485" i="13"/>
  <c r="AB2165" i="13"/>
  <c r="AB1897" i="13"/>
  <c r="AB672" i="13"/>
  <c r="AB1751" i="13"/>
  <c r="AB3196" i="13"/>
  <c r="AB2163" i="13"/>
  <c r="AB606" i="13"/>
  <c r="AB1480" i="13"/>
  <c r="AB1436" i="13"/>
  <c r="AB663" i="13"/>
  <c r="AB2550" i="13"/>
  <c r="AB2488" i="13"/>
  <c r="AB2301" i="13"/>
  <c r="AB948" i="13"/>
  <c r="AB3121" i="13"/>
  <c r="AB1085" i="13"/>
  <c r="AB3278" i="13"/>
  <c r="AB555" i="13"/>
  <c r="AB760" i="13"/>
  <c r="AB2433" i="13"/>
  <c r="AB1935" i="13"/>
  <c r="AB3217" i="13"/>
  <c r="AB929" i="13"/>
  <c r="AB3040" i="13"/>
  <c r="AB2807" i="13"/>
  <c r="AB2059" i="13"/>
  <c r="AB3379" i="13"/>
  <c r="AB699" i="13"/>
  <c r="AB2812" i="13"/>
  <c r="AB712" i="13"/>
  <c r="AB130" i="13"/>
  <c r="AB1774" i="13"/>
  <c r="AB306" i="13"/>
  <c r="AB186" i="13"/>
  <c r="AB3427" i="13"/>
  <c r="AB1123" i="13"/>
  <c r="AB2117" i="13"/>
  <c r="AB428" i="13"/>
  <c r="AB1238" i="13"/>
  <c r="AB610" i="13"/>
  <c r="AB406" i="13"/>
  <c r="AB603" i="13"/>
  <c r="AB2432" i="13"/>
  <c r="AB1156" i="13"/>
  <c r="AB1140" i="13"/>
  <c r="AB2196" i="13"/>
  <c r="AB3180" i="13"/>
  <c r="AB3245" i="13"/>
  <c r="AB1096" i="13"/>
  <c r="AB2058" i="13"/>
  <c r="AB1702" i="13"/>
  <c r="AB729" i="13"/>
  <c r="AB1850" i="13"/>
  <c r="AB2510" i="13"/>
  <c r="AB1932" i="13"/>
  <c r="AB2479" i="13"/>
  <c r="AB331" i="13"/>
  <c r="AB2124" i="13"/>
  <c r="AB1160" i="13"/>
  <c r="AB3418" i="13"/>
  <c r="AB848" i="13"/>
  <c r="AB2556" i="13"/>
  <c r="AB1570" i="13"/>
  <c r="AB1891" i="13"/>
  <c r="AB3053" i="13"/>
  <c r="AB1109" i="13"/>
  <c r="AB2669" i="13"/>
  <c r="AB543" i="13"/>
  <c r="AB1137" i="13"/>
  <c r="AB927" i="13"/>
  <c r="AB1789" i="13"/>
  <c r="AB1488" i="13"/>
  <c r="AB2889" i="13"/>
  <c r="AB2285" i="13"/>
  <c r="AB2234" i="13"/>
  <c r="AB1045" i="13"/>
  <c r="AB1658" i="13"/>
  <c r="AB1541" i="13"/>
  <c r="AB1009" i="13"/>
  <c r="AB1645" i="13"/>
  <c r="AB1452" i="13"/>
  <c r="AB3279" i="13"/>
  <c r="AB465" i="13"/>
  <c r="AB1303" i="13"/>
  <c r="AB2373" i="13"/>
  <c r="AB3549" i="13"/>
  <c r="AB2317" i="13"/>
  <c r="AB1370" i="13"/>
  <c r="AB61" i="13"/>
  <c r="AB169" i="13"/>
  <c r="AB1667" i="13"/>
  <c r="AB459" i="13"/>
  <c r="AB106" i="13"/>
  <c r="AB2593" i="13"/>
  <c r="AB198" i="13"/>
  <c r="AB2458" i="13"/>
  <c r="AB3274" i="13"/>
  <c r="AB477" i="13"/>
  <c r="AB2933" i="13"/>
  <c r="AB1223" i="13"/>
  <c r="AB3109" i="13"/>
  <c r="AB311" i="13"/>
  <c r="AB3131" i="13"/>
  <c r="AB163" i="13"/>
  <c r="AB1873" i="13"/>
  <c r="AB2558" i="13"/>
  <c r="AB3221" i="13"/>
  <c r="AB2244" i="13"/>
  <c r="AB3088" i="13"/>
  <c r="AB3101" i="13"/>
  <c r="AB568" i="13"/>
  <c r="AB3360" i="13"/>
  <c r="AB809" i="13"/>
  <c r="AB1035" i="13"/>
  <c r="AB2851" i="13"/>
  <c r="AB871" i="13"/>
  <c r="AB1696" i="13"/>
  <c r="AB1693" i="13"/>
  <c r="AB3333" i="13"/>
  <c r="AB3096" i="13"/>
  <c r="AB1853" i="13"/>
  <c r="AB2250" i="13"/>
  <c r="AB1399" i="13"/>
  <c r="AB2369" i="13"/>
  <c r="AA2574" i="13"/>
  <c r="AA3365" i="13"/>
  <c r="AA2504" i="13"/>
  <c r="AA2343" i="13"/>
  <c r="AA73" i="13"/>
  <c r="AA1969" i="13"/>
  <c r="AA1684" i="13"/>
  <c r="AA1070" i="13"/>
  <c r="AA2538" i="13"/>
  <c r="AA2111" i="13"/>
  <c r="AA34" i="13"/>
  <c r="AA3412" i="13"/>
  <c r="AA307" i="13"/>
  <c r="AA544" i="13"/>
  <c r="AA292" i="13"/>
  <c r="AA879" i="13"/>
  <c r="AA802" i="13"/>
  <c r="AA1923" i="13"/>
  <c r="AA1567" i="13"/>
  <c r="AA1605" i="13"/>
  <c r="AA2335" i="13"/>
  <c r="AA1792" i="13"/>
  <c r="AA1661" i="13"/>
  <c r="AA2344" i="13"/>
  <c r="AA1570" i="13"/>
  <c r="AA2454" i="13"/>
  <c r="AA2646" i="13"/>
  <c r="AA1662" i="13"/>
  <c r="AA1579" i="13"/>
  <c r="AA190" i="13"/>
  <c r="AA672" i="13"/>
  <c r="AA811" i="13"/>
  <c r="AA274" i="13"/>
  <c r="AA660" i="13"/>
  <c r="AA1896" i="13"/>
  <c r="AA2048" i="13"/>
  <c r="AA676" i="13"/>
  <c r="AA860" i="13"/>
  <c r="AA766" i="13"/>
  <c r="AA2742" i="13"/>
  <c r="AA1797" i="13"/>
  <c r="AA1599" i="13"/>
  <c r="AA2714" i="13"/>
  <c r="AA615" i="13"/>
  <c r="AA1698" i="13"/>
  <c r="AA1516" i="13"/>
  <c r="AA3197" i="13"/>
  <c r="AA701" i="13"/>
  <c r="AA1116" i="13"/>
  <c r="AA311" i="13"/>
  <c r="AA3232" i="13"/>
  <c r="AA2376" i="13"/>
  <c r="AA432" i="13"/>
  <c r="AA3307" i="13"/>
  <c r="AA1234" i="13"/>
  <c r="AA2618" i="13"/>
  <c r="AA3163" i="13"/>
  <c r="AA3384" i="13"/>
  <c r="AA2524" i="13"/>
  <c r="AA2219" i="13"/>
  <c r="AA1873" i="13"/>
  <c r="AA2537" i="13"/>
  <c r="AA157" i="13"/>
  <c r="AA3395" i="13"/>
  <c r="AA2715" i="13"/>
  <c r="J34" i="5"/>
  <c r="J60" i="5"/>
  <c r="J50" i="5"/>
  <c r="J102" i="5"/>
  <c r="J66" i="5"/>
  <c r="AB2309" i="13"/>
  <c r="AB1815" i="13"/>
  <c r="AB1095" i="13"/>
  <c r="AB1648" i="13"/>
  <c r="AB2121" i="13"/>
  <c r="AB864" i="13"/>
  <c r="AB2356" i="13"/>
  <c r="AB679" i="13"/>
  <c r="AB2428" i="13"/>
  <c r="AB657" i="13"/>
  <c r="AB1066" i="13"/>
  <c r="AB2100" i="13"/>
  <c r="AB1474" i="13"/>
  <c r="AB3343" i="13"/>
  <c r="AB2764" i="13"/>
  <c r="AB1353" i="13"/>
  <c r="AB1397" i="13"/>
  <c r="AB350" i="13"/>
  <c r="AB1428" i="13"/>
  <c r="AB1547" i="13"/>
  <c r="AB1870" i="13"/>
  <c r="AB2584" i="13"/>
  <c r="AB740" i="13"/>
  <c r="AB1945" i="13"/>
  <c r="AB812" i="13"/>
  <c r="AB2149" i="13"/>
  <c r="AB1903" i="13"/>
  <c r="AB500" i="13"/>
  <c r="AB3498" i="13"/>
  <c r="AB2334" i="13"/>
  <c r="AB377" i="13"/>
  <c r="AB1855" i="13"/>
  <c r="AB233" i="13"/>
  <c r="AB2236" i="13"/>
  <c r="AB1352" i="13"/>
  <c r="AB3134" i="13"/>
  <c r="AB967" i="13"/>
  <c r="AB2412" i="13"/>
  <c r="AB2560" i="13"/>
  <c r="AB481" i="13"/>
  <c r="AB1973" i="13"/>
  <c r="AB2574" i="13"/>
  <c r="AB100" i="13"/>
  <c r="AB1823" i="13"/>
  <c r="AB2336" i="13"/>
  <c r="AB985" i="13"/>
  <c r="AB1587" i="13"/>
  <c r="AB2535" i="13"/>
  <c r="AB2696" i="13"/>
  <c r="AB3367" i="13"/>
  <c r="AB2368" i="13"/>
  <c r="AB2826" i="13"/>
  <c r="AB1804" i="13"/>
  <c r="AB3114" i="13"/>
  <c r="AB1788" i="13"/>
  <c r="AB2352" i="13"/>
  <c r="AB1486" i="13"/>
  <c r="AB2245" i="13"/>
  <c r="AB2329" i="13"/>
  <c r="AB840" i="13"/>
  <c r="AB2395" i="13"/>
  <c r="AB2892" i="13"/>
  <c r="AB626" i="13"/>
  <c r="AB3045" i="13"/>
  <c r="AB1119" i="13"/>
  <c r="AA1186" i="13"/>
  <c r="AA3255" i="13"/>
  <c r="AA3408" i="13"/>
  <c r="AA258" i="13"/>
  <c r="AA946" i="13"/>
  <c r="AA1437" i="13"/>
  <c r="AA3195" i="13"/>
  <c r="AA903" i="13"/>
  <c r="AA446" i="13"/>
  <c r="AA1240" i="13"/>
  <c r="AA824" i="13"/>
  <c r="AA994" i="13"/>
  <c r="AA69" i="13"/>
  <c r="AA2403" i="13"/>
  <c r="AA3201" i="13"/>
  <c r="AA2506" i="13"/>
  <c r="AA2609" i="13"/>
  <c r="AA906" i="13"/>
  <c r="AA1154" i="13"/>
  <c r="AA1319" i="13"/>
  <c r="AA221" i="13"/>
  <c r="AA2578" i="13"/>
  <c r="AA953" i="13"/>
  <c r="AA1581" i="13"/>
  <c r="AA457" i="13"/>
  <c r="AB1387" i="13"/>
  <c r="AA3334" i="13"/>
  <c r="AA2439" i="13"/>
  <c r="AA1452" i="13"/>
  <c r="AA482" i="13"/>
  <c r="AA2137" i="13"/>
  <c r="AA2623" i="13"/>
  <c r="AA2701" i="13"/>
  <c r="AA2642" i="13"/>
  <c r="AA3495" i="13"/>
  <c r="AA1428" i="13"/>
  <c r="AA881" i="13"/>
  <c r="AA2304" i="13"/>
  <c r="AA2135" i="13"/>
  <c r="AA2656" i="13"/>
  <c r="AA1188" i="13"/>
  <c r="AA520" i="13"/>
  <c r="AA745" i="13"/>
  <c r="AA1703" i="13"/>
  <c r="AA109" i="13"/>
  <c r="AA1612" i="13"/>
  <c r="AA2093" i="13"/>
  <c r="AA2508" i="13"/>
  <c r="AA1823" i="13"/>
  <c r="AA2933" i="13"/>
  <c r="AA2332" i="13"/>
  <c r="AA1825" i="13"/>
  <c r="AA3148" i="13"/>
  <c r="AA379" i="13"/>
  <c r="AA2795" i="13"/>
  <c r="AA2978" i="13"/>
  <c r="AA1413" i="13"/>
  <c r="AA400" i="13"/>
  <c r="AA1523" i="13"/>
  <c r="AA1983" i="13"/>
  <c r="AA2521" i="13"/>
  <c r="AA1593" i="13"/>
  <c r="AA2875" i="13"/>
  <c r="AA1326" i="13"/>
  <c r="AA2960" i="13"/>
  <c r="AA1325" i="13"/>
  <c r="AA474" i="13"/>
  <c r="J116" i="5"/>
  <c r="J68" i="5"/>
  <c r="J90" i="5"/>
  <c r="AB716" i="13"/>
  <c r="AB1304" i="13"/>
  <c r="AB1050" i="13"/>
  <c r="AB2407" i="13"/>
  <c r="AB923" i="13"/>
  <c r="AB3412" i="13"/>
  <c r="AB731" i="13"/>
  <c r="AB1864" i="13"/>
  <c r="AB834" i="13"/>
  <c r="AB2977" i="13"/>
  <c r="AB3193" i="13"/>
  <c r="AB3272" i="13"/>
  <c r="AB1678" i="13"/>
  <c r="AB2328" i="13"/>
  <c r="AB1745" i="13"/>
  <c r="AB1676" i="13"/>
  <c r="AB1098" i="13"/>
  <c r="AB2209" i="13"/>
  <c r="AB2503" i="13"/>
  <c r="AB1057" i="13"/>
  <c r="AB3400" i="13"/>
  <c r="AB136" i="13"/>
  <c r="AB1653" i="13"/>
  <c r="AB346" i="13"/>
  <c r="AB1401" i="13"/>
  <c r="AB90" i="13"/>
  <c r="AB1052" i="13"/>
  <c r="AB1672" i="13"/>
  <c r="AB1682" i="13"/>
  <c r="AB430" i="13"/>
  <c r="AB1074" i="13"/>
  <c r="AB2740" i="13"/>
  <c r="AB1878" i="13"/>
  <c r="AB2995" i="13"/>
  <c r="AB560" i="13"/>
  <c r="AB462" i="13"/>
  <c r="AB841" i="13"/>
  <c r="AB1110" i="13"/>
  <c r="AB2125" i="13"/>
  <c r="AB885" i="13"/>
  <c r="AB151" i="13"/>
  <c r="AB766" i="13"/>
  <c r="AB761" i="13"/>
  <c r="AB2200" i="13"/>
  <c r="AB745" i="13"/>
  <c r="AB2898" i="13"/>
  <c r="AB204" i="13"/>
  <c r="AB2744" i="13"/>
  <c r="AB1646" i="13"/>
  <c r="AB1899" i="13"/>
  <c r="AB2278" i="13"/>
  <c r="AB1280" i="13"/>
  <c r="AB2226" i="13"/>
  <c r="AB3408" i="13"/>
  <c r="AB2943" i="13"/>
  <c r="AB954" i="13"/>
  <c r="AB1421" i="13"/>
  <c r="AB2483" i="13"/>
  <c r="AB791" i="13"/>
  <c r="AB3535" i="13"/>
  <c r="AB2935" i="13"/>
  <c r="AB1079" i="13"/>
  <c r="AB3548" i="13"/>
  <c r="AB1866" i="13"/>
  <c r="AB980" i="13"/>
  <c r="AB622" i="13"/>
  <c r="AB2053" i="13"/>
  <c r="AB2569" i="13"/>
  <c r="AB3054" i="13"/>
  <c r="AB1780" i="13"/>
  <c r="AB835" i="13"/>
  <c r="AB775" i="13"/>
  <c r="AB327" i="13"/>
  <c r="AB1629" i="13"/>
  <c r="AB1265" i="13"/>
  <c r="AB780" i="13"/>
  <c r="AB2830" i="13"/>
  <c r="AB135" i="13"/>
  <c r="AB386" i="13"/>
  <c r="AB256" i="13"/>
  <c r="AB418" i="13"/>
  <c r="AB1245" i="13"/>
  <c r="AB1306" i="13"/>
  <c r="AB1686" i="13"/>
  <c r="AB1226" i="13"/>
  <c r="AB3036" i="13"/>
  <c r="AB1665" i="13"/>
  <c r="AB157" i="13"/>
  <c r="AB2331" i="13"/>
  <c r="AB2976" i="13"/>
  <c r="AB3185" i="13"/>
  <c r="AB2951" i="13"/>
  <c r="AB2688" i="13"/>
  <c r="AB1688" i="13"/>
  <c r="AB2770" i="13"/>
  <c r="AB3222" i="13"/>
  <c r="AB1136" i="13"/>
  <c r="AB1631" i="13"/>
  <c r="AB2906" i="13"/>
  <c r="AB749" i="13"/>
  <c r="AB1965" i="13"/>
  <c r="AB2012" i="13"/>
  <c r="AB2312" i="13"/>
  <c r="AB222" i="13"/>
  <c r="AB2561" i="13"/>
  <c r="AB1922" i="13"/>
  <c r="AB3473" i="13"/>
  <c r="AB1215" i="13"/>
  <c r="AB400" i="13"/>
  <c r="AB2981" i="13"/>
  <c r="AB707" i="13"/>
  <c r="AB2447" i="13"/>
  <c r="AB3208" i="13"/>
  <c r="AB2383" i="13"/>
  <c r="AB1515" i="13"/>
  <c r="AB457" i="13"/>
  <c r="AB2167" i="13"/>
  <c r="AB2372" i="13"/>
  <c r="AB330" i="13"/>
  <c r="AB439" i="13"/>
  <c r="AB1388" i="13"/>
  <c r="AB2296" i="13"/>
  <c r="AB1164" i="13"/>
  <c r="AB1912" i="13"/>
  <c r="AB2120" i="13"/>
  <c r="AB91" i="13"/>
  <c r="AB104" i="13"/>
  <c r="AB2916" i="13"/>
  <c r="AB2790" i="13"/>
  <c r="AB1877" i="13"/>
  <c r="AB2370" i="13"/>
  <c r="AB1989" i="13"/>
  <c r="AB1847" i="13"/>
  <c r="AB1092" i="13"/>
  <c r="AB3011" i="13"/>
  <c r="AB1498" i="13"/>
  <c r="AB2684" i="13"/>
  <c r="J64" i="5"/>
  <c r="AB1458" i="13"/>
  <c r="AB2293" i="13"/>
  <c r="AB1483" i="13"/>
  <c r="AB2085" i="13"/>
  <c r="AB693" i="13"/>
  <c r="AB1359" i="13"/>
  <c r="AB1884" i="13"/>
  <c r="AB1161" i="13"/>
  <c r="AB1837" i="13"/>
  <c r="AB2638" i="13"/>
  <c r="AB783" i="13"/>
  <c r="AB886" i="13"/>
  <c r="AB1618" i="13"/>
  <c r="AB158" i="13"/>
  <c r="AB1614" i="13"/>
  <c r="AB2978" i="13"/>
  <c r="AB1008" i="13"/>
  <c r="AB544" i="13"/>
  <c r="AB3035" i="13"/>
  <c r="AB2506" i="13"/>
  <c r="AB1167" i="13"/>
  <c r="AB450" i="13"/>
  <c r="AB155" i="13"/>
  <c r="AB1183" i="13"/>
  <c r="AB649" i="13"/>
  <c r="AB1481" i="13"/>
  <c r="AB596" i="13"/>
  <c r="AB2107" i="13"/>
  <c r="AB1674" i="13"/>
  <c r="AB2310" i="13"/>
  <c r="AB3220" i="13"/>
  <c r="AB3194" i="13"/>
  <c r="AB3215" i="13"/>
  <c r="AB950" i="13"/>
  <c r="AB3437" i="13"/>
  <c r="AB2608" i="13"/>
  <c r="AB131" i="13"/>
  <c r="AB2288" i="13"/>
  <c r="AB3552" i="13"/>
  <c r="AB2023" i="13"/>
  <c r="AB3288" i="13"/>
  <c r="AB1927" i="13"/>
  <c r="AB3430" i="13"/>
  <c r="AB479" i="13"/>
  <c r="AB2240" i="13"/>
  <c r="AB1692" i="13"/>
  <c r="AB1586" i="13"/>
  <c r="AB304" i="13"/>
  <c r="AB1689" i="13"/>
  <c r="AB3189" i="13"/>
  <c r="AB1949" i="13"/>
  <c r="AB398" i="13"/>
  <c r="AB741" i="13"/>
  <c r="AB1354" i="13"/>
  <c r="AB2930" i="13"/>
  <c r="AB1371" i="13"/>
  <c r="AB109" i="13"/>
  <c r="AB2324" i="13"/>
  <c r="AB2820" i="13"/>
  <c r="AB2164" i="13"/>
  <c r="AB2942" i="13"/>
  <c r="AB1545" i="13"/>
  <c r="AB3112" i="13"/>
  <c r="AB673" i="13"/>
  <c r="AB1905" i="13"/>
  <c r="AB2809" i="13"/>
  <c r="AB2999" i="13"/>
  <c r="AB216" i="13"/>
  <c r="AB580" i="13"/>
  <c r="AB696" i="13"/>
  <c r="AB52" i="13"/>
  <c r="AB646" i="13"/>
  <c r="AB254" i="13"/>
  <c r="AB123" i="13"/>
  <c r="AB475" i="13"/>
  <c r="AB3511" i="13"/>
  <c r="AB2953" i="13"/>
  <c r="AB3468" i="13"/>
  <c r="AB2316" i="13"/>
  <c r="AB667" i="13"/>
  <c r="AB894" i="13"/>
  <c r="AB1872" i="13"/>
  <c r="AB3252" i="13"/>
  <c r="AB1439" i="13"/>
  <c r="AB40" i="13"/>
  <c r="AB2065" i="13"/>
  <c r="AB2636" i="13"/>
  <c r="AB302" i="13"/>
  <c r="AB57" i="13"/>
  <c r="AB2776" i="13"/>
  <c r="AB1300" i="13"/>
  <c r="AB499" i="13"/>
  <c r="AB351" i="13"/>
  <c r="AB1709" i="13"/>
  <c r="AB2529" i="13"/>
  <c r="AB3157" i="13"/>
  <c r="AB2425" i="13"/>
  <c r="AB906" i="13"/>
  <c r="AB3392" i="13"/>
  <c r="AB1128" i="13"/>
  <c r="AB3175" i="13"/>
  <c r="AB1392" i="13"/>
  <c r="AB1329" i="13"/>
  <c r="AB1677" i="13"/>
  <c r="AB297" i="13"/>
  <c r="AB1462" i="13"/>
  <c r="AB2478" i="13"/>
  <c r="AB1423" i="13"/>
  <c r="AB1814" i="13"/>
  <c r="AB1116" i="13"/>
  <c r="AB591" i="13"/>
  <c r="AB1876" i="13"/>
  <c r="AB2866" i="13"/>
  <c r="AB781" i="13"/>
  <c r="AB1994" i="13"/>
  <c r="AB3352" i="13"/>
  <c r="AB574" i="13"/>
  <c r="AB3329" i="13"/>
  <c r="AB625" i="13"/>
  <c r="AA2906" i="13"/>
  <c r="AA237" i="13"/>
  <c r="AA2486" i="13"/>
  <c r="AA217" i="13"/>
  <c r="AA481" i="13"/>
  <c r="AA3030" i="13"/>
  <c r="AA3215" i="13"/>
  <c r="AA2276" i="13"/>
  <c r="AA3520" i="13"/>
  <c r="AA1223" i="13"/>
  <c r="AA2199" i="13"/>
  <c r="AA2457" i="13"/>
  <c r="AA1985" i="13"/>
  <c r="AA3417" i="13"/>
  <c r="AA1726" i="13"/>
  <c r="AA2627" i="13"/>
  <c r="AA2037" i="13"/>
  <c r="AA1535" i="13"/>
  <c r="AA816" i="13"/>
  <c r="AA613" i="13"/>
  <c r="AA140" i="13"/>
  <c r="AA3009" i="13"/>
  <c r="AA2573" i="13"/>
  <c r="AA718" i="13"/>
  <c r="AA2588" i="13"/>
  <c r="AA3168" i="13"/>
  <c r="AA2419" i="13"/>
  <c r="AA1267" i="13"/>
  <c r="AA1015" i="13"/>
  <c r="AA409" i="13"/>
  <c r="AA1083" i="13"/>
  <c r="AA245" i="13"/>
  <c r="AA1909" i="13"/>
  <c r="AA652" i="13"/>
  <c r="AA2643" i="13"/>
  <c r="J63" i="5"/>
  <c r="AB1313" i="13"/>
  <c r="AB1364" i="13"/>
  <c r="AB393" i="13"/>
  <c r="AB1718" i="13"/>
  <c r="AB2024" i="13"/>
  <c r="AB2462" i="13"/>
  <c r="AB2345" i="13"/>
  <c r="AB1434" i="13"/>
  <c r="AB3479" i="13"/>
  <c r="AB1642" i="13"/>
  <c r="AB594" i="13"/>
  <c r="AB1883" i="13"/>
  <c r="AB3082" i="13"/>
  <c r="AB1275" i="13"/>
  <c r="AB2443" i="13"/>
  <c r="AB3451" i="13"/>
  <c r="AB2672" i="13"/>
  <c r="AB3364" i="13"/>
  <c r="AB623" i="13"/>
  <c r="AB126" i="13"/>
  <c r="AB161" i="13"/>
  <c r="AB1931" i="13"/>
  <c r="AB3025" i="13"/>
  <c r="AB3293" i="13"/>
  <c r="AB2305" i="13"/>
  <c r="AB2084" i="13"/>
  <c r="AB2960" i="13"/>
  <c r="AB2591" i="13"/>
  <c r="AB323" i="13"/>
  <c r="AB2007" i="13"/>
  <c r="AB856" i="13"/>
  <c r="AB990" i="13"/>
  <c r="AB1378" i="13"/>
  <c r="AB388" i="13"/>
  <c r="AB613" i="13"/>
  <c r="AB3014" i="13"/>
  <c r="AB3446" i="13"/>
  <c r="AB2695" i="13"/>
  <c r="AB1826" i="13"/>
  <c r="AB2136" i="13"/>
  <c r="AB3136" i="13"/>
  <c r="AB2251" i="13"/>
  <c r="AB121" i="13"/>
  <c r="AB226" i="13"/>
  <c r="AB1803" i="13"/>
  <c r="AB2061" i="13"/>
  <c r="AB1953" i="13"/>
  <c r="AB344" i="13"/>
  <c r="AB1624" i="13"/>
  <c r="AB512" i="13"/>
  <c r="AB2150" i="13"/>
  <c r="AB598" i="13"/>
  <c r="AB337" i="13"/>
  <c r="AB382" i="13"/>
  <c r="AB2677" i="13"/>
  <c r="AB2792" i="13"/>
  <c r="AB1641" i="13"/>
  <c r="AB1885" i="13"/>
  <c r="AB2731" i="13"/>
  <c r="AB1782" i="13"/>
  <c r="AB1224" i="13"/>
  <c r="AB1102" i="13"/>
  <c r="AB3504" i="13"/>
  <c r="AA2964" i="13"/>
  <c r="AA417" i="13"/>
  <c r="AA1320" i="13"/>
  <c r="AA1067" i="13"/>
  <c r="AA1346" i="13"/>
  <c r="AA2462" i="13"/>
  <c r="AA1114" i="13"/>
  <c r="AA636" i="13"/>
  <c r="AA2999" i="13"/>
  <c r="AA2744" i="13"/>
  <c r="AA2864" i="13"/>
  <c r="AA2931" i="13"/>
  <c r="AA1226" i="13"/>
  <c r="AA2355" i="13"/>
  <c r="AA171" i="13"/>
  <c r="AA3435" i="13"/>
  <c r="AA2904" i="13"/>
  <c r="AA3088" i="13"/>
  <c r="AA2474" i="13"/>
  <c r="J103" i="5"/>
  <c r="AB759" i="13"/>
  <c r="AB728" i="13"/>
  <c r="AB2652" i="13"/>
  <c r="AB2224" i="13"/>
  <c r="AB863" i="13"/>
  <c r="AB2046" i="13"/>
  <c r="AB2419" i="13"/>
  <c r="AB2131" i="13"/>
  <c r="AB147" i="13"/>
  <c r="AB53" i="13"/>
  <c r="AB2358" i="13"/>
  <c r="AB3199" i="13"/>
  <c r="AB3166" i="13"/>
  <c r="AB1121" i="13"/>
  <c r="AB372" i="13"/>
  <c r="AB2190" i="13"/>
  <c r="AB2056" i="13"/>
  <c r="AB717" i="13"/>
  <c r="AB1023" i="13"/>
  <c r="AB1530" i="13"/>
  <c r="AB860" i="13"/>
  <c r="AB1860" i="13"/>
  <c r="AB2168" i="13"/>
  <c r="AB2590" i="13"/>
  <c r="AB1003" i="13"/>
  <c r="AB1605" i="13"/>
  <c r="AB2450" i="13"/>
  <c r="AB3116" i="13"/>
  <c r="AB2621" i="13"/>
  <c r="AB1118" i="13"/>
  <c r="AB3184" i="13"/>
  <c r="AB2455" i="13"/>
  <c r="AB2281" i="13"/>
  <c r="AB1113" i="13"/>
  <c r="AB2468" i="13"/>
  <c r="AB3142" i="13"/>
  <c r="AB2361" i="13"/>
  <c r="AB340" i="13"/>
  <c r="AB1848" i="13"/>
  <c r="AB2087" i="13"/>
  <c r="AB2704" i="13"/>
  <c r="AB180" i="13"/>
  <c r="AB1886" i="13"/>
  <c r="AB686" i="13"/>
  <c r="AB29" i="13"/>
  <c r="AB1276" i="13"/>
  <c r="AB869" i="13"/>
  <c r="AB1381" i="13"/>
  <c r="AB3334" i="13"/>
  <c r="AB2559" i="13"/>
  <c r="AB3330" i="13"/>
  <c r="AB3508" i="13"/>
  <c r="AB3248" i="13"/>
  <c r="AB3086" i="13"/>
  <c r="AB2885" i="13"/>
  <c r="AA2959" i="13"/>
  <c r="AA1594" i="13"/>
  <c r="AA2859" i="13"/>
  <c r="AA3160" i="13"/>
  <c r="AA1547" i="13"/>
  <c r="AA864" i="13"/>
  <c r="AA2272" i="13"/>
  <c r="AA780" i="13"/>
  <c r="AA433" i="13"/>
  <c r="AA2433" i="13"/>
  <c r="AA255" i="13"/>
  <c r="AA2191" i="13"/>
  <c r="J110" i="5"/>
  <c r="AB2766" i="13"/>
  <c r="AB2005" i="13"/>
  <c r="AB2699" i="13"/>
  <c r="AB1954" i="13"/>
  <c r="AB1041" i="13"/>
  <c r="AB2186" i="13"/>
  <c r="AB3226" i="13"/>
  <c r="AB602" i="13"/>
  <c r="AB443" i="13"/>
  <c r="AB595" i="13"/>
  <c r="AB2706" i="13"/>
  <c r="AB1907" i="13"/>
  <c r="AB1299" i="13"/>
  <c r="AB1293" i="13"/>
  <c r="AB531" i="13"/>
  <c r="AB445" i="13"/>
  <c r="AB1632" i="13"/>
  <c r="AB2174" i="13"/>
  <c r="AB1453" i="13"/>
  <c r="AB1007" i="13"/>
  <c r="AB1145" i="13"/>
  <c r="AB93" i="13"/>
  <c r="AB600" i="13"/>
  <c r="AB3102" i="13"/>
  <c r="AA2783" i="13"/>
  <c r="AB1192" i="13"/>
  <c r="AB2187" i="13"/>
  <c r="AB884" i="13"/>
  <c r="AB3111" i="13"/>
  <c r="AB2127" i="13"/>
  <c r="AB1703" i="13"/>
  <c r="AB818" i="13"/>
  <c r="AB383" i="13"/>
  <c r="AB556" i="13"/>
  <c r="AB2523" i="13"/>
  <c r="AB865" i="13"/>
  <c r="AB3156" i="13"/>
  <c r="AB1690" i="13"/>
  <c r="AB1758" i="13"/>
  <c r="AB752" i="13"/>
  <c r="AB1756" i="13"/>
  <c r="AA3225" i="13"/>
  <c r="AA499" i="13"/>
  <c r="AA2669" i="13"/>
  <c r="J11" i="5"/>
  <c r="AB1234" i="13"/>
  <c r="AB1944" i="13"/>
  <c r="AB505" i="13"/>
  <c r="AA2525" i="13"/>
  <c r="AA1184" i="13"/>
  <c r="AA339" i="13"/>
  <c r="AA46" i="13"/>
  <c r="AA543" i="13"/>
  <c r="AA861" i="13"/>
  <c r="AA2156" i="13"/>
  <c r="AA1790" i="13"/>
  <c r="AA2035" i="13"/>
  <c r="AA3002" i="13"/>
  <c r="AA1755" i="13"/>
  <c r="AA2299" i="13"/>
  <c r="AA2091" i="13"/>
  <c r="AA1990" i="13"/>
  <c r="AA2766" i="13"/>
  <c r="AA675" i="13"/>
  <c r="AA697" i="13"/>
  <c r="AA1175" i="13"/>
  <c r="AA3372" i="13"/>
  <c r="AA2255" i="13"/>
  <c r="AA3274" i="13"/>
  <c r="AA2041" i="13"/>
  <c r="AA692" i="13"/>
  <c r="AA3343" i="13"/>
  <c r="AA3263" i="13"/>
  <c r="AA3359" i="13"/>
  <c r="AA2846" i="13"/>
  <c r="AA2369" i="13"/>
  <c r="AA2858" i="13"/>
  <c r="AA3424" i="13"/>
  <c r="AA2845" i="13"/>
  <c r="AA1065" i="13"/>
  <c r="AA1355" i="13"/>
  <c r="AA1876" i="13"/>
  <c r="AA2147" i="13"/>
  <c r="AA2252" i="13"/>
  <c r="AA598" i="13"/>
  <c r="AA2958" i="13"/>
  <c r="AA1527" i="13"/>
  <c r="AA3373" i="13"/>
  <c r="AA2603" i="13"/>
  <c r="J3" i="5"/>
  <c r="J17" i="5"/>
  <c r="AB3083" i="13"/>
  <c r="AB2937" i="13"/>
  <c r="AB1675" i="13"/>
  <c r="AB513" i="13"/>
  <c r="AB2476" i="13"/>
  <c r="AB2192" i="13"/>
  <c r="AB3375" i="13"/>
  <c r="AB945" i="13"/>
  <c r="AB2406" i="13"/>
  <c r="AB3492" i="13"/>
  <c r="AB883" i="13"/>
  <c r="AB498" i="13"/>
  <c r="AB1733" i="13"/>
  <c r="AB3428" i="13"/>
  <c r="AB102" i="13"/>
  <c r="AB1025" i="13"/>
  <c r="AB2355" i="13"/>
  <c r="AB3081" i="13"/>
  <c r="AA340" i="13"/>
  <c r="AA2503" i="13"/>
  <c r="J54" i="5"/>
  <c r="AB872" i="13"/>
  <c r="AB1083" i="13"/>
  <c r="AB1157" i="13"/>
  <c r="AB1199" i="13"/>
  <c r="AB2586" i="13"/>
  <c r="AB3327" i="13"/>
  <c r="AB2382" i="13"/>
  <c r="AB701" i="13"/>
  <c r="AB420" i="13"/>
  <c r="AB926" i="13"/>
  <c r="AB1181" i="13"/>
  <c r="AB2900" i="13"/>
  <c r="AB1219" i="13"/>
  <c r="AB986" i="13"/>
  <c r="AB2464" i="13"/>
  <c r="AB1232" i="13"/>
  <c r="AB1998" i="13"/>
  <c r="AB3395" i="13"/>
  <c r="AB1964" i="13"/>
  <c r="AB3213" i="13"/>
  <c r="AB2618" i="13"/>
  <c r="AB1770" i="13"/>
  <c r="AB3445" i="13"/>
  <c r="AB1492" i="13"/>
  <c r="AB2307" i="13"/>
  <c r="AB1681" i="13"/>
  <c r="AB1778" i="13"/>
  <c r="AB3239" i="13"/>
  <c r="AB1277" i="13"/>
  <c r="AB1385" i="13"/>
  <c r="AB2864" i="13"/>
  <c r="AB231" i="13"/>
  <c r="AB371" i="13"/>
  <c r="AB3332" i="13"/>
  <c r="AB1625" i="13"/>
  <c r="AB3231" i="13"/>
  <c r="AB148" i="13"/>
  <c r="AB832" i="13"/>
  <c r="AB1939" i="13"/>
  <c r="AB849" i="13"/>
  <c r="AB1446" i="13"/>
  <c r="AB2910" i="13"/>
  <c r="AB1478" i="13"/>
  <c r="AB2725" i="13"/>
  <c r="AB3207" i="13"/>
  <c r="AB721" i="13"/>
  <c r="AB2338" i="13"/>
  <c r="AB632" i="13"/>
  <c r="AB1832" i="13"/>
  <c r="AB821" i="13"/>
  <c r="AB1620" i="13"/>
  <c r="AB2945" i="13"/>
  <c r="AB1178" i="13"/>
  <c r="AB227" i="13"/>
  <c r="AB433" i="13"/>
  <c r="AB2844" i="13"/>
  <c r="AB629" i="13"/>
  <c r="AB3513" i="13"/>
  <c r="AB2320" i="13"/>
  <c r="AB483" i="13"/>
  <c r="AB1892" i="13"/>
  <c r="AB2741" i="13"/>
  <c r="AB2989" i="13"/>
  <c r="AB145" i="13"/>
  <c r="AB1791" i="13"/>
  <c r="AB981" i="13"/>
  <c r="AB2874" i="13"/>
  <c r="AB2983" i="13"/>
  <c r="AB2546" i="13"/>
  <c r="AA430" i="13"/>
  <c r="AA2281" i="13"/>
  <c r="AA900" i="13"/>
  <c r="AA1548" i="13"/>
  <c r="AA1235" i="13"/>
  <c r="AA2348" i="13"/>
  <c r="AA1971" i="13"/>
  <c r="AA324" i="13"/>
  <c r="AA1948" i="13"/>
  <c r="AA2827" i="13"/>
  <c r="AA3217" i="13"/>
  <c r="AA336" i="13"/>
  <c r="AA3024" i="13"/>
  <c r="AA1822" i="13"/>
  <c r="AA3454" i="13"/>
  <c r="AA2273" i="13"/>
  <c r="AA3057" i="13"/>
  <c r="AA2138" i="13"/>
  <c r="J106" i="5"/>
  <c r="AB2964" i="13"/>
  <c r="AB2420" i="13"/>
  <c r="AB2663" i="13"/>
  <c r="AB1942" i="13"/>
  <c r="AB2585" i="13"/>
  <c r="AB43" i="13"/>
  <c r="AB1978" i="13"/>
  <c r="AB1861" i="13"/>
  <c r="AB220" i="13"/>
  <c r="AB1664" i="13"/>
  <c r="AB2472" i="13"/>
  <c r="AB1341" i="13"/>
  <c r="AB1129" i="13"/>
  <c r="AB3065" i="13"/>
  <c r="AB3219" i="13"/>
  <c r="AB541" i="13"/>
  <c r="AB444" i="13"/>
  <c r="AB1608" i="13"/>
  <c r="AB2222" i="13"/>
  <c r="AB132" i="13"/>
  <c r="AB2003" i="13"/>
  <c r="AB1806" i="13"/>
  <c r="AB3385" i="13"/>
  <c r="AB690" i="13"/>
  <c r="AB1062" i="13"/>
  <c r="AB2371" i="13"/>
  <c r="AB2567" i="13"/>
  <c r="AB70" i="13"/>
  <c r="AB2749" i="13"/>
  <c r="AB1743" i="13"/>
  <c r="AB3120" i="13"/>
  <c r="AB2367" i="13"/>
  <c r="AB2779" i="13"/>
  <c r="AB2414" i="13"/>
  <c r="AB478" i="13"/>
  <c r="AB3480" i="13"/>
  <c r="AB170" i="13"/>
  <c r="AB890" i="13"/>
  <c r="AB2838" i="13"/>
  <c r="AA996" i="13"/>
  <c r="AA955" i="13"/>
  <c r="AA252" i="13"/>
  <c r="AA1225" i="13"/>
  <c r="AA286" i="13"/>
  <c r="AA179" i="13"/>
  <c r="AA3046" i="13"/>
  <c r="AA966" i="13"/>
  <c r="AA2831" i="13"/>
  <c r="AA1738" i="13"/>
  <c r="AA1584" i="13"/>
  <c r="AA3294" i="13"/>
  <c r="AA2139" i="13"/>
  <c r="AA183" i="13"/>
  <c r="J24" i="5"/>
  <c r="AB2175" i="13"/>
  <c r="AB496" i="13"/>
  <c r="AB2564" i="13"/>
  <c r="AB171" i="13"/>
  <c r="AB3402" i="13"/>
  <c r="AB3448" i="13"/>
  <c r="AB608" i="13"/>
  <c r="AB2266" i="13"/>
  <c r="AB3037" i="13"/>
  <c r="AB661" i="13"/>
  <c r="AB2682" i="13"/>
  <c r="AB808" i="13"/>
  <c r="AB2013" i="13"/>
  <c r="AB1977" i="13"/>
  <c r="AB2634" i="13"/>
  <c r="AB2887" i="13"/>
  <c r="AB1437" i="13"/>
  <c r="AB3028" i="13"/>
  <c r="AB1685" i="13"/>
  <c r="AB584" i="13"/>
  <c r="AB1843" i="13"/>
  <c r="AB3172" i="13"/>
  <c r="AB286" i="13"/>
  <c r="AB1317" i="13"/>
  <c r="AB1490" i="13"/>
  <c r="AB1194" i="13"/>
  <c r="AB2216" i="13"/>
  <c r="AB2340" i="13"/>
  <c r="AB2262" i="13"/>
  <c r="AB1871" i="13"/>
  <c r="AB3022" i="13"/>
  <c r="AB1068" i="13"/>
  <c r="AB2287" i="13"/>
  <c r="AB470" i="13"/>
  <c r="AB694" i="13"/>
  <c r="AB1441" i="13"/>
  <c r="AB1934" i="13"/>
  <c r="AB1619" i="13"/>
  <c r="AB816" i="13"/>
  <c r="AB397" i="13"/>
  <c r="AB3322" i="13"/>
  <c r="AB1833" i="13"/>
  <c r="AB2723" i="13"/>
  <c r="AB695" i="13"/>
  <c r="AB1786" i="13"/>
  <c r="AB875" i="13"/>
  <c r="AB2516" i="13"/>
  <c r="AB915" i="13"/>
  <c r="AB3370" i="13"/>
  <c r="AB1287" i="13"/>
  <c r="AB1347" i="13"/>
  <c r="AB942" i="13"/>
  <c r="AB2931" i="13"/>
  <c r="AB1470" i="13"/>
  <c r="AB1683" i="13"/>
  <c r="AB283" i="13"/>
  <c r="AB2655" i="13"/>
  <c r="AB3100" i="13"/>
  <c r="AB3060" i="13"/>
  <c r="AB1406" i="13"/>
  <c r="AB1721" i="13"/>
  <c r="AB1112" i="13"/>
  <c r="AB105" i="13"/>
  <c r="AB748" i="13"/>
  <c r="AA2798" i="13"/>
  <c r="AB2211" i="13"/>
  <c r="AB1487" i="13"/>
  <c r="AB2115" i="13"/>
  <c r="AB1465" i="13"/>
  <c r="AB1857" i="13"/>
  <c r="AB2526" i="13"/>
  <c r="AA1942" i="13"/>
  <c r="AA686" i="13"/>
  <c r="AA2899" i="13"/>
  <c r="AA3452" i="13"/>
  <c r="AA1309" i="13"/>
  <c r="J67" i="5"/>
  <c r="AB211" i="13"/>
  <c r="AB2143" i="13"/>
  <c r="AB407" i="13"/>
  <c r="AB2742" i="13"/>
  <c r="AB3056" i="13"/>
  <c r="AA2987" i="13"/>
  <c r="AA1640" i="13"/>
  <c r="AA2497" i="13"/>
  <c r="J42" i="5"/>
  <c r="AB1506" i="13"/>
  <c r="AB784" i="13"/>
  <c r="AB2808" i="13"/>
  <c r="AB3044" i="13"/>
  <c r="AB943" i="13"/>
  <c r="AB1086" i="13"/>
  <c r="AB2451" i="13"/>
  <c r="AB64" i="13"/>
  <c r="AB1518" i="13"/>
  <c r="AB3177" i="13"/>
  <c r="AB1636" i="13"/>
  <c r="AB363" i="13"/>
  <c r="AB2728" i="13"/>
  <c r="AB2089" i="13"/>
  <c r="AB1846" i="13"/>
  <c r="AB2846" i="13"/>
  <c r="AB941" i="13"/>
  <c r="AB2177" i="13"/>
  <c r="AB3516" i="13"/>
  <c r="AB1242" i="13"/>
  <c r="AB2457" i="13"/>
  <c r="AB1162" i="13"/>
  <c r="AB714" i="13"/>
  <c r="AB2985" i="13"/>
  <c r="AB247" i="13"/>
  <c r="AB2270" i="13"/>
  <c r="AB2055" i="13"/>
  <c r="AB1404" i="13"/>
  <c r="AB3499" i="13"/>
  <c r="AB1010" i="13"/>
  <c r="AB277" i="13"/>
  <c r="AB2903" i="13"/>
  <c r="AB164" i="13"/>
  <c r="AB1205" i="13"/>
  <c r="AB2832" i="13"/>
  <c r="AB2592" i="13"/>
  <c r="AB3007" i="13"/>
  <c r="AB1252" i="13"/>
  <c r="AB1576" i="13"/>
  <c r="AB526" i="13"/>
  <c r="AB2853" i="13"/>
  <c r="AB34" i="13"/>
  <c r="AA2222" i="13"/>
  <c r="AA2773" i="13"/>
  <c r="AA691" i="13"/>
  <c r="AA2143" i="13"/>
  <c r="AA3035" i="13"/>
  <c r="AA856" i="13"/>
  <c r="AA2238" i="13"/>
  <c r="AA2478" i="13"/>
  <c r="AA152" i="13"/>
  <c r="AA3095" i="13"/>
  <c r="AA2919" i="13"/>
  <c r="AA2909" i="13"/>
  <c r="AA655" i="13"/>
  <c r="AA2811" i="13"/>
  <c r="J99" i="5"/>
  <c r="AB1319" i="13"/>
  <c r="AB113" i="13"/>
  <c r="AB449" i="13"/>
  <c r="AB2111" i="13"/>
  <c r="AB2520" i="13"/>
  <c r="AB2377" i="13"/>
  <c r="AB3362" i="13"/>
  <c r="AB1822" i="13"/>
  <c r="AB20" i="13"/>
  <c r="AB2481" i="13"/>
  <c r="AB1999" i="13"/>
  <c r="AB1522" i="13"/>
  <c r="AB1106" i="13"/>
  <c r="AB1479" i="13"/>
  <c r="AB1017" i="13"/>
  <c r="AB2939" i="13"/>
  <c r="AB168" i="13"/>
  <c r="AB3415" i="13"/>
  <c r="AB2411" i="13"/>
  <c r="AB3080" i="13"/>
  <c r="AB1738" i="13"/>
  <c r="AB953" i="13"/>
  <c r="AB312" i="13"/>
  <c r="AB474" i="13"/>
  <c r="AB2210" i="13"/>
  <c r="AB1344" i="13"/>
  <c r="AB1918" i="13"/>
  <c r="AB1028" i="13"/>
  <c r="AB1593" i="13"/>
  <c r="AB2032" i="13"/>
  <c r="AB489" i="13"/>
  <c r="AB1544" i="13"/>
  <c r="AB1019" i="13"/>
  <c r="AB2512" i="13"/>
  <c r="AB219" i="13"/>
  <c r="AB3212" i="13"/>
  <c r="AB2554" i="13"/>
  <c r="AA2100" i="13"/>
  <c r="AB3197" i="13"/>
  <c r="AB2583" i="13"/>
  <c r="AB3104" i="13"/>
  <c r="AB2028" i="13"/>
  <c r="AB747" i="13"/>
  <c r="AB3127" i="13"/>
  <c r="AB653" i="13"/>
  <c r="AB996" i="13"/>
  <c r="AB2018" i="13"/>
  <c r="AB3210" i="13"/>
  <c r="AA3078" i="13"/>
  <c r="AA3370" i="13"/>
  <c r="AA277" i="13"/>
  <c r="AA643" i="13"/>
  <c r="AA1560" i="13"/>
  <c r="J84" i="5"/>
  <c r="AB494" i="13"/>
  <c r="AB2965" i="13"/>
  <c r="AB103" i="13"/>
  <c r="AB1779" i="13"/>
  <c r="AA393" i="13"/>
  <c r="AB991" i="13"/>
  <c r="AA2212" i="13"/>
  <c r="AB3282" i="13"/>
  <c r="AB1206" i="13"/>
  <c r="AB3211" i="13"/>
  <c r="AB815" i="13"/>
  <c r="AB845" i="13"/>
  <c r="AB1314" i="13"/>
  <c r="AB648" i="13"/>
  <c r="AB592" i="13"/>
  <c r="AB947" i="13"/>
  <c r="AB468" i="13"/>
  <c r="AB552" i="13"/>
  <c r="AB396" i="13"/>
  <c r="AA976" i="13"/>
  <c r="AA3064" i="13"/>
  <c r="AA3513" i="13"/>
  <c r="AA558" i="13"/>
  <c r="AA3418" i="13"/>
  <c r="AA1159" i="13"/>
  <c r="AA2361" i="13"/>
  <c r="AA2234" i="13"/>
  <c r="AA2159" i="13"/>
  <c r="AA2162" i="13"/>
  <c r="AA1973" i="13"/>
  <c r="AA315" i="13"/>
  <c r="AA3108" i="13"/>
  <c r="AA1812" i="13"/>
  <c r="AA1486" i="13"/>
  <c r="AA772" i="13"/>
  <c r="AA1497" i="13"/>
  <c r="AA3188" i="13"/>
  <c r="AA3253" i="13"/>
  <c r="AA2801" i="13"/>
  <c r="AA902" i="13"/>
  <c r="AA2697" i="13"/>
  <c r="AA207" i="13"/>
  <c r="AA1406" i="13"/>
  <c r="AA1388" i="13"/>
  <c r="AA280" i="13"/>
  <c r="AA1076" i="13"/>
  <c r="AA361" i="13"/>
  <c r="AA284" i="13"/>
  <c r="AA2733" i="13"/>
  <c r="AA1350" i="13"/>
  <c r="AA1410" i="13"/>
  <c r="AA988" i="13"/>
  <c r="AA604" i="13"/>
  <c r="AA708" i="13"/>
  <c r="AA2342" i="13"/>
  <c r="AA215" i="13"/>
  <c r="J15" i="5"/>
  <c r="J109" i="5"/>
  <c r="J94" i="5"/>
  <c r="AB764" i="13"/>
  <c r="AB2171" i="13"/>
  <c r="AB738" i="13"/>
  <c r="AB2223" i="13"/>
  <c r="AB2095" i="13"/>
  <c r="AB3438" i="13"/>
  <c r="AB2678" i="13"/>
  <c r="AB2306" i="13"/>
  <c r="AB313" i="13"/>
  <c r="AB206" i="13"/>
  <c r="AB514" i="13"/>
  <c r="AB3135" i="13"/>
  <c r="AB1585" i="13"/>
  <c r="AB2963" i="13"/>
  <c r="AB969" i="13"/>
  <c r="AB419" i="13"/>
  <c r="AB2603" i="13"/>
  <c r="AB1558" i="13"/>
  <c r="AB963" i="13"/>
  <c r="AB3273" i="13"/>
  <c r="AB1959" i="13"/>
  <c r="AB3401" i="13"/>
  <c r="AB476" i="13"/>
  <c r="AB3295" i="13"/>
  <c r="AB225" i="13"/>
  <c r="AB797" i="13"/>
  <c r="AB221" i="13"/>
  <c r="AB133" i="13"/>
  <c r="AB3484" i="13"/>
  <c r="AB2661" i="13"/>
  <c r="AB1616" i="13"/>
  <c r="AB2852" i="13"/>
  <c r="AB316" i="13"/>
  <c r="AB2922" i="13"/>
  <c r="AB2086" i="13"/>
  <c r="AB272" i="13"/>
  <c r="AB2473" i="13"/>
  <c r="AB122" i="13"/>
  <c r="AB1037" i="13"/>
  <c r="AB249" i="13"/>
  <c r="AB1802" i="13"/>
  <c r="AB2247" i="13"/>
  <c r="AB3187" i="13"/>
  <c r="AB778" i="13"/>
  <c r="AB3122" i="13"/>
  <c r="AB3509" i="13"/>
  <c r="AB2207" i="13"/>
  <c r="AB2215" i="13"/>
  <c r="AB2118" i="13"/>
  <c r="AB685" i="13"/>
  <c r="AB2284" i="13"/>
  <c r="AB1425" i="13"/>
  <c r="AB2541" i="13"/>
  <c r="AB364" i="13"/>
  <c r="AB1762" i="13"/>
  <c r="AB2923" i="13"/>
  <c r="AB1519" i="13"/>
  <c r="AB1042" i="13"/>
  <c r="AB2828" i="13"/>
  <c r="AB3503" i="13"/>
  <c r="AB258" i="13"/>
  <c r="AB1228" i="13"/>
  <c r="AB956" i="13"/>
  <c r="AB1760" i="13"/>
  <c r="AB1384" i="13"/>
  <c r="AB1239" i="13"/>
  <c r="AB2759" i="13"/>
  <c r="AB900" i="13"/>
  <c r="AB41" i="13"/>
  <c r="AB201" i="13"/>
  <c r="AB951" i="13"/>
  <c r="AB2819" i="13"/>
  <c r="AB3313" i="13"/>
  <c r="AB1752" i="13"/>
  <c r="AB1202" i="13"/>
  <c r="AB2762" i="13"/>
  <c r="AB2378" i="13"/>
  <c r="AB2505" i="13"/>
  <c r="AB3165" i="13"/>
  <c r="AB3176" i="13"/>
  <c r="AB3228" i="13"/>
  <c r="AB1454" i="13"/>
  <c r="AB1972" i="13"/>
  <c r="AB392" i="13"/>
  <c r="AB1063" i="13"/>
  <c r="AB1902" i="13"/>
  <c r="AB2214" i="13"/>
  <c r="AB319" i="13"/>
  <c r="AB3485" i="13"/>
  <c r="AB651" i="13"/>
  <c r="AB3188" i="13"/>
  <c r="AB1419" i="13"/>
  <c r="AB357" i="13"/>
  <c r="AB1270" i="13"/>
  <c r="AB2273" i="13"/>
  <c r="AB2924" i="13"/>
  <c r="AB1282" i="13"/>
  <c r="AB2772" i="13"/>
  <c r="AB2664" i="13"/>
  <c r="AB1867" i="13"/>
  <c r="AB1981" i="13"/>
  <c r="AB1528" i="13"/>
  <c r="AB63" i="13"/>
  <c r="AB404" i="13"/>
  <c r="AB772" i="13"/>
  <c r="AA164" i="13"/>
  <c r="AA2235" i="13"/>
  <c r="AA122" i="13"/>
  <c r="AA480" i="13"/>
  <c r="AA651" i="13"/>
  <c r="AA1135" i="13"/>
  <c r="AA1784" i="13"/>
  <c r="AA755" i="13"/>
  <c r="AA2967" i="13"/>
  <c r="AA1249" i="13"/>
  <c r="AA887" i="13"/>
  <c r="AA1054" i="13"/>
  <c r="AA1050" i="13"/>
  <c r="AA868" i="13"/>
  <c r="AA3129" i="13"/>
  <c r="AA1729" i="13"/>
  <c r="AA1440" i="13"/>
  <c r="AA1524" i="13"/>
  <c r="AA1553" i="13"/>
  <c r="AA449" i="13"/>
  <c r="AA3460" i="13"/>
  <c r="AA1457" i="13"/>
  <c r="AA565" i="13"/>
  <c r="AA1710" i="13"/>
  <c r="AA279" i="13"/>
  <c r="AA2865" i="13"/>
  <c r="AA821" i="13"/>
  <c r="AA1566" i="13"/>
  <c r="AA998" i="13"/>
  <c r="AA1858" i="13"/>
  <c r="AA2195" i="13"/>
  <c r="AA1789" i="13"/>
  <c r="AA1101" i="13"/>
  <c r="AA839" i="13"/>
  <c r="AA1012" i="13"/>
  <c r="AA2019" i="13"/>
  <c r="AA1921" i="13"/>
  <c r="AA2974" i="13"/>
  <c r="AA2900" i="13"/>
  <c r="AA420" i="13"/>
  <c r="AA1494" i="13"/>
  <c r="AA3508" i="13"/>
  <c r="AA81" i="13"/>
  <c r="AA1496" i="13"/>
  <c r="AA3054" i="13"/>
  <c r="AA419" i="13"/>
  <c r="AA3502" i="13"/>
  <c r="AA1192" i="13"/>
  <c r="AA2155" i="13"/>
  <c r="AA539" i="13"/>
  <c r="AA1412" i="13"/>
  <c r="AA3387" i="13"/>
  <c r="AA3082" i="13"/>
  <c r="AA1365" i="13"/>
  <c r="AA1808" i="13"/>
  <c r="AA950" i="13"/>
  <c r="AA3210" i="13"/>
  <c r="AA1064" i="13"/>
  <c r="AA3154" i="13"/>
  <c r="AA2187" i="13"/>
  <c r="AA24" i="13"/>
  <c r="AA2922" i="13"/>
  <c r="AA972" i="13"/>
  <c r="AA983" i="13"/>
  <c r="AA3456" i="13"/>
  <c r="AA2215" i="13"/>
  <c r="AA1274" i="13"/>
  <c r="AA2312" i="13"/>
  <c r="AA186" i="13"/>
  <c r="J48" i="5"/>
  <c r="J21" i="5"/>
  <c r="J87" i="5"/>
  <c r="AB79" i="13"/>
  <c r="AB2500" i="13"/>
  <c r="AB3225" i="13"/>
  <c r="AB2692" i="13"/>
  <c r="AB2466" i="13"/>
  <c r="AB2768" i="13"/>
  <c r="AB2448" i="13"/>
  <c r="AB417" i="13"/>
  <c r="AB1869" i="13"/>
  <c r="AB3042" i="13"/>
  <c r="AB2083" i="13"/>
  <c r="AB1919" i="13"/>
  <c r="AB1746" i="13"/>
  <c r="AB438" i="13"/>
  <c r="AB1553" i="13"/>
  <c r="AB310" i="13"/>
  <c r="AB2147" i="13"/>
  <c r="AB1115" i="13"/>
  <c r="AB1391" i="13"/>
  <c r="AB165" i="13"/>
  <c r="AB3160" i="13"/>
  <c r="AB1637" i="13"/>
  <c r="AB2069" i="13"/>
  <c r="AB1807" i="13"/>
  <c r="AB1449" i="13"/>
  <c r="AB1376" i="13"/>
  <c r="AB1508" i="13"/>
  <c r="AB1500" i="13"/>
  <c r="AB2467" i="13"/>
  <c r="AB264" i="13"/>
  <c r="AB726" i="13"/>
  <c r="AB1266" i="13"/>
  <c r="AB3000" i="13"/>
  <c r="AB3347" i="13"/>
  <c r="AB801" i="13"/>
  <c r="AB1716" i="13"/>
  <c r="AB2194" i="13"/>
  <c r="AB786" i="13"/>
  <c r="AB1143" i="13"/>
  <c r="AB3006" i="13"/>
  <c r="AB178" i="13"/>
  <c r="AA1487" i="13"/>
  <c r="AB3283" i="13"/>
  <c r="AB1863" i="13"/>
  <c r="AB2884" i="13"/>
  <c r="AB456" i="13"/>
  <c r="AB1775" i="13"/>
  <c r="AB2913" i="13"/>
  <c r="AB789" i="13"/>
  <c r="AB3373" i="13"/>
  <c r="AB2486" i="13"/>
  <c r="AB1485" i="13"/>
  <c r="AB3538" i="13"/>
  <c r="AB1817" i="13"/>
  <c r="AB919" i="13"/>
  <c r="AB2929" i="13"/>
  <c r="AB777" i="13"/>
  <c r="AB1084" i="13"/>
  <c r="AB3031" i="13"/>
  <c r="AB402" i="13"/>
  <c r="AB2818" i="13"/>
  <c r="AB3547" i="13"/>
  <c r="AB3158" i="13"/>
  <c r="AB1649" i="13"/>
  <c r="AB819" i="13"/>
  <c r="AB2796" i="13"/>
  <c r="AB3502" i="13"/>
  <c r="AB3070" i="13"/>
  <c r="AB296" i="13"/>
  <c r="AB1699" i="13"/>
  <c r="AB2067" i="13"/>
  <c r="AB497" i="13"/>
  <c r="AB702" i="13"/>
  <c r="AB1654" i="13"/>
  <c r="AB181" i="13"/>
  <c r="AB509" i="13"/>
  <c r="AB78" i="13"/>
  <c r="AB2066" i="13"/>
  <c r="AB2311" i="13"/>
  <c r="AB1231" i="13"/>
  <c r="AB2155" i="13"/>
  <c r="AB2000" i="13"/>
  <c r="AB2009" i="13"/>
  <c r="AB2137" i="13"/>
  <c r="AB1893" i="13"/>
  <c r="AB3505" i="13"/>
  <c r="AB2899" i="13"/>
  <c r="AB1420" i="13"/>
  <c r="AB3146" i="13"/>
  <c r="AB1180" i="13"/>
  <c r="AB2571" i="13"/>
  <c r="AB1058" i="13"/>
  <c r="AB1557" i="13"/>
  <c r="AB1012" i="13"/>
  <c r="AB1940" i="13"/>
  <c r="AB974" i="13"/>
  <c r="AB2090" i="13"/>
  <c r="AB1507" i="13"/>
  <c r="AB1830" i="13"/>
  <c r="AB243" i="13"/>
  <c r="AB593" i="13"/>
  <c r="AB2398" i="13"/>
  <c r="AB881" i="13"/>
  <c r="AB1542" i="13"/>
  <c r="AB3140" i="13"/>
  <c r="AB2534" i="13"/>
  <c r="AB314" i="13"/>
  <c r="AB3447" i="13"/>
  <c r="AB3276" i="13"/>
  <c r="AB3350" i="13"/>
  <c r="AB2641" i="13"/>
  <c r="AB177" i="13"/>
  <c r="AB532" i="13"/>
  <c r="AB3023" i="13"/>
  <c r="AB2043" i="13"/>
  <c r="AB1564" i="13"/>
  <c r="AB535" i="13"/>
  <c r="AB3529" i="13"/>
  <c r="AB455" i="13"/>
  <c r="AB229" i="13"/>
  <c r="AB1100" i="13"/>
  <c r="AB98" i="13"/>
  <c r="AB670" i="13"/>
  <c r="AB2708" i="13"/>
  <c r="AB2994" i="13"/>
  <c r="AB2103" i="13"/>
  <c r="AB2454" i="13"/>
  <c r="AB299" i="13"/>
  <c r="AB3510" i="13"/>
  <c r="AB2974" i="13"/>
  <c r="AB2463" i="13"/>
  <c r="AB1957" i="13"/>
  <c r="AB60" i="13"/>
  <c r="AB1537" i="13"/>
  <c r="AB1315" i="13"/>
  <c r="AB1032" i="13"/>
  <c r="AB3491" i="13"/>
  <c r="AB3423" i="13"/>
  <c r="AB930" i="13"/>
  <c r="AB2871" i="13"/>
  <c r="AB482" i="13"/>
  <c r="AB1089" i="13"/>
  <c r="AB347" i="13"/>
  <c r="AB1573" i="13"/>
  <c r="AB511" i="13"/>
  <c r="AB922" i="13"/>
  <c r="AB1257" i="13"/>
  <c r="AB1574" i="13"/>
  <c r="AB822" i="13"/>
  <c r="AB2689" i="13"/>
  <c r="AB3349" i="13"/>
  <c r="AB3201" i="13"/>
  <c r="AB1652" i="13"/>
  <c r="AB3012" i="13"/>
  <c r="AB88" i="13"/>
  <c r="AB2700" i="13"/>
  <c r="AB2938" i="13"/>
  <c r="AB1302" i="13"/>
  <c r="AB562" i="13"/>
  <c r="AB2077" i="13"/>
  <c r="AB339" i="13"/>
  <c r="AB2659" i="13"/>
  <c r="AB510" i="13"/>
  <c r="AB1969" i="13"/>
  <c r="AB1107" i="13"/>
  <c r="AB368" i="13"/>
  <c r="AB854" i="13"/>
  <c r="AB550" i="13"/>
  <c r="AB718" i="13"/>
  <c r="AB2614" i="13"/>
  <c r="AB3105" i="13"/>
  <c r="AB2232" i="13"/>
  <c r="AB3299" i="13"/>
  <c r="AB1501" i="13"/>
  <c r="AB2019" i="13"/>
  <c r="AB1924" i="13"/>
  <c r="AB3406" i="13"/>
  <c r="AB2717" i="13"/>
  <c r="AB2897" i="13"/>
  <c r="AB2098" i="13"/>
  <c r="AB2169" i="13"/>
  <c r="AB3389" i="13"/>
  <c r="AB2631" i="13"/>
  <c r="AB2484" i="13"/>
  <c r="AB2418" i="13"/>
  <c r="AB2360" i="13"/>
  <c r="AB2758" i="13"/>
  <c r="AB1852" i="13"/>
  <c r="AB2480" i="13"/>
  <c r="AB3337" i="13"/>
  <c r="AB581" i="13"/>
  <c r="AB1841" i="13"/>
  <c r="AB2565" i="13"/>
  <c r="AB2197" i="13"/>
  <c r="AB3200" i="13"/>
  <c r="AB284" i="13"/>
  <c r="AB390" i="13"/>
  <c r="AB2453" i="13"/>
  <c r="AB597" i="13"/>
  <c r="AB1799" i="13"/>
  <c r="AB3251" i="13"/>
  <c r="AB3041" i="13"/>
  <c r="AB3154" i="13"/>
  <c r="AB3138" i="13"/>
  <c r="AB1736" i="13"/>
  <c r="AB1812" i="13"/>
  <c r="AB2594" i="13"/>
  <c r="AB2088" i="13"/>
  <c r="AB1916" i="13"/>
  <c r="AB2665" i="13"/>
  <c r="AB1373" i="13"/>
  <c r="AB1248" i="13"/>
  <c r="AB416" i="13"/>
  <c r="AB2921" i="13"/>
  <c r="AA3474" i="13"/>
  <c r="AB2802" i="13"/>
  <c r="AB3280" i="13"/>
  <c r="AB2617" i="13"/>
  <c r="AB2153" i="13"/>
  <c r="AB2036" i="13"/>
  <c r="AB3331" i="13"/>
  <c r="AB1166" i="13"/>
  <c r="AB1844" i="13"/>
  <c r="AB824" i="13"/>
  <c r="AB2350" i="13"/>
  <c r="AB1046" i="13"/>
  <c r="AB2015" i="13"/>
  <c r="AB379" i="13"/>
  <c r="AB425" i="13"/>
  <c r="AB2959" i="13"/>
  <c r="AB2651" i="13"/>
  <c r="AB3341" i="13"/>
  <c r="AB3186" i="13"/>
  <c r="AB3232" i="13"/>
  <c r="AB2401" i="13"/>
  <c r="AB1024" i="13"/>
  <c r="AB108" i="13"/>
  <c r="AB907" i="13"/>
  <c r="AB3182" i="13"/>
  <c r="AB188" i="13"/>
  <c r="AB2044" i="13"/>
  <c r="AB1216" i="13"/>
  <c r="AB2685" i="13"/>
  <c r="AA3265" i="13"/>
  <c r="AB2839" i="13"/>
  <c r="AB2263" i="13"/>
  <c r="AB3051" i="13"/>
  <c r="AB888" i="13"/>
  <c r="AB1101" i="13"/>
  <c r="AB1310" i="13"/>
  <c r="AB1034" i="13"/>
  <c r="AB833" i="13"/>
  <c r="AB3016" i="13"/>
  <c r="AB3383" i="13"/>
  <c r="AB2004" i="13"/>
  <c r="AB3190" i="13"/>
  <c r="AB1951" i="13"/>
  <c r="AB3425" i="13"/>
  <c r="AB3470" i="13"/>
  <c r="AB1405" i="13"/>
  <c r="AB3399" i="13"/>
  <c r="AB30" i="13"/>
  <c r="AB1229" i="13"/>
  <c r="AB447" i="13"/>
  <c r="AB2228" i="13"/>
  <c r="AB638" i="13"/>
  <c r="AB2494" i="13"/>
  <c r="AB2199" i="13"/>
  <c r="AB659" i="13"/>
  <c r="AB3315" i="13"/>
  <c r="AB49" i="13"/>
  <c r="AB2162" i="13"/>
  <c r="D29" i="6"/>
  <c r="V19" i="13"/>
  <c r="S74" i="13"/>
  <c r="T74" i="13"/>
  <c r="S75" i="13"/>
  <c r="U74" i="13" l="1"/>
  <c r="T75" i="13"/>
  <c r="S73" i="13"/>
  <c r="U75" i="13" l="1"/>
  <c r="V75" i="13" s="1"/>
  <c r="T73" i="13"/>
  <c r="S27" i="13"/>
  <c r="T27" i="13"/>
  <c r="U73" i="13" l="1"/>
  <c r="U27" i="13"/>
  <c r="S47" i="13"/>
  <c r="T47" i="13"/>
  <c r="S42" i="13"/>
  <c r="U47" i="13" l="1"/>
  <c r="T42" i="13"/>
  <c r="S55" i="13"/>
  <c r="U42" i="13" l="1"/>
  <c r="T55" i="13"/>
  <c r="S45" i="13"/>
  <c r="U55" i="13" l="1"/>
  <c r="T45" i="13"/>
  <c r="S39" i="13"/>
  <c r="U45" i="13" l="1"/>
  <c r="T39" i="13"/>
  <c r="S37" i="13"/>
  <c r="U39" i="13" l="1"/>
  <c r="T37" i="13"/>
  <c r="S33" i="13"/>
  <c r="U37" i="13" l="1"/>
  <c r="T33" i="13"/>
  <c r="S48" i="13"/>
  <c r="U33" i="13" l="1"/>
  <c r="T48" i="13"/>
  <c r="S38" i="13"/>
  <c r="U48" i="13" l="1"/>
  <c r="T38" i="13"/>
  <c r="S41" i="13"/>
  <c r="U38" i="13" l="1"/>
  <c r="T41" i="13"/>
  <c r="S60" i="13"/>
  <c r="U41" i="13" l="1"/>
  <c r="T60" i="13"/>
  <c r="S46" i="13"/>
  <c r="U60" i="13" l="1"/>
  <c r="T46" i="13"/>
  <c r="S56" i="13"/>
  <c r="U46" i="13" l="1"/>
  <c r="T56" i="13"/>
  <c r="S31" i="13"/>
  <c r="U56" i="13" l="1"/>
  <c r="T31" i="13"/>
  <c r="S54" i="13"/>
  <c r="U31" i="13" l="1"/>
  <c r="T54" i="13"/>
  <c r="S28" i="13"/>
  <c r="U54" i="13" l="1"/>
  <c r="T28" i="13"/>
  <c r="S51" i="13"/>
  <c r="U28" i="13" l="1"/>
  <c r="T51" i="13"/>
  <c r="S40" i="13"/>
  <c r="U51" i="13" l="1"/>
  <c r="T40" i="13"/>
  <c r="S50" i="13"/>
  <c r="U40" i="13" l="1"/>
  <c r="T50" i="13"/>
  <c r="S30" i="13"/>
  <c r="U50" i="13" l="1"/>
  <c r="T30" i="13"/>
  <c r="S44" i="13"/>
  <c r="U30" i="13" l="1"/>
  <c r="T44" i="13"/>
  <c r="S57" i="13"/>
  <c r="U44" i="13" l="1"/>
  <c r="T57" i="13"/>
  <c r="S32" i="13"/>
  <c r="U57" i="13" l="1"/>
  <c r="T32" i="13"/>
  <c r="S29" i="13"/>
  <c r="U32" i="13" l="1"/>
  <c r="T29" i="13"/>
  <c r="S43" i="13"/>
  <c r="U29" i="13" l="1"/>
  <c r="T43" i="13"/>
  <c r="S49" i="13"/>
  <c r="U43" i="13" l="1"/>
  <c r="T49" i="13"/>
  <c r="S59" i="13"/>
  <c r="U49" i="13" l="1"/>
  <c r="T59" i="13"/>
  <c r="S36" i="13"/>
  <c r="U59" i="13" l="1"/>
  <c r="T36" i="13"/>
  <c r="S53" i="13"/>
  <c r="U36" i="13" l="1"/>
  <c r="T53" i="13"/>
  <c r="S58" i="13"/>
  <c r="U53" i="13" l="1"/>
  <c r="T58" i="13"/>
  <c r="S35" i="13"/>
  <c r="U58" i="13" l="1"/>
  <c r="T35" i="13"/>
  <c r="S34" i="13"/>
  <c r="U35" i="13" l="1"/>
  <c r="T34" i="13"/>
  <c r="S52" i="13"/>
  <c r="U34" i="13" l="1"/>
  <c r="U76" i="13"/>
  <c r="U78" i="13"/>
  <c r="U77" i="13"/>
  <c r="V27" i="13"/>
  <c r="T52" i="13"/>
  <c r="J12" i="13"/>
  <c r="U52" i="13" l="1"/>
  <c r="G12" i="13"/>
  <c r="K5" i="13"/>
  <c r="K12" i="13"/>
  <c r="H12" i="13"/>
  <c r="I12" i="13" s="1"/>
  <c r="S68" i="13"/>
  <c r="T68" i="13"/>
  <c r="S65" i="13"/>
  <c r="U68" i="13" l="1"/>
  <c r="T65" i="13"/>
  <c r="S63" i="13"/>
  <c r="U65" i="13" l="1"/>
  <c r="T63" i="13"/>
  <c r="S70" i="13"/>
  <c r="U63" i="13" l="1"/>
  <c r="V63" i="13" s="1"/>
  <c r="T70" i="13"/>
  <c r="S67" i="13"/>
  <c r="U70" i="13" l="1"/>
  <c r="T67" i="13"/>
  <c r="S66" i="13"/>
  <c r="U67" i="13" l="1"/>
  <c r="T66" i="13"/>
  <c r="S69" i="13"/>
  <c r="U66" i="13" l="1"/>
  <c r="T69" i="13"/>
  <c r="S64" i="13"/>
  <c r="U69" i="13" l="1"/>
  <c r="T64" i="13"/>
  <c r="J11" i="13"/>
  <c r="U64" i="13" l="1"/>
  <c r="G11" i="13"/>
  <c r="J16" i="13"/>
  <c r="G16" i="13"/>
  <c r="J15" i="13"/>
  <c r="K15" i="13"/>
  <c r="H15" i="13"/>
  <c r="G15" i="13"/>
  <c r="J10" i="13"/>
  <c r="G10" i="13"/>
  <c r="I15" i="13"/>
  <c r="K14" i="13"/>
  <c r="J6" i="13"/>
  <c r="G6" i="13"/>
  <c r="J9" i="13"/>
  <c r="G9" i="13"/>
  <c r="K8" i="13"/>
  <c r="K6" i="13"/>
  <c r="H6" i="13"/>
  <c r="I6" i="13" s="1"/>
  <c r="J5" i="13"/>
  <c r="H5" i="13"/>
  <c r="G5" i="13"/>
  <c r="K7" i="13"/>
  <c r="I5" i="13"/>
  <c r="K9" i="13"/>
  <c r="H9" i="13"/>
  <c r="I9" i="13"/>
  <c r="K16" i="13"/>
  <c r="H16" i="13"/>
  <c r="I16" i="13"/>
  <c r="J13" i="13"/>
  <c r="G13" i="13"/>
  <c r="J14" i="13"/>
  <c r="H14" i="13"/>
  <c r="G14" i="13"/>
  <c r="K11" i="13"/>
  <c r="H11" i="13"/>
  <c r="I11" i="13" s="1"/>
  <c r="I14" i="13"/>
  <c r="K3" i="13"/>
  <c r="J3" i="13"/>
  <c r="H3" i="13"/>
  <c r="G3" i="13"/>
  <c r="K10" i="13"/>
  <c r="H10" i="13"/>
  <c r="I10" i="13" s="1"/>
  <c r="I3" i="13"/>
  <c r="K4" i="13"/>
  <c r="K13" i="13"/>
  <c r="H13" i="13"/>
  <c r="I13" i="13"/>
  <c r="J7" i="13"/>
  <c r="H7" i="13"/>
  <c r="G7" i="13"/>
  <c r="J8" i="13"/>
  <c r="H8" i="13"/>
  <c r="G8" i="13"/>
  <c r="I7" i="13"/>
  <c r="D27" i="6"/>
  <c r="D28" i="6"/>
  <c r="J4" i="13"/>
  <c r="H4" i="13"/>
  <c r="G4" i="13"/>
  <c r="I8" i="13"/>
  <c r="I4" i="1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<sst xmlns="http://schemas.openxmlformats.org/spreadsheetml/2006/main" count="498" uniqueCount="175">
  <si>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</si>
  <si>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</si>
  <si>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</si>
  <si>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</si>
  <si>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</si>
  <si>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</si>
  <si>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</si>
  <si>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</si>
  <si>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</si>
  <si>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</si>
  <si>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</si>
  <si>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</si>
  <si>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</si>
  <si>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</si>
  <si>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</si>
  <si>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</si>
  <si>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</si>
  <si>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</si>
  <si>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</si>
  <si>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</si>
  <si>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</si>
  <si>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</si>
  <si>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</si>
  <si>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</si>
  <si>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</si>
  <si>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</si>
  <si>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</si>
  <si>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</si>
  <si>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</si>
  <si>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</si>
  <si>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</si>
  <si>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</si>
  <si>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</si>
  <si>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</si>
  <si>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</si>
  <si>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</si>
  <si>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</si>
  <si>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</si>
  <si>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</si>
  <si>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</si>
  <si>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</si>
  <si>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</si>
  <si>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</si>
  <si>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</si>
  <si>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</si>
  <si>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</si>
  <si>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</si>
  <si>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</si>
  <si>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</si>
  <si>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</si>
  <si>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</si>
  <si>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</si>
  <si>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</si>
  <si>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</si>
  <si>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</si>
  <si>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</si>
  <si>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</si>
  <si>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</si>
  <si>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</si>
  <si>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</si>
  <si>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</si>
  <si>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</si>
  <si>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</si>
  <si>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</si>
  <si>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</si>
  <si>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</si>
  <si>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</si>
  <si>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</si>
  <si>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</si>
  <si>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</si>
  <si>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</si>
  <si>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</si>
  <si>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</si>
  <si>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</si>
  <si>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</si>
  <si>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</si>
  <si>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</si>
  <si>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</si>
  <si>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</si>
  <si>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</si>
  <si>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2M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</si>
  <si>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</si>
  <si>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</si>
  <si>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</si>
  <si>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</si>
  <si>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</si>
  <si>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</si>
  <si>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</si>
  <si>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</si>
  <si>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</si>
  <si>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</si>
  <si>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</si>
  <si>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</si>
  <si>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Main Cycle</t>
  </si>
  <si>
    <t>#</t>
  </si>
  <si>
    <t>Modified Following</t>
  </si>
  <si>
    <t>Spread</t>
  </si>
  <si>
    <t>Day Count Convention</t>
  </si>
  <si>
    <t>Business Day Convention</t>
  </si>
  <si>
    <t>Freq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</si>
  <si>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</si>
  <si>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</si>
  <si>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</si>
  <si>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</si>
  <si>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</si>
  <si>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</si>
  <si>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</si>
  <si>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</si>
  <si>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</si>
  <si>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</si>
  <si>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</si>
  <si>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</si>
  <si>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</si>
  <si>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</si>
  <si>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</si>
  <si>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</si>
  <si>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</si>
  <si>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</si>
  <si>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</si>
  <si>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</si>
  <si>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</si>
  <si>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</si>
  <si>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</si>
  <si>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</si>
  <si>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</si>
  <si>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</si>
  <si>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</si>
  <si>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</si>
  <si>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</si>
  <si>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</si>
  <si>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</si>
  <si>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</si>
  <si>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</si>
  <si>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</si>
  <si>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</si>
  <si>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</si>
  <si>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</si>
  <si>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</si>
  <si>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</si>
  <si>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</si>
  <si>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</si>
  <si>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</si>
  <si>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</si>
  <si>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AUD</t>
  </si>
  <si>
    <t>Australia</t>
  </si>
  <si>
    <t>tenor</t>
  </si>
  <si>
    <t>fix days</t>
  </si>
  <si>
    <t>calendar</t>
  </si>
  <si>
    <t>bdc</t>
  </si>
  <si>
    <t>eom</t>
  </si>
  <si>
    <t>dc</t>
  </si>
  <si>
    <t>Actual/365 (Fixed)</t>
  </si>
  <si>
    <t>BBSW</t>
  </si>
  <si>
    <t>x4F</t>
  </si>
  <si>
    <t>QM</t>
  </si>
  <si>
    <t>3AB</t>
  </si>
  <si>
    <t>SM</t>
  </si>
  <si>
    <t>6AB</t>
  </si>
  <si>
    <t>Instruments Selected</t>
  </si>
  <si>
    <t>Semiannual</t>
  </si>
  <si>
    <t>Quarterly</t>
  </si>
  <si>
    <t>SN</t>
  </si>
  <si>
    <t>SW</t>
  </si>
  <si>
    <t>2W</t>
  </si>
  <si>
    <t>3W</t>
  </si>
  <si>
    <t>Following</t>
  </si>
  <si>
    <t>Length of the curve</t>
  </si>
  <si>
    <t>Futures Type</t>
  </si>
  <si>
    <t>Futures Code</t>
  </si>
  <si>
    <t>Futures Date</t>
  </si>
  <si>
    <t>ASX</t>
  </si>
  <si>
    <t>Settl Days</t>
  </si>
  <si>
    <t>Fwd Start</t>
  </si>
  <si>
    <t>0D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</si>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</sst>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  <numFmt numFmtId="178" formatCode="_-* #,##0.00_-;\-* #,##0.00_-;_-* &quot;-&quot;??_-;_-@_-"/>
    <numFmt numFmtId="179" formatCode="dd\-mmm\-yy"/>
  </numFmts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0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73" fontId="7" fillId="0" borderId="0"/>
    <xf numFmtId="174" fontId="8" fillId="9" borderId="0">
      <alignment horizontal="center" vertical="center"/>
    </xf>
    <xf numFmtId="175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5" fillId="0" borderId="0"/>
    <xf numFmtId="0" fontId="9" fillId="0" borderId="0"/>
    <xf numFmtId="0" fontId="10" fillId="0" borderId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18" fillId="0" borderId="0" applyFont="0" applyFill="0" applyBorder="0" applyAlignment="0" applyProtection="0"/>
  </cellStyleXfs>
  <cellXfs count="258">
    <xf numFmtId="0" fontId="0" fillId="0" borderId="0" xfId="0"/>
    <xf numFmtId="0" fontId="12" fillId="0" borderId="0" xfId="1" applyFont="1"/>
    <xf numFmtId="0" fontId="11" fillId="3" borderId="23" xfId="1" applyFont="1" applyFill="1" applyBorder="1" applyAlignment="1">
      <alignment horizontal="center" vertical="center" wrapText="1"/>
    </xf>
    <xf numFmtId="0" fontId="11" fillId="3" borderId="22" xfId="1" applyFont="1" applyFill="1" applyBorder="1" applyAlignment="1">
      <alignment horizontal="center" vertical="center" wrapText="1"/>
    </xf>
    <xf numFmtId="0" fontId="11" fillId="3" borderId="21" xfId="1" applyFont="1" applyFill="1" applyBorder="1" applyAlignment="1">
      <alignment horizontal="center" vertical="center" wrapText="1"/>
    </xf>
    <xf numFmtId="167" fontId="12" fillId="0" borderId="0" xfId="1" applyNumberFormat="1" applyFont="1"/>
    <xf numFmtId="0" fontId="11" fillId="5" borderId="20" xfId="1" applyFont="1" applyFill="1" applyBorder="1" applyAlignment="1">
      <alignment horizontal="right"/>
    </xf>
    <xf numFmtId="3" fontId="12" fillId="6" borderId="19" xfId="1" applyNumberFormat="1" applyFont="1" applyFill="1" applyBorder="1" applyAlignment="1">
      <alignment horizontal="center"/>
    </xf>
    <xf numFmtId="0" fontId="12" fillId="2" borderId="16" xfId="1" applyFont="1" applyFill="1" applyBorder="1" applyAlignment="1"/>
    <xf numFmtId="165" fontId="12" fillId="2" borderId="0" xfId="1" applyNumberFormat="1" applyFont="1" applyFill="1" applyBorder="1" applyAlignment="1"/>
    <xf numFmtId="10" fontId="12" fillId="0" borderId="0" xfId="1" applyNumberFormat="1" applyFont="1"/>
    <xf numFmtId="0" fontId="11" fillId="5" borderId="18" xfId="1" applyFont="1" applyFill="1" applyBorder="1" applyAlignment="1">
      <alignment horizontal="right"/>
    </xf>
    <xf numFmtId="3" fontId="12" fillId="6" borderId="17" xfId="1" applyNumberFormat="1" applyFont="1" applyFill="1" applyBorder="1" applyAlignment="1">
      <alignment horizontal="center"/>
    </xf>
    <xf numFmtId="0" fontId="12" fillId="6" borderId="17" xfId="1" applyFont="1" applyFill="1" applyBorder="1" applyAlignment="1">
      <alignment horizontal="center"/>
    </xf>
    <xf numFmtId="14" fontId="12" fillId="0" borderId="0" xfId="1" applyNumberFormat="1" applyFont="1"/>
    <xf numFmtId="0" fontId="12" fillId="2" borderId="14" xfId="1" applyFont="1" applyFill="1" applyBorder="1" applyAlignment="1"/>
    <xf numFmtId="165" fontId="12" fillId="2" borderId="13" xfId="1" applyNumberFormat="1" applyFont="1" applyFill="1" applyBorder="1" applyAlignment="1"/>
    <xf numFmtId="0" fontId="12" fillId="0" borderId="0" xfId="1" applyFont="1" applyAlignment="1">
      <alignment horizontal="left"/>
    </xf>
    <xf numFmtId="176" fontId="12" fillId="2" borderId="0" xfId="1" applyNumberFormat="1" applyFont="1" applyFill="1" applyBorder="1" applyAlignment="1"/>
    <xf numFmtId="176" fontId="12" fillId="2" borderId="15" xfId="1" applyNumberFormat="1" applyFont="1" applyFill="1" applyBorder="1" applyAlignment="1"/>
    <xf numFmtId="176" fontId="12" fillId="2" borderId="13" xfId="1" applyNumberFormat="1" applyFont="1" applyFill="1" applyBorder="1" applyAlignment="1"/>
    <xf numFmtId="176" fontId="12" fillId="2" borderId="12" xfId="1" applyNumberFormat="1" applyFont="1" applyFill="1" applyBorder="1" applyAlignment="1"/>
    <xf numFmtId="176" fontId="12" fillId="0" borderId="0" xfId="1" applyNumberFormat="1" applyFont="1" applyAlignment="1">
      <alignment horizontal="left"/>
    </xf>
    <xf numFmtId="0" fontId="12" fillId="2" borderId="0" xfId="1" applyFont="1" applyFill="1" applyBorder="1" applyAlignment="1">
      <alignment horizontal="center"/>
    </xf>
    <xf numFmtId="165" fontId="12" fillId="0" borderId="0" xfId="1" applyNumberFormat="1" applyFont="1"/>
    <xf numFmtId="0" fontId="12" fillId="2" borderId="16" xfId="1" applyFont="1" applyFill="1" applyBorder="1"/>
    <xf numFmtId="0" fontId="12" fillId="2" borderId="0" xfId="1" applyFont="1" applyFill="1" applyBorder="1"/>
    <xf numFmtId="0" fontId="12" fillId="0" borderId="0" xfId="1" applyFont="1" applyAlignment="1">
      <alignment horizontal="center"/>
    </xf>
    <xf numFmtId="0" fontId="12" fillId="2" borderId="15" xfId="1" applyFont="1" applyFill="1" applyBorder="1"/>
    <xf numFmtId="0" fontId="14" fillId="0" borderId="0" xfId="1" applyFont="1"/>
    <xf numFmtId="0" fontId="12" fillId="2" borderId="16" xfId="1" applyFont="1" applyFill="1" applyBorder="1" applyAlignment="1">
      <alignment horizontal="center"/>
    </xf>
    <xf numFmtId="0" fontId="11" fillId="2" borderId="9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horizontal="center" vertical="center"/>
    </xf>
    <xf numFmtId="0" fontId="12" fillId="4" borderId="10" xfId="1" applyNumberFormat="1" applyFont="1" applyFill="1" applyBorder="1" applyAlignment="1" applyProtection="1">
      <alignment horizontal="center" vertical="center"/>
    </xf>
    <xf numFmtId="0" fontId="13" fillId="4" borderId="9" xfId="1" applyNumberFormat="1" applyFont="1" applyFill="1" applyBorder="1" applyAlignment="1" applyProtection="1">
      <alignment horizontal="left" vertical="center"/>
    </xf>
    <xf numFmtId="0" fontId="12" fillId="2" borderId="3" xfId="1" applyFont="1" applyFill="1" applyBorder="1" applyAlignment="1">
      <alignment horizontal="left"/>
    </xf>
    <xf numFmtId="172" fontId="12" fillId="8" borderId="26" xfId="1" applyNumberFormat="1" applyFont="1" applyFill="1" applyBorder="1" applyAlignment="1">
      <alignment horizontal="left"/>
    </xf>
    <xf numFmtId="0" fontId="12" fillId="2" borderId="1" xfId="1" applyNumberFormat="1" applyFont="1" applyFill="1" applyBorder="1" applyAlignment="1">
      <alignment horizontal="left"/>
    </xf>
    <xf numFmtId="171" fontId="13" fillId="4" borderId="10" xfId="1" applyNumberFormat="1" applyFont="1" applyFill="1" applyBorder="1" applyAlignment="1" applyProtection="1">
      <alignment horizontal="left"/>
    </xf>
    <xf numFmtId="0" fontId="12" fillId="2" borderId="14" xfId="1" applyFont="1" applyFill="1" applyBorder="1"/>
    <xf numFmtId="0" fontId="12" fillId="2" borderId="13" xfId="1" applyFont="1" applyFill="1" applyBorder="1"/>
    <xf numFmtId="0" fontId="12" fillId="2" borderId="12" xfId="1" applyFont="1" applyFill="1" applyBorder="1"/>
    <xf numFmtId="0" fontId="16" fillId="2" borderId="0" xfId="1" applyFont="1" applyFill="1" applyBorder="1"/>
    <xf numFmtId="0" fontId="12" fillId="2" borderId="0" xfId="1" applyFont="1" applyFill="1" applyAlignment="1">
      <alignment horizontal="center"/>
    </xf>
    <xf numFmtId="0" fontId="12" fillId="2" borderId="0" xfId="1" applyFont="1" applyFill="1"/>
    <xf numFmtId="0" fontId="14" fillId="0" borderId="0" xfId="1" quotePrefix="1" applyFont="1"/>
    <xf numFmtId="0" fontId="11" fillId="2" borderId="11" xfId="1" applyFont="1" applyFill="1" applyBorder="1" applyAlignment="1">
      <alignment horizontal="center" vertical="center" wrapText="1"/>
    </xf>
    <xf numFmtId="0" fontId="17" fillId="2" borderId="16" xfId="1" applyFont="1" applyFill="1" applyBorder="1"/>
    <xf numFmtId="0" fontId="12" fillId="2" borderId="26" xfId="1" applyFont="1" applyFill="1" applyBorder="1" applyAlignment="1">
      <alignment horizontal="center"/>
    </xf>
    <xf numFmtId="0" fontId="12" fillId="2" borderId="3" xfId="2" applyNumberFormat="1" applyFont="1" applyFill="1" applyBorder="1" applyAlignment="1">
      <alignment horizontal="left"/>
    </xf>
    <xf numFmtId="171" fontId="14" fillId="0" borderId="0" xfId="1" applyNumberFormat="1" applyFont="1"/>
    <xf numFmtId="0" fontId="12" fillId="2" borderId="9" xfId="1" applyFont="1" applyFill="1" applyBorder="1" applyAlignment="1">
      <alignment horizontal="center"/>
    </xf>
    <xf numFmtId="172" fontId="12" fillId="2" borderId="9" xfId="2" applyNumberFormat="1" applyFont="1" applyFill="1" applyBorder="1" applyAlignment="1">
      <alignment horizontal="center"/>
    </xf>
    <xf numFmtId="0" fontId="17" fillId="2" borderId="14" xfId="1" applyFont="1" applyFill="1" applyBorder="1"/>
    <xf numFmtId="0" fontId="17" fillId="2" borderId="13" xfId="1" applyFont="1" applyFill="1" applyBorder="1"/>
    <xf numFmtId="0" fontId="12" fillId="2" borderId="30" xfId="1" applyFont="1" applyFill="1" applyBorder="1" applyAlignment="1">
      <alignment horizontal="left"/>
    </xf>
    <xf numFmtId="0" fontId="12" fillId="2" borderId="31" xfId="1" applyFont="1" applyFill="1" applyBorder="1"/>
    <xf numFmtId="0" fontId="12" fillId="2" borderId="31" xfId="1" applyFont="1" applyFill="1" applyBorder="1" applyAlignment="1">
      <alignment horizontal="center"/>
    </xf>
    <xf numFmtId="0" fontId="16" fillId="2" borderId="15" xfId="1" applyFont="1" applyFill="1" applyBorder="1"/>
    <xf numFmtId="0" fontId="15" fillId="2" borderId="9" xfId="1" applyFont="1" applyFill="1" applyBorder="1" applyAlignment="1">
      <alignment horizontal="left" vertical="center"/>
    </xf>
    <xf numFmtId="0" fontId="12" fillId="4" borderId="9" xfId="1" applyNumberFormat="1" applyFont="1" applyFill="1" applyBorder="1" applyAlignment="1" applyProtection="1">
      <alignment horizontal="center" vertical="center"/>
    </xf>
    <xf numFmtId="0" fontId="12" fillId="4" borderId="9" xfId="1" applyNumberFormat="1" applyFont="1" applyFill="1" applyBorder="1" applyAlignment="1" applyProtection="1">
      <alignment horizontal="left" vertical="center"/>
    </xf>
    <xf numFmtId="0" fontId="12" fillId="2" borderId="9" xfId="1" applyFont="1" applyFill="1" applyBorder="1"/>
    <xf numFmtId="171" fontId="13" fillId="4" borderId="9" xfId="1" applyNumberFormat="1" applyFont="1" applyFill="1" applyBorder="1" applyAlignment="1" applyProtection="1">
      <alignment horizontal="left"/>
    </xf>
    <xf numFmtId="0" fontId="12" fillId="2" borderId="9" xfId="1" applyNumberFormat="1" applyFont="1" applyFill="1" applyBorder="1" applyAlignment="1">
      <alignment horizontal="center"/>
    </xf>
    <xf numFmtId="165" fontId="12" fillId="2" borderId="9" xfId="1" applyNumberFormat="1" applyFont="1" applyFill="1" applyBorder="1" applyAlignment="1"/>
    <xf numFmtId="0" fontId="12" fillId="2" borderId="9" xfId="1" applyNumberFormat="1" applyFont="1" applyFill="1" applyBorder="1" applyAlignment="1">
      <alignment horizontal="left"/>
    </xf>
    <xf numFmtId="0" fontId="12" fillId="2" borderId="9" xfId="1" applyNumberFormat="1" applyFont="1" applyFill="1" applyBorder="1" applyAlignment="1"/>
    <xf numFmtId="0" fontId="12" fillId="2" borderId="26" xfId="1" applyNumberFormat="1" applyFont="1" applyFill="1" applyBorder="1" applyAlignment="1">
      <alignment horizontal="left"/>
    </xf>
    <xf numFmtId="0" fontId="12" fillId="0" borderId="26" xfId="2" applyNumberFormat="1" applyFont="1" applyFill="1" applyBorder="1" applyAlignment="1">
      <alignment horizontal="center"/>
    </xf>
    <xf numFmtId="0" fontId="11" fillId="3" borderId="25" xfId="1" applyFont="1" applyFill="1" applyBorder="1" applyAlignment="1">
      <alignment horizontal="center" vertical="center" wrapText="1"/>
    </xf>
    <xf numFmtId="0" fontId="0" fillId="0" borderId="0" xfId="0"/>
    <xf numFmtId="0" fontId="12" fillId="0" borderId="0" xfId="1" applyFont="1"/>
    <xf numFmtId="0" fontId="12" fillId="0" borderId="0" xfId="1" applyFont="1" applyAlignment="1">
      <alignment horizontal="left"/>
    </xf>
    <xf numFmtId="164" fontId="12" fillId="2" borderId="1" xfId="1" applyNumberFormat="1" applyFont="1" applyFill="1" applyBorder="1" applyAlignment="1">
      <alignment horizontal="right"/>
    </xf>
    <xf numFmtId="164" fontId="12" fillId="2" borderId="2" xfId="1" applyNumberFormat="1" applyFont="1" applyFill="1" applyBorder="1" applyAlignment="1">
      <alignment horizontal="right"/>
    </xf>
    <xf numFmtId="0" fontId="12" fillId="2" borderId="2" xfId="1" applyFont="1" applyFill="1" applyBorder="1" applyAlignment="1">
      <alignment horizontal="center"/>
    </xf>
    <xf numFmtId="165" fontId="12" fillId="2" borderId="2" xfId="2" applyNumberFormat="1" applyFont="1" applyFill="1" applyBorder="1" applyAlignment="1">
      <alignment horizontal="right"/>
    </xf>
    <xf numFmtId="0" fontId="12" fillId="2" borderId="2" xfId="1" applyFont="1" applyFill="1" applyBorder="1" applyAlignment="1">
      <alignment horizontal="left"/>
    </xf>
    <xf numFmtId="164" fontId="12" fillId="2" borderId="4" xfId="1" applyNumberFormat="1" applyFont="1" applyFill="1" applyBorder="1" applyAlignment="1">
      <alignment horizontal="right"/>
    </xf>
    <xf numFmtId="164" fontId="12" fillId="2" borderId="0" xfId="1" applyNumberFormat="1" applyFont="1" applyFill="1" applyBorder="1" applyAlignment="1">
      <alignment horizontal="right"/>
    </xf>
    <xf numFmtId="0" fontId="12" fillId="2" borderId="0" xfId="1" applyFont="1" applyFill="1" applyBorder="1" applyAlignment="1">
      <alignment horizontal="center"/>
    </xf>
    <xf numFmtId="165" fontId="12" fillId="2" borderId="0" xfId="2" applyNumberFormat="1" applyFont="1" applyFill="1" applyBorder="1" applyAlignment="1">
      <alignment horizontal="right"/>
    </xf>
    <xf numFmtId="0" fontId="12" fillId="2" borderId="0" xfId="1" applyFont="1" applyFill="1" applyBorder="1" applyAlignment="1">
      <alignment horizontal="left"/>
    </xf>
    <xf numFmtId="164" fontId="12" fillId="2" borderId="6" xfId="1" applyNumberFormat="1" applyFont="1" applyFill="1" applyBorder="1" applyAlignment="1">
      <alignment horizontal="right"/>
    </xf>
    <xf numFmtId="164" fontId="12" fillId="2" borderId="7" xfId="1" applyNumberFormat="1" applyFont="1" applyFill="1" applyBorder="1" applyAlignment="1">
      <alignment horizontal="right"/>
    </xf>
    <xf numFmtId="0" fontId="12" fillId="2" borderId="7" xfId="1" applyFont="1" applyFill="1" applyBorder="1" applyAlignment="1">
      <alignment horizontal="center"/>
    </xf>
    <xf numFmtId="165" fontId="12" fillId="2" borderId="7" xfId="2" applyNumberFormat="1" applyFont="1" applyFill="1" applyBorder="1" applyAlignment="1">
      <alignment horizontal="right"/>
    </xf>
    <xf numFmtId="0" fontId="12" fillId="2" borderId="7" xfId="1" applyFont="1" applyFill="1" applyBorder="1" applyAlignment="1">
      <alignment horizontal="left"/>
    </xf>
    <xf numFmtId="166" fontId="12" fillId="2" borderId="0" xfId="1" applyNumberFormat="1" applyFont="1" applyFill="1" applyBorder="1" applyAlignment="1">
      <alignment horizontal="right"/>
    </xf>
    <xf numFmtId="0" fontId="11" fillId="3" borderId="9" xfId="1" applyFont="1" applyFill="1" applyBorder="1" applyAlignment="1">
      <alignment horizontal="center" vertical="center" wrapText="1"/>
    </xf>
    <xf numFmtId="0" fontId="21" fillId="0" borderId="0" xfId="0" applyFont="1"/>
    <xf numFmtId="0" fontId="11" fillId="12" borderId="34" xfId="1" applyFont="1" applyFill="1" applyBorder="1" applyAlignment="1">
      <alignment horizontal="center"/>
    </xf>
    <xf numFmtId="0" fontId="12" fillId="0" borderId="0" xfId="1" applyFont="1" applyAlignment="1">
      <alignment horizontal="right"/>
    </xf>
    <xf numFmtId="0" fontId="12" fillId="0" borderId="34" xfId="1" applyFont="1" applyBorder="1" applyAlignment="1">
      <alignment horizontal="center"/>
    </xf>
    <xf numFmtId="0" fontId="11" fillId="12" borderId="30" xfId="1" applyFont="1" applyFill="1" applyBorder="1" applyAlignment="1">
      <alignment horizontal="centerContinuous"/>
    </xf>
    <xf numFmtId="0" fontId="11" fillId="12" borderId="31" xfId="1" applyFont="1" applyFill="1" applyBorder="1" applyAlignment="1">
      <alignment horizontal="centerContinuous"/>
    </xf>
    <xf numFmtId="0" fontId="11" fillId="12" borderId="29" xfId="1" applyFont="1" applyFill="1" applyBorder="1" applyAlignment="1">
      <alignment horizontal="centerContinuous"/>
    </xf>
    <xf numFmtId="0" fontId="11" fillId="12" borderId="25" xfId="1" applyFont="1" applyFill="1" applyBorder="1" applyAlignment="1">
      <alignment horizontal="centerContinuous"/>
    </xf>
    <xf numFmtId="0" fontId="11" fillId="12" borderId="35" xfId="1" applyFont="1" applyFill="1" applyBorder="1" applyAlignment="1">
      <alignment horizontal="centerContinuous"/>
    </xf>
    <xf numFmtId="0" fontId="11" fillId="13" borderId="35" xfId="1" applyFont="1" applyFill="1" applyBorder="1" applyAlignment="1">
      <alignment horizontal="center"/>
    </xf>
    <xf numFmtId="0" fontId="12" fillId="11" borderId="27" xfId="1" applyFont="1" applyFill="1" applyBorder="1"/>
    <xf numFmtId="177" fontId="12" fillId="0" borderId="0" xfId="1" applyNumberFormat="1" applyFont="1"/>
    <xf numFmtId="0" fontId="11" fillId="13" borderId="0" xfId="1" applyFont="1" applyFill="1" applyBorder="1" applyAlignment="1">
      <alignment horizontal="center" vertical="center"/>
    </xf>
    <xf numFmtId="0" fontId="11" fillId="12" borderId="30" xfId="1" applyFont="1" applyFill="1" applyBorder="1" applyAlignment="1">
      <alignment horizontal="center"/>
    </xf>
    <xf numFmtId="0" fontId="11" fillId="12" borderId="31" xfId="1" applyFont="1" applyFill="1" applyBorder="1" applyAlignment="1">
      <alignment horizontal="center"/>
    </xf>
    <xf numFmtId="0" fontId="12" fillId="0" borderId="0" xfId="1" applyFont="1" applyAlignment="1"/>
    <xf numFmtId="0" fontId="12" fillId="0" borderId="7" xfId="1" applyFont="1" applyBorder="1" applyAlignment="1">
      <alignment horizontal="center" vertical="center"/>
    </xf>
    <xf numFmtId="0" fontId="11" fillId="12" borderId="25" xfId="1" applyFont="1" applyFill="1" applyBorder="1" applyAlignment="1">
      <alignment horizontal="center"/>
    </xf>
    <xf numFmtId="0" fontId="11" fillId="12" borderId="32" xfId="1" applyFont="1" applyFill="1" applyBorder="1" applyAlignment="1">
      <alignment horizontal="center"/>
    </xf>
    <xf numFmtId="0" fontId="11" fillId="12" borderId="32" xfId="1" applyFont="1" applyFill="1" applyBorder="1" applyAlignment="1">
      <alignment horizontal="center" vertical="center"/>
    </xf>
    <xf numFmtId="0" fontId="11" fillId="12" borderId="24" xfId="1" applyFont="1" applyFill="1" applyBorder="1" applyAlignment="1">
      <alignment horizontal="center" vertical="center"/>
    </xf>
    <xf numFmtId="176" fontId="12" fillId="0" borderId="0" xfId="1" applyNumberFormat="1" applyFont="1" applyBorder="1"/>
    <xf numFmtId="165" fontId="12" fillId="0" borderId="15" xfId="2" quotePrefix="1" applyNumberFormat="1" applyFont="1" applyBorder="1" applyAlignment="1"/>
    <xf numFmtId="0" fontId="12" fillId="0" borderId="16" xfId="1" applyFont="1" applyBorder="1"/>
    <xf numFmtId="176" fontId="12" fillId="0" borderId="0" xfId="1" applyNumberFormat="1" applyFont="1" applyBorder="1" applyAlignment="1"/>
    <xf numFmtId="165" fontId="12" fillId="0" borderId="0" xfId="2" quotePrefix="1" applyNumberFormat="1" applyFont="1" applyBorder="1" applyAlignment="1"/>
    <xf numFmtId="165" fontId="12" fillId="0" borderId="13" xfId="2" quotePrefix="1" applyNumberFormat="1" applyFont="1" applyBorder="1" applyAlignment="1"/>
    <xf numFmtId="165" fontId="12" fillId="0" borderId="12" xfId="2" quotePrefix="1" applyNumberFormat="1" applyFont="1" applyBorder="1" applyAlignment="1"/>
    <xf numFmtId="176" fontId="12" fillId="0" borderId="13" xfId="1" applyNumberFormat="1" applyFont="1" applyBorder="1"/>
    <xf numFmtId="0" fontId="11" fillId="12" borderId="31" xfId="1" applyFont="1" applyFill="1" applyBorder="1" applyAlignment="1">
      <alignment horizontal="right"/>
    </xf>
    <xf numFmtId="0" fontId="11" fillId="12" borderId="29" xfId="1" applyFont="1" applyFill="1" applyBorder="1" applyAlignment="1">
      <alignment horizontal="center"/>
    </xf>
    <xf numFmtId="165" fontId="12" fillId="0" borderId="0" xfId="2" applyNumberFormat="1" applyFont="1" applyBorder="1"/>
    <xf numFmtId="0" fontId="12" fillId="0" borderId="0" xfId="1" applyFont="1" applyBorder="1" applyAlignment="1">
      <alignment horizontal="right" vertical="center"/>
    </xf>
    <xf numFmtId="0" fontId="12" fillId="0" borderId="0" xfId="1" applyFont="1" applyBorder="1"/>
    <xf numFmtId="165" fontId="12" fillId="0" borderId="0" xfId="15" applyNumberFormat="1" applyFont="1" applyBorder="1"/>
    <xf numFmtId="165" fontId="12" fillId="0" borderId="0" xfId="2" applyNumberFormat="1" applyFont="1"/>
    <xf numFmtId="165" fontId="12" fillId="0" borderId="0" xfId="1" applyNumberFormat="1" applyFont="1" applyBorder="1"/>
    <xf numFmtId="165" fontId="22" fillId="0" borderId="16" xfId="2" applyNumberFormat="1" applyFont="1" applyBorder="1"/>
    <xf numFmtId="0" fontId="12" fillId="0" borderId="14" xfId="1" applyFont="1" applyBorder="1"/>
    <xf numFmtId="0" fontId="12" fillId="0" borderId="13" xfId="1" applyFont="1" applyBorder="1"/>
    <xf numFmtId="176" fontId="12" fillId="0" borderId="13" xfId="1" applyNumberFormat="1" applyFont="1" applyBorder="1" applyAlignment="1"/>
    <xf numFmtId="0" fontId="11" fillId="12" borderId="32" xfId="1" applyFont="1" applyFill="1" applyBorder="1" applyAlignment="1">
      <alignment horizontal="centerContinuous"/>
    </xf>
    <xf numFmtId="0" fontId="11" fillId="13" borderId="38" xfId="1" applyFont="1" applyFill="1" applyBorder="1" applyAlignment="1">
      <alignment horizontal="center"/>
    </xf>
    <xf numFmtId="0" fontId="11" fillId="13" borderId="39" xfId="1" applyFont="1" applyFill="1" applyBorder="1" applyAlignment="1">
      <alignment horizontal="center"/>
    </xf>
    <xf numFmtId="0" fontId="11" fillId="13" borderId="40" xfId="1" applyFont="1" applyFill="1" applyBorder="1" applyAlignment="1">
      <alignment horizontal="center"/>
    </xf>
    <xf numFmtId="0" fontId="12" fillId="14" borderId="16" xfId="1" applyFont="1" applyFill="1" applyBorder="1" applyAlignment="1">
      <alignment vertical="center"/>
    </xf>
    <xf numFmtId="0" fontId="12" fillId="14" borderId="36" xfId="1" applyFont="1" applyFill="1" applyBorder="1"/>
    <xf numFmtId="176" fontId="12" fillId="14" borderId="27" xfId="1" applyNumberFormat="1" applyFont="1" applyFill="1" applyBorder="1"/>
    <xf numFmtId="0" fontId="21" fillId="0" borderId="16" xfId="0" applyFont="1" applyBorder="1"/>
    <xf numFmtId="10" fontId="12" fillId="0" borderId="0" xfId="1" applyNumberFormat="1" applyFont="1" applyBorder="1"/>
    <xf numFmtId="10" fontId="12" fillId="0" borderId="13" xfId="1" applyNumberFormat="1" applyFont="1" applyBorder="1"/>
    <xf numFmtId="0" fontId="11" fillId="12" borderId="31" xfId="1" applyFont="1" applyFill="1" applyBorder="1" applyAlignment="1">
      <alignment horizontal="center" vertical="center"/>
    </xf>
    <xf numFmtId="165" fontId="12" fillId="0" borderId="15" xfId="1" applyNumberFormat="1" applyFont="1" applyBorder="1" applyAlignment="1">
      <alignment horizontal="right"/>
    </xf>
    <xf numFmtId="165" fontId="12" fillId="0" borderId="13" xfId="1" applyNumberFormat="1" applyFont="1" applyBorder="1"/>
    <xf numFmtId="0" fontId="21" fillId="14" borderId="0" xfId="0" applyFont="1" applyFill="1"/>
    <xf numFmtId="0" fontId="12" fillId="14" borderId="30" xfId="1" applyFont="1" applyFill="1" applyBorder="1"/>
    <xf numFmtId="0" fontId="12" fillId="14" borderId="38" xfId="1" applyFont="1" applyFill="1" applyBorder="1"/>
    <xf numFmtId="176" fontId="12" fillId="14" borderId="39" xfId="1" applyNumberFormat="1" applyFont="1" applyFill="1" applyBorder="1"/>
    <xf numFmtId="0" fontId="12" fillId="11" borderId="39" xfId="1" applyFont="1" applyFill="1" applyBorder="1"/>
    <xf numFmtId="0" fontId="12" fillId="0" borderId="32" xfId="1" applyFont="1" applyBorder="1"/>
    <xf numFmtId="176" fontId="12" fillId="0" borderId="32" xfId="1" applyNumberFormat="1" applyFont="1" applyBorder="1"/>
    <xf numFmtId="10" fontId="12" fillId="0" borderId="32" xfId="1" applyNumberFormat="1" applyFont="1" applyBorder="1"/>
    <xf numFmtId="165" fontId="12" fillId="0" borderId="32" xfId="2" quotePrefix="1" applyNumberFormat="1" applyFont="1" applyBorder="1" applyAlignment="1"/>
    <xf numFmtId="165" fontId="12" fillId="0" borderId="32" xfId="1" applyNumberFormat="1" applyFont="1" applyBorder="1"/>
    <xf numFmtId="0" fontId="12" fillId="0" borderId="32" xfId="1" applyFont="1" applyBorder="1" applyAlignment="1">
      <alignment horizontal="right"/>
    </xf>
    <xf numFmtId="0" fontId="12" fillId="0" borderId="31" xfId="1" applyFont="1" applyBorder="1" applyAlignment="1">
      <alignment horizontal="right"/>
    </xf>
    <xf numFmtId="0" fontId="12" fillId="14" borderId="16" xfId="1" applyFont="1" applyFill="1" applyBorder="1"/>
    <xf numFmtId="0" fontId="12" fillId="0" borderId="31" xfId="1" applyFont="1" applyBorder="1"/>
    <xf numFmtId="0" fontId="21" fillId="0" borderId="31" xfId="0" applyFont="1" applyBorder="1"/>
    <xf numFmtId="0" fontId="12" fillId="14" borderId="37" xfId="1" applyNumberFormat="1" applyFont="1" applyFill="1" applyBorder="1"/>
    <xf numFmtId="9" fontId="12" fillId="14" borderId="36" xfId="1" applyNumberFormat="1" applyFont="1" applyFill="1" applyBorder="1"/>
    <xf numFmtId="10" fontId="12" fillId="14" borderId="27" xfId="1" applyNumberFormat="1" applyFont="1" applyFill="1" applyBorder="1"/>
    <xf numFmtId="10" fontId="12" fillId="14" borderId="37" xfId="1" applyNumberFormat="1" applyFont="1" applyFill="1" applyBorder="1"/>
    <xf numFmtId="0" fontId="12" fillId="14" borderId="40" xfId="1" applyFont="1" applyFill="1" applyBorder="1"/>
    <xf numFmtId="9" fontId="12" fillId="14" borderId="38" xfId="1" applyNumberFormat="1" applyFont="1" applyFill="1" applyBorder="1"/>
    <xf numFmtId="10" fontId="12" fillId="14" borderId="39" xfId="1" applyNumberFormat="1" applyFont="1" applyFill="1" applyBorder="1"/>
    <xf numFmtId="10" fontId="12" fillId="14" borderId="40" xfId="1" applyNumberFormat="1" applyFont="1" applyFill="1" applyBorder="1"/>
    <xf numFmtId="10" fontId="12" fillId="0" borderId="0" xfId="1" applyNumberFormat="1" applyFont="1"/>
    <xf numFmtId="166" fontId="12" fillId="2" borderId="7" xfId="1" applyNumberFormat="1" applyFont="1" applyFill="1" applyBorder="1" applyAlignment="1">
      <alignment horizontal="right"/>
    </xf>
    <xf numFmtId="0" fontId="12" fillId="2" borderId="29" xfId="1" applyFont="1" applyFill="1" applyBorder="1"/>
    <xf numFmtId="0" fontId="12" fillId="2" borderId="10" xfId="1" applyFont="1" applyFill="1" applyBorder="1" applyAlignment="1">
      <alignment horizontal="center" vertical="center" wrapText="1"/>
    </xf>
    <xf numFmtId="0" fontId="13" fillId="4" borderId="10" xfId="1" applyNumberFormat="1" applyFont="1" applyFill="1" applyBorder="1" applyAlignment="1" applyProtection="1">
      <alignment vertical="center"/>
    </xf>
    <xf numFmtId="0" fontId="13" fillId="4" borderId="9" xfId="1" applyNumberFormat="1" applyFont="1" applyFill="1" applyBorder="1" applyAlignment="1" applyProtection="1"/>
    <xf numFmtId="0" fontId="12" fillId="2" borderId="13" xfId="1" applyFont="1" applyFill="1" applyBorder="1" applyAlignment="1">
      <alignment horizontal="left"/>
    </xf>
    <xf numFmtId="0" fontId="12" fillId="2" borderId="5" xfId="1" applyFont="1" applyFill="1" applyBorder="1" applyAlignment="1">
      <alignment horizontal="left"/>
    </xf>
    <xf numFmtId="0" fontId="12" fillId="2" borderId="8" xfId="1" applyFont="1" applyFill="1" applyBorder="1" applyAlignment="1">
      <alignment horizontal="left"/>
    </xf>
    <xf numFmtId="0" fontId="12" fillId="2" borderId="3" xfId="1" applyFont="1" applyFill="1" applyBorder="1" applyAlignment="1">
      <alignment horizontal="center"/>
    </xf>
    <xf numFmtId="0" fontId="12" fillId="2" borderId="3" xfId="2" applyNumberFormat="1" applyFont="1" applyFill="1" applyBorder="1" applyAlignment="1">
      <alignment horizontal="center"/>
    </xf>
    <xf numFmtId="0" fontId="12" fillId="14" borderId="9" xfId="1" applyNumberFormat="1" applyFont="1" applyFill="1" applyBorder="1" applyAlignment="1">
      <alignment horizontal="center"/>
    </xf>
    <xf numFmtId="0" fontId="12" fillId="14" borderId="9" xfId="2" applyNumberFormat="1" applyFont="1" applyFill="1" applyBorder="1" applyAlignment="1">
      <alignment horizontal="center"/>
    </xf>
    <xf numFmtId="0" fontId="12" fillId="14" borderId="9" xfId="1" applyFont="1" applyFill="1" applyBorder="1" applyAlignment="1">
      <alignment horizontal="center"/>
    </xf>
    <xf numFmtId="0" fontId="12" fillId="14" borderId="9" xfId="1" applyNumberFormat="1" applyFont="1" applyFill="1" applyBorder="1" applyAlignment="1">
      <alignment horizontal="left"/>
    </xf>
    <xf numFmtId="0" fontId="12" fillId="14" borderId="9" xfId="1" applyNumberFormat="1" applyFont="1" applyFill="1" applyBorder="1" applyAlignment="1"/>
    <xf numFmtId="0" fontId="12" fillId="14" borderId="26" xfId="1" applyFont="1" applyFill="1" applyBorder="1" applyAlignment="1">
      <alignment horizontal="center"/>
    </xf>
    <xf numFmtId="0" fontId="12" fillId="14" borderId="26" xfId="2" applyNumberFormat="1" applyFont="1" applyFill="1" applyBorder="1" applyAlignment="1">
      <alignment horizontal="center"/>
    </xf>
    <xf numFmtId="165" fontId="12" fillId="14" borderId="9" xfId="1" applyNumberFormat="1" applyFont="1" applyFill="1" applyBorder="1" applyAlignment="1">
      <alignment horizontal="center"/>
    </xf>
    <xf numFmtId="0" fontId="12" fillId="0" borderId="31" xfId="1" applyFont="1" applyBorder="1" applyAlignment="1">
      <alignment horizontal="left"/>
    </xf>
    <xf numFmtId="0" fontId="12" fillId="2" borderId="11" xfId="1" applyNumberFormat="1" applyFont="1" applyFill="1" applyBorder="1" applyAlignment="1">
      <alignment horizontal="right"/>
    </xf>
    <xf numFmtId="0" fontId="12" fillId="2" borderId="10" xfId="1" applyNumberFormat="1" applyFont="1" applyFill="1" applyBorder="1" applyAlignment="1"/>
    <xf numFmtId="2" fontId="12" fillId="0" borderId="0" xfId="1" applyNumberFormat="1" applyFont="1" applyBorder="1"/>
    <xf numFmtId="166" fontId="12" fillId="0" borderId="0" xfId="1" applyNumberFormat="1" applyFont="1" applyBorder="1"/>
    <xf numFmtId="166" fontId="12" fillId="0" borderId="15" xfId="1" applyNumberFormat="1" applyFont="1" applyBorder="1"/>
    <xf numFmtId="2" fontId="12" fillId="0" borderId="15" xfId="1" applyNumberFormat="1" applyFont="1" applyBorder="1"/>
    <xf numFmtId="2" fontId="12" fillId="0" borderId="13" xfId="1" applyNumberFormat="1" applyFont="1" applyBorder="1"/>
    <xf numFmtId="2" fontId="12" fillId="0" borderId="12" xfId="1" applyNumberFormat="1" applyFont="1" applyBorder="1"/>
    <xf numFmtId="166" fontId="22" fillId="0" borderId="0" xfId="2" applyNumberFormat="1" applyFont="1" applyBorder="1"/>
    <xf numFmtId="0" fontId="12" fillId="0" borderId="34" xfId="1" applyFont="1" applyBorder="1" applyAlignment="1">
      <alignment horizontal="center"/>
    </xf>
    <xf numFmtId="0" fontId="11" fillId="12" borderId="35" xfId="1" applyFont="1" applyFill="1" applyBorder="1" applyAlignment="1">
      <alignment horizontal="center" wrapText="1"/>
    </xf>
    <xf numFmtId="179" fontId="12" fillId="2" borderId="3" xfId="1" applyNumberFormat="1" applyFont="1" applyFill="1" applyBorder="1" applyAlignment="1">
      <alignment horizontal="center"/>
    </xf>
    <xf numFmtId="0" fontId="12" fillId="2" borderId="11" xfId="1" applyFont="1" applyFill="1" applyBorder="1" applyAlignment="1">
      <alignment horizontal="center"/>
    </xf>
    <xf numFmtId="0" fontId="12" fillId="14" borderId="26" xfId="1" applyNumberFormat="1" applyFont="1" applyFill="1" applyBorder="1" applyAlignment="1">
      <alignment horizontal="center"/>
    </xf>
    <xf numFmtId="0" fontId="12" fillId="2" borderId="26" xfId="1" applyNumberFormat="1" applyFont="1" applyFill="1" applyBorder="1" applyAlignment="1">
      <alignment horizontal="center"/>
    </xf>
    <xf numFmtId="0" fontId="12" fillId="10" borderId="0" xfId="3" applyFont="1" applyFill="1"/>
    <xf numFmtId="0" fontId="12" fillId="10" borderId="33" xfId="3" applyFont="1" applyFill="1" applyBorder="1"/>
    <xf numFmtId="0" fontId="12" fillId="2" borderId="16" xfId="3" applyFont="1" applyFill="1" applyBorder="1"/>
    <xf numFmtId="0" fontId="11" fillId="2" borderId="0" xfId="3" applyFont="1" applyFill="1" applyBorder="1"/>
    <xf numFmtId="0" fontId="12" fillId="2" borderId="0" xfId="3" applyFont="1" applyFill="1" applyBorder="1"/>
    <xf numFmtId="0" fontId="12" fillId="5" borderId="28" xfId="3" applyFont="1" applyFill="1" applyBorder="1"/>
    <xf numFmtId="0" fontId="12" fillId="2" borderId="28" xfId="1" applyFont="1" applyFill="1" applyBorder="1" applyAlignment="1">
      <alignment horizontal="center"/>
    </xf>
    <xf numFmtId="0" fontId="12" fillId="5" borderId="9" xfId="1" applyNumberFormat="1" applyFont="1" applyFill="1" applyBorder="1"/>
    <xf numFmtId="170" fontId="12" fillId="4" borderId="10" xfId="1" applyNumberFormat="1" applyFont="1" applyFill="1" applyBorder="1" applyAlignment="1" applyProtection="1">
      <alignment horizontal="center"/>
    </xf>
    <xf numFmtId="15" fontId="12" fillId="2" borderId="15" xfId="1" applyNumberFormat="1" applyFont="1" applyFill="1" applyBorder="1"/>
    <xf numFmtId="0" fontId="12" fillId="5" borderId="27" xfId="3" applyFont="1" applyFill="1" applyBorder="1"/>
    <xf numFmtId="0" fontId="12" fillId="2" borderId="4" xfId="1" applyFont="1" applyFill="1" applyBorder="1" applyAlignment="1">
      <alignment horizontal="center"/>
    </xf>
    <xf numFmtId="170" fontId="12" fillId="4" borderId="10" xfId="1" quotePrefix="1" applyNumberFormat="1" applyFont="1" applyFill="1" applyBorder="1" applyAlignment="1" applyProtection="1">
      <alignment horizontal="left"/>
    </xf>
    <xf numFmtId="170" fontId="12" fillId="4" borderId="10" xfId="1" quotePrefix="1" applyNumberFormat="1" applyFont="1" applyFill="1" applyBorder="1" applyAlignment="1" applyProtection="1">
      <alignment horizontal="center"/>
    </xf>
    <xf numFmtId="0" fontId="12" fillId="10" borderId="0" xfId="10" applyFont="1" applyFill="1"/>
    <xf numFmtId="0" fontId="12" fillId="5" borderId="27" xfId="1" applyFont="1" applyFill="1" applyBorder="1"/>
    <xf numFmtId="170" fontId="12" fillId="2" borderId="4" xfId="1" applyNumberFormat="1" applyFont="1" applyFill="1" applyBorder="1" applyAlignment="1">
      <alignment horizontal="center"/>
    </xf>
    <xf numFmtId="0" fontId="12" fillId="5" borderId="9" xfId="1" applyFont="1" applyFill="1" applyBorder="1"/>
    <xf numFmtId="0" fontId="12" fillId="5" borderId="26" xfId="1" applyFont="1" applyFill="1" applyBorder="1"/>
    <xf numFmtId="0" fontId="12" fillId="2" borderId="1" xfId="1" applyFont="1" applyFill="1" applyBorder="1" applyAlignment="1">
      <alignment horizontal="center"/>
    </xf>
    <xf numFmtId="168" fontId="12" fillId="2" borderId="0" xfId="3" applyNumberFormat="1" applyFont="1" applyFill="1" applyBorder="1" applyAlignment="1">
      <alignment horizontal="center"/>
    </xf>
    <xf numFmtId="0" fontId="11" fillId="5" borderId="28" xfId="1" applyFont="1" applyFill="1" applyBorder="1" applyAlignment="1">
      <alignment horizontal="right"/>
    </xf>
    <xf numFmtId="169" fontId="12" fillId="4" borderId="6" xfId="1" quotePrefix="1" applyNumberFormat="1" applyFont="1" applyFill="1" applyBorder="1" applyAlignment="1">
      <alignment horizontal="center"/>
    </xf>
    <xf numFmtId="0" fontId="11" fillId="5" borderId="26" xfId="1" applyFont="1" applyFill="1" applyBorder="1" applyAlignment="1">
      <alignment horizontal="right"/>
    </xf>
    <xf numFmtId="1" fontId="13" fillId="4" borderId="1" xfId="1" applyNumberFormat="1" applyFont="1" applyFill="1" applyBorder="1" applyAlignment="1">
      <alignment horizontal="left"/>
    </xf>
    <xf numFmtId="169" fontId="12" fillId="6" borderId="6" xfId="1" applyNumberFormat="1" applyFont="1" applyFill="1" applyBorder="1" applyAlignment="1">
      <alignment horizontal="center"/>
    </xf>
    <xf numFmtId="0" fontId="11" fillId="5" borderId="27" xfId="1" applyFont="1" applyFill="1" applyBorder="1" applyAlignment="1">
      <alignment horizontal="right"/>
    </xf>
    <xf numFmtId="3" fontId="12" fillId="6" borderId="4" xfId="1" applyNumberFormat="1" applyFont="1" applyFill="1" applyBorder="1" applyAlignment="1">
      <alignment horizontal="center"/>
    </xf>
    <xf numFmtId="0" fontId="12" fillId="2" borderId="27" xfId="3" applyFont="1" applyFill="1" applyBorder="1" applyAlignment="1">
      <alignment horizontal="center"/>
    </xf>
    <xf numFmtId="0" fontId="12" fillId="2" borderId="4" xfId="3" applyFont="1" applyFill="1" applyBorder="1" applyAlignment="1">
      <alignment horizontal="center"/>
    </xf>
    <xf numFmtId="11" fontId="12" fillId="6" borderId="5" xfId="1" applyNumberFormat="1" applyFont="1" applyFill="1" applyBorder="1" applyAlignment="1">
      <alignment horizontal="center"/>
    </xf>
    <xf numFmtId="0" fontId="12" fillId="2" borderId="6" xfId="3" applyFont="1" applyFill="1" applyBorder="1" applyAlignment="1">
      <alignment horizontal="center"/>
    </xf>
    <xf numFmtId="164" fontId="12" fillId="6" borderId="5" xfId="1" applyNumberFormat="1" applyFont="1" applyFill="1" applyBorder="1" applyAlignment="1">
      <alignment horizontal="center"/>
    </xf>
    <xf numFmtId="164" fontId="12" fillId="2" borderId="4" xfId="3" applyNumberFormat="1" applyFont="1" applyFill="1" applyBorder="1" applyAlignment="1">
      <alignment horizontal="center"/>
    </xf>
    <xf numFmtId="165" fontId="12" fillId="6" borderId="5" xfId="1" applyNumberFormat="1" applyFont="1" applyFill="1" applyBorder="1" applyAlignment="1">
      <alignment horizontal="center"/>
    </xf>
    <xf numFmtId="165" fontId="12" fillId="2" borderId="1" xfId="3" applyNumberFormat="1" applyFont="1" applyFill="1" applyBorder="1" applyAlignment="1">
      <alignment horizontal="center"/>
    </xf>
    <xf numFmtId="11" fontId="12" fillId="6" borderId="4" xfId="1" applyNumberFormat="1" applyFont="1" applyFill="1" applyBorder="1" applyAlignment="1">
      <alignment horizontal="center"/>
    </xf>
    <xf numFmtId="0" fontId="12" fillId="6" borderId="4" xfId="1" applyFont="1" applyFill="1" applyBorder="1" applyAlignment="1">
      <alignment horizontal="center"/>
    </xf>
    <xf numFmtId="0" fontId="12" fillId="6" borderId="1" xfId="1" applyFont="1" applyFill="1" applyBorder="1" applyAlignment="1">
      <alignment horizontal="center"/>
    </xf>
    <xf numFmtId="164" fontId="12" fillId="2" borderId="28" xfId="1" applyNumberFormat="1" applyFont="1" applyFill="1" applyBorder="1" applyAlignment="1">
      <alignment horizontal="right"/>
    </xf>
    <xf numFmtId="167" fontId="12" fillId="2" borderId="6" xfId="1" applyNumberFormat="1" applyFont="1" applyFill="1" applyBorder="1" applyAlignment="1">
      <alignment horizontal="center"/>
    </xf>
    <xf numFmtId="164" fontId="12" fillId="2" borderId="27" xfId="1" applyNumberFormat="1" applyFont="1" applyFill="1" applyBorder="1" applyAlignment="1">
      <alignment horizontal="right"/>
    </xf>
    <xf numFmtId="0" fontId="12" fillId="10" borderId="15" xfId="3" applyFont="1" applyFill="1" applyBorder="1"/>
    <xf numFmtId="0" fontId="12" fillId="2" borderId="4" xfId="1" applyFont="1" applyFill="1" applyBorder="1" applyAlignment="1">
      <alignment horizontal="left"/>
    </xf>
    <xf numFmtId="176" fontId="12" fillId="2" borderId="26" xfId="1" applyNumberFormat="1" applyFont="1" applyFill="1" applyBorder="1" applyAlignment="1">
      <alignment horizontal="right"/>
    </xf>
    <xf numFmtId="176" fontId="12" fillId="2" borderId="7" xfId="1" applyNumberFormat="1" applyFont="1" applyFill="1" applyBorder="1" applyAlignment="1">
      <alignment horizontal="right"/>
    </xf>
    <xf numFmtId="0" fontId="12" fillId="10" borderId="31" xfId="3" applyFont="1" applyFill="1" applyBorder="1"/>
    <xf numFmtId="0" fontId="12" fillId="7" borderId="25" xfId="3" applyFont="1" applyFill="1" applyBorder="1" applyAlignment="1">
      <alignment horizontal="centerContinuous"/>
    </xf>
    <xf numFmtId="0" fontId="12" fillId="7" borderId="32" xfId="3" applyFont="1" applyFill="1" applyBorder="1" applyAlignment="1">
      <alignment horizontal="centerContinuous"/>
    </xf>
    <xf numFmtId="0" fontId="12" fillId="7" borderId="24" xfId="3" applyFont="1" applyFill="1" applyBorder="1" applyAlignment="1">
      <alignment horizontal="centerContinuous"/>
    </xf>
    <xf numFmtId="179" fontId="12" fillId="2" borderId="11" xfId="1" applyNumberFormat="1" applyFont="1" applyFill="1" applyBorder="1" applyAlignment="1">
      <alignment horizontal="center"/>
    </xf>
    <xf numFmtId="0" fontId="12" fillId="2" borderId="11" xfId="2" applyNumberFormat="1" applyFont="1" applyFill="1" applyBorder="1" applyAlignment="1">
      <alignment horizontal="left"/>
    </xf>
    <xf numFmtId="0" fontId="12" fillId="2" borderId="11" xfId="2" applyNumberFormat="1" applyFont="1" applyFill="1" applyBorder="1" applyAlignment="1">
      <alignment horizontal="center"/>
    </xf>
    <xf numFmtId="0" fontId="11" fillId="3" borderId="25" xfId="1" applyFont="1" applyFill="1" applyBorder="1" applyAlignment="1">
      <alignment horizontal="center" vertical="center" wrapText="1"/>
    </xf>
    <xf numFmtId="0" fontId="11" fillId="3" borderId="24" xfId="1" applyFont="1" applyFill="1" applyBorder="1" applyAlignment="1">
      <alignment horizontal="center" vertical="center" wrapText="1"/>
    </xf>
  </cellXfs>
  <cellStyles count="20">
    <cellStyle name="Comma 2" xfId="19"/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 3 2" xfId="16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7"/>
    <cellStyle name="Percent 2 2 2" xfId="18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Monitor!$AA$18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42135</c:v>
                </c:pt>
                <c:pt idx="1">
                  <c:v>42136</c:v>
                </c:pt>
                <c:pt idx="2">
                  <c:v>42137</c:v>
                </c:pt>
                <c:pt idx="3">
                  <c:v>42138</c:v>
                </c:pt>
                <c:pt idx="4">
                  <c:v>42139</c:v>
                </c:pt>
                <c:pt idx="5">
                  <c:v>42142</c:v>
                </c:pt>
                <c:pt idx="6">
                  <c:v>42143</c:v>
                </c:pt>
                <c:pt idx="7">
                  <c:v>42144</c:v>
                </c:pt>
                <c:pt idx="8">
                  <c:v>42145</c:v>
                </c:pt>
                <c:pt idx="9">
                  <c:v>42146</c:v>
                </c:pt>
                <c:pt idx="10">
                  <c:v>42149</c:v>
                </c:pt>
                <c:pt idx="11">
                  <c:v>42150</c:v>
                </c:pt>
                <c:pt idx="12">
                  <c:v>42151</c:v>
                </c:pt>
                <c:pt idx="13">
                  <c:v>42152</c:v>
                </c:pt>
                <c:pt idx="14">
                  <c:v>42153</c:v>
                </c:pt>
                <c:pt idx="15">
                  <c:v>42156</c:v>
                </c:pt>
                <c:pt idx="16">
                  <c:v>42157</c:v>
                </c:pt>
                <c:pt idx="17">
                  <c:v>42158</c:v>
                </c:pt>
                <c:pt idx="18">
                  <c:v>42159</c:v>
                </c:pt>
                <c:pt idx="19">
                  <c:v>42160</c:v>
                </c:pt>
                <c:pt idx="20">
                  <c:v>42164</c:v>
                </c:pt>
                <c:pt idx="21">
                  <c:v>42165</c:v>
                </c:pt>
                <c:pt idx="22">
                  <c:v>42166</c:v>
                </c:pt>
                <c:pt idx="23">
                  <c:v>42167</c:v>
                </c:pt>
                <c:pt idx="24">
                  <c:v>42170</c:v>
                </c:pt>
                <c:pt idx="25">
                  <c:v>42171</c:v>
                </c:pt>
                <c:pt idx="26">
                  <c:v>42172</c:v>
                </c:pt>
                <c:pt idx="27">
                  <c:v>42173</c:v>
                </c:pt>
                <c:pt idx="28">
                  <c:v>42174</c:v>
                </c:pt>
                <c:pt idx="29">
                  <c:v>42177</c:v>
                </c:pt>
                <c:pt idx="30">
                  <c:v>42178</c:v>
                </c:pt>
                <c:pt idx="31">
                  <c:v>42179</c:v>
                </c:pt>
                <c:pt idx="32">
                  <c:v>42180</c:v>
                </c:pt>
                <c:pt idx="33">
                  <c:v>42181</c:v>
                </c:pt>
                <c:pt idx="34">
                  <c:v>42184</c:v>
                </c:pt>
                <c:pt idx="35">
                  <c:v>42185</c:v>
                </c:pt>
                <c:pt idx="36">
                  <c:v>42186</c:v>
                </c:pt>
                <c:pt idx="37">
                  <c:v>42187</c:v>
                </c:pt>
                <c:pt idx="38">
                  <c:v>42188</c:v>
                </c:pt>
                <c:pt idx="39">
                  <c:v>42191</c:v>
                </c:pt>
                <c:pt idx="40">
                  <c:v>42192</c:v>
                </c:pt>
                <c:pt idx="41">
                  <c:v>42193</c:v>
                </c:pt>
                <c:pt idx="42">
                  <c:v>42194</c:v>
                </c:pt>
                <c:pt idx="43">
                  <c:v>42195</c:v>
                </c:pt>
                <c:pt idx="44">
                  <c:v>42198</c:v>
                </c:pt>
                <c:pt idx="45">
                  <c:v>42199</c:v>
                </c:pt>
                <c:pt idx="46">
                  <c:v>42200</c:v>
                </c:pt>
                <c:pt idx="47">
                  <c:v>42201</c:v>
                </c:pt>
                <c:pt idx="48">
                  <c:v>42202</c:v>
                </c:pt>
                <c:pt idx="49">
                  <c:v>42205</c:v>
                </c:pt>
                <c:pt idx="50">
                  <c:v>42206</c:v>
                </c:pt>
                <c:pt idx="51">
                  <c:v>42207</c:v>
                </c:pt>
                <c:pt idx="52">
                  <c:v>42208</c:v>
                </c:pt>
                <c:pt idx="53">
                  <c:v>42209</c:v>
                </c:pt>
                <c:pt idx="54">
                  <c:v>42212</c:v>
                </c:pt>
                <c:pt idx="55">
                  <c:v>42213</c:v>
                </c:pt>
                <c:pt idx="56">
                  <c:v>42214</c:v>
                </c:pt>
                <c:pt idx="57">
                  <c:v>42215</c:v>
                </c:pt>
                <c:pt idx="58">
                  <c:v>42216</c:v>
                </c:pt>
                <c:pt idx="59">
                  <c:v>42220</c:v>
                </c:pt>
                <c:pt idx="60">
                  <c:v>42221</c:v>
                </c:pt>
                <c:pt idx="61">
                  <c:v>42222</c:v>
                </c:pt>
                <c:pt idx="62">
                  <c:v>42223</c:v>
                </c:pt>
                <c:pt idx="63">
                  <c:v>42226</c:v>
                </c:pt>
                <c:pt idx="64">
                  <c:v>42227</c:v>
                </c:pt>
                <c:pt idx="65">
                  <c:v>42228</c:v>
                </c:pt>
                <c:pt idx="66">
                  <c:v>42229</c:v>
                </c:pt>
                <c:pt idx="67">
                  <c:v>42230</c:v>
                </c:pt>
                <c:pt idx="68">
                  <c:v>42233</c:v>
                </c:pt>
                <c:pt idx="69">
                  <c:v>42234</c:v>
                </c:pt>
                <c:pt idx="70">
                  <c:v>42235</c:v>
                </c:pt>
                <c:pt idx="71">
                  <c:v>42236</c:v>
                </c:pt>
                <c:pt idx="72">
                  <c:v>42237</c:v>
                </c:pt>
                <c:pt idx="73">
                  <c:v>42240</c:v>
                </c:pt>
                <c:pt idx="74">
                  <c:v>42241</c:v>
                </c:pt>
                <c:pt idx="75">
                  <c:v>42242</c:v>
                </c:pt>
                <c:pt idx="76">
                  <c:v>42243</c:v>
                </c:pt>
                <c:pt idx="77">
                  <c:v>42244</c:v>
                </c:pt>
                <c:pt idx="78">
                  <c:v>42247</c:v>
                </c:pt>
                <c:pt idx="79">
                  <c:v>42248</c:v>
                </c:pt>
                <c:pt idx="80">
                  <c:v>42249</c:v>
                </c:pt>
                <c:pt idx="81">
                  <c:v>42250</c:v>
                </c:pt>
                <c:pt idx="82">
                  <c:v>42251</c:v>
                </c:pt>
                <c:pt idx="83">
                  <c:v>42254</c:v>
                </c:pt>
                <c:pt idx="84">
                  <c:v>42255</c:v>
                </c:pt>
                <c:pt idx="85">
                  <c:v>42256</c:v>
                </c:pt>
                <c:pt idx="86">
                  <c:v>42257</c:v>
                </c:pt>
                <c:pt idx="87">
                  <c:v>42258</c:v>
                </c:pt>
                <c:pt idx="88">
                  <c:v>42261</c:v>
                </c:pt>
                <c:pt idx="89">
                  <c:v>42262</c:v>
                </c:pt>
                <c:pt idx="90">
                  <c:v>42263</c:v>
                </c:pt>
                <c:pt idx="91">
                  <c:v>42264</c:v>
                </c:pt>
                <c:pt idx="92">
                  <c:v>42265</c:v>
                </c:pt>
                <c:pt idx="93">
                  <c:v>42268</c:v>
                </c:pt>
                <c:pt idx="94">
                  <c:v>42269</c:v>
                </c:pt>
                <c:pt idx="95">
                  <c:v>42270</c:v>
                </c:pt>
                <c:pt idx="96">
                  <c:v>42271</c:v>
                </c:pt>
                <c:pt idx="97">
                  <c:v>42272</c:v>
                </c:pt>
                <c:pt idx="98">
                  <c:v>42275</c:v>
                </c:pt>
                <c:pt idx="99">
                  <c:v>42276</c:v>
                </c:pt>
                <c:pt idx="100">
                  <c:v>42277</c:v>
                </c:pt>
                <c:pt idx="101">
                  <c:v>42278</c:v>
                </c:pt>
                <c:pt idx="102">
                  <c:v>42279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42367</c:v>
                </c:pt>
                <c:pt idx="162">
                  <c:v>42368</c:v>
                </c:pt>
                <c:pt idx="163">
                  <c:v>42369</c:v>
                </c:pt>
                <c:pt idx="164">
                  <c:v>42373</c:v>
                </c:pt>
                <c:pt idx="165">
                  <c:v>42374</c:v>
                </c:pt>
                <c:pt idx="166">
                  <c:v>42375</c:v>
                </c:pt>
                <c:pt idx="167">
                  <c:v>42376</c:v>
                </c:pt>
                <c:pt idx="168">
                  <c:v>42377</c:v>
                </c:pt>
                <c:pt idx="169">
                  <c:v>42380</c:v>
                </c:pt>
                <c:pt idx="170">
                  <c:v>42381</c:v>
                </c:pt>
                <c:pt idx="171">
                  <c:v>42382</c:v>
                </c:pt>
                <c:pt idx="172">
                  <c:v>42383</c:v>
                </c:pt>
                <c:pt idx="173">
                  <c:v>42384</c:v>
                </c:pt>
                <c:pt idx="174">
                  <c:v>42387</c:v>
                </c:pt>
                <c:pt idx="175">
                  <c:v>42388</c:v>
                </c:pt>
                <c:pt idx="176">
                  <c:v>42389</c:v>
                </c:pt>
                <c:pt idx="177">
                  <c:v>42390</c:v>
                </c:pt>
                <c:pt idx="178">
                  <c:v>42391</c:v>
                </c:pt>
                <c:pt idx="179">
                  <c:v>42394</c:v>
                </c:pt>
                <c:pt idx="180">
                  <c:v>42396</c:v>
                </c:pt>
                <c:pt idx="181">
                  <c:v>42397</c:v>
                </c:pt>
                <c:pt idx="182">
                  <c:v>42398</c:v>
                </c:pt>
                <c:pt idx="183">
                  <c:v>42401</c:v>
                </c:pt>
                <c:pt idx="184">
                  <c:v>42402</c:v>
                </c:pt>
                <c:pt idx="185">
                  <c:v>42403</c:v>
                </c:pt>
                <c:pt idx="186">
                  <c:v>42404</c:v>
                </c:pt>
                <c:pt idx="187">
                  <c:v>42405</c:v>
                </c:pt>
                <c:pt idx="188">
                  <c:v>42408</c:v>
                </c:pt>
                <c:pt idx="189">
                  <c:v>42409</c:v>
                </c:pt>
                <c:pt idx="190">
                  <c:v>42410</c:v>
                </c:pt>
                <c:pt idx="191">
                  <c:v>42411</c:v>
                </c:pt>
                <c:pt idx="192">
                  <c:v>42412</c:v>
                </c:pt>
                <c:pt idx="193">
                  <c:v>42415</c:v>
                </c:pt>
                <c:pt idx="194">
                  <c:v>42416</c:v>
                </c:pt>
                <c:pt idx="195">
                  <c:v>42417</c:v>
                </c:pt>
                <c:pt idx="196">
                  <c:v>42418</c:v>
                </c:pt>
                <c:pt idx="197">
                  <c:v>42419</c:v>
                </c:pt>
                <c:pt idx="198">
                  <c:v>42422</c:v>
                </c:pt>
                <c:pt idx="199">
                  <c:v>42423</c:v>
                </c:pt>
                <c:pt idx="200">
                  <c:v>42424</c:v>
                </c:pt>
                <c:pt idx="201">
                  <c:v>42425</c:v>
                </c:pt>
                <c:pt idx="202">
                  <c:v>42426</c:v>
                </c:pt>
                <c:pt idx="203">
                  <c:v>42429</c:v>
                </c:pt>
                <c:pt idx="204">
                  <c:v>42430</c:v>
                </c:pt>
                <c:pt idx="205">
                  <c:v>42431</c:v>
                </c:pt>
                <c:pt idx="206">
                  <c:v>42432</c:v>
                </c:pt>
                <c:pt idx="207">
                  <c:v>42433</c:v>
                </c:pt>
                <c:pt idx="208">
                  <c:v>42436</c:v>
                </c:pt>
                <c:pt idx="209">
                  <c:v>42437</c:v>
                </c:pt>
                <c:pt idx="210">
                  <c:v>42438</c:v>
                </c:pt>
                <c:pt idx="211">
                  <c:v>42439</c:v>
                </c:pt>
                <c:pt idx="212">
                  <c:v>42440</c:v>
                </c:pt>
                <c:pt idx="213">
                  <c:v>42443</c:v>
                </c:pt>
                <c:pt idx="214">
                  <c:v>42444</c:v>
                </c:pt>
                <c:pt idx="215">
                  <c:v>42445</c:v>
                </c:pt>
                <c:pt idx="216">
                  <c:v>42446</c:v>
                </c:pt>
                <c:pt idx="217">
                  <c:v>42447</c:v>
                </c:pt>
                <c:pt idx="218">
                  <c:v>42450</c:v>
                </c:pt>
                <c:pt idx="219">
                  <c:v>42451</c:v>
                </c:pt>
                <c:pt idx="220">
                  <c:v>42452</c:v>
                </c:pt>
                <c:pt idx="221">
                  <c:v>42453</c:v>
                </c:pt>
                <c:pt idx="222">
                  <c:v>42458</c:v>
                </c:pt>
                <c:pt idx="223">
                  <c:v>42459</c:v>
                </c:pt>
                <c:pt idx="224">
                  <c:v>42460</c:v>
                </c:pt>
                <c:pt idx="225">
                  <c:v>42461</c:v>
                </c:pt>
                <c:pt idx="226">
                  <c:v>42464</c:v>
                </c:pt>
                <c:pt idx="227">
                  <c:v>42465</c:v>
                </c:pt>
                <c:pt idx="228">
                  <c:v>42466</c:v>
                </c:pt>
                <c:pt idx="229">
                  <c:v>42467</c:v>
                </c:pt>
                <c:pt idx="230">
                  <c:v>42468</c:v>
                </c:pt>
                <c:pt idx="231">
                  <c:v>42471</c:v>
                </c:pt>
                <c:pt idx="232">
                  <c:v>42472</c:v>
                </c:pt>
                <c:pt idx="233">
                  <c:v>42473</c:v>
                </c:pt>
                <c:pt idx="234">
                  <c:v>42474</c:v>
                </c:pt>
                <c:pt idx="235">
                  <c:v>42475</c:v>
                </c:pt>
                <c:pt idx="236">
                  <c:v>42478</c:v>
                </c:pt>
                <c:pt idx="237">
                  <c:v>42479</c:v>
                </c:pt>
                <c:pt idx="238">
                  <c:v>42480</c:v>
                </c:pt>
                <c:pt idx="239">
                  <c:v>42481</c:v>
                </c:pt>
                <c:pt idx="240">
                  <c:v>42482</c:v>
                </c:pt>
                <c:pt idx="241">
                  <c:v>42486</c:v>
                </c:pt>
                <c:pt idx="242">
                  <c:v>42487</c:v>
                </c:pt>
                <c:pt idx="243">
                  <c:v>42488</c:v>
                </c:pt>
                <c:pt idx="244">
                  <c:v>42489</c:v>
                </c:pt>
                <c:pt idx="245">
                  <c:v>42492</c:v>
                </c:pt>
                <c:pt idx="246">
                  <c:v>42493</c:v>
                </c:pt>
                <c:pt idx="247">
                  <c:v>42494</c:v>
                </c:pt>
                <c:pt idx="248">
                  <c:v>42495</c:v>
                </c:pt>
                <c:pt idx="249">
                  <c:v>42496</c:v>
                </c:pt>
                <c:pt idx="250">
                  <c:v>42499</c:v>
                </c:pt>
                <c:pt idx="251">
                  <c:v>42500</c:v>
                </c:pt>
                <c:pt idx="252">
                  <c:v>42501</c:v>
                </c:pt>
                <c:pt idx="253">
                  <c:v>42502</c:v>
                </c:pt>
                <c:pt idx="254">
                  <c:v>42503</c:v>
                </c:pt>
                <c:pt idx="255">
                  <c:v>42506</c:v>
                </c:pt>
                <c:pt idx="256">
                  <c:v>42507</c:v>
                </c:pt>
                <c:pt idx="257">
                  <c:v>42508</c:v>
                </c:pt>
                <c:pt idx="258">
                  <c:v>42509</c:v>
                </c:pt>
                <c:pt idx="259">
                  <c:v>42510</c:v>
                </c:pt>
                <c:pt idx="260">
                  <c:v>42513</c:v>
                </c:pt>
                <c:pt idx="261">
                  <c:v>42514</c:v>
                </c:pt>
                <c:pt idx="262">
                  <c:v>42515</c:v>
                </c:pt>
                <c:pt idx="263">
                  <c:v>42516</c:v>
                </c:pt>
                <c:pt idx="264">
                  <c:v>42517</c:v>
                </c:pt>
                <c:pt idx="265">
                  <c:v>42520</c:v>
                </c:pt>
                <c:pt idx="266">
                  <c:v>42521</c:v>
                </c:pt>
                <c:pt idx="267">
                  <c:v>42522</c:v>
                </c:pt>
                <c:pt idx="268">
                  <c:v>42523</c:v>
                </c:pt>
                <c:pt idx="269">
                  <c:v>42524</c:v>
                </c:pt>
                <c:pt idx="270">
                  <c:v>42527</c:v>
                </c:pt>
                <c:pt idx="271">
                  <c:v>42528</c:v>
                </c:pt>
                <c:pt idx="272">
                  <c:v>42529</c:v>
                </c:pt>
                <c:pt idx="273">
                  <c:v>42530</c:v>
                </c:pt>
                <c:pt idx="274">
                  <c:v>42531</c:v>
                </c:pt>
                <c:pt idx="275">
                  <c:v>42535</c:v>
                </c:pt>
                <c:pt idx="276">
                  <c:v>42536</c:v>
                </c:pt>
                <c:pt idx="277">
                  <c:v>42537</c:v>
                </c:pt>
                <c:pt idx="278">
                  <c:v>42538</c:v>
                </c:pt>
                <c:pt idx="279">
                  <c:v>42541</c:v>
                </c:pt>
                <c:pt idx="280">
                  <c:v>42542</c:v>
                </c:pt>
                <c:pt idx="281">
                  <c:v>42543</c:v>
                </c:pt>
                <c:pt idx="282">
                  <c:v>42544</c:v>
                </c:pt>
                <c:pt idx="283">
                  <c:v>42545</c:v>
                </c:pt>
                <c:pt idx="284">
                  <c:v>42548</c:v>
                </c:pt>
                <c:pt idx="285">
                  <c:v>42549</c:v>
                </c:pt>
                <c:pt idx="286">
                  <c:v>42550</c:v>
                </c:pt>
                <c:pt idx="287">
                  <c:v>42551</c:v>
                </c:pt>
                <c:pt idx="288">
                  <c:v>42552</c:v>
                </c:pt>
                <c:pt idx="289">
                  <c:v>42555</c:v>
                </c:pt>
                <c:pt idx="290">
                  <c:v>42556</c:v>
                </c:pt>
                <c:pt idx="291">
                  <c:v>42557</c:v>
                </c:pt>
                <c:pt idx="292">
                  <c:v>42558</c:v>
                </c:pt>
                <c:pt idx="293">
                  <c:v>42559</c:v>
                </c:pt>
                <c:pt idx="294">
                  <c:v>42562</c:v>
                </c:pt>
                <c:pt idx="295">
                  <c:v>42563</c:v>
                </c:pt>
                <c:pt idx="296">
                  <c:v>42564</c:v>
                </c:pt>
                <c:pt idx="297">
                  <c:v>42565</c:v>
                </c:pt>
                <c:pt idx="298">
                  <c:v>42566</c:v>
                </c:pt>
                <c:pt idx="299">
                  <c:v>42569</c:v>
                </c:pt>
                <c:pt idx="300">
                  <c:v>42570</c:v>
                </c:pt>
                <c:pt idx="301">
                  <c:v>42571</c:v>
                </c:pt>
                <c:pt idx="302">
                  <c:v>42572</c:v>
                </c:pt>
                <c:pt idx="303">
                  <c:v>42573</c:v>
                </c:pt>
                <c:pt idx="304">
                  <c:v>42576</c:v>
                </c:pt>
                <c:pt idx="305">
                  <c:v>42577</c:v>
                </c:pt>
                <c:pt idx="306">
                  <c:v>42578</c:v>
                </c:pt>
                <c:pt idx="307">
                  <c:v>42579</c:v>
                </c:pt>
                <c:pt idx="308">
                  <c:v>42580</c:v>
                </c:pt>
                <c:pt idx="309">
                  <c:v>42584</c:v>
                </c:pt>
                <c:pt idx="310">
                  <c:v>42585</c:v>
                </c:pt>
                <c:pt idx="311">
                  <c:v>42586</c:v>
                </c:pt>
                <c:pt idx="312">
                  <c:v>42587</c:v>
                </c:pt>
                <c:pt idx="313">
                  <c:v>42590</c:v>
                </c:pt>
                <c:pt idx="314">
                  <c:v>42591</c:v>
                </c:pt>
                <c:pt idx="315">
                  <c:v>42592</c:v>
                </c:pt>
                <c:pt idx="316">
                  <c:v>42593</c:v>
                </c:pt>
                <c:pt idx="317">
                  <c:v>42594</c:v>
                </c:pt>
                <c:pt idx="318">
                  <c:v>42597</c:v>
                </c:pt>
                <c:pt idx="319">
                  <c:v>42598</c:v>
                </c:pt>
                <c:pt idx="320">
                  <c:v>42599</c:v>
                </c:pt>
                <c:pt idx="321">
                  <c:v>42600</c:v>
                </c:pt>
                <c:pt idx="322">
                  <c:v>42601</c:v>
                </c:pt>
                <c:pt idx="323">
                  <c:v>42604</c:v>
                </c:pt>
                <c:pt idx="324">
                  <c:v>42605</c:v>
                </c:pt>
                <c:pt idx="325">
                  <c:v>42606</c:v>
                </c:pt>
                <c:pt idx="326">
                  <c:v>42607</c:v>
                </c:pt>
                <c:pt idx="327">
                  <c:v>42608</c:v>
                </c:pt>
                <c:pt idx="328">
                  <c:v>42611</c:v>
                </c:pt>
                <c:pt idx="329">
                  <c:v>42612</c:v>
                </c:pt>
                <c:pt idx="330">
                  <c:v>42613</c:v>
                </c:pt>
                <c:pt idx="331">
                  <c:v>42614</c:v>
                </c:pt>
                <c:pt idx="332">
                  <c:v>42615</c:v>
                </c:pt>
                <c:pt idx="333">
                  <c:v>42618</c:v>
                </c:pt>
                <c:pt idx="334">
                  <c:v>42619</c:v>
                </c:pt>
                <c:pt idx="335">
                  <c:v>42620</c:v>
                </c:pt>
                <c:pt idx="336">
                  <c:v>42621</c:v>
                </c:pt>
                <c:pt idx="337">
                  <c:v>42622</c:v>
                </c:pt>
                <c:pt idx="338">
                  <c:v>42625</c:v>
                </c:pt>
                <c:pt idx="339">
                  <c:v>42626</c:v>
                </c:pt>
                <c:pt idx="340">
                  <c:v>42627</c:v>
                </c:pt>
                <c:pt idx="341">
                  <c:v>42628</c:v>
                </c:pt>
                <c:pt idx="342">
                  <c:v>42629</c:v>
                </c:pt>
                <c:pt idx="343">
                  <c:v>42632</c:v>
                </c:pt>
                <c:pt idx="344">
                  <c:v>42633</c:v>
                </c:pt>
                <c:pt idx="345">
                  <c:v>42634</c:v>
                </c:pt>
                <c:pt idx="346">
                  <c:v>42635</c:v>
                </c:pt>
                <c:pt idx="347">
                  <c:v>42636</c:v>
                </c:pt>
                <c:pt idx="348">
                  <c:v>42639</c:v>
                </c:pt>
                <c:pt idx="349">
                  <c:v>42640</c:v>
                </c:pt>
                <c:pt idx="350">
                  <c:v>42641</c:v>
                </c:pt>
                <c:pt idx="351">
                  <c:v>42642</c:v>
                </c:pt>
                <c:pt idx="352">
                  <c:v>42643</c:v>
                </c:pt>
                <c:pt idx="353">
                  <c:v>42647</c:v>
                </c:pt>
                <c:pt idx="354">
                  <c:v>42648</c:v>
                </c:pt>
                <c:pt idx="355">
                  <c:v>42649</c:v>
                </c:pt>
                <c:pt idx="356">
                  <c:v>42650</c:v>
                </c:pt>
                <c:pt idx="357">
                  <c:v>42653</c:v>
                </c:pt>
                <c:pt idx="358">
                  <c:v>42654</c:v>
                </c:pt>
                <c:pt idx="359">
                  <c:v>42655</c:v>
                </c:pt>
                <c:pt idx="360">
                  <c:v>42656</c:v>
                </c:pt>
                <c:pt idx="361">
                  <c:v>42657</c:v>
                </c:pt>
                <c:pt idx="362">
                  <c:v>42660</c:v>
                </c:pt>
                <c:pt idx="363">
                  <c:v>42661</c:v>
                </c:pt>
                <c:pt idx="364">
                  <c:v>42662</c:v>
                </c:pt>
                <c:pt idx="365">
                  <c:v>42663</c:v>
                </c:pt>
                <c:pt idx="366">
                  <c:v>42664</c:v>
                </c:pt>
                <c:pt idx="367">
                  <c:v>42667</c:v>
                </c:pt>
                <c:pt idx="368">
                  <c:v>42668</c:v>
                </c:pt>
                <c:pt idx="369">
                  <c:v>42669</c:v>
                </c:pt>
                <c:pt idx="370">
                  <c:v>42670</c:v>
                </c:pt>
                <c:pt idx="371">
                  <c:v>42671</c:v>
                </c:pt>
                <c:pt idx="372">
                  <c:v>42674</c:v>
                </c:pt>
                <c:pt idx="373">
                  <c:v>42675</c:v>
                </c:pt>
                <c:pt idx="374">
                  <c:v>42676</c:v>
                </c:pt>
                <c:pt idx="375">
                  <c:v>42677</c:v>
                </c:pt>
                <c:pt idx="376">
                  <c:v>42678</c:v>
                </c:pt>
                <c:pt idx="377">
                  <c:v>42681</c:v>
                </c:pt>
                <c:pt idx="378">
                  <c:v>42682</c:v>
                </c:pt>
                <c:pt idx="379">
                  <c:v>42683</c:v>
                </c:pt>
                <c:pt idx="380">
                  <c:v>42684</c:v>
                </c:pt>
                <c:pt idx="381">
                  <c:v>42685</c:v>
                </c:pt>
                <c:pt idx="382">
                  <c:v>42688</c:v>
                </c:pt>
                <c:pt idx="383">
                  <c:v>42689</c:v>
                </c:pt>
                <c:pt idx="384">
                  <c:v>42690</c:v>
                </c:pt>
                <c:pt idx="385">
                  <c:v>42691</c:v>
                </c:pt>
                <c:pt idx="386">
                  <c:v>42692</c:v>
                </c:pt>
                <c:pt idx="387">
                  <c:v>42695</c:v>
                </c:pt>
                <c:pt idx="388">
                  <c:v>42696</c:v>
                </c:pt>
                <c:pt idx="389">
                  <c:v>42697</c:v>
                </c:pt>
                <c:pt idx="390">
                  <c:v>42698</c:v>
                </c:pt>
                <c:pt idx="391">
                  <c:v>42699</c:v>
                </c:pt>
                <c:pt idx="392">
                  <c:v>42702</c:v>
                </c:pt>
                <c:pt idx="393">
                  <c:v>42703</c:v>
                </c:pt>
                <c:pt idx="394">
                  <c:v>42704</c:v>
                </c:pt>
                <c:pt idx="395">
                  <c:v>42705</c:v>
                </c:pt>
                <c:pt idx="396">
                  <c:v>42706</c:v>
                </c:pt>
                <c:pt idx="397">
                  <c:v>42709</c:v>
                </c:pt>
                <c:pt idx="398">
                  <c:v>42710</c:v>
                </c:pt>
                <c:pt idx="399">
                  <c:v>42711</c:v>
                </c:pt>
                <c:pt idx="400">
                  <c:v>42712</c:v>
                </c:pt>
                <c:pt idx="401">
                  <c:v>42713</c:v>
                </c:pt>
                <c:pt idx="402">
                  <c:v>42716</c:v>
                </c:pt>
                <c:pt idx="403">
                  <c:v>42717</c:v>
                </c:pt>
                <c:pt idx="404">
                  <c:v>42718</c:v>
                </c:pt>
                <c:pt idx="405">
                  <c:v>42719</c:v>
                </c:pt>
                <c:pt idx="406">
                  <c:v>42720</c:v>
                </c:pt>
                <c:pt idx="407">
                  <c:v>42723</c:v>
                </c:pt>
                <c:pt idx="408">
                  <c:v>42724</c:v>
                </c:pt>
                <c:pt idx="409">
                  <c:v>42725</c:v>
                </c:pt>
                <c:pt idx="410">
                  <c:v>42726</c:v>
                </c:pt>
                <c:pt idx="411">
                  <c:v>42727</c:v>
                </c:pt>
                <c:pt idx="412">
                  <c:v>42732</c:v>
                </c:pt>
                <c:pt idx="413">
                  <c:v>42733</c:v>
                </c:pt>
                <c:pt idx="414">
                  <c:v>42734</c:v>
                </c:pt>
                <c:pt idx="415">
                  <c:v>42737</c:v>
                </c:pt>
                <c:pt idx="416">
                  <c:v>42738</c:v>
                </c:pt>
                <c:pt idx="417">
                  <c:v>42739</c:v>
                </c:pt>
                <c:pt idx="418">
                  <c:v>42740</c:v>
                </c:pt>
                <c:pt idx="419">
                  <c:v>42741</c:v>
                </c:pt>
                <c:pt idx="420">
                  <c:v>42744</c:v>
                </c:pt>
                <c:pt idx="421">
                  <c:v>42745</c:v>
                </c:pt>
                <c:pt idx="422">
                  <c:v>42746</c:v>
                </c:pt>
                <c:pt idx="423">
                  <c:v>42747</c:v>
                </c:pt>
                <c:pt idx="424">
                  <c:v>42748</c:v>
                </c:pt>
                <c:pt idx="425">
                  <c:v>42751</c:v>
                </c:pt>
                <c:pt idx="426">
                  <c:v>42752</c:v>
                </c:pt>
                <c:pt idx="427">
                  <c:v>42753</c:v>
                </c:pt>
                <c:pt idx="428">
                  <c:v>42754</c:v>
                </c:pt>
                <c:pt idx="429">
                  <c:v>42755</c:v>
                </c:pt>
                <c:pt idx="430">
                  <c:v>42758</c:v>
                </c:pt>
                <c:pt idx="431">
                  <c:v>42759</c:v>
                </c:pt>
                <c:pt idx="432">
                  <c:v>42760</c:v>
                </c:pt>
                <c:pt idx="433">
                  <c:v>42762</c:v>
                </c:pt>
                <c:pt idx="434">
                  <c:v>42765</c:v>
                </c:pt>
                <c:pt idx="435">
                  <c:v>42766</c:v>
                </c:pt>
                <c:pt idx="436">
                  <c:v>42767</c:v>
                </c:pt>
                <c:pt idx="437">
                  <c:v>42768</c:v>
                </c:pt>
                <c:pt idx="438">
                  <c:v>42769</c:v>
                </c:pt>
                <c:pt idx="439">
                  <c:v>42772</c:v>
                </c:pt>
                <c:pt idx="440">
                  <c:v>42773</c:v>
                </c:pt>
                <c:pt idx="441">
                  <c:v>42774</c:v>
                </c:pt>
                <c:pt idx="442">
                  <c:v>42775</c:v>
                </c:pt>
                <c:pt idx="443">
                  <c:v>42776</c:v>
                </c:pt>
                <c:pt idx="444">
                  <c:v>42779</c:v>
                </c:pt>
                <c:pt idx="445">
                  <c:v>42780</c:v>
                </c:pt>
                <c:pt idx="446">
                  <c:v>42781</c:v>
                </c:pt>
                <c:pt idx="447">
                  <c:v>42782</c:v>
                </c:pt>
                <c:pt idx="448">
                  <c:v>42783</c:v>
                </c:pt>
                <c:pt idx="449">
                  <c:v>42786</c:v>
                </c:pt>
                <c:pt idx="450">
                  <c:v>42787</c:v>
                </c:pt>
                <c:pt idx="451">
                  <c:v>42788</c:v>
                </c:pt>
                <c:pt idx="452">
                  <c:v>42789</c:v>
                </c:pt>
                <c:pt idx="453">
                  <c:v>42790</c:v>
                </c:pt>
                <c:pt idx="454">
                  <c:v>42793</c:v>
                </c:pt>
                <c:pt idx="455">
                  <c:v>42794</c:v>
                </c:pt>
                <c:pt idx="456">
                  <c:v>42795</c:v>
                </c:pt>
                <c:pt idx="457">
                  <c:v>42796</c:v>
                </c:pt>
                <c:pt idx="458">
                  <c:v>42797</c:v>
                </c:pt>
                <c:pt idx="459">
                  <c:v>42800</c:v>
                </c:pt>
                <c:pt idx="460">
                  <c:v>42801</c:v>
                </c:pt>
                <c:pt idx="461">
                  <c:v>42802</c:v>
                </c:pt>
                <c:pt idx="462">
                  <c:v>42803</c:v>
                </c:pt>
                <c:pt idx="463">
                  <c:v>42804</c:v>
                </c:pt>
                <c:pt idx="464">
                  <c:v>42807</c:v>
                </c:pt>
                <c:pt idx="465">
                  <c:v>42808</c:v>
                </c:pt>
                <c:pt idx="466">
                  <c:v>42809</c:v>
                </c:pt>
                <c:pt idx="467">
                  <c:v>42810</c:v>
                </c:pt>
                <c:pt idx="468">
                  <c:v>42811</c:v>
                </c:pt>
                <c:pt idx="469">
                  <c:v>42814</c:v>
                </c:pt>
                <c:pt idx="470">
                  <c:v>42815</c:v>
                </c:pt>
                <c:pt idx="471">
                  <c:v>42816</c:v>
                </c:pt>
                <c:pt idx="472">
                  <c:v>42817</c:v>
                </c:pt>
                <c:pt idx="473">
                  <c:v>42818</c:v>
                </c:pt>
                <c:pt idx="474">
                  <c:v>42821</c:v>
                </c:pt>
                <c:pt idx="475">
                  <c:v>42822</c:v>
                </c:pt>
                <c:pt idx="476">
                  <c:v>42823</c:v>
                </c:pt>
                <c:pt idx="477">
                  <c:v>42824</c:v>
                </c:pt>
                <c:pt idx="478">
                  <c:v>42825</c:v>
                </c:pt>
                <c:pt idx="479">
                  <c:v>42828</c:v>
                </c:pt>
                <c:pt idx="480">
                  <c:v>42829</c:v>
                </c:pt>
                <c:pt idx="481">
                  <c:v>42830</c:v>
                </c:pt>
                <c:pt idx="482">
                  <c:v>42831</c:v>
                </c:pt>
                <c:pt idx="483">
                  <c:v>42832</c:v>
                </c:pt>
                <c:pt idx="484">
                  <c:v>42835</c:v>
                </c:pt>
                <c:pt idx="485">
                  <c:v>42836</c:v>
                </c:pt>
                <c:pt idx="486">
                  <c:v>42837</c:v>
                </c:pt>
                <c:pt idx="487">
                  <c:v>42838</c:v>
                </c:pt>
                <c:pt idx="488">
                  <c:v>42843</c:v>
                </c:pt>
                <c:pt idx="489">
                  <c:v>42844</c:v>
                </c:pt>
                <c:pt idx="490">
                  <c:v>42845</c:v>
                </c:pt>
                <c:pt idx="491">
                  <c:v>42846</c:v>
                </c:pt>
                <c:pt idx="492">
                  <c:v>42849</c:v>
                </c:pt>
                <c:pt idx="493">
                  <c:v>42851</c:v>
                </c:pt>
                <c:pt idx="494">
                  <c:v>42852</c:v>
                </c:pt>
                <c:pt idx="495">
                  <c:v>42853</c:v>
                </c:pt>
                <c:pt idx="496">
                  <c:v>42856</c:v>
                </c:pt>
                <c:pt idx="497">
                  <c:v>42857</c:v>
                </c:pt>
                <c:pt idx="498">
                  <c:v>42858</c:v>
                </c:pt>
                <c:pt idx="499">
                  <c:v>42859</c:v>
                </c:pt>
                <c:pt idx="500">
                  <c:v>42860</c:v>
                </c:pt>
                <c:pt idx="501">
                  <c:v>42863</c:v>
                </c:pt>
                <c:pt idx="502">
                  <c:v>42864</c:v>
                </c:pt>
                <c:pt idx="503">
                  <c:v>42865</c:v>
                </c:pt>
                <c:pt idx="504">
                  <c:v>42866</c:v>
                </c:pt>
                <c:pt idx="505">
                  <c:v>42867</c:v>
                </c:pt>
                <c:pt idx="506">
                  <c:v>42870</c:v>
                </c:pt>
                <c:pt idx="507">
                  <c:v>42871</c:v>
                </c:pt>
                <c:pt idx="508">
                  <c:v>42872</c:v>
                </c:pt>
                <c:pt idx="509">
                  <c:v>42873</c:v>
                </c:pt>
                <c:pt idx="510">
                  <c:v>42874</c:v>
                </c:pt>
                <c:pt idx="511">
                  <c:v>42877</c:v>
                </c:pt>
                <c:pt idx="512">
                  <c:v>42878</c:v>
                </c:pt>
                <c:pt idx="513">
                  <c:v>42879</c:v>
                </c:pt>
                <c:pt idx="514">
                  <c:v>42880</c:v>
                </c:pt>
                <c:pt idx="515">
                  <c:v>42881</c:v>
                </c:pt>
                <c:pt idx="516">
                  <c:v>42884</c:v>
                </c:pt>
                <c:pt idx="517">
                  <c:v>42885</c:v>
                </c:pt>
                <c:pt idx="518">
                  <c:v>42892</c:v>
                </c:pt>
                <c:pt idx="519">
                  <c:v>42899</c:v>
                </c:pt>
                <c:pt idx="520">
                  <c:v>42906</c:v>
                </c:pt>
                <c:pt idx="521">
                  <c:v>42913</c:v>
                </c:pt>
                <c:pt idx="522">
                  <c:v>42920</c:v>
                </c:pt>
                <c:pt idx="523">
                  <c:v>42927</c:v>
                </c:pt>
                <c:pt idx="524">
                  <c:v>42934</c:v>
                </c:pt>
                <c:pt idx="525">
                  <c:v>42941</c:v>
                </c:pt>
                <c:pt idx="526">
                  <c:v>42948</c:v>
                </c:pt>
                <c:pt idx="527">
                  <c:v>42955</c:v>
                </c:pt>
                <c:pt idx="528">
                  <c:v>42962</c:v>
                </c:pt>
                <c:pt idx="529">
                  <c:v>42969</c:v>
                </c:pt>
                <c:pt idx="530">
                  <c:v>42976</c:v>
                </c:pt>
                <c:pt idx="531">
                  <c:v>42983</c:v>
                </c:pt>
                <c:pt idx="532">
                  <c:v>42990</c:v>
                </c:pt>
                <c:pt idx="533">
                  <c:v>42997</c:v>
                </c:pt>
                <c:pt idx="534">
                  <c:v>43004</c:v>
                </c:pt>
                <c:pt idx="535">
                  <c:v>43011</c:v>
                </c:pt>
                <c:pt idx="536">
                  <c:v>43018</c:v>
                </c:pt>
                <c:pt idx="537">
                  <c:v>43025</c:v>
                </c:pt>
                <c:pt idx="538">
                  <c:v>43032</c:v>
                </c:pt>
                <c:pt idx="539">
                  <c:v>43039</c:v>
                </c:pt>
                <c:pt idx="540">
                  <c:v>43046</c:v>
                </c:pt>
                <c:pt idx="541">
                  <c:v>43053</c:v>
                </c:pt>
                <c:pt idx="542">
                  <c:v>43060</c:v>
                </c:pt>
                <c:pt idx="543">
                  <c:v>43067</c:v>
                </c:pt>
                <c:pt idx="544">
                  <c:v>43074</c:v>
                </c:pt>
                <c:pt idx="545">
                  <c:v>43081</c:v>
                </c:pt>
                <c:pt idx="546">
                  <c:v>43088</c:v>
                </c:pt>
                <c:pt idx="547">
                  <c:v>43096</c:v>
                </c:pt>
                <c:pt idx="548">
                  <c:v>43103</c:v>
                </c:pt>
                <c:pt idx="549">
                  <c:v>43110</c:v>
                </c:pt>
                <c:pt idx="550">
                  <c:v>43117</c:v>
                </c:pt>
                <c:pt idx="551">
                  <c:v>43124</c:v>
                </c:pt>
                <c:pt idx="552">
                  <c:v>43131</c:v>
                </c:pt>
                <c:pt idx="553">
                  <c:v>43138</c:v>
                </c:pt>
                <c:pt idx="554">
                  <c:v>43145</c:v>
                </c:pt>
                <c:pt idx="555">
                  <c:v>43152</c:v>
                </c:pt>
                <c:pt idx="556">
                  <c:v>43159</c:v>
                </c:pt>
                <c:pt idx="557">
                  <c:v>43166</c:v>
                </c:pt>
                <c:pt idx="558">
                  <c:v>43173</c:v>
                </c:pt>
                <c:pt idx="559">
                  <c:v>43180</c:v>
                </c:pt>
                <c:pt idx="560">
                  <c:v>43187</c:v>
                </c:pt>
                <c:pt idx="561">
                  <c:v>43194</c:v>
                </c:pt>
                <c:pt idx="562">
                  <c:v>43201</c:v>
                </c:pt>
                <c:pt idx="563">
                  <c:v>43208</c:v>
                </c:pt>
                <c:pt idx="564">
                  <c:v>43216</c:v>
                </c:pt>
                <c:pt idx="565">
                  <c:v>43223</c:v>
                </c:pt>
                <c:pt idx="566">
                  <c:v>43230</c:v>
                </c:pt>
                <c:pt idx="567">
                  <c:v>43237</c:v>
                </c:pt>
                <c:pt idx="568">
                  <c:v>43244</c:v>
                </c:pt>
                <c:pt idx="569">
                  <c:v>43251</c:v>
                </c:pt>
                <c:pt idx="570">
                  <c:v>43258</c:v>
                </c:pt>
                <c:pt idx="571">
                  <c:v>43265</c:v>
                </c:pt>
                <c:pt idx="572">
                  <c:v>43272</c:v>
                </c:pt>
                <c:pt idx="573">
                  <c:v>43279</c:v>
                </c:pt>
                <c:pt idx="574">
                  <c:v>43286</c:v>
                </c:pt>
                <c:pt idx="575">
                  <c:v>43293</c:v>
                </c:pt>
                <c:pt idx="576">
                  <c:v>43300</c:v>
                </c:pt>
                <c:pt idx="577">
                  <c:v>43307</c:v>
                </c:pt>
                <c:pt idx="578">
                  <c:v>43314</c:v>
                </c:pt>
                <c:pt idx="579">
                  <c:v>43321</c:v>
                </c:pt>
                <c:pt idx="580">
                  <c:v>43328</c:v>
                </c:pt>
                <c:pt idx="581">
                  <c:v>43335</c:v>
                </c:pt>
                <c:pt idx="582">
                  <c:v>43342</c:v>
                </c:pt>
                <c:pt idx="583">
                  <c:v>43349</c:v>
                </c:pt>
                <c:pt idx="584">
                  <c:v>43356</c:v>
                </c:pt>
                <c:pt idx="585">
                  <c:v>43363</c:v>
                </c:pt>
                <c:pt idx="586">
                  <c:v>43370</c:v>
                </c:pt>
                <c:pt idx="587">
                  <c:v>43377</c:v>
                </c:pt>
                <c:pt idx="588">
                  <c:v>43384</c:v>
                </c:pt>
                <c:pt idx="589">
                  <c:v>43391</c:v>
                </c:pt>
                <c:pt idx="590">
                  <c:v>43398</c:v>
                </c:pt>
                <c:pt idx="591">
                  <c:v>43405</c:v>
                </c:pt>
                <c:pt idx="592">
                  <c:v>43412</c:v>
                </c:pt>
                <c:pt idx="593">
                  <c:v>43419</c:v>
                </c:pt>
                <c:pt idx="594">
                  <c:v>43426</c:v>
                </c:pt>
                <c:pt idx="595">
                  <c:v>43433</c:v>
                </c:pt>
                <c:pt idx="596">
                  <c:v>43440</c:v>
                </c:pt>
                <c:pt idx="597">
                  <c:v>43447</c:v>
                </c:pt>
                <c:pt idx="598">
                  <c:v>43454</c:v>
                </c:pt>
                <c:pt idx="599">
                  <c:v>43461</c:v>
                </c:pt>
                <c:pt idx="600">
                  <c:v>43468</c:v>
                </c:pt>
                <c:pt idx="601">
                  <c:v>43475</c:v>
                </c:pt>
                <c:pt idx="602">
                  <c:v>43482</c:v>
                </c:pt>
                <c:pt idx="603">
                  <c:v>43489</c:v>
                </c:pt>
                <c:pt idx="604">
                  <c:v>43496</c:v>
                </c:pt>
                <c:pt idx="605">
                  <c:v>43503</c:v>
                </c:pt>
                <c:pt idx="606">
                  <c:v>43510</c:v>
                </c:pt>
                <c:pt idx="607">
                  <c:v>43517</c:v>
                </c:pt>
                <c:pt idx="608">
                  <c:v>43524</c:v>
                </c:pt>
                <c:pt idx="609">
                  <c:v>43531</c:v>
                </c:pt>
                <c:pt idx="610">
                  <c:v>43538</c:v>
                </c:pt>
                <c:pt idx="611">
                  <c:v>43545</c:v>
                </c:pt>
                <c:pt idx="612">
                  <c:v>43552</c:v>
                </c:pt>
                <c:pt idx="613">
                  <c:v>43559</c:v>
                </c:pt>
                <c:pt idx="614">
                  <c:v>43566</c:v>
                </c:pt>
                <c:pt idx="615">
                  <c:v>43573</c:v>
                </c:pt>
                <c:pt idx="616">
                  <c:v>43581</c:v>
                </c:pt>
                <c:pt idx="617">
                  <c:v>43588</c:v>
                </c:pt>
                <c:pt idx="618">
                  <c:v>43595</c:v>
                </c:pt>
                <c:pt idx="619">
                  <c:v>43602</c:v>
                </c:pt>
                <c:pt idx="620">
                  <c:v>43609</c:v>
                </c:pt>
                <c:pt idx="621">
                  <c:v>43616</c:v>
                </c:pt>
                <c:pt idx="622">
                  <c:v>43623</c:v>
                </c:pt>
                <c:pt idx="623">
                  <c:v>43630</c:v>
                </c:pt>
                <c:pt idx="624">
                  <c:v>43637</c:v>
                </c:pt>
                <c:pt idx="625">
                  <c:v>43644</c:v>
                </c:pt>
                <c:pt idx="626">
                  <c:v>43651</c:v>
                </c:pt>
                <c:pt idx="627">
                  <c:v>43658</c:v>
                </c:pt>
                <c:pt idx="628">
                  <c:v>43665</c:v>
                </c:pt>
                <c:pt idx="629">
                  <c:v>43672</c:v>
                </c:pt>
                <c:pt idx="630">
                  <c:v>43679</c:v>
                </c:pt>
                <c:pt idx="631">
                  <c:v>43686</c:v>
                </c:pt>
                <c:pt idx="632">
                  <c:v>43693</c:v>
                </c:pt>
                <c:pt idx="633">
                  <c:v>43700</c:v>
                </c:pt>
                <c:pt idx="634">
                  <c:v>43707</c:v>
                </c:pt>
                <c:pt idx="635">
                  <c:v>43714</c:v>
                </c:pt>
                <c:pt idx="636">
                  <c:v>43721</c:v>
                </c:pt>
                <c:pt idx="637">
                  <c:v>43728</c:v>
                </c:pt>
                <c:pt idx="638">
                  <c:v>43735</c:v>
                </c:pt>
                <c:pt idx="639">
                  <c:v>43742</c:v>
                </c:pt>
                <c:pt idx="640">
                  <c:v>43749</c:v>
                </c:pt>
                <c:pt idx="641">
                  <c:v>43756</c:v>
                </c:pt>
                <c:pt idx="642">
                  <c:v>43763</c:v>
                </c:pt>
                <c:pt idx="643">
                  <c:v>43770</c:v>
                </c:pt>
                <c:pt idx="644">
                  <c:v>43777</c:v>
                </c:pt>
                <c:pt idx="645">
                  <c:v>43784</c:v>
                </c:pt>
                <c:pt idx="646">
                  <c:v>43791</c:v>
                </c:pt>
                <c:pt idx="647">
                  <c:v>43798</c:v>
                </c:pt>
                <c:pt idx="648">
                  <c:v>43805</c:v>
                </c:pt>
                <c:pt idx="649">
                  <c:v>43812</c:v>
                </c:pt>
                <c:pt idx="650">
                  <c:v>43819</c:v>
                </c:pt>
                <c:pt idx="651">
                  <c:v>43826</c:v>
                </c:pt>
                <c:pt idx="652">
                  <c:v>43833</c:v>
                </c:pt>
                <c:pt idx="653">
                  <c:v>43840</c:v>
                </c:pt>
                <c:pt idx="654">
                  <c:v>43847</c:v>
                </c:pt>
                <c:pt idx="655">
                  <c:v>43854</c:v>
                </c:pt>
                <c:pt idx="656">
                  <c:v>43861</c:v>
                </c:pt>
                <c:pt idx="657">
                  <c:v>43868</c:v>
                </c:pt>
                <c:pt idx="658">
                  <c:v>43875</c:v>
                </c:pt>
                <c:pt idx="659">
                  <c:v>43882</c:v>
                </c:pt>
                <c:pt idx="660">
                  <c:v>43889</c:v>
                </c:pt>
                <c:pt idx="661">
                  <c:v>43896</c:v>
                </c:pt>
                <c:pt idx="662">
                  <c:v>43903</c:v>
                </c:pt>
                <c:pt idx="663">
                  <c:v>43910</c:v>
                </c:pt>
                <c:pt idx="664">
                  <c:v>43917</c:v>
                </c:pt>
                <c:pt idx="665">
                  <c:v>43924</c:v>
                </c:pt>
                <c:pt idx="666">
                  <c:v>43935</c:v>
                </c:pt>
                <c:pt idx="667">
                  <c:v>43942</c:v>
                </c:pt>
                <c:pt idx="668">
                  <c:v>43949</c:v>
                </c:pt>
                <c:pt idx="669">
                  <c:v>43956</c:v>
                </c:pt>
                <c:pt idx="670">
                  <c:v>43963</c:v>
                </c:pt>
                <c:pt idx="671">
                  <c:v>43970</c:v>
                </c:pt>
                <c:pt idx="672">
                  <c:v>43977</c:v>
                </c:pt>
                <c:pt idx="673">
                  <c:v>43984</c:v>
                </c:pt>
                <c:pt idx="674">
                  <c:v>43991</c:v>
                </c:pt>
                <c:pt idx="675">
                  <c:v>43998</c:v>
                </c:pt>
                <c:pt idx="676">
                  <c:v>44005</c:v>
                </c:pt>
                <c:pt idx="677">
                  <c:v>44012</c:v>
                </c:pt>
                <c:pt idx="678">
                  <c:v>44019</c:v>
                </c:pt>
                <c:pt idx="679">
                  <c:v>44026</c:v>
                </c:pt>
                <c:pt idx="680">
                  <c:v>44033</c:v>
                </c:pt>
                <c:pt idx="681">
                  <c:v>44040</c:v>
                </c:pt>
                <c:pt idx="682">
                  <c:v>44047</c:v>
                </c:pt>
                <c:pt idx="683">
                  <c:v>44054</c:v>
                </c:pt>
                <c:pt idx="684">
                  <c:v>44061</c:v>
                </c:pt>
                <c:pt idx="685">
                  <c:v>44068</c:v>
                </c:pt>
                <c:pt idx="686">
                  <c:v>44075</c:v>
                </c:pt>
                <c:pt idx="687">
                  <c:v>44082</c:v>
                </c:pt>
                <c:pt idx="688">
                  <c:v>44089</c:v>
                </c:pt>
                <c:pt idx="689">
                  <c:v>44096</c:v>
                </c:pt>
                <c:pt idx="690">
                  <c:v>44103</c:v>
                </c:pt>
                <c:pt idx="691">
                  <c:v>44110</c:v>
                </c:pt>
                <c:pt idx="692">
                  <c:v>44117</c:v>
                </c:pt>
                <c:pt idx="693">
                  <c:v>44124</c:v>
                </c:pt>
                <c:pt idx="694">
                  <c:v>44131</c:v>
                </c:pt>
                <c:pt idx="695">
                  <c:v>44138</c:v>
                </c:pt>
                <c:pt idx="696">
                  <c:v>44145</c:v>
                </c:pt>
                <c:pt idx="697">
                  <c:v>44152</c:v>
                </c:pt>
                <c:pt idx="698">
                  <c:v>44159</c:v>
                </c:pt>
                <c:pt idx="699">
                  <c:v>44166</c:v>
                </c:pt>
                <c:pt idx="700">
                  <c:v>44173</c:v>
                </c:pt>
                <c:pt idx="701">
                  <c:v>44180</c:v>
                </c:pt>
                <c:pt idx="702">
                  <c:v>44187</c:v>
                </c:pt>
                <c:pt idx="703">
                  <c:v>44194</c:v>
                </c:pt>
                <c:pt idx="704">
                  <c:v>44201</c:v>
                </c:pt>
                <c:pt idx="705">
                  <c:v>44208</c:v>
                </c:pt>
                <c:pt idx="706">
                  <c:v>44215</c:v>
                </c:pt>
                <c:pt idx="707">
                  <c:v>44223</c:v>
                </c:pt>
                <c:pt idx="708">
                  <c:v>44230</c:v>
                </c:pt>
                <c:pt idx="709">
                  <c:v>44237</c:v>
                </c:pt>
                <c:pt idx="710">
                  <c:v>44244</c:v>
                </c:pt>
                <c:pt idx="711">
                  <c:v>44251</c:v>
                </c:pt>
                <c:pt idx="712">
                  <c:v>44258</c:v>
                </c:pt>
                <c:pt idx="713">
                  <c:v>44265</c:v>
                </c:pt>
                <c:pt idx="714">
                  <c:v>44272</c:v>
                </c:pt>
                <c:pt idx="715">
                  <c:v>44279</c:v>
                </c:pt>
                <c:pt idx="716">
                  <c:v>44286</c:v>
                </c:pt>
                <c:pt idx="717">
                  <c:v>44293</c:v>
                </c:pt>
                <c:pt idx="718">
                  <c:v>44300</c:v>
                </c:pt>
                <c:pt idx="719">
                  <c:v>44307</c:v>
                </c:pt>
                <c:pt idx="720">
                  <c:v>44314</c:v>
                </c:pt>
                <c:pt idx="721">
                  <c:v>44321</c:v>
                </c:pt>
                <c:pt idx="722">
                  <c:v>44328</c:v>
                </c:pt>
                <c:pt idx="723">
                  <c:v>44335</c:v>
                </c:pt>
                <c:pt idx="724">
                  <c:v>44342</c:v>
                </c:pt>
                <c:pt idx="725">
                  <c:v>44349</c:v>
                </c:pt>
                <c:pt idx="726">
                  <c:v>44356</c:v>
                </c:pt>
                <c:pt idx="727">
                  <c:v>44363</c:v>
                </c:pt>
                <c:pt idx="728">
                  <c:v>44370</c:v>
                </c:pt>
                <c:pt idx="729">
                  <c:v>44377</c:v>
                </c:pt>
                <c:pt idx="730">
                  <c:v>44384</c:v>
                </c:pt>
                <c:pt idx="731">
                  <c:v>44391</c:v>
                </c:pt>
                <c:pt idx="732">
                  <c:v>44398</c:v>
                </c:pt>
                <c:pt idx="733">
                  <c:v>44405</c:v>
                </c:pt>
                <c:pt idx="734">
                  <c:v>44412</c:v>
                </c:pt>
                <c:pt idx="735">
                  <c:v>44419</c:v>
                </c:pt>
                <c:pt idx="736">
                  <c:v>44426</c:v>
                </c:pt>
                <c:pt idx="737">
                  <c:v>44433</c:v>
                </c:pt>
                <c:pt idx="738">
                  <c:v>44440</c:v>
                </c:pt>
                <c:pt idx="739">
                  <c:v>44447</c:v>
                </c:pt>
                <c:pt idx="740">
                  <c:v>44454</c:v>
                </c:pt>
                <c:pt idx="741">
                  <c:v>44461</c:v>
                </c:pt>
                <c:pt idx="742">
                  <c:v>44468</c:v>
                </c:pt>
                <c:pt idx="743">
                  <c:v>44475</c:v>
                </c:pt>
                <c:pt idx="744">
                  <c:v>44482</c:v>
                </c:pt>
                <c:pt idx="745">
                  <c:v>44489</c:v>
                </c:pt>
                <c:pt idx="746">
                  <c:v>44496</c:v>
                </c:pt>
                <c:pt idx="747">
                  <c:v>44503</c:v>
                </c:pt>
                <c:pt idx="748">
                  <c:v>44510</c:v>
                </c:pt>
                <c:pt idx="749">
                  <c:v>44517</c:v>
                </c:pt>
                <c:pt idx="750">
                  <c:v>44524</c:v>
                </c:pt>
                <c:pt idx="751">
                  <c:v>44531</c:v>
                </c:pt>
                <c:pt idx="752">
                  <c:v>44538</c:v>
                </c:pt>
                <c:pt idx="753">
                  <c:v>44545</c:v>
                </c:pt>
                <c:pt idx="754">
                  <c:v>44552</c:v>
                </c:pt>
                <c:pt idx="755">
                  <c:v>44559</c:v>
                </c:pt>
                <c:pt idx="756">
                  <c:v>44566</c:v>
                </c:pt>
                <c:pt idx="757">
                  <c:v>44573</c:v>
                </c:pt>
                <c:pt idx="758">
                  <c:v>44580</c:v>
                </c:pt>
                <c:pt idx="759">
                  <c:v>44588</c:v>
                </c:pt>
                <c:pt idx="760">
                  <c:v>44595</c:v>
                </c:pt>
                <c:pt idx="761">
                  <c:v>44602</c:v>
                </c:pt>
                <c:pt idx="762">
                  <c:v>44609</c:v>
                </c:pt>
                <c:pt idx="763">
                  <c:v>44616</c:v>
                </c:pt>
                <c:pt idx="764">
                  <c:v>44623</c:v>
                </c:pt>
                <c:pt idx="765">
                  <c:v>44630</c:v>
                </c:pt>
                <c:pt idx="766">
                  <c:v>44637</c:v>
                </c:pt>
                <c:pt idx="767">
                  <c:v>44644</c:v>
                </c:pt>
                <c:pt idx="768">
                  <c:v>44651</c:v>
                </c:pt>
                <c:pt idx="769">
                  <c:v>44658</c:v>
                </c:pt>
                <c:pt idx="770">
                  <c:v>44665</c:v>
                </c:pt>
                <c:pt idx="771">
                  <c:v>44672</c:v>
                </c:pt>
                <c:pt idx="772">
                  <c:v>44679</c:v>
                </c:pt>
                <c:pt idx="773">
                  <c:v>44686</c:v>
                </c:pt>
                <c:pt idx="774">
                  <c:v>44693</c:v>
                </c:pt>
                <c:pt idx="775">
                  <c:v>44700</c:v>
                </c:pt>
                <c:pt idx="776">
                  <c:v>44707</c:v>
                </c:pt>
                <c:pt idx="777">
                  <c:v>44714</c:v>
                </c:pt>
                <c:pt idx="778">
                  <c:v>44721</c:v>
                </c:pt>
                <c:pt idx="779">
                  <c:v>44728</c:v>
                </c:pt>
                <c:pt idx="780">
                  <c:v>44735</c:v>
                </c:pt>
                <c:pt idx="781">
                  <c:v>44742</c:v>
                </c:pt>
                <c:pt idx="782">
                  <c:v>44749</c:v>
                </c:pt>
                <c:pt idx="783">
                  <c:v>44756</c:v>
                </c:pt>
                <c:pt idx="784">
                  <c:v>44763</c:v>
                </c:pt>
                <c:pt idx="785">
                  <c:v>44770</c:v>
                </c:pt>
                <c:pt idx="786">
                  <c:v>44777</c:v>
                </c:pt>
                <c:pt idx="787">
                  <c:v>44784</c:v>
                </c:pt>
                <c:pt idx="788">
                  <c:v>44791</c:v>
                </c:pt>
                <c:pt idx="789">
                  <c:v>44798</c:v>
                </c:pt>
                <c:pt idx="790">
                  <c:v>44805</c:v>
                </c:pt>
                <c:pt idx="791">
                  <c:v>44812</c:v>
                </c:pt>
                <c:pt idx="792">
                  <c:v>44819</c:v>
                </c:pt>
                <c:pt idx="793">
                  <c:v>44826</c:v>
                </c:pt>
                <c:pt idx="794">
                  <c:v>44833</c:v>
                </c:pt>
                <c:pt idx="795">
                  <c:v>44840</c:v>
                </c:pt>
                <c:pt idx="796">
                  <c:v>44847</c:v>
                </c:pt>
                <c:pt idx="797">
                  <c:v>44854</c:v>
                </c:pt>
                <c:pt idx="798">
                  <c:v>44861</c:v>
                </c:pt>
                <c:pt idx="799">
                  <c:v>44868</c:v>
                </c:pt>
                <c:pt idx="800">
                  <c:v>44875</c:v>
                </c:pt>
                <c:pt idx="801">
                  <c:v>44882</c:v>
                </c:pt>
                <c:pt idx="802">
                  <c:v>44889</c:v>
                </c:pt>
                <c:pt idx="803">
                  <c:v>44896</c:v>
                </c:pt>
                <c:pt idx="804">
                  <c:v>44903</c:v>
                </c:pt>
                <c:pt idx="805">
                  <c:v>44910</c:v>
                </c:pt>
                <c:pt idx="806">
                  <c:v>44917</c:v>
                </c:pt>
                <c:pt idx="807">
                  <c:v>44924</c:v>
                </c:pt>
                <c:pt idx="808">
                  <c:v>44931</c:v>
                </c:pt>
                <c:pt idx="809">
                  <c:v>44938</c:v>
                </c:pt>
                <c:pt idx="810">
                  <c:v>44945</c:v>
                </c:pt>
                <c:pt idx="811">
                  <c:v>44953</c:v>
                </c:pt>
                <c:pt idx="812">
                  <c:v>44960</c:v>
                </c:pt>
                <c:pt idx="813">
                  <c:v>44967</c:v>
                </c:pt>
                <c:pt idx="814">
                  <c:v>44974</c:v>
                </c:pt>
                <c:pt idx="815">
                  <c:v>44981</c:v>
                </c:pt>
                <c:pt idx="816">
                  <c:v>44988</c:v>
                </c:pt>
                <c:pt idx="817">
                  <c:v>44995</c:v>
                </c:pt>
                <c:pt idx="818">
                  <c:v>45002</c:v>
                </c:pt>
                <c:pt idx="819">
                  <c:v>45009</c:v>
                </c:pt>
                <c:pt idx="820">
                  <c:v>45016</c:v>
                </c:pt>
                <c:pt idx="821">
                  <c:v>45027</c:v>
                </c:pt>
                <c:pt idx="822">
                  <c:v>45034</c:v>
                </c:pt>
                <c:pt idx="823">
                  <c:v>45042</c:v>
                </c:pt>
                <c:pt idx="824">
                  <c:v>45049</c:v>
                </c:pt>
                <c:pt idx="825">
                  <c:v>45056</c:v>
                </c:pt>
                <c:pt idx="826">
                  <c:v>45063</c:v>
                </c:pt>
                <c:pt idx="827">
                  <c:v>45070</c:v>
                </c:pt>
                <c:pt idx="828">
                  <c:v>45077</c:v>
                </c:pt>
                <c:pt idx="829">
                  <c:v>45084</c:v>
                </c:pt>
                <c:pt idx="830">
                  <c:v>45091</c:v>
                </c:pt>
                <c:pt idx="831">
                  <c:v>45098</c:v>
                </c:pt>
                <c:pt idx="832">
                  <c:v>45105</c:v>
                </c:pt>
                <c:pt idx="833">
                  <c:v>45112</c:v>
                </c:pt>
                <c:pt idx="834">
                  <c:v>45119</c:v>
                </c:pt>
                <c:pt idx="835">
                  <c:v>45126</c:v>
                </c:pt>
                <c:pt idx="836">
                  <c:v>45133</c:v>
                </c:pt>
                <c:pt idx="837">
                  <c:v>45140</c:v>
                </c:pt>
                <c:pt idx="838">
                  <c:v>45147</c:v>
                </c:pt>
                <c:pt idx="839">
                  <c:v>45154</c:v>
                </c:pt>
                <c:pt idx="840">
                  <c:v>45161</c:v>
                </c:pt>
                <c:pt idx="841">
                  <c:v>45168</c:v>
                </c:pt>
                <c:pt idx="842">
                  <c:v>45175</c:v>
                </c:pt>
                <c:pt idx="843">
                  <c:v>45182</c:v>
                </c:pt>
                <c:pt idx="844">
                  <c:v>45189</c:v>
                </c:pt>
                <c:pt idx="845">
                  <c:v>45196</c:v>
                </c:pt>
                <c:pt idx="846">
                  <c:v>45203</c:v>
                </c:pt>
                <c:pt idx="847">
                  <c:v>45210</c:v>
                </c:pt>
                <c:pt idx="848">
                  <c:v>45217</c:v>
                </c:pt>
                <c:pt idx="849">
                  <c:v>45224</c:v>
                </c:pt>
                <c:pt idx="850">
                  <c:v>45231</c:v>
                </c:pt>
                <c:pt idx="851">
                  <c:v>45238</c:v>
                </c:pt>
                <c:pt idx="852">
                  <c:v>45245</c:v>
                </c:pt>
                <c:pt idx="853">
                  <c:v>45252</c:v>
                </c:pt>
                <c:pt idx="854">
                  <c:v>45259</c:v>
                </c:pt>
                <c:pt idx="855">
                  <c:v>45266</c:v>
                </c:pt>
                <c:pt idx="856">
                  <c:v>45273</c:v>
                </c:pt>
                <c:pt idx="857">
                  <c:v>45280</c:v>
                </c:pt>
                <c:pt idx="858">
                  <c:v>45287</c:v>
                </c:pt>
                <c:pt idx="859">
                  <c:v>45294</c:v>
                </c:pt>
                <c:pt idx="860">
                  <c:v>45301</c:v>
                </c:pt>
                <c:pt idx="861">
                  <c:v>45308</c:v>
                </c:pt>
                <c:pt idx="862">
                  <c:v>45315</c:v>
                </c:pt>
                <c:pt idx="863">
                  <c:v>45322</c:v>
                </c:pt>
                <c:pt idx="864">
                  <c:v>45329</c:v>
                </c:pt>
                <c:pt idx="865">
                  <c:v>45336</c:v>
                </c:pt>
                <c:pt idx="866">
                  <c:v>45343</c:v>
                </c:pt>
                <c:pt idx="867">
                  <c:v>45350</c:v>
                </c:pt>
                <c:pt idx="868">
                  <c:v>45357</c:v>
                </c:pt>
                <c:pt idx="869">
                  <c:v>45364</c:v>
                </c:pt>
                <c:pt idx="870">
                  <c:v>45371</c:v>
                </c:pt>
                <c:pt idx="871">
                  <c:v>45378</c:v>
                </c:pt>
                <c:pt idx="872">
                  <c:v>45385</c:v>
                </c:pt>
                <c:pt idx="873">
                  <c:v>45392</c:v>
                </c:pt>
                <c:pt idx="874">
                  <c:v>45399</c:v>
                </c:pt>
                <c:pt idx="875">
                  <c:v>45406</c:v>
                </c:pt>
                <c:pt idx="876">
                  <c:v>45413</c:v>
                </c:pt>
                <c:pt idx="877">
                  <c:v>45420</c:v>
                </c:pt>
                <c:pt idx="878">
                  <c:v>45427</c:v>
                </c:pt>
                <c:pt idx="879">
                  <c:v>45434</c:v>
                </c:pt>
                <c:pt idx="880">
                  <c:v>45441</c:v>
                </c:pt>
                <c:pt idx="881">
                  <c:v>45448</c:v>
                </c:pt>
                <c:pt idx="882">
                  <c:v>45455</c:v>
                </c:pt>
                <c:pt idx="883">
                  <c:v>45462</c:v>
                </c:pt>
                <c:pt idx="884">
                  <c:v>45469</c:v>
                </c:pt>
                <c:pt idx="885">
                  <c:v>45476</c:v>
                </c:pt>
                <c:pt idx="886">
                  <c:v>45483</c:v>
                </c:pt>
                <c:pt idx="887">
                  <c:v>45490</c:v>
                </c:pt>
                <c:pt idx="888">
                  <c:v>45497</c:v>
                </c:pt>
                <c:pt idx="889">
                  <c:v>45504</c:v>
                </c:pt>
                <c:pt idx="890">
                  <c:v>45511</c:v>
                </c:pt>
                <c:pt idx="891">
                  <c:v>45518</c:v>
                </c:pt>
                <c:pt idx="892">
                  <c:v>45525</c:v>
                </c:pt>
                <c:pt idx="893">
                  <c:v>45532</c:v>
                </c:pt>
                <c:pt idx="894">
                  <c:v>45539</c:v>
                </c:pt>
                <c:pt idx="895">
                  <c:v>45546</c:v>
                </c:pt>
                <c:pt idx="896">
                  <c:v>45553</c:v>
                </c:pt>
                <c:pt idx="897">
                  <c:v>45560</c:v>
                </c:pt>
                <c:pt idx="898">
                  <c:v>45567</c:v>
                </c:pt>
                <c:pt idx="899">
                  <c:v>45574</c:v>
                </c:pt>
                <c:pt idx="900">
                  <c:v>45581</c:v>
                </c:pt>
                <c:pt idx="901">
                  <c:v>45588</c:v>
                </c:pt>
                <c:pt idx="902">
                  <c:v>45595</c:v>
                </c:pt>
                <c:pt idx="903">
                  <c:v>45602</c:v>
                </c:pt>
                <c:pt idx="904">
                  <c:v>45609</c:v>
                </c:pt>
                <c:pt idx="905">
                  <c:v>45616</c:v>
                </c:pt>
                <c:pt idx="906">
                  <c:v>45623</c:v>
                </c:pt>
                <c:pt idx="907">
                  <c:v>45630</c:v>
                </c:pt>
                <c:pt idx="908">
                  <c:v>45637</c:v>
                </c:pt>
                <c:pt idx="909">
                  <c:v>45644</c:v>
                </c:pt>
                <c:pt idx="910">
                  <c:v>45653</c:v>
                </c:pt>
                <c:pt idx="911">
                  <c:v>45660</c:v>
                </c:pt>
                <c:pt idx="912">
                  <c:v>45667</c:v>
                </c:pt>
                <c:pt idx="913">
                  <c:v>45674</c:v>
                </c:pt>
                <c:pt idx="914">
                  <c:v>45681</c:v>
                </c:pt>
                <c:pt idx="915">
                  <c:v>45688</c:v>
                </c:pt>
                <c:pt idx="916">
                  <c:v>45695</c:v>
                </c:pt>
                <c:pt idx="917">
                  <c:v>45702</c:v>
                </c:pt>
                <c:pt idx="918">
                  <c:v>45709</c:v>
                </c:pt>
                <c:pt idx="919">
                  <c:v>45716</c:v>
                </c:pt>
                <c:pt idx="920">
                  <c:v>45723</c:v>
                </c:pt>
                <c:pt idx="921">
                  <c:v>45730</c:v>
                </c:pt>
                <c:pt idx="922">
                  <c:v>45737</c:v>
                </c:pt>
                <c:pt idx="923">
                  <c:v>45744</c:v>
                </c:pt>
                <c:pt idx="924">
                  <c:v>45751</c:v>
                </c:pt>
                <c:pt idx="925">
                  <c:v>45758</c:v>
                </c:pt>
                <c:pt idx="926">
                  <c:v>45769</c:v>
                </c:pt>
                <c:pt idx="927">
                  <c:v>45776</c:v>
                </c:pt>
                <c:pt idx="928">
                  <c:v>45783</c:v>
                </c:pt>
                <c:pt idx="929">
                  <c:v>45790</c:v>
                </c:pt>
                <c:pt idx="930">
                  <c:v>45797</c:v>
                </c:pt>
                <c:pt idx="931">
                  <c:v>45804</c:v>
                </c:pt>
                <c:pt idx="932">
                  <c:v>45811</c:v>
                </c:pt>
                <c:pt idx="933">
                  <c:v>45818</c:v>
                </c:pt>
                <c:pt idx="934">
                  <c:v>45825</c:v>
                </c:pt>
                <c:pt idx="935">
                  <c:v>45832</c:v>
                </c:pt>
                <c:pt idx="936">
                  <c:v>45839</c:v>
                </c:pt>
                <c:pt idx="937">
                  <c:v>45846</c:v>
                </c:pt>
                <c:pt idx="938">
                  <c:v>45853</c:v>
                </c:pt>
                <c:pt idx="939">
                  <c:v>45860</c:v>
                </c:pt>
                <c:pt idx="940">
                  <c:v>45867</c:v>
                </c:pt>
                <c:pt idx="941">
                  <c:v>45874</c:v>
                </c:pt>
                <c:pt idx="942">
                  <c:v>45881</c:v>
                </c:pt>
                <c:pt idx="943">
                  <c:v>45888</c:v>
                </c:pt>
                <c:pt idx="944">
                  <c:v>45895</c:v>
                </c:pt>
                <c:pt idx="945">
                  <c:v>45902</c:v>
                </c:pt>
                <c:pt idx="946">
                  <c:v>45909</c:v>
                </c:pt>
                <c:pt idx="947">
                  <c:v>45916</c:v>
                </c:pt>
                <c:pt idx="948">
                  <c:v>45923</c:v>
                </c:pt>
                <c:pt idx="949">
                  <c:v>45930</c:v>
                </c:pt>
                <c:pt idx="950">
                  <c:v>45937</c:v>
                </c:pt>
                <c:pt idx="951">
                  <c:v>45944</c:v>
                </c:pt>
                <c:pt idx="952">
                  <c:v>45951</c:v>
                </c:pt>
                <c:pt idx="953">
                  <c:v>45958</c:v>
                </c:pt>
                <c:pt idx="954">
                  <c:v>45965</c:v>
                </c:pt>
                <c:pt idx="955">
                  <c:v>45972</c:v>
                </c:pt>
                <c:pt idx="956">
                  <c:v>45979</c:v>
                </c:pt>
                <c:pt idx="957">
                  <c:v>45986</c:v>
                </c:pt>
                <c:pt idx="958">
                  <c:v>45993</c:v>
                </c:pt>
                <c:pt idx="959">
                  <c:v>46000</c:v>
                </c:pt>
                <c:pt idx="960">
                  <c:v>46007</c:v>
                </c:pt>
                <c:pt idx="961">
                  <c:v>46014</c:v>
                </c:pt>
                <c:pt idx="962">
                  <c:v>46021</c:v>
                </c:pt>
                <c:pt idx="963">
                  <c:v>46028</c:v>
                </c:pt>
                <c:pt idx="964">
                  <c:v>46035</c:v>
                </c:pt>
                <c:pt idx="965">
                  <c:v>46042</c:v>
                </c:pt>
                <c:pt idx="966">
                  <c:v>46049</c:v>
                </c:pt>
                <c:pt idx="967">
                  <c:v>46056</c:v>
                </c:pt>
                <c:pt idx="968">
                  <c:v>46063</c:v>
                </c:pt>
                <c:pt idx="969">
                  <c:v>46070</c:v>
                </c:pt>
                <c:pt idx="970">
                  <c:v>46077</c:v>
                </c:pt>
                <c:pt idx="971">
                  <c:v>46084</c:v>
                </c:pt>
                <c:pt idx="972">
                  <c:v>46091</c:v>
                </c:pt>
                <c:pt idx="973">
                  <c:v>46098</c:v>
                </c:pt>
                <c:pt idx="974">
                  <c:v>46105</c:v>
                </c:pt>
                <c:pt idx="975">
                  <c:v>46112</c:v>
                </c:pt>
                <c:pt idx="976">
                  <c:v>46119</c:v>
                </c:pt>
                <c:pt idx="977">
                  <c:v>46126</c:v>
                </c:pt>
                <c:pt idx="978">
                  <c:v>46133</c:v>
                </c:pt>
                <c:pt idx="979">
                  <c:v>46140</c:v>
                </c:pt>
                <c:pt idx="980">
                  <c:v>46147</c:v>
                </c:pt>
                <c:pt idx="981">
                  <c:v>46154</c:v>
                </c:pt>
                <c:pt idx="982">
                  <c:v>46161</c:v>
                </c:pt>
                <c:pt idx="983">
                  <c:v>46168</c:v>
                </c:pt>
                <c:pt idx="984">
                  <c:v>46175</c:v>
                </c:pt>
                <c:pt idx="985">
                  <c:v>46182</c:v>
                </c:pt>
                <c:pt idx="986">
                  <c:v>46189</c:v>
                </c:pt>
                <c:pt idx="987">
                  <c:v>46196</c:v>
                </c:pt>
                <c:pt idx="988">
                  <c:v>46203</c:v>
                </c:pt>
                <c:pt idx="989">
                  <c:v>46210</c:v>
                </c:pt>
                <c:pt idx="990">
                  <c:v>46217</c:v>
                </c:pt>
                <c:pt idx="991">
                  <c:v>46224</c:v>
                </c:pt>
                <c:pt idx="992">
                  <c:v>46231</c:v>
                </c:pt>
                <c:pt idx="993">
                  <c:v>46238</c:v>
                </c:pt>
                <c:pt idx="994">
                  <c:v>46245</c:v>
                </c:pt>
                <c:pt idx="995">
                  <c:v>46252</c:v>
                </c:pt>
                <c:pt idx="996">
                  <c:v>46259</c:v>
                </c:pt>
                <c:pt idx="997">
                  <c:v>46266</c:v>
                </c:pt>
                <c:pt idx="998">
                  <c:v>46273</c:v>
                </c:pt>
                <c:pt idx="999">
                  <c:v>46280</c:v>
                </c:pt>
                <c:pt idx="1000">
                  <c:v>46287</c:v>
                </c:pt>
                <c:pt idx="1001">
                  <c:v>46294</c:v>
                </c:pt>
                <c:pt idx="1002">
                  <c:v>46301</c:v>
                </c:pt>
                <c:pt idx="1003">
                  <c:v>46308</c:v>
                </c:pt>
                <c:pt idx="1004">
                  <c:v>46315</c:v>
                </c:pt>
                <c:pt idx="1005">
                  <c:v>46322</c:v>
                </c:pt>
                <c:pt idx="1006">
                  <c:v>46329</c:v>
                </c:pt>
                <c:pt idx="1007">
                  <c:v>46336</c:v>
                </c:pt>
                <c:pt idx="1008">
                  <c:v>46343</c:v>
                </c:pt>
                <c:pt idx="1009">
                  <c:v>46350</c:v>
                </c:pt>
                <c:pt idx="1010">
                  <c:v>46357</c:v>
                </c:pt>
                <c:pt idx="1011">
                  <c:v>46364</c:v>
                </c:pt>
                <c:pt idx="1012">
                  <c:v>46371</c:v>
                </c:pt>
                <c:pt idx="1013">
                  <c:v>46378</c:v>
                </c:pt>
                <c:pt idx="1014">
                  <c:v>46385</c:v>
                </c:pt>
                <c:pt idx="1015">
                  <c:v>46392</c:v>
                </c:pt>
                <c:pt idx="1016">
                  <c:v>46399</c:v>
                </c:pt>
                <c:pt idx="1017">
                  <c:v>46406</c:v>
                </c:pt>
                <c:pt idx="1018">
                  <c:v>46414</c:v>
                </c:pt>
                <c:pt idx="1019">
                  <c:v>46421</c:v>
                </c:pt>
                <c:pt idx="1020">
                  <c:v>46428</c:v>
                </c:pt>
                <c:pt idx="1021">
                  <c:v>46435</c:v>
                </c:pt>
                <c:pt idx="1022">
                  <c:v>46442</c:v>
                </c:pt>
                <c:pt idx="1023">
                  <c:v>46449</c:v>
                </c:pt>
                <c:pt idx="1024">
                  <c:v>46456</c:v>
                </c:pt>
                <c:pt idx="1025">
                  <c:v>46463</c:v>
                </c:pt>
                <c:pt idx="1026">
                  <c:v>46470</c:v>
                </c:pt>
                <c:pt idx="1027">
                  <c:v>46477</c:v>
                </c:pt>
                <c:pt idx="1028">
                  <c:v>46484</c:v>
                </c:pt>
                <c:pt idx="1029">
                  <c:v>46491</c:v>
                </c:pt>
                <c:pt idx="1030">
                  <c:v>46498</c:v>
                </c:pt>
                <c:pt idx="1031">
                  <c:v>46505</c:v>
                </c:pt>
                <c:pt idx="1032">
                  <c:v>46512</c:v>
                </c:pt>
                <c:pt idx="1033">
                  <c:v>46519</c:v>
                </c:pt>
                <c:pt idx="1034">
                  <c:v>46526</c:v>
                </c:pt>
                <c:pt idx="1035">
                  <c:v>46533</c:v>
                </c:pt>
                <c:pt idx="1036">
                  <c:v>46540</c:v>
                </c:pt>
                <c:pt idx="1037">
                  <c:v>46547</c:v>
                </c:pt>
                <c:pt idx="1038">
                  <c:v>46554</c:v>
                </c:pt>
                <c:pt idx="1039">
                  <c:v>46561</c:v>
                </c:pt>
                <c:pt idx="1040">
                  <c:v>46568</c:v>
                </c:pt>
                <c:pt idx="1041">
                  <c:v>46575</c:v>
                </c:pt>
                <c:pt idx="1042">
                  <c:v>46582</c:v>
                </c:pt>
                <c:pt idx="1043">
                  <c:v>46589</c:v>
                </c:pt>
                <c:pt idx="1044">
                  <c:v>46596</c:v>
                </c:pt>
                <c:pt idx="1045">
                  <c:v>46603</c:v>
                </c:pt>
                <c:pt idx="1046">
                  <c:v>46610</c:v>
                </c:pt>
                <c:pt idx="1047">
                  <c:v>46617</c:v>
                </c:pt>
                <c:pt idx="1048">
                  <c:v>46624</c:v>
                </c:pt>
                <c:pt idx="1049">
                  <c:v>46631</c:v>
                </c:pt>
                <c:pt idx="1050">
                  <c:v>46638</c:v>
                </c:pt>
                <c:pt idx="1051">
                  <c:v>46645</c:v>
                </c:pt>
                <c:pt idx="1052">
                  <c:v>46652</c:v>
                </c:pt>
                <c:pt idx="1053">
                  <c:v>46659</c:v>
                </c:pt>
                <c:pt idx="1054">
                  <c:v>46666</c:v>
                </c:pt>
                <c:pt idx="1055">
                  <c:v>46673</c:v>
                </c:pt>
                <c:pt idx="1056">
                  <c:v>46680</c:v>
                </c:pt>
                <c:pt idx="1057">
                  <c:v>46687</c:v>
                </c:pt>
                <c:pt idx="1058">
                  <c:v>46694</c:v>
                </c:pt>
                <c:pt idx="1059">
                  <c:v>46701</c:v>
                </c:pt>
                <c:pt idx="1060">
                  <c:v>46708</c:v>
                </c:pt>
                <c:pt idx="1061">
                  <c:v>46715</c:v>
                </c:pt>
                <c:pt idx="1062">
                  <c:v>46722</c:v>
                </c:pt>
                <c:pt idx="1063">
                  <c:v>46729</c:v>
                </c:pt>
                <c:pt idx="1064">
                  <c:v>46736</c:v>
                </c:pt>
                <c:pt idx="1065">
                  <c:v>46743</c:v>
                </c:pt>
                <c:pt idx="1066">
                  <c:v>46750</c:v>
                </c:pt>
                <c:pt idx="1067">
                  <c:v>46757</c:v>
                </c:pt>
                <c:pt idx="1068">
                  <c:v>46764</c:v>
                </c:pt>
                <c:pt idx="1069">
                  <c:v>46771</c:v>
                </c:pt>
                <c:pt idx="1070">
                  <c:v>46779</c:v>
                </c:pt>
                <c:pt idx="1071">
                  <c:v>46786</c:v>
                </c:pt>
                <c:pt idx="1072">
                  <c:v>46793</c:v>
                </c:pt>
                <c:pt idx="1073">
                  <c:v>46800</c:v>
                </c:pt>
                <c:pt idx="1074">
                  <c:v>46807</c:v>
                </c:pt>
                <c:pt idx="1075">
                  <c:v>46814</c:v>
                </c:pt>
                <c:pt idx="1076">
                  <c:v>46821</c:v>
                </c:pt>
                <c:pt idx="1077">
                  <c:v>46828</c:v>
                </c:pt>
                <c:pt idx="1078">
                  <c:v>46835</c:v>
                </c:pt>
                <c:pt idx="1079">
                  <c:v>46842</c:v>
                </c:pt>
                <c:pt idx="1080">
                  <c:v>46849</c:v>
                </c:pt>
                <c:pt idx="1081">
                  <c:v>46856</c:v>
                </c:pt>
                <c:pt idx="1082">
                  <c:v>46863</c:v>
                </c:pt>
                <c:pt idx="1083">
                  <c:v>46870</c:v>
                </c:pt>
                <c:pt idx="1084">
                  <c:v>46877</c:v>
                </c:pt>
                <c:pt idx="1085">
                  <c:v>46884</c:v>
                </c:pt>
                <c:pt idx="1086">
                  <c:v>46891</c:v>
                </c:pt>
                <c:pt idx="1087">
                  <c:v>46898</c:v>
                </c:pt>
                <c:pt idx="1088">
                  <c:v>46905</c:v>
                </c:pt>
                <c:pt idx="1089">
                  <c:v>46912</c:v>
                </c:pt>
                <c:pt idx="1090">
                  <c:v>46919</c:v>
                </c:pt>
                <c:pt idx="1091">
                  <c:v>46926</c:v>
                </c:pt>
                <c:pt idx="1092">
                  <c:v>46933</c:v>
                </c:pt>
                <c:pt idx="1093">
                  <c:v>46940</c:v>
                </c:pt>
                <c:pt idx="1094">
                  <c:v>46947</c:v>
                </c:pt>
                <c:pt idx="1095">
                  <c:v>46954</c:v>
                </c:pt>
                <c:pt idx="1096">
                  <c:v>46961</c:v>
                </c:pt>
                <c:pt idx="1097">
                  <c:v>46968</c:v>
                </c:pt>
                <c:pt idx="1098">
                  <c:v>46975</c:v>
                </c:pt>
                <c:pt idx="1099">
                  <c:v>46982</c:v>
                </c:pt>
                <c:pt idx="1100">
                  <c:v>46989</c:v>
                </c:pt>
                <c:pt idx="1101">
                  <c:v>46996</c:v>
                </c:pt>
                <c:pt idx="1102">
                  <c:v>47003</c:v>
                </c:pt>
                <c:pt idx="1103">
                  <c:v>47010</c:v>
                </c:pt>
                <c:pt idx="1104">
                  <c:v>47017</c:v>
                </c:pt>
                <c:pt idx="1105">
                  <c:v>47024</c:v>
                </c:pt>
                <c:pt idx="1106">
                  <c:v>47031</c:v>
                </c:pt>
                <c:pt idx="1107">
                  <c:v>47038</c:v>
                </c:pt>
                <c:pt idx="1108">
                  <c:v>47045</c:v>
                </c:pt>
                <c:pt idx="1109">
                  <c:v>47052</c:v>
                </c:pt>
                <c:pt idx="1110">
                  <c:v>47059</c:v>
                </c:pt>
                <c:pt idx="1111">
                  <c:v>47066</c:v>
                </c:pt>
                <c:pt idx="1112">
                  <c:v>47073</c:v>
                </c:pt>
                <c:pt idx="1113">
                  <c:v>47080</c:v>
                </c:pt>
                <c:pt idx="1114">
                  <c:v>47087</c:v>
                </c:pt>
                <c:pt idx="1115">
                  <c:v>47094</c:v>
                </c:pt>
                <c:pt idx="1116">
                  <c:v>47101</c:v>
                </c:pt>
                <c:pt idx="1117">
                  <c:v>47108</c:v>
                </c:pt>
                <c:pt idx="1118">
                  <c:v>47115</c:v>
                </c:pt>
                <c:pt idx="1119">
                  <c:v>47122</c:v>
                </c:pt>
                <c:pt idx="1120">
                  <c:v>47129</c:v>
                </c:pt>
                <c:pt idx="1121">
                  <c:v>47136</c:v>
                </c:pt>
                <c:pt idx="1122">
                  <c:v>47143</c:v>
                </c:pt>
                <c:pt idx="1123">
                  <c:v>47150</c:v>
                </c:pt>
                <c:pt idx="1124">
                  <c:v>47157</c:v>
                </c:pt>
                <c:pt idx="1125">
                  <c:v>47164</c:v>
                </c:pt>
                <c:pt idx="1126">
                  <c:v>47171</c:v>
                </c:pt>
                <c:pt idx="1127">
                  <c:v>47178</c:v>
                </c:pt>
                <c:pt idx="1128">
                  <c:v>47185</c:v>
                </c:pt>
                <c:pt idx="1129">
                  <c:v>47192</c:v>
                </c:pt>
                <c:pt idx="1130">
                  <c:v>47199</c:v>
                </c:pt>
                <c:pt idx="1131">
                  <c:v>47206</c:v>
                </c:pt>
                <c:pt idx="1132">
                  <c:v>47213</c:v>
                </c:pt>
                <c:pt idx="1133">
                  <c:v>47220</c:v>
                </c:pt>
                <c:pt idx="1134">
                  <c:v>47227</c:v>
                </c:pt>
                <c:pt idx="1135">
                  <c:v>47234</c:v>
                </c:pt>
                <c:pt idx="1136">
                  <c:v>47241</c:v>
                </c:pt>
                <c:pt idx="1137">
                  <c:v>47248</c:v>
                </c:pt>
                <c:pt idx="1138">
                  <c:v>47255</c:v>
                </c:pt>
                <c:pt idx="1139">
                  <c:v>47262</c:v>
                </c:pt>
                <c:pt idx="1140">
                  <c:v>47269</c:v>
                </c:pt>
                <c:pt idx="1141">
                  <c:v>47276</c:v>
                </c:pt>
                <c:pt idx="1142">
                  <c:v>47283</c:v>
                </c:pt>
                <c:pt idx="1143">
                  <c:v>47290</c:v>
                </c:pt>
                <c:pt idx="1144">
                  <c:v>47297</c:v>
                </c:pt>
                <c:pt idx="1145">
                  <c:v>47304</c:v>
                </c:pt>
                <c:pt idx="1146">
                  <c:v>47311</c:v>
                </c:pt>
                <c:pt idx="1147">
                  <c:v>47318</c:v>
                </c:pt>
                <c:pt idx="1148">
                  <c:v>47325</c:v>
                </c:pt>
                <c:pt idx="1149">
                  <c:v>47332</c:v>
                </c:pt>
                <c:pt idx="1150">
                  <c:v>47339</c:v>
                </c:pt>
                <c:pt idx="1151">
                  <c:v>47346</c:v>
                </c:pt>
                <c:pt idx="1152">
                  <c:v>47353</c:v>
                </c:pt>
                <c:pt idx="1153">
                  <c:v>47360</c:v>
                </c:pt>
                <c:pt idx="1154">
                  <c:v>47367</c:v>
                </c:pt>
                <c:pt idx="1155">
                  <c:v>47374</c:v>
                </c:pt>
                <c:pt idx="1156">
                  <c:v>47381</c:v>
                </c:pt>
                <c:pt idx="1157">
                  <c:v>47388</c:v>
                </c:pt>
                <c:pt idx="1158">
                  <c:v>47395</c:v>
                </c:pt>
                <c:pt idx="1159">
                  <c:v>47402</c:v>
                </c:pt>
                <c:pt idx="1160">
                  <c:v>47409</c:v>
                </c:pt>
                <c:pt idx="1161">
                  <c:v>47416</c:v>
                </c:pt>
                <c:pt idx="1162">
                  <c:v>47423</c:v>
                </c:pt>
                <c:pt idx="1163">
                  <c:v>47430</c:v>
                </c:pt>
                <c:pt idx="1164">
                  <c:v>47437</c:v>
                </c:pt>
                <c:pt idx="1165">
                  <c:v>47444</c:v>
                </c:pt>
                <c:pt idx="1166">
                  <c:v>47451</c:v>
                </c:pt>
                <c:pt idx="1167">
                  <c:v>47458</c:v>
                </c:pt>
                <c:pt idx="1168">
                  <c:v>47465</c:v>
                </c:pt>
                <c:pt idx="1169">
                  <c:v>47472</c:v>
                </c:pt>
                <c:pt idx="1170">
                  <c:v>47479</c:v>
                </c:pt>
                <c:pt idx="1171">
                  <c:v>47486</c:v>
                </c:pt>
                <c:pt idx="1172">
                  <c:v>47493</c:v>
                </c:pt>
                <c:pt idx="1173">
                  <c:v>47500</c:v>
                </c:pt>
                <c:pt idx="1174">
                  <c:v>47507</c:v>
                </c:pt>
                <c:pt idx="1175">
                  <c:v>47514</c:v>
                </c:pt>
                <c:pt idx="1176">
                  <c:v>47521</c:v>
                </c:pt>
                <c:pt idx="1177">
                  <c:v>47528</c:v>
                </c:pt>
                <c:pt idx="1178">
                  <c:v>47535</c:v>
                </c:pt>
                <c:pt idx="1179">
                  <c:v>47542</c:v>
                </c:pt>
                <c:pt idx="1180">
                  <c:v>47549</c:v>
                </c:pt>
                <c:pt idx="1181">
                  <c:v>47556</c:v>
                </c:pt>
                <c:pt idx="1182">
                  <c:v>47563</c:v>
                </c:pt>
                <c:pt idx="1183">
                  <c:v>47570</c:v>
                </c:pt>
                <c:pt idx="1184">
                  <c:v>47577</c:v>
                </c:pt>
                <c:pt idx="1185">
                  <c:v>47584</c:v>
                </c:pt>
                <c:pt idx="1186">
                  <c:v>47591</c:v>
                </c:pt>
                <c:pt idx="1187">
                  <c:v>47599</c:v>
                </c:pt>
                <c:pt idx="1188">
                  <c:v>47606</c:v>
                </c:pt>
                <c:pt idx="1189">
                  <c:v>47613</c:v>
                </c:pt>
                <c:pt idx="1190">
                  <c:v>47620</c:v>
                </c:pt>
                <c:pt idx="1191">
                  <c:v>47627</c:v>
                </c:pt>
                <c:pt idx="1192">
                  <c:v>47634</c:v>
                </c:pt>
                <c:pt idx="1193">
                  <c:v>47641</c:v>
                </c:pt>
                <c:pt idx="1194">
                  <c:v>47648</c:v>
                </c:pt>
                <c:pt idx="1195">
                  <c:v>47655</c:v>
                </c:pt>
                <c:pt idx="1196">
                  <c:v>47662</c:v>
                </c:pt>
                <c:pt idx="1197">
                  <c:v>47669</c:v>
                </c:pt>
                <c:pt idx="1198">
                  <c:v>47676</c:v>
                </c:pt>
                <c:pt idx="1199">
                  <c:v>47683</c:v>
                </c:pt>
                <c:pt idx="1200">
                  <c:v>47690</c:v>
                </c:pt>
                <c:pt idx="1201">
                  <c:v>47697</c:v>
                </c:pt>
                <c:pt idx="1202">
                  <c:v>47704</c:v>
                </c:pt>
                <c:pt idx="1203">
                  <c:v>47711</c:v>
                </c:pt>
                <c:pt idx="1204">
                  <c:v>47718</c:v>
                </c:pt>
                <c:pt idx="1205">
                  <c:v>47725</c:v>
                </c:pt>
                <c:pt idx="1206">
                  <c:v>47732</c:v>
                </c:pt>
                <c:pt idx="1207">
                  <c:v>47739</c:v>
                </c:pt>
                <c:pt idx="1208">
                  <c:v>47746</c:v>
                </c:pt>
                <c:pt idx="1209">
                  <c:v>47753</c:v>
                </c:pt>
                <c:pt idx="1210">
                  <c:v>47760</c:v>
                </c:pt>
                <c:pt idx="1211">
                  <c:v>47767</c:v>
                </c:pt>
                <c:pt idx="1212">
                  <c:v>47774</c:v>
                </c:pt>
                <c:pt idx="1213">
                  <c:v>47781</c:v>
                </c:pt>
                <c:pt idx="1214">
                  <c:v>47788</c:v>
                </c:pt>
                <c:pt idx="1215">
                  <c:v>47795</c:v>
                </c:pt>
                <c:pt idx="1216">
                  <c:v>47802</c:v>
                </c:pt>
                <c:pt idx="1217">
                  <c:v>47809</c:v>
                </c:pt>
                <c:pt idx="1218">
                  <c:v>47816</c:v>
                </c:pt>
                <c:pt idx="1219">
                  <c:v>47823</c:v>
                </c:pt>
                <c:pt idx="1220">
                  <c:v>47830</c:v>
                </c:pt>
                <c:pt idx="1221">
                  <c:v>47837</c:v>
                </c:pt>
                <c:pt idx="1222">
                  <c:v>47844</c:v>
                </c:pt>
                <c:pt idx="1223">
                  <c:v>47851</c:v>
                </c:pt>
                <c:pt idx="1224">
                  <c:v>47858</c:v>
                </c:pt>
                <c:pt idx="1225">
                  <c:v>47865</c:v>
                </c:pt>
                <c:pt idx="1226">
                  <c:v>47872</c:v>
                </c:pt>
                <c:pt idx="1227">
                  <c:v>47879</c:v>
                </c:pt>
                <c:pt idx="1228">
                  <c:v>47886</c:v>
                </c:pt>
                <c:pt idx="1229">
                  <c:v>47893</c:v>
                </c:pt>
                <c:pt idx="1230">
                  <c:v>47900</c:v>
                </c:pt>
                <c:pt idx="1231">
                  <c:v>47907</c:v>
                </c:pt>
                <c:pt idx="1232">
                  <c:v>47914</c:v>
                </c:pt>
                <c:pt idx="1233">
                  <c:v>47921</c:v>
                </c:pt>
                <c:pt idx="1234">
                  <c:v>47928</c:v>
                </c:pt>
                <c:pt idx="1235">
                  <c:v>47935</c:v>
                </c:pt>
                <c:pt idx="1236">
                  <c:v>47942</c:v>
                </c:pt>
                <c:pt idx="1237">
                  <c:v>47953</c:v>
                </c:pt>
                <c:pt idx="1238">
                  <c:v>47960</c:v>
                </c:pt>
                <c:pt idx="1239">
                  <c:v>47967</c:v>
                </c:pt>
                <c:pt idx="1240">
                  <c:v>47974</c:v>
                </c:pt>
                <c:pt idx="1241">
                  <c:v>47981</c:v>
                </c:pt>
                <c:pt idx="1242">
                  <c:v>47988</c:v>
                </c:pt>
                <c:pt idx="1243">
                  <c:v>47995</c:v>
                </c:pt>
                <c:pt idx="1244">
                  <c:v>48002</c:v>
                </c:pt>
                <c:pt idx="1245">
                  <c:v>48009</c:v>
                </c:pt>
                <c:pt idx="1246">
                  <c:v>48016</c:v>
                </c:pt>
                <c:pt idx="1247">
                  <c:v>48023</c:v>
                </c:pt>
                <c:pt idx="1248">
                  <c:v>48030</c:v>
                </c:pt>
                <c:pt idx="1249">
                  <c:v>48037</c:v>
                </c:pt>
                <c:pt idx="1250">
                  <c:v>48044</c:v>
                </c:pt>
                <c:pt idx="1251">
                  <c:v>48051</c:v>
                </c:pt>
                <c:pt idx="1252">
                  <c:v>48058</c:v>
                </c:pt>
                <c:pt idx="1253">
                  <c:v>48065</c:v>
                </c:pt>
                <c:pt idx="1254">
                  <c:v>48072</c:v>
                </c:pt>
                <c:pt idx="1255">
                  <c:v>48079</c:v>
                </c:pt>
                <c:pt idx="1256">
                  <c:v>48086</c:v>
                </c:pt>
                <c:pt idx="1257">
                  <c:v>48093</c:v>
                </c:pt>
                <c:pt idx="1258">
                  <c:v>48100</c:v>
                </c:pt>
                <c:pt idx="1259">
                  <c:v>48107</c:v>
                </c:pt>
                <c:pt idx="1260">
                  <c:v>48114</c:v>
                </c:pt>
                <c:pt idx="1261">
                  <c:v>48121</c:v>
                </c:pt>
                <c:pt idx="1262">
                  <c:v>48128</c:v>
                </c:pt>
                <c:pt idx="1263">
                  <c:v>48135</c:v>
                </c:pt>
                <c:pt idx="1264">
                  <c:v>48142</c:v>
                </c:pt>
                <c:pt idx="1265">
                  <c:v>48149</c:v>
                </c:pt>
                <c:pt idx="1266">
                  <c:v>48156</c:v>
                </c:pt>
                <c:pt idx="1267">
                  <c:v>48163</c:v>
                </c:pt>
                <c:pt idx="1268">
                  <c:v>48170</c:v>
                </c:pt>
                <c:pt idx="1269">
                  <c:v>48177</c:v>
                </c:pt>
                <c:pt idx="1270">
                  <c:v>48184</c:v>
                </c:pt>
                <c:pt idx="1271">
                  <c:v>48191</c:v>
                </c:pt>
                <c:pt idx="1272">
                  <c:v>48198</c:v>
                </c:pt>
                <c:pt idx="1273">
                  <c:v>48205</c:v>
                </c:pt>
                <c:pt idx="1274">
                  <c:v>48212</c:v>
                </c:pt>
                <c:pt idx="1275">
                  <c:v>48219</c:v>
                </c:pt>
                <c:pt idx="1276">
                  <c:v>48226</c:v>
                </c:pt>
                <c:pt idx="1277">
                  <c:v>48233</c:v>
                </c:pt>
                <c:pt idx="1278">
                  <c:v>48240</c:v>
                </c:pt>
                <c:pt idx="1279">
                  <c:v>48247</c:v>
                </c:pt>
                <c:pt idx="1280">
                  <c:v>48254</c:v>
                </c:pt>
                <c:pt idx="1281">
                  <c:v>48261</c:v>
                </c:pt>
                <c:pt idx="1282">
                  <c:v>48268</c:v>
                </c:pt>
                <c:pt idx="1283">
                  <c:v>48275</c:v>
                </c:pt>
                <c:pt idx="1284">
                  <c:v>48282</c:v>
                </c:pt>
                <c:pt idx="1285">
                  <c:v>48289</c:v>
                </c:pt>
                <c:pt idx="1286">
                  <c:v>48296</c:v>
                </c:pt>
                <c:pt idx="1287">
                  <c:v>48303</c:v>
                </c:pt>
                <c:pt idx="1288">
                  <c:v>48310</c:v>
                </c:pt>
                <c:pt idx="1289">
                  <c:v>48317</c:v>
                </c:pt>
                <c:pt idx="1290">
                  <c:v>48324</c:v>
                </c:pt>
                <c:pt idx="1291">
                  <c:v>48331</c:v>
                </c:pt>
                <c:pt idx="1292">
                  <c:v>48338</c:v>
                </c:pt>
                <c:pt idx="1293">
                  <c:v>48345</c:v>
                </c:pt>
                <c:pt idx="1294">
                  <c:v>48352</c:v>
                </c:pt>
                <c:pt idx="1295">
                  <c:v>48359</c:v>
                </c:pt>
                <c:pt idx="1296">
                  <c:v>48366</c:v>
                </c:pt>
                <c:pt idx="1297">
                  <c:v>48373</c:v>
                </c:pt>
                <c:pt idx="1298">
                  <c:v>48380</c:v>
                </c:pt>
                <c:pt idx="1299">
                  <c:v>48387</c:v>
                </c:pt>
                <c:pt idx="1300">
                  <c:v>48394</c:v>
                </c:pt>
                <c:pt idx="1301">
                  <c:v>48401</c:v>
                </c:pt>
                <c:pt idx="1302">
                  <c:v>48408</c:v>
                </c:pt>
                <c:pt idx="1303">
                  <c:v>48415</c:v>
                </c:pt>
                <c:pt idx="1304">
                  <c:v>48422</c:v>
                </c:pt>
                <c:pt idx="1305">
                  <c:v>48429</c:v>
                </c:pt>
                <c:pt idx="1306">
                  <c:v>48436</c:v>
                </c:pt>
                <c:pt idx="1307">
                  <c:v>48443</c:v>
                </c:pt>
                <c:pt idx="1308">
                  <c:v>48450</c:v>
                </c:pt>
                <c:pt idx="1309">
                  <c:v>48457</c:v>
                </c:pt>
                <c:pt idx="1310">
                  <c:v>48464</c:v>
                </c:pt>
                <c:pt idx="1311">
                  <c:v>48471</c:v>
                </c:pt>
                <c:pt idx="1312">
                  <c:v>48478</c:v>
                </c:pt>
                <c:pt idx="1313">
                  <c:v>48485</c:v>
                </c:pt>
                <c:pt idx="1314">
                  <c:v>48492</c:v>
                </c:pt>
                <c:pt idx="1315">
                  <c:v>48499</c:v>
                </c:pt>
                <c:pt idx="1316">
                  <c:v>48506</c:v>
                </c:pt>
                <c:pt idx="1317">
                  <c:v>48513</c:v>
                </c:pt>
                <c:pt idx="1318">
                  <c:v>48520</c:v>
                </c:pt>
                <c:pt idx="1319">
                  <c:v>48527</c:v>
                </c:pt>
                <c:pt idx="1320">
                  <c:v>48534</c:v>
                </c:pt>
                <c:pt idx="1321">
                  <c:v>48541</c:v>
                </c:pt>
                <c:pt idx="1322">
                  <c:v>48548</c:v>
                </c:pt>
                <c:pt idx="1323">
                  <c:v>48555</c:v>
                </c:pt>
                <c:pt idx="1324">
                  <c:v>48562</c:v>
                </c:pt>
                <c:pt idx="1325">
                  <c:v>48569</c:v>
                </c:pt>
                <c:pt idx="1326">
                  <c:v>48577</c:v>
                </c:pt>
                <c:pt idx="1327">
                  <c:v>48584</c:v>
                </c:pt>
                <c:pt idx="1328">
                  <c:v>48591</c:v>
                </c:pt>
                <c:pt idx="1329">
                  <c:v>48598</c:v>
                </c:pt>
                <c:pt idx="1330">
                  <c:v>48606</c:v>
                </c:pt>
                <c:pt idx="1331">
                  <c:v>48613</c:v>
                </c:pt>
                <c:pt idx="1332">
                  <c:v>48620</c:v>
                </c:pt>
                <c:pt idx="1333">
                  <c:v>48627</c:v>
                </c:pt>
                <c:pt idx="1334">
                  <c:v>48634</c:v>
                </c:pt>
                <c:pt idx="1335">
                  <c:v>48641</c:v>
                </c:pt>
                <c:pt idx="1336">
                  <c:v>48648</c:v>
                </c:pt>
                <c:pt idx="1337">
                  <c:v>48655</c:v>
                </c:pt>
                <c:pt idx="1338">
                  <c:v>48662</c:v>
                </c:pt>
                <c:pt idx="1339">
                  <c:v>48669</c:v>
                </c:pt>
                <c:pt idx="1340">
                  <c:v>48676</c:v>
                </c:pt>
                <c:pt idx="1341">
                  <c:v>48683</c:v>
                </c:pt>
                <c:pt idx="1342">
                  <c:v>48690</c:v>
                </c:pt>
                <c:pt idx="1343">
                  <c:v>48697</c:v>
                </c:pt>
                <c:pt idx="1344">
                  <c:v>48704</c:v>
                </c:pt>
                <c:pt idx="1345">
                  <c:v>48711</c:v>
                </c:pt>
                <c:pt idx="1346">
                  <c:v>48718</c:v>
                </c:pt>
                <c:pt idx="1347">
                  <c:v>48725</c:v>
                </c:pt>
                <c:pt idx="1348">
                  <c:v>48732</c:v>
                </c:pt>
                <c:pt idx="1349">
                  <c:v>48739</c:v>
                </c:pt>
                <c:pt idx="1350">
                  <c:v>48746</c:v>
                </c:pt>
                <c:pt idx="1351">
                  <c:v>48753</c:v>
                </c:pt>
                <c:pt idx="1352">
                  <c:v>48760</c:v>
                </c:pt>
                <c:pt idx="1353">
                  <c:v>48767</c:v>
                </c:pt>
                <c:pt idx="1354">
                  <c:v>48774</c:v>
                </c:pt>
                <c:pt idx="1355">
                  <c:v>48781</c:v>
                </c:pt>
                <c:pt idx="1356">
                  <c:v>48788</c:v>
                </c:pt>
                <c:pt idx="1357">
                  <c:v>48795</c:v>
                </c:pt>
                <c:pt idx="1358">
                  <c:v>48802</c:v>
                </c:pt>
                <c:pt idx="1359">
                  <c:v>48809</c:v>
                </c:pt>
                <c:pt idx="1360">
                  <c:v>48816</c:v>
                </c:pt>
                <c:pt idx="1361">
                  <c:v>48823</c:v>
                </c:pt>
                <c:pt idx="1362">
                  <c:v>48830</c:v>
                </c:pt>
                <c:pt idx="1363">
                  <c:v>48837</c:v>
                </c:pt>
                <c:pt idx="1364">
                  <c:v>48844</c:v>
                </c:pt>
                <c:pt idx="1365">
                  <c:v>48851</c:v>
                </c:pt>
                <c:pt idx="1366">
                  <c:v>48858</c:v>
                </c:pt>
                <c:pt idx="1367">
                  <c:v>48865</c:v>
                </c:pt>
                <c:pt idx="1368">
                  <c:v>48872</c:v>
                </c:pt>
                <c:pt idx="1369">
                  <c:v>48879</c:v>
                </c:pt>
                <c:pt idx="1370">
                  <c:v>48886</c:v>
                </c:pt>
                <c:pt idx="1371">
                  <c:v>48893</c:v>
                </c:pt>
                <c:pt idx="1372">
                  <c:v>48900</c:v>
                </c:pt>
                <c:pt idx="1373">
                  <c:v>48907</c:v>
                </c:pt>
                <c:pt idx="1374">
                  <c:v>48914</c:v>
                </c:pt>
                <c:pt idx="1375">
                  <c:v>48921</c:v>
                </c:pt>
                <c:pt idx="1376">
                  <c:v>48928</c:v>
                </c:pt>
                <c:pt idx="1377">
                  <c:v>48935</c:v>
                </c:pt>
                <c:pt idx="1378">
                  <c:v>48942</c:v>
                </c:pt>
                <c:pt idx="1379">
                  <c:v>48949</c:v>
                </c:pt>
                <c:pt idx="1380">
                  <c:v>48956</c:v>
                </c:pt>
                <c:pt idx="1381">
                  <c:v>48963</c:v>
                </c:pt>
                <c:pt idx="1382">
                  <c:v>48971</c:v>
                </c:pt>
                <c:pt idx="1383">
                  <c:v>48978</c:v>
                </c:pt>
                <c:pt idx="1384">
                  <c:v>48985</c:v>
                </c:pt>
                <c:pt idx="1385">
                  <c:v>48992</c:v>
                </c:pt>
                <c:pt idx="1386">
                  <c:v>48999</c:v>
                </c:pt>
                <c:pt idx="1387">
                  <c:v>49006</c:v>
                </c:pt>
                <c:pt idx="1388">
                  <c:v>49013</c:v>
                </c:pt>
                <c:pt idx="1389">
                  <c:v>49020</c:v>
                </c:pt>
                <c:pt idx="1390">
                  <c:v>49027</c:v>
                </c:pt>
                <c:pt idx="1391">
                  <c:v>49034</c:v>
                </c:pt>
                <c:pt idx="1392">
                  <c:v>49045</c:v>
                </c:pt>
                <c:pt idx="1393">
                  <c:v>49052</c:v>
                </c:pt>
                <c:pt idx="1394">
                  <c:v>49060</c:v>
                </c:pt>
                <c:pt idx="1395">
                  <c:v>49067</c:v>
                </c:pt>
                <c:pt idx="1396">
                  <c:v>49074</c:v>
                </c:pt>
                <c:pt idx="1397">
                  <c:v>49081</c:v>
                </c:pt>
                <c:pt idx="1398">
                  <c:v>49088</c:v>
                </c:pt>
                <c:pt idx="1399">
                  <c:v>49095</c:v>
                </c:pt>
                <c:pt idx="1400">
                  <c:v>49102</c:v>
                </c:pt>
                <c:pt idx="1401">
                  <c:v>49109</c:v>
                </c:pt>
                <c:pt idx="1402">
                  <c:v>49116</c:v>
                </c:pt>
                <c:pt idx="1403">
                  <c:v>49123</c:v>
                </c:pt>
                <c:pt idx="1404">
                  <c:v>49130</c:v>
                </c:pt>
                <c:pt idx="1405">
                  <c:v>49137</c:v>
                </c:pt>
                <c:pt idx="1406">
                  <c:v>49144</c:v>
                </c:pt>
                <c:pt idx="1407">
                  <c:v>49151</c:v>
                </c:pt>
                <c:pt idx="1408">
                  <c:v>49158</c:v>
                </c:pt>
                <c:pt idx="1409">
                  <c:v>49165</c:v>
                </c:pt>
                <c:pt idx="1410">
                  <c:v>49172</c:v>
                </c:pt>
                <c:pt idx="1411">
                  <c:v>49179</c:v>
                </c:pt>
                <c:pt idx="1412">
                  <c:v>49186</c:v>
                </c:pt>
                <c:pt idx="1413">
                  <c:v>49193</c:v>
                </c:pt>
                <c:pt idx="1414">
                  <c:v>49200</c:v>
                </c:pt>
                <c:pt idx="1415">
                  <c:v>49207</c:v>
                </c:pt>
                <c:pt idx="1416">
                  <c:v>49214</c:v>
                </c:pt>
                <c:pt idx="1417">
                  <c:v>49221</c:v>
                </c:pt>
                <c:pt idx="1418">
                  <c:v>49228</c:v>
                </c:pt>
                <c:pt idx="1419">
                  <c:v>49235</c:v>
                </c:pt>
                <c:pt idx="1420">
                  <c:v>49242</c:v>
                </c:pt>
                <c:pt idx="1421">
                  <c:v>49249</c:v>
                </c:pt>
                <c:pt idx="1422">
                  <c:v>49256</c:v>
                </c:pt>
                <c:pt idx="1423">
                  <c:v>49263</c:v>
                </c:pt>
                <c:pt idx="1424">
                  <c:v>49270</c:v>
                </c:pt>
                <c:pt idx="1425">
                  <c:v>49277</c:v>
                </c:pt>
                <c:pt idx="1426">
                  <c:v>49284</c:v>
                </c:pt>
                <c:pt idx="1427">
                  <c:v>49291</c:v>
                </c:pt>
                <c:pt idx="1428">
                  <c:v>49298</c:v>
                </c:pt>
                <c:pt idx="1429">
                  <c:v>49305</c:v>
                </c:pt>
                <c:pt idx="1430">
                  <c:v>49312</c:v>
                </c:pt>
                <c:pt idx="1431">
                  <c:v>49319</c:v>
                </c:pt>
                <c:pt idx="1432">
                  <c:v>49326</c:v>
                </c:pt>
                <c:pt idx="1433">
                  <c:v>49333</c:v>
                </c:pt>
                <c:pt idx="1434">
                  <c:v>49340</c:v>
                </c:pt>
                <c:pt idx="1435">
                  <c:v>49347</c:v>
                </c:pt>
                <c:pt idx="1436">
                  <c:v>49354</c:v>
                </c:pt>
                <c:pt idx="1437">
                  <c:v>49361</c:v>
                </c:pt>
                <c:pt idx="1438">
                  <c:v>49368</c:v>
                </c:pt>
                <c:pt idx="1439">
                  <c:v>49375</c:v>
                </c:pt>
                <c:pt idx="1440">
                  <c:v>49382</c:v>
                </c:pt>
                <c:pt idx="1441">
                  <c:v>49389</c:v>
                </c:pt>
                <c:pt idx="1442">
                  <c:v>49396</c:v>
                </c:pt>
                <c:pt idx="1443">
                  <c:v>49403</c:v>
                </c:pt>
                <c:pt idx="1444">
                  <c:v>49410</c:v>
                </c:pt>
                <c:pt idx="1445">
                  <c:v>49417</c:v>
                </c:pt>
                <c:pt idx="1446">
                  <c:v>49425</c:v>
                </c:pt>
                <c:pt idx="1447">
                  <c:v>49432</c:v>
                </c:pt>
                <c:pt idx="1448">
                  <c:v>49439</c:v>
                </c:pt>
                <c:pt idx="1449">
                  <c:v>49446</c:v>
                </c:pt>
                <c:pt idx="1450">
                  <c:v>49453</c:v>
                </c:pt>
                <c:pt idx="1451">
                  <c:v>49460</c:v>
                </c:pt>
                <c:pt idx="1452">
                  <c:v>49467</c:v>
                </c:pt>
                <c:pt idx="1453">
                  <c:v>49474</c:v>
                </c:pt>
                <c:pt idx="1454">
                  <c:v>49481</c:v>
                </c:pt>
                <c:pt idx="1455">
                  <c:v>49488</c:v>
                </c:pt>
                <c:pt idx="1456">
                  <c:v>49495</c:v>
                </c:pt>
                <c:pt idx="1457">
                  <c:v>49502</c:v>
                </c:pt>
                <c:pt idx="1458">
                  <c:v>49509</c:v>
                </c:pt>
                <c:pt idx="1459">
                  <c:v>49516</c:v>
                </c:pt>
                <c:pt idx="1460">
                  <c:v>49523</c:v>
                </c:pt>
                <c:pt idx="1461">
                  <c:v>49530</c:v>
                </c:pt>
                <c:pt idx="1462">
                  <c:v>49537</c:v>
                </c:pt>
                <c:pt idx="1463">
                  <c:v>49544</c:v>
                </c:pt>
                <c:pt idx="1464">
                  <c:v>49551</c:v>
                </c:pt>
                <c:pt idx="1465">
                  <c:v>49558</c:v>
                </c:pt>
                <c:pt idx="1466">
                  <c:v>49565</c:v>
                </c:pt>
                <c:pt idx="1467">
                  <c:v>49572</c:v>
                </c:pt>
                <c:pt idx="1468">
                  <c:v>49579</c:v>
                </c:pt>
                <c:pt idx="1469">
                  <c:v>49586</c:v>
                </c:pt>
                <c:pt idx="1470">
                  <c:v>49593</c:v>
                </c:pt>
                <c:pt idx="1471">
                  <c:v>49600</c:v>
                </c:pt>
                <c:pt idx="1472">
                  <c:v>49607</c:v>
                </c:pt>
                <c:pt idx="1473">
                  <c:v>49614</c:v>
                </c:pt>
                <c:pt idx="1474">
                  <c:v>49621</c:v>
                </c:pt>
                <c:pt idx="1475">
                  <c:v>49628</c:v>
                </c:pt>
                <c:pt idx="1476">
                  <c:v>49635</c:v>
                </c:pt>
                <c:pt idx="1477">
                  <c:v>49642</c:v>
                </c:pt>
                <c:pt idx="1478">
                  <c:v>49649</c:v>
                </c:pt>
                <c:pt idx="1479">
                  <c:v>49656</c:v>
                </c:pt>
                <c:pt idx="1480">
                  <c:v>49663</c:v>
                </c:pt>
                <c:pt idx="1481">
                  <c:v>49670</c:v>
                </c:pt>
                <c:pt idx="1482">
                  <c:v>49677</c:v>
                </c:pt>
                <c:pt idx="1483">
                  <c:v>49684</c:v>
                </c:pt>
                <c:pt idx="1484">
                  <c:v>49691</c:v>
                </c:pt>
                <c:pt idx="1485">
                  <c:v>49698</c:v>
                </c:pt>
                <c:pt idx="1486">
                  <c:v>49705</c:v>
                </c:pt>
                <c:pt idx="1487">
                  <c:v>49712</c:v>
                </c:pt>
                <c:pt idx="1488">
                  <c:v>49719</c:v>
                </c:pt>
                <c:pt idx="1489">
                  <c:v>49726</c:v>
                </c:pt>
                <c:pt idx="1490">
                  <c:v>49733</c:v>
                </c:pt>
                <c:pt idx="1491">
                  <c:v>49740</c:v>
                </c:pt>
                <c:pt idx="1492">
                  <c:v>49747</c:v>
                </c:pt>
                <c:pt idx="1493">
                  <c:v>49754</c:v>
                </c:pt>
                <c:pt idx="1494">
                  <c:v>49761</c:v>
                </c:pt>
                <c:pt idx="1495">
                  <c:v>49768</c:v>
                </c:pt>
                <c:pt idx="1496">
                  <c:v>49775</c:v>
                </c:pt>
                <c:pt idx="1497">
                  <c:v>49782</c:v>
                </c:pt>
                <c:pt idx="1498">
                  <c:v>49789</c:v>
                </c:pt>
                <c:pt idx="1499">
                  <c:v>49796</c:v>
                </c:pt>
                <c:pt idx="1500">
                  <c:v>49803</c:v>
                </c:pt>
                <c:pt idx="1501">
                  <c:v>49810</c:v>
                </c:pt>
                <c:pt idx="1502">
                  <c:v>49817</c:v>
                </c:pt>
                <c:pt idx="1503">
                  <c:v>49824</c:v>
                </c:pt>
                <c:pt idx="1504">
                  <c:v>49831</c:v>
                </c:pt>
                <c:pt idx="1505">
                  <c:v>49838</c:v>
                </c:pt>
                <c:pt idx="1506">
                  <c:v>49845</c:v>
                </c:pt>
                <c:pt idx="1507">
                  <c:v>49852</c:v>
                </c:pt>
                <c:pt idx="1508">
                  <c:v>49859</c:v>
                </c:pt>
                <c:pt idx="1509">
                  <c:v>49866</c:v>
                </c:pt>
                <c:pt idx="1510">
                  <c:v>49873</c:v>
                </c:pt>
                <c:pt idx="1511">
                  <c:v>49880</c:v>
                </c:pt>
                <c:pt idx="1512">
                  <c:v>49887</c:v>
                </c:pt>
                <c:pt idx="1513">
                  <c:v>49894</c:v>
                </c:pt>
                <c:pt idx="1514">
                  <c:v>49901</c:v>
                </c:pt>
                <c:pt idx="1515">
                  <c:v>49908</c:v>
                </c:pt>
                <c:pt idx="1516">
                  <c:v>49915</c:v>
                </c:pt>
                <c:pt idx="1517">
                  <c:v>49922</c:v>
                </c:pt>
                <c:pt idx="1518">
                  <c:v>49929</c:v>
                </c:pt>
                <c:pt idx="1519">
                  <c:v>49936</c:v>
                </c:pt>
                <c:pt idx="1520">
                  <c:v>49943</c:v>
                </c:pt>
                <c:pt idx="1521">
                  <c:v>49950</c:v>
                </c:pt>
                <c:pt idx="1522">
                  <c:v>49957</c:v>
                </c:pt>
                <c:pt idx="1523">
                  <c:v>49964</c:v>
                </c:pt>
                <c:pt idx="1524">
                  <c:v>49971</c:v>
                </c:pt>
                <c:pt idx="1525">
                  <c:v>49978</c:v>
                </c:pt>
                <c:pt idx="1526">
                  <c:v>49985</c:v>
                </c:pt>
                <c:pt idx="1527">
                  <c:v>49992</c:v>
                </c:pt>
                <c:pt idx="1528">
                  <c:v>49999</c:v>
                </c:pt>
                <c:pt idx="1529">
                  <c:v>50006</c:v>
                </c:pt>
                <c:pt idx="1530">
                  <c:v>50013</c:v>
                </c:pt>
                <c:pt idx="1531">
                  <c:v>50020</c:v>
                </c:pt>
                <c:pt idx="1532">
                  <c:v>50027</c:v>
                </c:pt>
                <c:pt idx="1533">
                  <c:v>50038</c:v>
                </c:pt>
                <c:pt idx="1534">
                  <c:v>50045</c:v>
                </c:pt>
                <c:pt idx="1535">
                  <c:v>50052</c:v>
                </c:pt>
                <c:pt idx="1536">
                  <c:v>50059</c:v>
                </c:pt>
                <c:pt idx="1537">
                  <c:v>50067</c:v>
                </c:pt>
                <c:pt idx="1538">
                  <c:v>50074</c:v>
                </c:pt>
                <c:pt idx="1539">
                  <c:v>50081</c:v>
                </c:pt>
                <c:pt idx="1540">
                  <c:v>50088</c:v>
                </c:pt>
                <c:pt idx="1541">
                  <c:v>50095</c:v>
                </c:pt>
                <c:pt idx="1542">
                  <c:v>50102</c:v>
                </c:pt>
                <c:pt idx="1543">
                  <c:v>50109</c:v>
                </c:pt>
                <c:pt idx="1544">
                  <c:v>50116</c:v>
                </c:pt>
                <c:pt idx="1545">
                  <c:v>50123</c:v>
                </c:pt>
                <c:pt idx="1546">
                  <c:v>50130</c:v>
                </c:pt>
                <c:pt idx="1547">
                  <c:v>50137</c:v>
                </c:pt>
                <c:pt idx="1548">
                  <c:v>50144</c:v>
                </c:pt>
                <c:pt idx="1549">
                  <c:v>50151</c:v>
                </c:pt>
                <c:pt idx="1550">
                  <c:v>50158</c:v>
                </c:pt>
                <c:pt idx="1551">
                  <c:v>50165</c:v>
                </c:pt>
                <c:pt idx="1552">
                  <c:v>50172</c:v>
                </c:pt>
                <c:pt idx="1553">
                  <c:v>50179</c:v>
                </c:pt>
                <c:pt idx="1554">
                  <c:v>50186</c:v>
                </c:pt>
                <c:pt idx="1555">
                  <c:v>50193</c:v>
                </c:pt>
                <c:pt idx="1556">
                  <c:v>50200</c:v>
                </c:pt>
                <c:pt idx="1557">
                  <c:v>50207</c:v>
                </c:pt>
                <c:pt idx="1558">
                  <c:v>50214</c:v>
                </c:pt>
                <c:pt idx="1559">
                  <c:v>50221</c:v>
                </c:pt>
                <c:pt idx="1560">
                  <c:v>50228</c:v>
                </c:pt>
                <c:pt idx="1561">
                  <c:v>50235</c:v>
                </c:pt>
                <c:pt idx="1562">
                  <c:v>50242</c:v>
                </c:pt>
                <c:pt idx="1563">
                  <c:v>50249</c:v>
                </c:pt>
                <c:pt idx="1564">
                  <c:v>50256</c:v>
                </c:pt>
                <c:pt idx="1565">
                  <c:v>50263</c:v>
                </c:pt>
                <c:pt idx="1566">
                  <c:v>50270</c:v>
                </c:pt>
                <c:pt idx="1567">
                  <c:v>50277</c:v>
                </c:pt>
                <c:pt idx="1568">
                  <c:v>50284</c:v>
                </c:pt>
                <c:pt idx="1569">
                  <c:v>50291</c:v>
                </c:pt>
                <c:pt idx="1570">
                  <c:v>50298</c:v>
                </c:pt>
                <c:pt idx="1571">
                  <c:v>50305</c:v>
                </c:pt>
                <c:pt idx="1572">
                  <c:v>50312</c:v>
                </c:pt>
                <c:pt idx="1573">
                  <c:v>50319</c:v>
                </c:pt>
                <c:pt idx="1574">
                  <c:v>50326</c:v>
                </c:pt>
                <c:pt idx="1575">
                  <c:v>50333</c:v>
                </c:pt>
                <c:pt idx="1576">
                  <c:v>50340</c:v>
                </c:pt>
                <c:pt idx="1577">
                  <c:v>50347</c:v>
                </c:pt>
                <c:pt idx="1578">
                  <c:v>50354</c:v>
                </c:pt>
                <c:pt idx="1579">
                  <c:v>50361</c:v>
                </c:pt>
                <c:pt idx="1580">
                  <c:v>50368</c:v>
                </c:pt>
                <c:pt idx="1581">
                  <c:v>50375</c:v>
                </c:pt>
                <c:pt idx="1582">
                  <c:v>50382</c:v>
                </c:pt>
                <c:pt idx="1583">
                  <c:v>50389</c:v>
                </c:pt>
                <c:pt idx="1584">
                  <c:v>50396</c:v>
                </c:pt>
                <c:pt idx="1585">
                  <c:v>50403</c:v>
                </c:pt>
                <c:pt idx="1586">
                  <c:v>50410</c:v>
                </c:pt>
                <c:pt idx="1587">
                  <c:v>50417</c:v>
                </c:pt>
                <c:pt idx="1588">
                  <c:v>50424</c:v>
                </c:pt>
                <c:pt idx="1589">
                  <c:v>50432</c:v>
                </c:pt>
                <c:pt idx="1590">
                  <c:v>50439</c:v>
                </c:pt>
                <c:pt idx="1591">
                  <c:v>50446</c:v>
                </c:pt>
                <c:pt idx="1592">
                  <c:v>50453</c:v>
                </c:pt>
                <c:pt idx="1593">
                  <c:v>50460</c:v>
                </c:pt>
                <c:pt idx="1594">
                  <c:v>50467</c:v>
                </c:pt>
                <c:pt idx="1595">
                  <c:v>50474</c:v>
                </c:pt>
                <c:pt idx="1596">
                  <c:v>50481</c:v>
                </c:pt>
                <c:pt idx="1597">
                  <c:v>50488</c:v>
                </c:pt>
                <c:pt idx="1598">
                  <c:v>50495</c:v>
                </c:pt>
                <c:pt idx="1599">
                  <c:v>50502</c:v>
                </c:pt>
                <c:pt idx="1600">
                  <c:v>50509</c:v>
                </c:pt>
                <c:pt idx="1601">
                  <c:v>50516</c:v>
                </c:pt>
                <c:pt idx="1602">
                  <c:v>50523</c:v>
                </c:pt>
                <c:pt idx="1603">
                  <c:v>50530</c:v>
                </c:pt>
                <c:pt idx="1604">
                  <c:v>50537</c:v>
                </c:pt>
                <c:pt idx="1605">
                  <c:v>50544</c:v>
                </c:pt>
                <c:pt idx="1606">
                  <c:v>50551</c:v>
                </c:pt>
                <c:pt idx="1607">
                  <c:v>50558</c:v>
                </c:pt>
                <c:pt idx="1608">
                  <c:v>50565</c:v>
                </c:pt>
                <c:pt idx="1609">
                  <c:v>50572</c:v>
                </c:pt>
                <c:pt idx="1610">
                  <c:v>50579</c:v>
                </c:pt>
                <c:pt idx="1611">
                  <c:v>50586</c:v>
                </c:pt>
                <c:pt idx="1612">
                  <c:v>50593</c:v>
                </c:pt>
                <c:pt idx="1613">
                  <c:v>50600</c:v>
                </c:pt>
                <c:pt idx="1614">
                  <c:v>50607</c:v>
                </c:pt>
                <c:pt idx="1615">
                  <c:v>50614</c:v>
                </c:pt>
                <c:pt idx="1616">
                  <c:v>50621</c:v>
                </c:pt>
                <c:pt idx="1617">
                  <c:v>50628</c:v>
                </c:pt>
                <c:pt idx="1618">
                  <c:v>50635</c:v>
                </c:pt>
                <c:pt idx="1619">
                  <c:v>50642</c:v>
                </c:pt>
                <c:pt idx="1620">
                  <c:v>50649</c:v>
                </c:pt>
                <c:pt idx="1621">
                  <c:v>50656</c:v>
                </c:pt>
                <c:pt idx="1622">
                  <c:v>50663</c:v>
                </c:pt>
                <c:pt idx="1623">
                  <c:v>50670</c:v>
                </c:pt>
                <c:pt idx="1624">
                  <c:v>50677</c:v>
                </c:pt>
                <c:pt idx="1625">
                  <c:v>50684</c:v>
                </c:pt>
                <c:pt idx="1626">
                  <c:v>50691</c:v>
                </c:pt>
                <c:pt idx="1627">
                  <c:v>50698</c:v>
                </c:pt>
                <c:pt idx="1628">
                  <c:v>50705</c:v>
                </c:pt>
                <c:pt idx="1629">
                  <c:v>50712</c:v>
                </c:pt>
                <c:pt idx="1630">
                  <c:v>50719</c:v>
                </c:pt>
                <c:pt idx="1631">
                  <c:v>50726</c:v>
                </c:pt>
                <c:pt idx="1632">
                  <c:v>50733</c:v>
                </c:pt>
                <c:pt idx="1633">
                  <c:v>50740</c:v>
                </c:pt>
                <c:pt idx="1634">
                  <c:v>50747</c:v>
                </c:pt>
                <c:pt idx="1635">
                  <c:v>50754</c:v>
                </c:pt>
                <c:pt idx="1636">
                  <c:v>50761</c:v>
                </c:pt>
                <c:pt idx="1637">
                  <c:v>50768</c:v>
                </c:pt>
                <c:pt idx="1638">
                  <c:v>50775</c:v>
                </c:pt>
                <c:pt idx="1639">
                  <c:v>50782</c:v>
                </c:pt>
                <c:pt idx="1640">
                  <c:v>50789</c:v>
                </c:pt>
                <c:pt idx="1641">
                  <c:v>50797</c:v>
                </c:pt>
                <c:pt idx="1642">
                  <c:v>50804</c:v>
                </c:pt>
                <c:pt idx="1643">
                  <c:v>50811</c:v>
                </c:pt>
                <c:pt idx="1644">
                  <c:v>50818</c:v>
                </c:pt>
                <c:pt idx="1645">
                  <c:v>50825</c:v>
                </c:pt>
                <c:pt idx="1646">
                  <c:v>50832</c:v>
                </c:pt>
                <c:pt idx="1647">
                  <c:v>50839</c:v>
                </c:pt>
                <c:pt idx="1648">
                  <c:v>50846</c:v>
                </c:pt>
                <c:pt idx="1649">
                  <c:v>50853</c:v>
                </c:pt>
                <c:pt idx="1650">
                  <c:v>50860</c:v>
                </c:pt>
                <c:pt idx="1651">
                  <c:v>50867</c:v>
                </c:pt>
                <c:pt idx="1652">
                  <c:v>50874</c:v>
                </c:pt>
                <c:pt idx="1653">
                  <c:v>50881</c:v>
                </c:pt>
                <c:pt idx="1654">
                  <c:v>50888</c:v>
                </c:pt>
                <c:pt idx="1655">
                  <c:v>50895</c:v>
                </c:pt>
                <c:pt idx="1656">
                  <c:v>50902</c:v>
                </c:pt>
                <c:pt idx="1657">
                  <c:v>50909</c:v>
                </c:pt>
                <c:pt idx="1658">
                  <c:v>50916</c:v>
                </c:pt>
                <c:pt idx="1659">
                  <c:v>50923</c:v>
                </c:pt>
                <c:pt idx="1660">
                  <c:v>50930</c:v>
                </c:pt>
                <c:pt idx="1661">
                  <c:v>50937</c:v>
                </c:pt>
                <c:pt idx="1662">
                  <c:v>50944</c:v>
                </c:pt>
                <c:pt idx="1663">
                  <c:v>50951</c:v>
                </c:pt>
                <c:pt idx="1664">
                  <c:v>50958</c:v>
                </c:pt>
                <c:pt idx="1665">
                  <c:v>50965</c:v>
                </c:pt>
                <c:pt idx="1666">
                  <c:v>50972</c:v>
                </c:pt>
                <c:pt idx="1667">
                  <c:v>50979</c:v>
                </c:pt>
                <c:pt idx="1668">
                  <c:v>50986</c:v>
                </c:pt>
                <c:pt idx="1669">
                  <c:v>50993</c:v>
                </c:pt>
                <c:pt idx="1670">
                  <c:v>51000</c:v>
                </c:pt>
                <c:pt idx="1671">
                  <c:v>51007</c:v>
                </c:pt>
                <c:pt idx="1672">
                  <c:v>51014</c:v>
                </c:pt>
                <c:pt idx="1673">
                  <c:v>51021</c:v>
                </c:pt>
                <c:pt idx="1674">
                  <c:v>51028</c:v>
                </c:pt>
                <c:pt idx="1675">
                  <c:v>51035</c:v>
                </c:pt>
                <c:pt idx="1676">
                  <c:v>51042</c:v>
                </c:pt>
                <c:pt idx="1677">
                  <c:v>51049</c:v>
                </c:pt>
                <c:pt idx="1678">
                  <c:v>51056</c:v>
                </c:pt>
                <c:pt idx="1679">
                  <c:v>51063</c:v>
                </c:pt>
                <c:pt idx="1680">
                  <c:v>51070</c:v>
                </c:pt>
                <c:pt idx="1681">
                  <c:v>51077</c:v>
                </c:pt>
                <c:pt idx="1682">
                  <c:v>51084</c:v>
                </c:pt>
                <c:pt idx="1683">
                  <c:v>51091</c:v>
                </c:pt>
                <c:pt idx="1684">
                  <c:v>51098</c:v>
                </c:pt>
                <c:pt idx="1685">
                  <c:v>51105</c:v>
                </c:pt>
                <c:pt idx="1686">
                  <c:v>51112</c:v>
                </c:pt>
                <c:pt idx="1687">
                  <c:v>51119</c:v>
                </c:pt>
                <c:pt idx="1688">
                  <c:v>51126</c:v>
                </c:pt>
                <c:pt idx="1689">
                  <c:v>51133</c:v>
                </c:pt>
                <c:pt idx="1690">
                  <c:v>51140</c:v>
                </c:pt>
                <c:pt idx="1691">
                  <c:v>51147</c:v>
                </c:pt>
                <c:pt idx="1692">
                  <c:v>51154</c:v>
                </c:pt>
                <c:pt idx="1693">
                  <c:v>51162</c:v>
                </c:pt>
                <c:pt idx="1694">
                  <c:v>51169</c:v>
                </c:pt>
                <c:pt idx="1695">
                  <c:v>51176</c:v>
                </c:pt>
                <c:pt idx="1696">
                  <c:v>51183</c:v>
                </c:pt>
                <c:pt idx="1697">
                  <c:v>51190</c:v>
                </c:pt>
                <c:pt idx="1698">
                  <c:v>51197</c:v>
                </c:pt>
                <c:pt idx="1699">
                  <c:v>51204</c:v>
                </c:pt>
                <c:pt idx="1700">
                  <c:v>51211</c:v>
                </c:pt>
                <c:pt idx="1701">
                  <c:v>51218</c:v>
                </c:pt>
                <c:pt idx="1702">
                  <c:v>51229</c:v>
                </c:pt>
                <c:pt idx="1703">
                  <c:v>51236</c:v>
                </c:pt>
                <c:pt idx="1704">
                  <c:v>51243</c:v>
                </c:pt>
                <c:pt idx="1705">
                  <c:v>51250</c:v>
                </c:pt>
                <c:pt idx="1706">
                  <c:v>51257</c:v>
                </c:pt>
                <c:pt idx="1707">
                  <c:v>51264</c:v>
                </c:pt>
                <c:pt idx="1708">
                  <c:v>51271</c:v>
                </c:pt>
                <c:pt idx="1709">
                  <c:v>51278</c:v>
                </c:pt>
                <c:pt idx="1710">
                  <c:v>51285</c:v>
                </c:pt>
                <c:pt idx="1711">
                  <c:v>51292</c:v>
                </c:pt>
                <c:pt idx="1712">
                  <c:v>51299</c:v>
                </c:pt>
                <c:pt idx="1713">
                  <c:v>51306</c:v>
                </c:pt>
                <c:pt idx="1714">
                  <c:v>51313</c:v>
                </c:pt>
                <c:pt idx="1715">
                  <c:v>51320</c:v>
                </c:pt>
                <c:pt idx="1716">
                  <c:v>51327</c:v>
                </c:pt>
                <c:pt idx="1717">
                  <c:v>51334</c:v>
                </c:pt>
                <c:pt idx="1718">
                  <c:v>51341</c:v>
                </c:pt>
                <c:pt idx="1719">
                  <c:v>51348</c:v>
                </c:pt>
                <c:pt idx="1720">
                  <c:v>51355</c:v>
                </c:pt>
                <c:pt idx="1721">
                  <c:v>51362</c:v>
                </c:pt>
                <c:pt idx="1722">
                  <c:v>51369</c:v>
                </c:pt>
                <c:pt idx="1723">
                  <c:v>51376</c:v>
                </c:pt>
                <c:pt idx="1724">
                  <c:v>51383</c:v>
                </c:pt>
                <c:pt idx="1725">
                  <c:v>51390</c:v>
                </c:pt>
                <c:pt idx="1726">
                  <c:v>51397</c:v>
                </c:pt>
                <c:pt idx="1727">
                  <c:v>51404</c:v>
                </c:pt>
                <c:pt idx="1728">
                  <c:v>51411</c:v>
                </c:pt>
                <c:pt idx="1729">
                  <c:v>51418</c:v>
                </c:pt>
                <c:pt idx="1730">
                  <c:v>51425</c:v>
                </c:pt>
                <c:pt idx="1731">
                  <c:v>51432</c:v>
                </c:pt>
                <c:pt idx="1732">
                  <c:v>51439</c:v>
                </c:pt>
                <c:pt idx="1733">
                  <c:v>51446</c:v>
                </c:pt>
                <c:pt idx="1734">
                  <c:v>51453</c:v>
                </c:pt>
                <c:pt idx="1735">
                  <c:v>51460</c:v>
                </c:pt>
                <c:pt idx="1736">
                  <c:v>51467</c:v>
                </c:pt>
                <c:pt idx="1737">
                  <c:v>51474</c:v>
                </c:pt>
                <c:pt idx="1738">
                  <c:v>51481</c:v>
                </c:pt>
                <c:pt idx="1739">
                  <c:v>51488</c:v>
                </c:pt>
                <c:pt idx="1740">
                  <c:v>51497</c:v>
                </c:pt>
                <c:pt idx="1741">
                  <c:v>51504</c:v>
                </c:pt>
                <c:pt idx="1742">
                  <c:v>51511</c:v>
                </c:pt>
                <c:pt idx="1743">
                  <c:v>51518</c:v>
                </c:pt>
                <c:pt idx="1744">
                  <c:v>51525</c:v>
                </c:pt>
                <c:pt idx="1745">
                  <c:v>51532</c:v>
                </c:pt>
                <c:pt idx="1746">
                  <c:v>51539</c:v>
                </c:pt>
                <c:pt idx="1747">
                  <c:v>51546</c:v>
                </c:pt>
                <c:pt idx="1748">
                  <c:v>51553</c:v>
                </c:pt>
                <c:pt idx="1749">
                  <c:v>51560</c:v>
                </c:pt>
                <c:pt idx="1750">
                  <c:v>51567</c:v>
                </c:pt>
                <c:pt idx="1751">
                  <c:v>51574</c:v>
                </c:pt>
                <c:pt idx="1752">
                  <c:v>51581</c:v>
                </c:pt>
                <c:pt idx="1753">
                  <c:v>51588</c:v>
                </c:pt>
                <c:pt idx="1754">
                  <c:v>51595</c:v>
                </c:pt>
                <c:pt idx="1755">
                  <c:v>51602</c:v>
                </c:pt>
                <c:pt idx="1756">
                  <c:v>51609</c:v>
                </c:pt>
                <c:pt idx="1757">
                  <c:v>51617</c:v>
                </c:pt>
                <c:pt idx="1758">
                  <c:v>51624</c:v>
                </c:pt>
                <c:pt idx="1759">
                  <c:v>51631</c:v>
                </c:pt>
                <c:pt idx="1760">
                  <c:v>51638</c:v>
                </c:pt>
                <c:pt idx="1761">
                  <c:v>51645</c:v>
                </c:pt>
                <c:pt idx="1762">
                  <c:v>51652</c:v>
                </c:pt>
                <c:pt idx="1763">
                  <c:v>51659</c:v>
                </c:pt>
                <c:pt idx="1764">
                  <c:v>51666</c:v>
                </c:pt>
                <c:pt idx="1765">
                  <c:v>51673</c:v>
                </c:pt>
                <c:pt idx="1766">
                  <c:v>51680</c:v>
                </c:pt>
                <c:pt idx="1767">
                  <c:v>51687</c:v>
                </c:pt>
                <c:pt idx="1768">
                  <c:v>51694</c:v>
                </c:pt>
                <c:pt idx="1769">
                  <c:v>51701</c:v>
                </c:pt>
                <c:pt idx="1770">
                  <c:v>51708</c:v>
                </c:pt>
                <c:pt idx="1771">
                  <c:v>51715</c:v>
                </c:pt>
                <c:pt idx="1772">
                  <c:v>51722</c:v>
                </c:pt>
                <c:pt idx="1773">
                  <c:v>51729</c:v>
                </c:pt>
                <c:pt idx="1774">
                  <c:v>51736</c:v>
                </c:pt>
                <c:pt idx="1775">
                  <c:v>51743</c:v>
                </c:pt>
                <c:pt idx="1776">
                  <c:v>51750</c:v>
                </c:pt>
                <c:pt idx="1777">
                  <c:v>51757</c:v>
                </c:pt>
                <c:pt idx="1778">
                  <c:v>51764</c:v>
                </c:pt>
                <c:pt idx="1779">
                  <c:v>51771</c:v>
                </c:pt>
                <c:pt idx="1780">
                  <c:v>51778</c:v>
                </c:pt>
                <c:pt idx="1781">
                  <c:v>51785</c:v>
                </c:pt>
                <c:pt idx="1782">
                  <c:v>51792</c:v>
                </c:pt>
                <c:pt idx="1783">
                  <c:v>51799</c:v>
                </c:pt>
                <c:pt idx="1784">
                  <c:v>51806</c:v>
                </c:pt>
                <c:pt idx="1785">
                  <c:v>51813</c:v>
                </c:pt>
                <c:pt idx="1786">
                  <c:v>51820</c:v>
                </c:pt>
                <c:pt idx="1787">
                  <c:v>51827</c:v>
                </c:pt>
                <c:pt idx="1788">
                  <c:v>51834</c:v>
                </c:pt>
                <c:pt idx="1789">
                  <c:v>51841</c:v>
                </c:pt>
                <c:pt idx="1790">
                  <c:v>51848</c:v>
                </c:pt>
                <c:pt idx="1791">
                  <c:v>51855</c:v>
                </c:pt>
                <c:pt idx="1792">
                  <c:v>51862</c:v>
                </c:pt>
                <c:pt idx="1793">
                  <c:v>51869</c:v>
                </c:pt>
                <c:pt idx="1794">
                  <c:v>51876</c:v>
                </c:pt>
                <c:pt idx="1795">
                  <c:v>51883</c:v>
                </c:pt>
                <c:pt idx="1796">
                  <c:v>51890</c:v>
                </c:pt>
                <c:pt idx="1797">
                  <c:v>51897</c:v>
                </c:pt>
                <c:pt idx="1798">
                  <c:v>51904</c:v>
                </c:pt>
                <c:pt idx="1799">
                  <c:v>51911</c:v>
                </c:pt>
                <c:pt idx="1800">
                  <c:v>51918</c:v>
                </c:pt>
                <c:pt idx="1801">
                  <c:v>51925</c:v>
                </c:pt>
                <c:pt idx="1802">
                  <c:v>51932</c:v>
                </c:pt>
                <c:pt idx="1803">
                  <c:v>51939</c:v>
                </c:pt>
                <c:pt idx="1804">
                  <c:v>51946</c:v>
                </c:pt>
                <c:pt idx="1805">
                  <c:v>51953</c:v>
                </c:pt>
                <c:pt idx="1806">
                  <c:v>51964</c:v>
                </c:pt>
                <c:pt idx="1807">
                  <c:v>51971</c:v>
                </c:pt>
                <c:pt idx="1808">
                  <c:v>51978</c:v>
                </c:pt>
                <c:pt idx="1809">
                  <c:v>51985</c:v>
                </c:pt>
                <c:pt idx="1810">
                  <c:v>51992</c:v>
                </c:pt>
                <c:pt idx="1811">
                  <c:v>51999</c:v>
                </c:pt>
                <c:pt idx="1812">
                  <c:v>52006</c:v>
                </c:pt>
                <c:pt idx="1813">
                  <c:v>52013</c:v>
                </c:pt>
                <c:pt idx="1814">
                  <c:v>52020</c:v>
                </c:pt>
                <c:pt idx="1815">
                  <c:v>52027</c:v>
                </c:pt>
                <c:pt idx="1816">
                  <c:v>52034</c:v>
                </c:pt>
                <c:pt idx="1817">
                  <c:v>52041</c:v>
                </c:pt>
                <c:pt idx="1818">
                  <c:v>52048</c:v>
                </c:pt>
                <c:pt idx="1819">
                  <c:v>52055</c:v>
                </c:pt>
                <c:pt idx="1820">
                  <c:v>52062</c:v>
                </c:pt>
                <c:pt idx="1821">
                  <c:v>52069</c:v>
                </c:pt>
                <c:pt idx="1822">
                  <c:v>52076</c:v>
                </c:pt>
                <c:pt idx="1823">
                  <c:v>52083</c:v>
                </c:pt>
                <c:pt idx="1824">
                  <c:v>52090</c:v>
                </c:pt>
                <c:pt idx="1825">
                  <c:v>52097</c:v>
                </c:pt>
                <c:pt idx="1826">
                  <c:v>52104</c:v>
                </c:pt>
                <c:pt idx="1827">
                  <c:v>52111</c:v>
                </c:pt>
                <c:pt idx="1828">
                  <c:v>52118</c:v>
                </c:pt>
                <c:pt idx="1829">
                  <c:v>52125</c:v>
                </c:pt>
                <c:pt idx="1830">
                  <c:v>52132</c:v>
                </c:pt>
                <c:pt idx="1831">
                  <c:v>52139</c:v>
                </c:pt>
                <c:pt idx="1832">
                  <c:v>52146</c:v>
                </c:pt>
                <c:pt idx="1833">
                  <c:v>52153</c:v>
                </c:pt>
                <c:pt idx="1834">
                  <c:v>52160</c:v>
                </c:pt>
                <c:pt idx="1835">
                  <c:v>52167</c:v>
                </c:pt>
                <c:pt idx="1836">
                  <c:v>52174</c:v>
                </c:pt>
                <c:pt idx="1837">
                  <c:v>52181</c:v>
                </c:pt>
                <c:pt idx="1838">
                  <c:v>52188</c:v>
                </c:pt>
                <c:pt idx="1839">
                  <c:v>52195</c:v>
                </c:pt>
                <c:pt idx="1840">
                  <c:v>52202</c:v>
                </c:pt>
                <c:pt idx="1841">
                  <c:v>52209</c:v>
                </c:pt>
                <c:pt idx="1842">
                  <c:v>52216</c:v>
                </c:pt>
                <c:pt idx="1843">
                  <c:v>52223</c:v>
                </c:pt>
                <c:pt idx="1844">
                  <c:v>52230</c:v>
                </c:pt>
                <c:pt idx="1845">
                  <c:v>52237</c:v>
                </c:pt>
                <c:pt idx="1846">
                  <c:v>52244</c:v>
                </c:pt>
                <c:pt idx="1847">
                  <c:v>52251</c:v>
                </c:pt>
                <c:pt idx="1848">
                  <c:v>52258</c:v>
                </c:pt>
                <c:pt idx="1849">
                  <c:v>52265</c:v>
                </c:pt>
                <c:pt idx="1850">
                  <c:v>52272</c:v>
                </c:pt>
                <c:pt idx="1851">
                  <c:v>52279</c:v>
                </c:pt>
                <c:pt idx="1852">
                  <c:v>52286</c:v>
                </c:pt>
                <c:pt idx="1853">
                  <c:v>52293</c:v>
                </c:pt>
                <c:pt idx="1854">
                  <c:v>52300</c:v>
                </c:pt>
                <c:pt idx="1855">
                  <c:v>52307</c:v>
                </c:pt>
                <c:pt idx="1856">
                  <c:v>52314</c:v>
                </c:pt>
                <c:pt idx="1857">
                  <c:v>52321</c:v>
                </c:pt>
                <c:pt idx="1858">
                  <c:v>52328</c:v>
                </c:pt>
                <c:pt idx="1859">
                  <c:v>52335</c:v>
                </c:pt>
                <c:pt idx="1860">
                  <c:v>52342</c:v>
                </c:pt>
                <c:pt idx="1861">
                  <c:v>52349</c:v>
                </c:pt>
                <c:pt idx="1862">
                  <c:v>52356</c:v>
                </c:pt>
                <c:pt idx="1863">
                  <c:v>52363</c:v>
                </c:pt>
                <c:pt idx="1864">
                  <c:v>52370</c:v>
                </c:pt>
                <c:pt idx="1865">
                  <c:v>52377</c:v>
                </c:pt>
                <c:pt idx="1866">
                  <c:v>52384</c:v>
                </c:pt>
                <c:pt idx="1867">
                  <c:v>52391</c:v>
                </c:pt>
                <c:pt idx="1868">
                  <c:v>52398</c:v>
                </c:pt>
                <c:pt idx="1869">
                  <c:v>52405</c:v>
                </c:pt>
                <c:pt idx="1870">
                  <c:v>52412</c:v>
                </c:pt>
                <c:pt idx="1871">
                  <c:v>52419</c:v>
                </c:pt>
                <c:pt idx="1872">
                  <c:v>52426</c:v>
                </c:pt>
                <c:pt idx="1873">
                  <c:v>52433</c:v>
                </c:pt>
                <c:pt idx="1874">
                  <c:v>52440</c:v>
                </c:pt>
                <c:pt idx="1875">
                  <c:v>52447</c:v>
                </c:pt>
                <c:pt idx="1876">
                  <c:v>52454</c:v>
                </c:pt>
                <c:pt idx="1877">
                  <c:v>52461</c:v>
                </c:pt>
                <c:pt idx="1878">
                  <c:v>52468</c:v>
                </c:pt>
                <c:pt idx="1879">
                  <c:v>52475</c:v>
                </c:pt>
                <c:pt idx="1880">
                  <c:v>52482</c:v>
                </c:pt>
                <c:pt idx="1881">
                  <c:v>52489</c:v>
                </c:pt>
                <c:pt idx="1882">
                  <c:v>52496</c:v>
                </c:pt>
                <c:pt idx="1883">
                  <c:v>52503</c:v>
                </c:pt>
                <c:pt idx="1884">
                  <c:v>52510</c:v>
                </c:pt>
                <c:pt idx="1885">
                  <c:v>52517</c:v>
                </c:pt>
                <c:pt idx="1886">
                  <c:v>52524</c:v>
                </c:pt>
                <c:pt idx="1887">
                  <c:v>52531</c:v>
                </c:pt>
                <c:pt idx="1888">
                  <c:v>52538</c:v>
                </c:pt>
                <c:pt idx="1889">
                  <c:v>52545</c:v>
                </c:pt>
                <c:pt idx="1890">
                  <c:v>52552</c:v>
                </c:pt>
                <c:pt idx="1891">
                  <c:v>52559</c:v>
                </c:pt>
                <c:pt idx="1892">
                  <c:v>52566</c:v>
                </c:pt>
                <c:pt idx="1893">
                  <c:v>52573</c:v>
                </c:pt>
                <c:pt idx="1894">
                  <c:v>52580</c:v>
                </c:pt>
                <c:pt idx="1895">
                  <c:v>52587</c:v>
                </c:pt>
                <c:pt idx="1896">
                  <c:v>52594</c:v>
                </c:pt>
                <c:pt idx="1897">
                  <c:v>52601</c:v>
                </c:pt>
                <c:pt idx="1898">
                  <c:v>52608</c:v>
                </c:pt>
                <c:pt idx="1899">
                  <c:v>52615</c:v>
                </c:pt>
                <c:pt idx="1900">
                  <c:v>52623</c:v>
                </c:pt>
                <c:pt idx="1901">
                  <c:v>52630</c:v>
                </c:pt>
                <c:pt idx="1902">
                  <c:v>52637</c:v>
                </c:pt>
                <c:pt idx="1903">
                  <c:v>52644</c:v>
                </c:pt>
                <c:pt idx="1904">
                  <c:v>52651</c:v>
                </c:pt>
                <c:pt idx="1905">
                  <c:v>52658</c:v>
                </c:pt>
                <c:pt idx="1906">
                  <c:v>52665</c:v>
                </c:pt>
                <c:pt idx="1907">
                  <c:v>52672</c:v>
                </c:pt>
                <c:pt idx="1908">
                  <c:v>52679</c:v>
                </c:pt>
                <c:pt idx="1909">
                  <c:v>52686</c:v>
                </c:pt>
                <c:pt idx="1910">
                  <c:v>52693</c:v>
                </c:pt>
                <c:pt idx="1911">
                  <c:v>52700</c:v>
                </c:pt>
                <c:pt idx="1912">
                  <c:v>52707</c:v>
                </c:pt>
                <c:pt idx="1913">
                  <c:v>52714</c:v>
                </c:pt>
                <c:pt idx="1914">
                  <c:v>52721</c:v>
                </c:pt>
                <c:pt idx="1915">
                  <c:v>52728</c:v>
                </c:pt>
                <c:pt idx="1916">
                  <c:v>52735</c:v>
                </c:pt>
                <c:pt idx="1917">
                  <c:v>52742</c:v>
                </c:pt>
                <c:pt idx="1918">
                  <c:v>52749</c:v>
                </c:pt>
                <c:pt idx="1919">
                  <c:v>52756</c:v>
                </c:pt>
                <c:pt idx="1920">
                  <c:v>52763</c:v>
                </c:pt>
                <c:pt idx="1921">
                  <c:v>52770</c:v>
                </c:pt>
                <c:pt idx="1922">
                  <c:v>52777</c:v>
                </c:pt>
                <c:pt idx="1923">
                  <c:v>52784</c:v>
                </c:pt>
                <c:pt idx="1924">
                  <c:v>52791</c:v>
                </c:pt>
                <c:pt idx="1925">
                  <c:v>52798</c:v>
                </c:pt>
                <c:pt idx="1926">
                  <c:v>52805</c:v>
                </c:pt>
                <c:pt idx="1927">
                  <c:v>52812</c:v>
                </c:pt>
                <c:pt idx="1928">
                  <c:v>52819</c:v>
                </c:pt>
                <c:pt idx="1929">
                  <c:v>52826</c:v>
                </c:pt>
                <c:pt idx="1930">
                  <c:v>52833</c:v>
                </c:pt>
                <c:pt idx="1931">
                  <c:v>52840</c:v>
                </c:pt>
                <c:pt idx="1932">
                  <c:v>52847</c:v>
                </c:pt>
                <c:pt idx="1933">
                  <c:v>52854</c:v>
                </c:pt>
                <c:pt idx="1934">
                  <c:v>52861</c:v>
                </c:pt>
                <c:pt idx="1935">
                  <c:v>52868</c:v>
                </c:pt>
                <c:pt idx="1936">
                  <c:v>52875</c:v>
                </c:pt>
                <c:pt idx="1937">
                  <c:v>52882</c:v>
                </c:pt>
                <c:pt idx="1938">
                  <c:v>52889</c:v>
                </c:pt>
                <c:pt idx="1939">
                  <c:v>52896</c:v>
                </c:pt>
                <c:pt idx="1940">
                  <c:v>52903</c:v>
                </c:pt>
                <c:pt idx="1941">
                  <c:v>52910</c:v>
                </c:pt>
                <c:pt idx="1942">
                  <c:v>52917</c:v>
                </c:pt>
                <c:pt idx="1943">
                  <c:v>52924</c:v>
                </c:pt>
                <c:pt idx="1944">
                  <c:v>52931</c:v>
                </c:pt>
                <c:pt idx="1945">
                  <c:v>52938</c:v>
                </c:pt>
                <c:pt idx="1946">
                  <c:v>52945</c:v>
                </c:pt>
                <c:pt idx="1947">
                  <c:v>52952</c:v>
                </c:pt>
                <c:pt idx="1948">
                  <c:v>52959</c:v>
                </c:pt>
                <c:pt idx="1949">
                  <c:v>52966</c:v>
                </c:pt>
                <c:pt idx="1950">
                  <c:v>52973</c:v>
                </c:pt>
                <c:pt idx="1951">
                  <c:v>52980</c:v>
                </c:pt>
                <c:pt idx="1952">
                  <c:v>52987</c:v>
                </c:pt>
                <c:pt idx="1953">
                  <c:v>52994</c:v>
                </c:pt>
                <c:pt idx="1954">
                  <c:v>53001</c:v>
                </c:pt>
                <c:pt idx="1955">
                  <c:v>53008</c:v>
                </c:pt>
                <c:pt idx="1956">
                  <c:v>53015</c:v>
                </c:pt>
                <c:pt idx="1957">
                  <c:v>53022</c:v>
                </c:pt>
                <c:pt idx="1958">
                  <c:v>53029</c:v>
                </c:pt>
                <c:pt idx="1959">
                  <c:v>53036</c:v>
                </c:pt>
                <c:pt idx="1960">
                  <c:v>53043</c:v>
                </c:pt>
                <c:pt idx="1961">
                  <c:v>53050</c:v>
                </c:pt>
                <c:pt idx="1962">
                  <c:v>53057</c:v>
                </c:pt>
                <c:pt idx="1963">
                  <c:v>53064</c:v>
                </c:pt>
                <c:pt idx="1964">
                  <c:v>53071</c:v>
                </c:pt>
                <c:pt idx="1965">
                  <c:v>53078</c:v>
                </c:pt>
                <c:pt idx="1966">
                  <c:v>53085</c:v>
                </c:pt>
                <c:pt idx="1967">
                  <c:v>53092</c:v>
                </c:pt>
                <c:pt idx="1968">
                  <c:v>53099</c:v>
                </c:pt>
                <c:pt idx="1969">
                  <c:v>53106</c:v>
                </c:pt>
                <c:pt idx="1970">
                  <c:v>53113</c:v>
                </c:pt>
                <c:pt idx="1971">
                  <c:v>53120</c:v>
                </c:pt>
                <c:pt idx="1972">
                  <c:v>53127</c:v>
                </c:pt>
                <c:pt idx="1973">
                  <c:v>53134</c:v>
                </c:pt>
                <c:pt idx="1974">
                  <c:v>53141</c:v>
                </c:pt>
                <c:pt idx="1975">
                  <c:v>53148</c:v>
                </c:pt>
                <c:pt idx="1976">
                  <c:v>53155</c:v>
                </c:pt>
                <c:pt idx="1977">
                  <c:v>53162</c:v>
                </c:pt>
                <c:pt idx="1978">
                  <c:v>53169</c:v>
                </c:pt>
                <c:pt idx="1979">
                  <c:v>53176</c:v>
                </c:pt>
                <c:pt idx="1980">
                  <c:v>53183</c:v>
                </c:pt>
                <c:pt idx="1981">
                  <c:v>53190</c:v>
                </c:pt>
                <c:pt idx="1982">
                  <c:v>53197</c:v>
                </c:pt>
                <c:pt idx="1983">
                  <c:v>53204</c:v>
                </c:pt>
                <c:pt idx="1984">
                  <c:v>53211</c:v>
                </c:pt>
                <c:pt idx="1985">
                  <c:v>53218</c:v>
                </c:pt>
                <c:pt idx="1986">
                  <c:v>53225</c:v>
                </c:pt>
                <c:pt idx="1987">
                  <c:v>53232</c:v>
                </c:pt>
                <c:pt idx="1988">
                  <c:v>53239</c:v>
                </c:pt>
                <c:pt idx="1989">
                  <c:v>53246</c:v>
                </c:pt>
                <c:pt idx="1990">
                  <c:v>53253</c:v>
                </c:pt>
                <c:pt idx="1991">
                  <c:v>53260</c:v>
                </c:pt>
                <c:pt idx="1992">
                  <c:v>53267</c:v>
                </c:pt>
                <c:pt idx="1993">
                  <c:v>53274</c:v>
                </c:pt>
                <c:pt idx="1994">
                  <c:v>53281</c:v>
                </c:pt>
                <c:pt idx="1995">
                  <c:v>53288</c:v>
                </c:pt>
                <c:pt idx="1996">
                  <c:v>53295</c:v>
                </c:pt>
                <c:pt idx="1997">
                  <c:v>53302</c:v>
                </c:pt>
                <c:pt idx="1998">
                  <c:v>53309</c:v>
                </c:pt>
                <c:pt idx="1999">
                  <c:v>53316</c:v>
                </c:pt>
                <c:pt idx="2000">
                  <c:v>53323</c:v>
                </c:pt>
                <c:pt idx="2001">
                  <c:v>53330</c:v>
                </c:pt>
                <c:pt idx="2002">
                  <c:v>53337</c:v>
                </c:pt>
                <c:pt idx="2003">
                  <c:v>53344</c:v>
                </c:pt>
                <c:pt idx="2004">
                  <c:v>53351</c:v>
                </c:pt>
                <c:pt idx="2005">
                  <c:v>53358</c:v>
                </c:pt>
                <c:pt idx="2006">
                  <c:v>53365</c:v>
                </c:pt>
                <c:pt idx="2007">
                  <c:v>53372</c:v>
                </c:pt>
                <c:pt idx="2008">
                  <c:v>53379</c:v>
                </c:pt>
                <c:pt idx="2009">
                  <c:v>53386</c:v>
                </c:pt>
                <c:pt idx="2010">
                  <c:v>53393</c:v>
                </c:pt>
                <c:pt idx="2011">
                  <c:v>53400</c:v>
                </c:pt>
                <c:pt idx="2012">
                  <c:v>53407</c:v>
                </c:pt>
                <c:pt idx="2013">
                  <c:v>53414</c:v>
                </c:pt>
                <c:pt idx="2014">
                  <c:v>53421</c:v>
                </c:pt>
                <c:pt idx="2015">
                  <c:v>53428</c:v>
                </c:pt>
                <c:pt idx="2016">
                  <c:v>53435</c:v>
                </c:pt>
                <c:pt idx="2017">
                  <c:v>53443</c:v>
                </c:pt>
                <c:pt idx="2018">
                  <c:v>53450</c:v>
                </c:pt>
                <c:pt idx="2019">
                  <c:v>53457</c:v>
                </c:pt>
                <c:pt idx="2020">
                  <c:v>53464</c:v>
                </c:pt>
                <c:pt idx="2021">
                  <c:v>53471</c:v>
                </c:pt>
                <c:pt idx="2022">
                  <c:v>53478</c:v>
                </c:pt>
                <c:pt idx="2023">
                  <c:v>53485</c:v>
                </c:pt>
                <c:pt idx="2024">
                  <c:v>53492</c:v>
                </c:pt>
                <c:pt idx="2025">
                  <c:v>53499</c:v>
                </c:pt>
                <c:pt idx="2026">
                  <c:v>53506</c:v>
                </c:pt>
                <c:pt idx="2027">
                  <c:v>53513</c:v>
                </c:pt>
                <c:pt idx="2028">
                  <c:v>53520</c:v>
                </c:pt>
                <c:pt idx="2029">
                  <c:v>53527</c:v>
                </c:pt>
                <c:pt idx="2030">
                  <c:v>53534</c:v>
                </c:pt>
                <c:pt idx="2031">
                  <c:v>53541</c:v>
                </c:pt>
                <c:pt idx="2032">
                  <c:v>53548</c:v>
                </c:pt>
                <c:pt idx="2033">
                  <c:v>53555</c:v>
                </c:pt>
                <c:pt idx="2034">
                  <c:v>53562</c:v>
                </c:pt>
                <c:pt idx="2035">
                  <c:v>53569</c:v>
                </c:pt>
                <c:pt idx="2036">
                  <c:v>53576</c:v>
                </c:pt>
                <c:pt idx="2037">
                  <c:v>53583</c:v>
                </c:pt>
                <c:pt idx="2038">
                  <c:v>53590</c:v>
                </c:pt>
                <c:pt idx="2039">
                  <c:v>53597</c:v>
                </c:pt>
                <c:pt idx="2040">
                  <c:v>53604</c:v>
                </c:pt>
                <c:pt idx="2041">
                  <c:v>53611</c:v>
                </c:pt>
                <c:pt idx="2042">
                  <c:v>53618</c:v>
                </c:pt>
                <c:pt idx="2043">
                  <c:v>53625</c:v>
                </c:pt>
                <c:pt idx="2044">
                  <c:v>53632</c:v>
                </c:pt>
                <c:pt idx="2045">
                  <c:v>53639</c:v>
                </c:pt>
                <c:pt idx="2046">
                  <c:v>53646</c:v>
                </c:pt>
                <c:pt idx="2047">
                  <c:v>53653</c:v>
                </c:pt>
                <c:pt idx="2048">
                  <c:v>53660</c:v>
                </c:pt>
                <c:pt idx="2049">
                  <c:v>53667</c:v>
                </c:pt>
                <c:pt idx="2050">
                  <c:v>53674</c:v>
                </c:pt>
                <c:pt idx="2051">
                  <c:v>53681</c:v>
                </c:pt>
                <c:pt idx="2052">
                  <c:v>53688</c:v>
                </c:pt>
                <c:pt idx="2053">
                  <c:v>53695</c:v>
                </c:pt>
                <c:pt idx="2054">
                  <c:v>53702</c:v>
                </c:pt>
                <c:pt idx="2055">
                  <c:v>53709</c:v>
                </c:pt>
                <c:pt idx="2056">
                  <c:v>53716</c:v>
                </c:pt>
                <c:pt idx="2057">
                  <c:v>53723</c:v>
                </c:pt>
                <c:pt idx="2058">
                  <c:v>53730</c:v>
                </c:pt>
                <c:pt idx="2059">
                  <c:v>53737</c:v>
                </c:pt>
                <c:pt idx="2060">
                  <c:v>53744</c:v>
                </c:pt>
                <c:pt idx="2061">
                  <c:v>53751</c:v>
                </c:pt>
                <c:pt idx="2062">
                  <c:v>53758</c:v>
                </c:pt>
                <c:pt idx="2063">
                  <c:v>53765</c:v>
                </c:pt>
                <c:pt idx="2064">
                  <c:v>53772</c:v>
                </c:pt>
                <c:pt idx="2065">
                  <c:v>53779</c:v>
                </c:pt>
                <c:pt idx="2066">
                  <c:v>53786</c:v>
                </c:pt>
                <c:pt idx="2067">
                  <c:v>53793</c:v>
                </c:pt>
                <c:pt idx="2068">
                  <c:v>53800</c:v>
                </c:pt>
                <c:pt idx="2069">
                  <c:v>53808</c:v>
                </c:pt>
                <c:pt idx="2070">
                  <c:v>53815</c:v>
                </c:pt>
                <c:pt idx="2071">
                  <c:v>53822</c:v>
                </c:pt>
                <c:pt idx="2072">
                  <c:v>53829</c:v>
                </c:pt>
                <c:pt idx="2073">
                  <c:v>53836</c:v>
                </c:pt>
                <c:pt idx="2074">
                  <c:v>53843</c:v>
                </c:pt>
                <c:pt idx="2075">
                  <c:v>53850</c:v>
                </c:pt>
                <c:pt idx="2076">
                  <c:v>53857</c:v>
                </c:pt>
                <c:pt idx="2077">
                  <c:v>53864</c:v>
                </c:pt>
                <c:pt idx="2078">
                  <c:v>53871</c:v>
                </c:pt>
                <c:pt idx="2079">
                  <c:v>53878</c:v>
                </c:pt>
                <c:pt idx="2080">
                  <c:v>53885</c:v>
                </c:pt>
                <c:pt idx="2081">
                  <c:v>53892</c:v>
                </c:pt>
                <c:pt idx="2082">
                  <c:v>53899</c:v>
                </c:pt>
                <c:pt idx="2083">
                  <c:v>53906</c:v>
                </c:pt>
                <c:pt idx="2084">
                  <c:v>53913</c:v>
                </c:pt>
                <c:pt idx="2085">
                  <c:v>53920</c:v>
                </c:pt>
                <c:pt idx="2086">
                  <c:v>53927</c:v>
                </c:pt>
                <c:pt idx="2087">
                  <c:v>53934</c:v>
                </c:pt>
                <c:pt idx="2088">
                  <c:v>53941</c:v>
                </c:pt>
                <c:pt idx="2089">
                  <c:v>53948</c:v>
                </c:pt>
                <c:pt idx="2090">
                  <c:v>53955</c:v>
                </c:pt>
                <c:pt idx="2091">
                  <c:v>53962</c:v>
                </c:pt>
                <c:pt idx="2092">
                  <c:v>53969</c:v>
                </c:pt>
                <c:pt idx="2093">
                  <c:v>53976</c:v>
                </c:pt>
                <c:pt idx="2094">
                  <c:v>53983</c:v>
                </c:pt>
                <c:pt idx="2095">
                  <c:v>53990</c:v>
                </c:pt>
                <c:pt idx="2096">
                  <c:v>53997</c:v>
                </c:pt>
                <c:pt idx="2097">
                  <c:v>54004</c:v>
                </c:pt>
                <c:pt idx="2098">
                  <c:v>54011</c:v>
                </c:pt>
                <c:pt idx="2099">
                  <c:v>54018</c:v>
                </c:pt>
                <c:pt idx="2100">
                  <c:v>54025</c:v>
                </c:pt>
                <c:pt idx="2101">
                  <c:v>54032</c:v>
                </c:pt>
                <c:pt idx="2102">
                  <c:v>54039</c:v>
                </c:pt>
                <c:pt idx="2103">
                  <c:v>54046</c:v>
                </c:pt>
                <c:pt idx="2104">
                  <c:v>54053</c:v>
                </c:pt>
                <c:pt idx="2105">
                  <c:v>54060</c:v>
                </c:pt>
                <c:pt idx="2106">
                  <c:v>54067</c:v>
                </c:pt>
                <c:pt idx="2107">
                  <c:v>54074</c:v>
                </c:pt>
                <c:pt idx="2108">
                  <c:v>54081</c:v>
                </c:pt>
                <c:pt idx="2109">
                  <c:v>54088</c:v>
                </c:pt>
                <c:pt idx="2110">
                  <c:v>54095</c:v>
                </c:pt>
                <c:pt idx="2111">
                  <c:v>54102</c:v>
                </c:pt>
                <c:pt idx="2112">
                  <c:v>54109</c:v>
                </c:pt>
                <c:pt idx="2113">
                  <c:v>54116</c:v>
                </c:pt>
                <c:pt idx="2114">
                  <c:v>54123</c:v>
                </c:pt>
                <c:pt idx="2115">
                  <c:v>54130</c:v>
                </c:pt>
                <c:pt idx="2116">
                  <c:v>54137</c:v>
                </c:pt>
                <c:pt idx="2117">
                  <c:v>54144</c:v>
                </c:pt>
                <c:pt idx="2118">
                  <c:v>54155</c:v>
                </c:pt>
                <c:pt idx="2119">
                  <c:v>54162</c:v>
                </c:pt>
                <c:pt idx="2120">
                  <c:v>54169</c:v>
                </c:pt>
                <c:pt idx="2121">
                  <c:v>54176</c:v>
                </c:pt>
                <c:pt idx="2122">
                  <c:v>54183</c:v>
                </c:pt>
                <c:pt idx="2123">
                  <c:v>54190</c:v>
                </c:pt>
                <c:pt idx="2124">
                  <c:v>54197</c:v>
                </c:pt>
                <c:pt idx="2125">
                  <c:v>54204</c:v>
                </c:pt>
                <c:pt idx="2126">
                  <c:v>54211</c:v>
                </c:pt>
                <c:pt idx="2127">
                  <c:v>54218</c:v>
                </c:pt>
                <c:pt idx="2128">
                  <c:v>54225</c:v>
                </c:pt>
                <c:pt idx="2129">
                  <c:v>54232</c:v>
                </c:pt>
                <c:pt idx="2130">
                  <c:v>54239</c:v>
                </c:pt>
                <c:pt idx="2131">
                  <c:v>54246</c:v>
                </c:pt>
                <c:pt idx="2132">
                  <c:v>54253</c:v>
                </c:pt>
                <c:pt idx="2133">
                  <c:v>54260</c:v>
                </c:pt>
                <c:pt idx="2134">
                  <c:v>54267</c:v>
                </c:pt>
                <c:pt idx="2135">
                  <c:v>54274</c:v>
                </c:pt>
                <c:pt idx="2136">
                  <c:v>54281</c:v>
                </c:pt>
                <c:pt idx="2137">
                  <c:v>54288</c:v>
                </c:pt>
                <c:pt idx="2138">
                  <c:v>54295</c:v>
                </c:pt>
                <c:pt idx="2139">
                  <c:v>54302</c:v>
                </c:pt>
                <c:pt idx="2140">
                  <c:v>54309</c:v>
                </c:pt>
                <c:pt idx="2141">
                  <c:v>54316</c:v>
                </c:pt>
                <c:pt idx="2142">
                  <c:v>54323</c:v>
                </c:pt>
                <c:pt idx="2143">
                  <c:v>54330</c:v>
                </c:pt>
                <c:pt idx="2144">
                  <c:v>54337</c:v>
                </c:pt>
                <c:pt idx="2145">
                  <c:v>54344</c:v>
                </c:pt>
                <c:pt idx="2146">
                  <c:v>54351</c:v>
                </c:pt>
                <c:pt idx="2147">
                  <c:v>54358</c:v>
                </c:pt>
                <c:pt idx="2148">
                  <c:v>54365</c:v>
                </c:pt>
                <c:pt idx="2149">
                  <c:v>54372</c:v>
                </c:pt>
                <c:pt idx="2150">
                  <c:v>54379</c:v>
                </c:pt>
                <c:pt idx="2151">
                  <c:v>54386</c:v>
                </c:pt>
                <c:pt idx="2152">
                  <c:v>54393</c:v>
                </c:pt>
                <c:pt idx="2153">
                  <c:v>54400</c:v>
                </c:pt>
                <c:pt idx="2154">
                  <c:v>54407</c:v>
                </c:pt>
                <c:pt idx="2155">
                  <c:v>54414</c:v>
                </c:pt>
                <c:pt idx="2156">
                  <c:v>54421</c:v>
                </c:pt>
                <c:pt idx="2157">
                  <c:v>54428</c:v>
                </c:pt>
                <c:pt idx="2158">
                  <c:v>54435</c:v>
                </c:pt>
                <c:pt idx="2159">
                  <c:v>54442</c:v>
                </c:pt>
                <c:pt idx="2160">
                  <c:v>54450</c:v>
                </c:pt>
                <c:pt idx="2161">
                  <c:v>54457</c:v>
                </c:pt>
                <c:pt idx="2162">
                  <c:v>54464</c:v>
                </c:pt>
                <c:pt idx="2163">
                  <c:v>54471</c:v>
                </c:pt>
                <c:pt idx="2164">
                  <c:v>54478</c:v>
                </c:pt>
                <c:pt idx="2165">
                  <c:v>54485</c:v>
                </c:pt>
                <c:pt idx="2166">
                  <c:v>54492</c:v>
                </c:pt>
                <c:pt idx="2167">
                  <c:v>54499</c:v>
                </c:pt>
                <c:pt idx="2168">
                  <c:v>54506</c:v>
                </c:pt>
                <c:pt idx="2169">
                  <c:v>54513</c:v>
                </c:pt>
                <c:pt idx="2170">
                  <c:v>54520</c:v>
                </c:pt>
                <c:pt idx="2171">
                  <c:v>54527</c:v>
                </c:pt>
                <c:pt idx="2172">
                  <c:v>54534</c:v>
                </c:pt>
                <c:pt idx="2173">
                  <c:v>54541</c:v>
                </c:pt>
                <c:pt idx="2174">
                  <c:v>54548</c:v>
                </c:pt>
                <c:pt idx="2175">
                  <c:v>54555</c:v>
                </c:pt>
                <c:pt idx="2176">
                  <c:v>54562</c:v>
                </c:pt>
                <c:pt idx="2177">
                  <c:v>54569</c:v>
                </c:pt>
                <c:pt idx="2178">
                  <c:v>54576</c:v>
                </c:pt>
                <c:pt idx="2179">
                  <c:v>54583</c:v>
                </c:pt>
                <c:pt idx="2180">
                  <c:v>54590</c:v>
                </c:pt>
                <c:pt idx="2181">
                  <c:v>54597</c:v>
                </c:pt>
                <c:pt idx="2182">
                  <c:v>54604</c:v>
                </c:pt>
                <c:pt idx="2183">
                  <c:v>54611</c:v>
                </c:pt>
                <c:pt idx="2184">
                  <c:v>54618</c:v>
                </c:pt>
                <c:pt idx="2185">
                  <c:v>54625</c:v>
                </c:pt>
                <c:pt idx="2186">
                  <c:v>54632</c:v>
                </c:pt>
                <c:pt idx="2187">
                  <c:v>54639</c:v>
                </c:pt>
                <c:pt idx="2188">
                  <c:v>54646</c:v>
                </c:pt>
                <c:pt idx="2189">
                  <c:v>54653</c:v>
                </c:pt>
                <c:pt idx="2190">
                  <c:v>54660</c:v>
                </c:pt>
                <c:pt idx="2191">
                  <c:v>54667</c:v>
                </c:pt>
                <c:pt idx="2192">
                  <c:v>54674</c:v>
                </c:pt>
                <c:pt idx="2193">
                  <c:v>54681</c:v>
                </c:pt>
                <c:pt idx="2194">
                  <c:v>54688</c:v>
                </c:pt>
                <c:pt idx="2195">
                  <c:v>54695</c:v>
                </c:pt>
                <c:pt idx="2196">
                  <c:v>54702</c:v>
                </c:pt>
                <c:pt idx="2197">
                  <c:v>54709</c:v>
                </c:pt>
                <c:pt idx="2198">
                  <c:v>54716</c:v>
                </c:pt>
                <c:pt idx="2199">
                  <c:v>54723</c:v>
                </c:pt>
                <c:pt idx="2200">
                  <c:v>54730</c:v>
                </c:pt>
                <c:pt idx="2201">
                  <c:v>54737</c:v>
                </c:pt>
                <c:pt idx="2202">
                  <c:v>54744</c:v>
                </c:pt>
                <c:pt idx="2203">
                  <c:v>54751</c:v>
                </c:pt>
                <c:pt idx="2204">
                  <c:v>54758</c:v>
                </c:pt>
                <c:pt idx="2205">
                  <c:v>54765</c:v>
                </c:pt>
                <c:pt idx="2206">
                  <c:v>54772</c:v>
                </c:pt>
                <c:pt idx="2207">
                  <c:v>54779</c:v>
                </c:pt>
                <c:pt idx="2208">
                  <c:v>54786</c:v>
                </c:pt>
                <c:pt idx="2209">
                  <c:v>54793</c:v>
                </c:pt>
                <c:pt idx="2210">
                  <c:v>54800</c:v>
                </c:pt>
                <c:pt idx="2211">
                  <c:v>54807</c:v>
                </c:pt>
                <c:pt idx="2212">
                  <c:v>54815</c:v>
                </c:pt>
                <c:pt idx="2213">
                  <c:v>54822</c:v>
                </c:pt>
                <c:pt idx="2214">
                  <c:v>54829</c:v>
                </c:pt>
                <c:pt idx="2215">
                  <c:v>54836</c:v>
                </c:pt>
                <c:pt idx="2216">
                  <c:v>54843</c:v>
                </c:pt>
                <c:pt idx="2217">
                  <c:v>54850</c:v>
                </c:pt>
                <c:pt idx="2218">
                  <c:v>54857</c:v>
                </c:pt>
                <c:pt idx="2219">
                  <c:v>54864</c:v>
                </c:pt>
                <c:pt idx="2220">
                  <c:v>54871</c:v>
                </c:pt>
                <c:pt idx="2221">
                  <c:v>54878</c:v>
                </c:pt>
                <c:pt idx="2222">
                  <c:v>54885</c:v>
                </c:pt>
                <c:pt idx="2223">
                  <c:v>54892</c:v>
                </c:pt>
                <c:pt idx="2224">
                  <c:v>54899</c:v>
                </c:pt>
                <c:pt idx="2225">
                  <c:v>54906</c:v>
                </c:pt>
                <c:pt idx="2226">
                  <c:v>54913</c:v>
                </c:pt>
                <c:pt idx="2227">
                  <c:v>54920</c:v>
                </c:pt>
                <c:pt idx="2228">
                  <c:v>54927</c:v>
                </c:pt>
                <c:pt idx="2229">
                  <c:v>54934</c:v>
                </c:pt>
                <c:pt idx="2230">
                  <c:v>54941</c:v>
                </c:pt>
                <c:pt idx="2231">
                  <c:v>54948</c:v>
                </c:pt>
                <c:pt idx="2232">
                  <c:v>54955</c:v>
                </c:pt>
                <c:pt idx="2233">
                  <c:v>54962</c:v>
                </c:pt>
                <c:pt idx="2234">
                  <c:v>54969</c:v>
                </c:pt>
                <c:pt idx="2235">
                  <c:v>54976</c:v>
                </c:pt>
                <c:pt idx="2236">
                  <c:v>54983</c:v>
                </c:pt>
                <c:pt idx="2237">
                  <c:v>54990</c:v>
                </c:pt>
                <c:pt idx="2238">
                  <c:v>54997</c:v>
                </c:pt>
                <c:pt idx="2239">
                  <c:v>55004</c:v>
                </c:pt>
                <c:pt idx="2240">
                  <c:v>55011</c:v>
                </c:pt>
                <c:pt idx="2241">
                  <c:v>55018</c:v>
                </c:pt>
                <c:pt idx="2242">
                  <c:v>55025</c:v>
                </c:pt>
                <c:pt idx="2243">
                  <c:v>55032</c:v>
                </c:pt>
                <c:pt idx="2244">
                  <c:v>55039</c:v>
                </c:pt>
                <c:pt idx="2245">
                  <c:v>55046</c:v>
                </c:pt>
                <c:pt idx="2246">
                  <c:v>55053</c:v>
                </c:pt>
                <c:pt idx="2247">
                  <c:v>55060</c:v>
                </c:pt>
                <c:pt idx="2248">
                  <c:v>55067</c:v>
                </c:pt>
                <c:pt idx="2249">
                  <c:v>55074</c:v>
                </c:pt>
                <c:pt idx="2250">
                  <c:v>55081</c:v>
                </c:pt>
                <c:pt idx="2251">
                  <c:v>55088</c:v>
                </c:pt>
                <c:pt idx="2252">
                  <c:v>55095</c:v>
                </c:pt>
                <c:pt idx="2253">
                  <c:v>55102</c:v>
                </c:pt>
                <c:pt idx="2254">
                  <c:v>55109</c:v>
                </c:pt>
                <c:pt idx="2255">
                  <c:v>55116</c:v>
                </c:pt>
                <c:pt idx="2256">
                  <c:v>55123</c:v>
                </c:pt>
                <c:pt idx="2257">
                  <c:v>55130</c:v>
                </c:pt>
                <c:pt idx="2258">
                  <c:v>55137</c:v>
                </c:pt>
                <c:pt idx="2259">
                  <c:v>55144</c:v>
                </c:pt>
                <c:pt idx="2260">
                  <c:v>55151</c:v>
                </c:pt>
                <c:pt idx="2261">
                  <c:v>55158</c:v>
                </c:pt>
                <c:pt idx="2262">
                  <c:v>55165</c:v>
                </c:pt>
                <c:pt idx="2263">
                  <c:v>55172</c:v>
                </c:pt>
                <c:pt idx="2264">
                  <c:v>55180</c:v>
                </c:pt>
                <c:pt idx="2265">
                  <c:v>55187</c:v>
                </c:pt>
                <c:pt idx="2266">
                  <c:v>55194</c:v>
                </c:pt>
                <c:pt idx="2267">
                  <c:v>55201</c:v>
                </c:pt>
                <c:pt idx="2268">
                  <c:v>55208</c:v>
                </c:pt>
                <c:pt idx="2269">
                  <c:v>55215</c:v>
                </c:pt>
                <c:pt idx="2270">
                  <c:v>55222</c:v>
                </c:pt>
                <c:pt idx="2271">
                  <c:v>55229</c:v>
                </c:pt>
                <c:pt idx="2272">
                  <c:v>55236</c:v>
                </c:pt>
                <c:pt idx="2273">
                  <c:v>55247</c:v>
                </c:pt>
                <c:pt idx="2274">
                  <c:v>55254</c:v>
                </c:pt>
                <c:pt idx="2275">
                  <c:v>55261</c:v>
                </c:pt>
                <c:pt idx="2276">
                  <c:v>55269</c:v>
                </c:pt>
                <c:pt idx="2277">
                  <c:v>55276</c:v>
                </c:pt>
                <c:pt idx="2278">
                  <c:v>55283</c:v>
                </c:pt>
                <c:pt idx="2279">
                  <c:v>55290</c:v>
                </c:pt>
                <c:pt idx="2280">
                  <c:v>55297</c:v>
                </c:pt>
                <c:pt idx="2281">
                  <c:v>55304</c:v>
                </c:pt>
                <c:pt idx="2282">
                  <c:v>55311</c:v>
                </c:pt>
                <c:pt idx="2283">
                  <c:v>55318</c:v>
                </c:pt>
                <c:pt idx="2284">
                  <c:v>55325</c:v>
                </c:pt>
                <c:pt idx="2285">
                  <c:v>55332</c:v>
                </c:pt>
                <c:pt idx="2286">
                  <c:v>55339</c:v>
                </c:pt>
                <c:pt idx="2287">
                  <c:v>55346</c:v>
                </c:pt>
                <c:pt idx="2288">
                  <c:v>55353</c:v>
                </c:pt>
                <c:pt idx="2289">
                  <c:v>55360</c:v>
                </c:pt>
                <c:pt idx="2290">
                  <c:v>55367</c:v>
                </c:pt>
                <c:pt idx="2291">
                  <c:v>55374</c:v>
                </c:pt>
                <c:pt idx="2292">
                  <c:v>55381</c:v>
                </c:pt>
                <c:pt idx="2293">
                  <c:v>55388</c:v>
                </c:pt>
                <c:pt idx="2294">
                  <c:v>55395</c:v>
                </c:pt>
                <c:pt idx="2295">
                  <c:v>55402</c:v>
                </c:pt>
                <c:pt idx="2296">
                  <c:v>55409</c:v>
                </c:pt>
                <c:pt idx="2297">
                  <c:v>55416</c:v>
                </c:pt>
                <c:pt idx="2298">
                  <c:v>55423</c:v>
                </c:pt>
                <c:pt idx="2299">
                  <c:v>55430</c:v>
                </c:pt>
                <c:pt idx="2300">
                  <c:v>55437</c:v>
                </c:pt>
                <c:pt idx="2301">
                  <c:v>55444</c:v>
                </c:pt>
                <c:pt idx="2302">
                  <c:v>55451</c:v>
                </c:pt>
                <c:pt idx="2303">
                  <c:v>55458</c:v>
                </c:pt>
                <c:pt idx="2304">
                  <c:v>55465</c:v>
                </c:pt>
                <c:pt idx="2305">
                  <c:v>55472</c:v>
                </c:pt>
                <c:pt idx="2306">
                  <c:v>55479</c:v>
                </c:pt>
                <c:pt idx="2307">
                  <c:v>55486</c:v>
                </c:pt>
                <c:pt idx="2308">
                  <c:v>55493</c:v>
                </c:pt>
                <c:pt idx="2309">
                  <c:v>55500</c:v>
                </c:pt>
                <c:pt idx="2310">
                  <c:v>55507</c:v>
                </c:pt>
                <c:pt idx="2311">
                  <c:v>55514</c:v>
                </c:pt>
                <c:pt idx="2312">
                  <c:v>55521</c:v>
                </c:pt>
                <c:pt idx="2313">
                  <c:v>55528</c:v>
                </c:pt>
                <c:pt idx="2314">
                  <c:v>55535</c:v>
                </c:pt>
                <c:pt idx="2315">
                  <c:v>55542</c:v>
                </c:pt>
                <c:pt idx="2316">
                  <c:v>55549</c:v>
                </c:pt>
                <c:pt idx="2317">
                  <c:v>55556</c:v>
                </c:pt>
                <c:pt idx="2318">
                  <c:v>55563</c:v>
                </c:pt>
                <c:pt idx="2319">
                  <c:v>55570</c:v>
                </c:pt>
                <c:pt idx="2320">
                  <c:v>55577</c:v>
                </c:pt>
                <c:pt idx="2321">
                  <c:v>55584</c:v>
                </c:pt>
                <c:pt idx="2322">
                  <c:v>55591</c:v>
                </c:pt>
                <c:pt idx="2323">
                  <c:v>55598</c:v>
                </c:pt>
                <c:pt idx="2324">
                  <c:v>55605</c:v>
                </c:pt>
                <c:pt idx="2325">
                  <c:v>55612</c:v>
                </c:pt>
                <c:pt idx="2326">
                  <c:v>55619</c:v>
                </c:pt>
                <c:pt idx="2327">
                  <c:v>55626</c:v>
                </c:pt>
                <c:pt idx="2328">
                  <c:v>55633</c:v>
                </c:pt>
                <c:pt idx="2329">
                  <c:v>55640</c:v>
                </c:pt>
                <c:pt idx="2330">
                  <c:v>55647</c:v>
                </c:pt>
                <c:pt idx="2331">
                  <c:v>55654</c:v>
                </c:pt>
                <c:pt idx="2332">
                  <c:v>55661</c:v>
                </c:pt>
                <c:pt idx="2333">
                  <c:v>55668</c:v>
                </c:pt>
                <c:pt idx="2334">
                  <c:v>55675</c:v>
                </c:pt>
                <c:pt idx="2335">
                  <c:v>55682</c:v>
                </c:pt>
                <c:pt idx="2336">
                  <c:v>55689</c:v>
                </c:pt>
                <c:pt idx="2337">
                  <c:v>55696</c:v>
                </c:pt>
                <c:pt idx="2338">
                  <c:v>55703</c:v>
                </c:pt>
                <c:pt idx="2339">
                  <c:v>55710</c:v>
                </c:pt>
                <c:pt idx="2340">
                  <c:v>55717</c:v>
                </c:pt>
                <c:pt idx="2341">
                  <c:v>55724</c:v>
                </c:pt>
                <c:pt idx="2342">
                  <c:v>55731</c:v>
                </c:pt>
                <c:pt idx="2343">
                  <c:v>55738</c:v>
                </c:pt>
                <c:pt idx="2344">
                  <c:v>55745</c:v>
                </c:pt>
                <c:pt idx="2345">
                  <c:v>55752</c:v>
                </c:pt>
                <c:pt idx="2346">
                  <c:v>55759</c:v>
                </c:pt>
                <c:pt idx="2347">
                  <c:v>55766</c:v>
                </c:pt>
                <c:pt idx="2348">
                  <c:v>55773</c:v>
                </c:pt>
                <c:pt idx="2349">
                  <c:v>55780</c:v>
                </c:pt>
                <c:pt idx="2350">
                  <c:v>55787</c:v>
                </c:pt>
                <c:pt idx="2351">
                  <c:v>55794</c:v>
                </c:pt>
                <c:pt idx="2352">
                  <c:v>55801</c:v>
                </c:pt>
                <c:pt idx="2353">
                  <c:v>55808</c:v>
                </c:pt>
                <c:pt idx="2354">
                  <c:v>55815</c:v>
                </c:pt>
                <c:pt idx="2355">
                  <c:v>55822</c:v>
                </c:pt>
                <c:pt idx="2356">
                  <c:v>55829</c:v>
                </c:pt>
                <c:pt idx="2357">
                  <c:v>55836</c:v>
                </c:pt>
                <c:pt idx="2358">
                  <c:v>55843</c:v>
                </c:pt>
                <c:pt idx="2359">
                  <c:v>55850</c:v>
                </c:pt>
                <c:pt idx="2360">
                  <c:v>55857</c:v>
                </c:pt>
                <c:pt idx="2361">
                  <c:v>55864</c:v>
                </c:pt>
                <c:pt idx="2362">
                  <c:v>55871</c:v>
                </c:pt>
                <c:pt idx="2363">
                  <c:v>55880</c:v>
                </c:pt>
                <c:pt idx="2364">
                  <c:v>55887</c:v>
                </c:pt>
                <c:pt idx="2365">
                  <c:v>55894</c:v>
                </c:pt>
                <c:pt idx="2366">
                  <c:v>55901</c:v>
                </c:pt>
                <c:pt idx="2367">
                  <c:v>55908</c:v>
                </c:pt>
                <c:pt idx="2368">
                  <c:v>55915</c:v>
                </c:pt>
                <c:pt idx="2369">
                  <c:v>55922</c:v>
                </c:pt>
                <c:pt idx="2370">
                  <c:v>55929</c:v>
                </c:pt>
                <c:pt idx="2371">
                  <c:v>55936</c:v>
                </c:pt>
                <c:pt idx="2372">
                  <c:v>55943</c:v>
                </c:pt>
                <c:pt idx="2373">
                  <c:v>55950</c:v>
                </c:pt>
                <c:pt idx="2374">
                  <c:v>55957</c:v>
                </c:pt>
                <c:pt idx="2375">
                  <c:v>55964</c:v>
                </c:pt>
                <c:pt idx="2376">
                  <c:v>55971</c:v>
                </c:pt>
                <c:pt idx="2377">
                  <c:v>55982</c:v>
                </c:pt>
                <c:pt idx="2378">
                  <c:v>55989</c:v>
                </c:pt>
                <c:pt idx="2379">
                  <c:v>55996</c:v>
                </c:pt>
                <c:pt idx="2380">
                  <c:v>56003</c:v>
                </c:pt>
                <c:pt idx="2381">
                  <c:v>56010</c:v>
                </c:pt>
                <c:pt idx="2382">
                  <c:v>56017</c:v>
                </c:pt>
                <c:pt idx="2383">
                  <c:v>56024</c:v>
                </c:pt>
                <c:pt idx="2384">
                  <c:v>56031</c:v>
                </c:pt>
                <c:pt idx="2385">
                  <c:v>56038</c:v>
                </c:pt>
                <c:pt idx="2386">
                  <c:v>56045</c:v>
                </c:pt>
                <c:pt idx="2387">
                  <c:v>56052</c:v>
                </c:pt>
                <c:pt idx="2388">
                  <c:v>56059</c:v>
                </c:pt>
                <c:pt idx="2389">
                  <c:v>56066</c:v>
                </c:pt>
                <c:pt idx="2390">
                  <c:v>56073</c:v>
                </c:pt>
                <c:pt idx="2391">
                  <c:v>56080</c:v>
                </c:pt>
                <c:pt idx="2392">
                  <c:v>56087</c:v>
                </c:pt>
                <c:pt idx="2393">
                  <c:v>56094</c:v>
                </c:pt>
                <c:pt idx="2394">
                  <c:v>56101</c:v>
                </c:pt>
                <c:pt idx="2395">
                  <c:v>56108</c:v>
                </c:pt>
                <c:pt idx="2396">
                  <c:v>56115</c:v>
                </c:pt>
                <c:pt idx="2397">
                  <c:v>56122</c:v>
                </c:pt>
                <c:pt idx="2398">
                  <c:v>56129</c:v>
                </c:pt>
                <c:pt idx="2399">
                  <c:v>56136</c:v>
                </c:pt>
                <c:pt idx="2400">
                  <c:v>56143</c:v>
                </c:pt>
                <c:pt idx="2401">
                  <c:v>56150</c:v>
                </c:pt>
                <c:pt idx="2402">
                  <c:v>56157</c:v>
                </c:pt>
                <c:pt idx="2403">
                  <c:v>56164</c:v>
                </c:pt>
                <c:pt idx="2404">
                  <c:v>56171</c:v>
                </c:pt>
                <c:pt idx="2405">
                  <c:v>56178</c:v>
                </c:pt>
                <c:pt idx="2406">
                  <c:v>56185</c:v>
                </c:pt>
                <c:pt idx="2407">
                  <c:v>56192</c:v>
                </c:pt>
                <c:pt idx="2408">
                  <c:v>56199</c:v>
                </c:pt>
                <c:pt idx="2409">
                  <c:v>56206</c:v>
                </c:pt>
                <c:pt idx="2410">
                  <c:v>56213</c:v>
                </c:pt>
                <c:pt idx="2411">
                  <c:v>56220</c:v>
                </c:pt>
                <c:pt idx="2412">
                  <c:v>56227</c:v>
                </c:pt>
                <c:pt idx="2413">
                  <c:v>56234</c:v>
                </c:pt>
                <c:pt idx="2414">
                  <c:v>56241</c:v>
                </c:pt>
                <c:pt idx="2415">
                  <c:v>56248</c:v>
                </c:pt>
                <c:pt idx="2416">
                  <c:v>56255</c:v>
                </c:pt>
                <c:pt idx="2417">
                  <c:v>56262</c:v>
                </c:pt>
                <c:pt idx="2418">
                  <c:v>56269</c:v>
                </c:pt>
                <c:pt idx="2419">
                  <c:v>56276</c:v>
                </c:pt>
                <c:pt idx="2420">
                  <c:v>56283</c:v>
                </c:pt>
                <c:pt idx="2421">
                  <c:v>56290</c:v>
                </c:pt>
                <c:pt idx="2422">
                  <c:v>56297</c:v>
                </c:pt>
                <c:pt idx="2423">
                  <c:v>56304</c:v>
                </c:pt>
                <c:pt idx="2424">
                  <c:v>56311</c:v>
                </c:pt>
                <c:pt idx="2425">
                  <c:v>56318</c:v>
                </c:pt>
                <c:pt idx="2426">
                  <c:v>56325</c:v>
                </c:pt>
                <c:pt idx="2427">
                  <c:v>56332</c:v>
                </c:pt>
                <c:pt idx="2428">
                  <c:v>56339</c:v>
                </c:pt>
                <c:pt idx="2429">
                  <c:v>56346</c:v>
                </c:pt>
                <c:pt idx="2430">
                  <c:v>56353</c:v>
                </c:pt>
                <c:pt idx="2431">
                  <c:v>56360</c:v>
                </c:pt>
                <c:pt idx="2432">
                  <c:v>56367</c:v>
                </c:pt>
                <c:pt idx="2433">
                  <c:v>56374</c:v>
                </c:pt>
                <c:pt idx="2434">
                  <c:v>56381</c:v>
                </c:pt>
                <c:pt idx="2435">
                  <c:v>56388</c:v>
                </c:pt>
                <c:pt idx="2436">
                  <c:v>56395</c:v>
                </c:pt>
                <c:pt idx="2437">
                  <c:v>56402</c:v>
                </c:pt>
                <c:pt idx="2438">
                  <c:v>56409</c:v>
                </c:pt>
                <c:pt idx="2439">
                  <c:v>56416</c:v>
                </c:pt>
                <c:pt idx="2440">
                  <c:v>56423</c:v>
                </c:pt>
                <c:pt idx="2441">
                  <c:v>56430</c:v>
                </c:pt>
                <c:pt idx="2442">
                  <c:v>56437</c:v>
                </c:pt>
                <c:pt idx="2443">
                  <c:v>56444</c:v>
                </c:pt>
                <c:pt idx="2444">
                  <c:v>56451</c:v>
                </c:pt>
                <c:pt idx="2445">
                  <c:v>56458</c:v>
                </c:pt>
                <c:pt idx="2446">
                  <c:v>56465</c:v>
                </c:pt>
                <c:pt idx="2447">
                  <c:v>56472</c:v>
                </c:pt>
                <c:pt idx="2448">
                  <c:v>56479</c:v>
                </c:pt>
                <c:pt idx="2449">
                  <c:v>56486</c:v>
                </c:pt>
                <c:pt idx="2450">
                  <c:v>56493</c:v>
                </c:pt>
                <c:pt idx="2451">
                  <c:v>56500</c:v>
                </c:pt>
                <c:pt idx="2452">
                  <c:v>56507</c:v>
                </c:pt>
                <c:pt idx="2453">
                  <c:v>56514</c:v>
                </c:pt>
                <c:pt idx="2454">
                  <c:v>56521</c:v>
                </c:pt>
                <c:pt idx="2455">
                  <c:v>56528</c:v>
                </c:pt>
                <c:pt idx="2456">
                  <c:v>56535</c:v>
                </c:pt>
                <c:pt idx="2457">
                  <c:v>56542</c:v>
                </c:pt>
                <c:pt idx="2458">
                  <c:v>56549</c:v>
                </c:pt>
                <c:pt idx="2459">
                  <c:v>56556</c:v>
                </c:pt>
                <c:pt idx="2460">
                  <c:v>56563</c:v>
                </c:pt>
                <c:pt idx="2461">
                  <c:v>56570</c:v>
                </c:pt>
                <c:pt idx="2462">
                  <c:v>56577</c:v>
                </c:pt>
                <c:pt idx="2463">
                  <c:v>56584</c:v>
                </c:pt>
                <c:pt idx="2464">
                  <c:v>56591</c:v>
                </c:pt>
                <c:pt idx="2465">
                  <c:v>56598</c:v>
                </c:pt>
                <c:pt idx="2466">
                  <c:v>56605</c:v>
                </c:pt>
                <c:pt idx="2467">
                  <c:v>56612</c:v>
                </c:pt>
                <c:pt idx="2468">
                  <c:v>56619</c:v>
                </c:pt>
                <c:pt idx="2469">
                  <c:v>56626</c:v>
                </c:pt>
                <c:pt idx="2470">
                  <c:v>56633</c:v>
                </c:pt>
                <c:pt idx="2471">
                  <c:v>56641</c:v>
                </c:pt>
                <c:pt idx="2472">
                  <c:v>56648</c:v>
                </c:pt>
                <c:pt idx="2473">
                  <c:v>56655</c:v>
                </c:pt>
                <c:pt idx="2474">
                  <c:v>56662</c:v>
                </c:pt>
                <c:pt idx="2475">
                  <c:v>56669</c:v>
                </c:pt>
                <c:pt idx="2476">
                  <c:v>56676</c:v>
                </c:pt>
                <c:pt idx="2477">
                  <c:v>56683</c:v>
                </c:pt>
                <c:pt idx="2478">
                  <c:v>56690</c:v>
                </c:pt>
                <c:pt idx="2479">
                  <c:v>56697</c:v>
                </c:pt>
                <c:pt idx="2480">
                  <c:v>56704</c:v>
                </c:pt>
                <c:pt idx="2481">
                  <c:v>56711</c:v>
                </c:pt>
                <c:pt idx="2482">
                  <c:v>56718</c:v>
                </c:pt>
                <c:pt idx="2483">
                  <c:v>56725</c:v>
                </c:pt>
                <c:pt idx="2484">
                  <c:v>56732</c:v>
                </c:pt>
                <c:pt idx="2485">
                  <c:v>56739</c:v>
                </c:pt>
                <c:pt idx="2486">
                  <c:v>56746</c:v>
                </c:pt>
                <c:pt idx="2487">
                  <c:v>56753</c:v>
                </c:pt>
                <c:pt idx="2488">
                  <c:v>56760</c:v>
                </c:pt>
                <c:pt idx="2489">
                  <c:v>56767</c:v>
                </c:pt>
                <c:pt idx="2490">
                  <c:v>56774</c:v>
                </c:pt>
                <c:pt idx="2491">
                  <c:v>56781</c:v>
                </c:pt>
                <c:pt idx="2492">
                  <c:v>56788</c:v>
                </c:pt>
                <c:pt idx="2493">
                  <c:v>56795</c:v>
                </c:pt>
                <c:pt idx="2494">
                  <c:v>56802</c:v>
                </c:pt>
                <c:pt idx="2495">
                  <c:v>56809</c:v>
                </c:pt>
                <c:pt idx="2496">
                  <c:v>56816</c:v>
                </c:pt>
                <c:pt idx="2497">
                  <c:v>56823</c:v>
                </c:pt>
                <c:pt idx="2498">
                  <c:v>56830</c:v>
                </c:pt>
                <c:pt idx="2499">
                  <c:v>56837</c:v>
                </c:pt>
                <c:pt idx="2500">
                  <c:v>56844</c:v>
                </c:pt>
                <c:pt idx="2501">
                  <c:v>56851</c:v>
                </c:pt>
                <c:pt idx="2502">
                  <c:v>56858</c:v>
                </c:pt>
                <c:pt idx="2503">
                  <c:v>56865</c:v>
                </c:pt>
                <c:pt idx="2504">
                  <c:v>56872</c:v>
                </c:pt>
                <c:pt idx="2505">
                  <c:v>56879</c:v>
                </c:pt>
                <c:pt idx="2506">
                  <c:v>56886</c:v>
                </c:pt>
                <c:pt idx="2507">
                  <c:v>56893</c:v>
                </c:pt>
                <c:pt idx="2508">
                  <c:v>56900</c:v>
                </c:pt>
                <c:pt idx="2509">
                  <c:v>56907</c:v>
                </c:pt>
                <c:pt idx="2510">
                  <c:v>56914</c:v>
                </c:pt>
                <c:pt idx="2511">
                  <c:v>56921</c:v>
                </c:pt>
                <c:pt idx="2512">
                  <c:v>56928</c:v>
                </c:pt>
                <c:pt idx="2513">
                  <c:v>56935</c:v>
                </c:pt>
                <c:pt idx="2514">
                  <c:v>56942</c:v>
                </c:pt>
                <c:pt idx="2515">
                  <c:v>56949</c:v>
                </c:pt>
                <c:pt idx="2516">
                  <c:v>56956</c:v>
                </c:pt>
                <c:pt idx="2517">
                  <c:v>56963</c:v>
                </c:pt>
                <c:pt idx="2518">
                  <c:v>56970</c:v>
                </c:pt>
                <c:pt idx="2519">
                  <c:v>56977</c:v>
                </c:pt>
                <c:pt idx="2520">
                  <c:v>56984</c:v>
                </c:pt>
                <c:pt idx="2521">
                  <c:v>56991</c:v>
                </c:pt>
                <c:pt idx="2522">
                  <c:v>56998</c:v>
                </c:pt>
                <c:pt idx="2523">
                  <c:v>57006</c:v>
                </c:pt>
                <c:pt idx="2524">
                  <c:v>57013</c:v>
                </c:pt>
                <c:pt idx="2525">
                  <c:v>57020</c:v>
                </c:pt>
                <c:pt idx="2526">
                  <c:v>57027</c:v>
                </c:pt>
                <c:pt idx="2527">
                  <c:v>57034</c:v>
                </c:pt>
                <c:pt idx="2528">
                  <c:v>57041</c:v>
                </c:pt>
                <c:pt idx="2529">
                  <c:v>57048</c:v>
                </c:pt>
                <c:pt idx="2530">
                  <c:v>57055</c:v>
                </c:pt>
                <c:pt idx="2531">
                  <c:v>57062</c:v>
                </c:pt>
                <c:pt idx="2532">
                  <c:v>57069</c:v>
                </c:pt>
                <c:pt idx="2533">
                  <c:v>57076</c:v>
                </c:pt>
                <c:pt idx="2534">
                  <c:v>57083</c:v>
                </c:pt>
                <c:pt idx="2535">
                  <c:v>57090</c:v>
                </c:pt>
                <c:pt idx="2536">
                  <c:v>57097</c:v>
                </c:pt>
                <c:pt idx="2537">
                  <c:v>57104</c:v>
                </c:pt>
                <c:pt idx="2538">
                  <c:v>57111</c:v>
                </c:pt>
                <c:pt idx="2539">
                  <c:v>57118</c:v>
                </c:pt>
                <c:pt idx="2540">
                  <c:v>57125</c:v>
                </c:pt>
                <c:pt idx="2541">
                  <c:v>57132</c:v>
                </c:pt>
                <c:pt idx="2542">
                  <c:v>57139</c:v>
                </c:pt>
                <c:pt idx="2543">
                  <c:v>57146</c:v>
                </c:pt>
                <c:pt idx="2544">
                  <c:v>57153</c:v>
                </c:pt>
                <c:pt idx="2545">
                  <c:v>57160</c:v>
                </c:pt>
                <c:pt idx="2546">
                  <c:v>57167</c:v>
                </c:pt>
                <c:pt idx="2547">
                  <c:v>57174</c:v>
                </c:pt>
                <c:pt idx="2548">
                  <c:v>57181</c:v>
                </c:pt>
                <c:pt idx="2549">
                  <c:v>57188</c:v>
                </c:pt>
                <c:pt idx="2550">
                  <c:v>57195</c:v>
                </c:pt>
                <c:pt idx="2551">
                  <c:v>57202</c:v>
                </c:pt>
                <c:pt idx="2552">
                  <c:v>57209</c:v>
                </c:pt>
                <c:pt idx="2553">
                  <c:v>57216</c:v>
                </c:pt>
                <c:pt idx="2554">
                  <c:v>57223</c:v>
                </c:pt>
                <c:pt idx="2555">
                  <c:v>57230</c:v>
                </c:pt>
                <c:pt idx="2556">
                  <c:v>57237</c:v>
                </c:pt>
                <c:pt idx="2557">
                  <c:v>57244</c:v>
                </c:pt>
                <c:pt idx="2558">
                  <c:v>57251</c:v>
                </c:pt>
                <c:pt idx="2559">
                  <c:v>57258</c:v>
                </c:pt>
                <c:pt idx="2560">
                  <c:v>57265</c:v>
                </c:pt>
                <c:pt idx="2561">
                  <c:v>57272</c:v>
                </c:pt>
                <c:pt idx="2562">
                  <c:v>57279</c:v>
                </c:pt>
                <c:pt idx="2563">
                  <c:v>57286</c:v>
                </c:pt>
                <c:pt idx="2564">
                  <c:v>57293</c:v>
                </c:pt>
                <c:pt idx="2565">
                  <c:v>57300</c:v>
                </c:pt>
                <c:pt idx="2566">
                  <c:v>57307</c:v>
                </c:pt>
                <c:pt idx="2567">
                  <c:v>57314</c:v>
                </c:pt>
                <c:pt idx="2568">
                  <c:v>57321</c:v>
                </c:pt>
                <c:pt idx="2569">
                  <c:v>57328</c:v>
                </c:pt>
                <c:pt idx="2570">
                  <c:v>57335</c:v>
                </c:pt>
                <c:pt idx="2571">
                  <c:v>57342</c:v>
                </c:pt>
                <c:pt idx="2572">
                  <c:v>57349</c:v>
                </c:pt>
                <c:pt idx="2573">
                  <c:v>57356</c:v>
                </c:pt>
                <c:pt idx="2574">
                  <c:v>57363</c:v>
                </c:pt>
                <c:pt idx="2575">
                  <c:v>57370</c:v>
                </c:pt>
                <c:pt idx="2576">
                  <c:v>57377</c:v>
                </c:pt>
                <c:pt idx="2577">
                  <c:v>57384</c:v>
                </c:pt>
                <c:pt idx="2578">
                  <c:v>57391</c:v>
                </c:pt>
                <c:pt idx="2579">
                  <c:v>57398</c:v>
                </c:pt>
                <c:pt idx="2580">
                  <c:v>57405</c:v>
                </c:pt>
                <c:pt idx="2581">
                  <c:v>57412</c:v>
                </c:pt>
                <c:pt idx="2582">
                  <c:v>57419</c:v>
                </c:pt>
                <c:pt idx="2583">
                  <c:v>57426</c:v>
                </c:pt>
                <c:pt idx="2584">
                  <c:v>57433</c:v>
                </c:pt>
                <c:pt idx="2585">
                  <c:v>57440</c:v>
                </c:pt>
                <c:pt idx="2586">
                  <c:v>57447</c:v>
                </c:pt>
                <c:pt idx="2587">
                  <c:v>57454</c:v>
                </c:pt>
                <c:pt idx="2588">
                  <c:v>57461</c:v>
                </c:pt>
                <c:pt idx="2589">
                  <c:v>57468</c:v>
                </c:pt>
                <c:pt idx="2590">
                  <c:v>57475</c:v>
                </c:pt>
                <c:pt idx="2591">
                  <c:v>57482</c:v>
                </c:pt>
                <c:pt idx="2592">
                  <c:v>57489</c:v>
                </c:pt>
                <c:pt idx="2593">
                  <c:v>57496</c:v>
                </c:pt>
                <c:pt idx="2594">
                  <c:v>57503</c:v>
                </c:pt>
                <c:pt idx="2595">
                  <c:v>57510</c:v>
                </c:pt>
                <c:pt idx="2596">
                  <c:v>57517</c:v>
                </c:pt>
                <c:pt idx="2597">
                  <c:v>57524</c:v>
                </c:pt>
                <c:pt idx="2598">
                  <c:v>57531</c:v>
                </c:pt>
                <c:pt idx="2599">
                  <c:v>57538</c:v>
                </c:pt>
                <c:pt idx="2600">
                  <c:v>57545</c:v>
                </c:pt>
                <c:pt idx="2601">
                  <c:v>57552</c:v>
                </c:pt>
                <c:pt idx="2602">
                  <c:v>57559</c:v>
                </c:pt>
                <c:pt idx="2603">
                  <c:v>57566</c:v>
                </c:pt>
                <c:pt idx="2604">
                  <c:v>57573</c:v>
                </c:pt>
                <c:pt idx="2605">
                  <c:v>57580</c:v>
                </c:pt>
                <c:pt idx="2606">
                  <c:v>57587</c:v>
                </c:pt>
                <c:pt idx="2607">
                  <c:v>57594</c:v>
                </c:pt>
                <c:pt idx="2608">
                  <c:v>57601</c:v>
                </c:pt>
                <c:pt idx="2609">
                  <c:v>57608</c:v>
                </c:pt>
                <c:pt idx="2610">
                  <c:v>57615</c:v>
                </c:pt>
                <c:pt idx="2611">
                  <c:v>57622</c:v>
                </c:pt>
                <c:pt idx="2612">
                  <c:v>57629</c:v>
                </c:pt>
                <c:pt idx="2613">
                  <c:v>57636</c:v>
                </c:pt>
                <c:pt idx="2614">
                  <c:v>57643</c:v>
                </c:pt>
                <c:pt idx="2615">
                  <c:v>57650</c:v>
                </c:pt>
                <c:pt idx="2616">
                  <c:v>57657</c:v>
                </c:pt>
                <c:pt idx="2617">
                  <c:v>57664</c:v>
                </c:pt>
                <c:pt idx="2618">
                  <c:v>57671</c:v>
                </c:pt>
                <c:pt idx="2619">
                  <c:v>57678</c:v>
                </c:pt>
                <c:pt idx="2620">
                  <c:v>57685</c:v>
                </c:pt>
                <c:pt idx="2621">
                  <c:v>57692</c:v>
                </c:pt>
                <c:pt idx="2622">
                  <c:v>57699</c:v>
                </c:pt>
                <c:pt idx="2623">
                  <c:v>57706</c:v>
                </c:pt>
                <c:pt idx="2624">
                  <c:v>57713</c:v>
                </c:pt>
                <c:pt idx="2625">
                  <c:v>57720</c:v>
                </c:pt>
                <c:pt idx="2626">
                  <c:v>57727</c:v>
                </c:pt>
                <c:pt idx="2627">
                  <c:v>57734</c:v>
                </c:pt>
                <c:pt idx="2628">
                  <c:v>57741</c:v>
                </c:pt>
                <c:pt idx="2629">
                  <c:v>57748</c:v>
                </c:pt>
                <c:pt idx="2630">
                  <c:v>57755</c:v>
                </c:pt>
                <c:pt idx="2631">
                  <c:v>57762</c:v>
                </c:pt>
                <c:pt idx="2632">
                  <c:v>57769</c:v>
                </c:pt>
                <c:pt idx="2633">
                  <c:v>57776</c:v>
                </c:pt>
                <c:pt idx="2634">
                  <c:v>57783</c:v>
                </c:pt>
                <c:pt idx="2635">
                  <c:v>57790</c:v>
                </c:pt>
                <c:pt idx="2636">
                  <c:v>57797</c:v>
                </c:pt>
                <c:pt idx="2637">
                  <c:v>57804</c:v>
                </c:pt>
                <c:pt idx="2638">
                  <c:v>57811</c:v>
                </c:pt>
                <c:pt idx="2639">
                  <c:v>57818</c:v>
                </c:pt>
                <c:pt idx="2640">
                  <c:v>57826</c:v>
                </c:pt>
                <c:pt idx="2641">
                  <c:v>57833</c:v>
                </c:pt>
                <c:pt idx="2642">
                  <c:v>57840</c:v>
                </c:pt>
                <c:pt idx="2643">
                  <c:v>57847</c:v>
                </c:pt>
                <c:pt idx="2644">
                  <c:v>57854</c:v>
                </c:pt>
                <c:pt idx="2645">
                  <c:v>57861</c:v>
                </c:pt>
                <c:pt idx="2646">
                  <c:v>57868</c:v>
                </c:pt>
                <c:pt idx="2647">
                  <c:v>57875</c:v>
                </c:pt>
                <c:pt idx="2648">
                  <c:v>57882</c:v>
                </c:pt>
                <c:pt idx="2649">
                  <c:v>57889</c:v>
                </c:pt>
                <c:pt idx="2650">
                  <c:v>57896</c:v>
                </c:pt>
                <c:pt idx="2651">
                  <c:v>57903</c:v>
                </c:pt>
                <c:pt idx="2652">
                  <c:v>57910</c:v>
                </c:pt>
                <c:pt idx="2653">
                  <c:v>57917</c:v>
                </c:pt>
                <c:pt idx="2654">
                  <c:v>57924</c:v>
                </c:pt>
                <c:pt idx="2655">
                  <c:v>57931</c:v>
                </c:pt>
                <c:pt idx="2656">
                  <c:v>57938</c:v>
                </c:pt>
                <c:pt idx="2657">
                  <c:v>57945</c:v>
                </c:pt>
                <c:pt idx="2658">
                  <c:v>57952</c:v>
                </c:pt>
                <c:pt idx="2659">
                  <c:v>57959</c:v>
                </c:pt>
                <c:pt idx="2660">
                  <c:v>57966</c:v>
                </c:pt>
                <c:pt idx="2661">
                  <c:v>57973</c:v>
                </c:pt>
                <c:pt idx="2662">
                  <c:v>57980</c:v>
                </c:pt>
                <c:pt idx="2663">
                  <c:v>57987</c:v>
                </c:pt>
                <c:pt idx="2664">
                  <c:v>57994</c:v>
                </c:pt>
                <c:pt idx="2665">
                  <c:v>58001</c:v>
                </c:pt>
                <c:pt idx="2666">
                  <c:v>58008</c:v>
                </c:pt>
                <c:pt idx="2667">
                  <c:v>58015</c:v>
                </c:pt>
                <c:pt idx="2668">
                  <c:v>58022</c:v>
                </c:pt>
                <c:pt idx="2669">
                  <c:v>58029</c:v>
                </c:pt>
                <c:pt idx="2670">
                  <c:v>58036</c:v>
                </c:pt>
                <c:pt idx="2671">
                  <c:v>58043</c:v>
                </c:pt>
                <c:pt idx="2672">
                  <c:v>58050</c:v>
                </c:pt>
                <c:pt idx="2673">
                  <c:v>58057</c:v>
                </c:pt>
                <c:pt idx="2674">
                  <c:v>58064</c:v>
                </c:pt>
                <c:pt idx="2675">
                  <c:v>58071</c:v>
                </c:pt>
                <c:pt idx="2676">
                  <c:v>58078</c:v>
                </c:pt>
                <c:pt idx="2677">
                  <c:v>58085</c:v>
                </c:pt>
                <c:pt idx="2678">
                  <c:v>58092</c:v>
                </c:pt>
                <c:pt idx="2679">
                  <c:v>58099</c:v>
                </c:pt>
                <c:pt idx="2680">
                  <c:v>58106</c:v>
                </c:pt>
                <c:pt idx="2681">
                  <c:v>58113</c:v>
                </c:pt>
                <c:pt idx="2682">
                  <c:v>58120</c:v>
                </c:pt>
                <c:pt idx="2683">
                  <c:v>58127</c:v>
                </c:pt>
                <c:pt idx="2684">
                  <c:v>58134</c:v>
                </c:pt>
                <c:pt idx="2685">
                  <c:v>58141</c:v>
                </c:pt>
                <c:pt idx="2686">
                  <c:v>58148</c:v>
                </c:pt>
                <c:pt idx="2687">
                  <c:v>58155</c:v>
                </c:pt>
                <c:pt idx="2688">
                  <c:v>58166</c:v>
                </c:pt>
                <c:pt idx="2689">
                  <c:v>58173</c:v>
                </c:pt>
                <c:pt idx="2690">
                  <c:v>58180</c:v>
                </c:pt>
                <c:pt idx="2691">
                  <c:v>58187</c:v>
                </c:pt>
                <c:pt idx="2692">
                  <c:v>58194</c:v>
                </c:pt>
                <c:pt idx="2693">
                  <c:v>58201</c:v>
                </c:pt>
                <c:pt idx="2694">
                  <c:v>58208</c:v>
                </c:pt>
                <c:pt idx="2695">
                  <c:v>58215</c:v>
                </c:pt>
                <c:pt idx="2696">
                  <c:v>58222</c:v>
                </c:pt>
                <c:pt idx="2697">
                  <c:v>58229</c:v>
                </c:pt>
                <c:pt idx="2698">
                  <c:v>58236</c:v>
                </c:pt>
                <c:pt idx="2699">
                  <c:v>58243</c:v>
                </c:pt>
                <c:pt idx="2700">
                  <c:v>58250</c:v>
                </c:pt>
                <c:pt idx="2701">
                  <c:v>58257</c:v>
                </c:pt>
                <c:pt idx="2702">
                  <c:v>58264</c:v>
                </c:pt>
                <c:pt idx="2703">
                  <c:v>58271</c:v>
                </c:pt>
                <c:pt idx="2704">
                  <c:v>58278</c:v>
                </c:pt>
                <c:pt idx="2705">
                  <c:v>58285</c:v>
                </c:pt>
                <c:pt idx="2706">
                  <c:v>58292</c:v>
                </c:pt>
                <c:pt idx="2707">
                  <c:v>58299</c:v>
                </c:pt>
                <c:pt idx="2708">
                  <c:v>58306</c:v>
                </c:pt>
                <c:pt idx="2709">
                  <c:v>58313</c:v>
                </c:pt>
                <c:pt idx="2710">
                  <c:v>58320</c:v>
                </c:pt>
                <c:pt idx="2711">
                  <c:v>58327</c:v>
                </c:pt>
                <c:pt idx="2712">
                  <c:v>58334</c:v>
                </c:pt>
                <c:pt idx="2713">
                  <c:v>58341</c:v>
                </c:pt>
                <c:pt idx="2714">
                  <c:v>58348</c:v>
                </c:pt>
                <c:pt idx="2715">
                  <c:v>58355</c:v>
                </c:pt>
                <c:pt idx="2716">
                  <c:v>58362</c:v>
                </c:pt>
                <c:pt idx="2717">
                  <c:v>58369</c:v>
                </c:pt>
                <c:pt idx="2718">
                  <c:v>58376</c:v>
                </c:pt>
                <c:pt idx="2719">
                  <c:v>58383</c:v>
                </c:pt>
                <c:pt idx="2720">
                  <c:v>58390</c:v>
                </c:pt>
                <c:pt idx="2721">
                  <c:v>58397</c:v>
                </c:pt>
                <c:pt idx="2722">
                  <c:v>58404</c:v>
                </c:pt>
                <c:pt idx="2723">
                  <c:v>58411</c:v>
                </c:pt>
                <c:pt idx="2724">
                  <c:v>58418</c:v>
                </c:pt>
                <c:pt idx="2725">
                  <c:v>58425</c:v>
                </c:pt>
                <c:pt idx="2726">
                  <c:v>58432</c:v>
                </c:pt>
                <c:pt idx="2727">
                  <c:v>58439</c:v>
                </c:pt>
                <c:pt idx="2728">
                  <c:v>58446</c:v>
                </c:pt>
                <c:pt idx="2729">
                  <c:v>58453</c:v>
                </c:pt>
                <c:pt idx="2730">
                  <c:v>58460</c:v>
                </c:pt>
                <c:pt idx="2731">
                  <c:v>58467</c:v>
                </c:pt>
                <c:pt idx="2732">
                  <c:v>58474</c:v>
                </c:pt>
                <c:pt idx="2733">
                  <c:v>58481</c:v>
                </c:pt>
                <c:pt idx="2734">
                  <c:v>58488</c:v>
                </c:pt>
                <c:pt idx="2735">
                  <c:v>58495</c:v>
                </c:pt>
                <c:pt idx="2736">
                  <c:v>58502</c:v>
                </c:pt>
                <c:pt idx="2737">
                  <c:v>58509</c:v>
                </c:pt>
                <c:pt idx="2738">
                  <c:v>58516</c:v>
                </c:pt>
                <c:pt idx="2739">
                  <c:v>58523</c:v>
                </c:pt>
                <c:pt idx="2740">
                  <c:v>58530</c:v>
                </c:pt>
                <c:pt idx="2741">
                  <c:v>58537</c:v>
                </c:pt>
                <c:pt idx="2742">
                  <c:v>58544</c:v>
                </c:pt>
                <c:pt idx="2743">
                  <c:v>58551</c:v>
                </c:pt>
                <c:pt idx="2744">
                  <c:v>58558</c:v>
                </c:pt>
                <c:pt idx="2745">
                  <c:v>58565</c:v>
                </c:pt>
                <c:pt idx="2746">
                  <c:v>58572</c:v>
                </c:pt>
                <c:pt idx="2747">
                  <c:v>58579</c:v>
                </c:pt>
                <c:pt idx="2748">
                  <c:v>58586</c:v>
                </c:pt>
                <c:pt idx="2749">
                  <c:v>58593</c:v>
                </c:pt>
                <c:pt idx="2750">
                  <c:v>58600</c:v>
                </c:pt>
                <c:pt idx="2751">
                  <c:v>58607</c:v>
                </c:pt>
                <c:pt idx="2752">
                  <c:v>58614</c:v>
                </c:pt>
                <c:pt idx="2753">
                  <c:v>58621</c:v>
                </c:pt>
                <c:pt idx="2754">
                  <c:v>58628</c:v>
                </c:pt>
                <c:pt idx="2755">
                  <c:v>58635</c:v>
                </c:pt>
                <c:pt idx="2756">
                  <c:v>58642</c:v>
                </c:pt>
                <c:pt idx="2757">
                  <c:v>58649</c:v>
                </c:pt>
                <c:pt idx="2758">
                  <c:v>58656</c:v>
                </c:pt>
                <c:pt idx="2759">
                  <c:v>58663</c:v>
                </c:pt>
                <c:pt idx="2760">
                  <c:v>58670</c:v>
                </c:pt>
                <c:pt idx="2761">
                  <c:v>58677</c:v>
                </c:pt>
                <c:pt idx="2762">
                  <c:v>58684</c:v>
                </c:pt>
                <c:pt idx="2763">
                  <c:v>58691</c:v>
                </c:pt>
                <c:pt idx="2764">
                  <c:v>58698</c:v>
                </c:pt>
                <c:pt idx="2765">
                  <c:v>58705</c:v>
                </c:pt>
                <c:pt idx="2766">
                  <c:v>58712</c:v>
                </c:pt>
                <c:pt idx="2767">
                  <c:v>58719</c:v>
                </c:pt>
                <c:pt idx="2768">
                  <c:v>58726</c:v>
                </c:pt>
                <c:pt idx="2769">
                  <c:v>58733</c:v>
                </c:pt>
                <c:pt idx="2770">
                  <c:v>58740</c:v>
                </c:pt>
                <c:pt idx="2771">
                  <c:v>58747</c:v>
                </c:pt>
                <c:pt idx="2772">
                  <c:v>58754</c:v>
                </c:pt>
                <c:pt idx="2773">
                  <c:v>58761</c:v>
                </c:pt>
                <c:pt idx="2774">
                  <c:v>58768</c:v>
                </c:pt>
                <c:pt idx="2775">
                  <c:v>58775</c:v>
                </c:pt>
                <c:pt idx="2776">
                  <c:v>58782</c:v>
                </c:pt>
                <c:pt idx="2777">
                  <c:v>58789</c:v>
                </c:pt>
                <c:pt idx="2778">
                  <c:v>58796</c:v>
                </c:pt>
                <c:pt idx="2779">
                  <c:v>58804</c:v>
                </c:pt>
                <c:pt idx="2780">
                  <c:v>58811</c:v>
                </c:pt>
                <c:pt idx="2781">
                  <c:v>58818</c:v>
                </c:pt>
                <c:pt idx="2782">
                  <c:v>58825</c:v>
                </c:pt>
                <c:pt idx="2783">
                  <c:v>58833</c:v>
                </c:pt>
                <c:pt idx="2784">
                  <c:v>58840</c:v>
                </c:pt>
                <c:pt idx="2785">
                  <c:v>58847</c:v>
                </c:pt>
                <c:pt idx="2786">
                  <c:v>58854</c:v>
                </c:pt>
                <c:pt idx="2787">
                  <c:v>58861</c:v>
                </c:pt>
                <c:pt idx="2788">
                  <c:v>58868</c:v>
                </c:pt>
                <c:pt idx="2789">
                  <c:v>58875</c:v>
                </c:pt>
                <c:pt idx="2790">
                  <c:v>58882</c:v>
                </c:pt>
                <c:pt idx="2791">
                  <c:v>58889</c:v>
                </c:pt>
                <c:pt idx="2792">
                  <c:v>58896</c:v>
                </c:pt>
                <c:pt idx="2793">
                  <c:v>58903</c:v>
                </c:pt>
                <c:pt idx="2794">
                  <c:v>58910</c:v>
                </c:pt>
                <c:pt idx="2795">
                  <c:v>58917</c:v>
                </c:pt>
                <c:pt idx="2796">
                  <c:v>58924</c:v>
                </c:pt>
                <c:pt idx="2797">
                  <c:v>58931</c:v>
                </c:pt>
                <c:pt idx="2798">
                  <c:v>58938</c:v>
                </c:pt>
                <c:pt idx="2799">
                  <c:v>58945</c:v>
                </c:pt>
                <c:pt idx="2800">
                  <c:v>58952</c:v>
                </c:pt>
                <c:pt idx="2801">
                  <c:v>58959</c:v>
                </c:pt>
                <c:pt idx="2802">
                  <c:v>58966</c:v>
                </c:pt>
                <c:pt idx="2803">
                  <c:v>58973</c:v>
                </c:pt>
                <c:pt idx="2804">
                  <c:v>58980</c:v>
                </c:pt>
                <c:pt idx="2805">
                  <c:v>58987</c:v>
                </c:pt>
                <c:pt idx="2806">
                  <c:v>58994</c:v>
                </c:pt>
                <c:pt idx="2807">
                  <c:v>59001</c:v>
                </c:pt>
                <c:pt idx="2808">
                  <c:v>59008</c:v>
                </c:pt>
                <c:pt idx="2809">
                  <c:v>59015</c:v>
                </c:pt>
                <c:pt idx="2810">
                  <c:v>59022</c:v>
                </c:pt>
                <c:pt idx="2811">
                  <c:v>59029</c:v>
                </c:pt>
                <c:pt idx="2812">
                  <c:v>59036</c:v>
                </c:pt>
                <c:pt idx="2813">
                  <c:v>59043</c:v>
                </c:pt>
                <c:pt idx="2814">
                  <c:v>59050</c:v>
                </c:pt>
                <c:pt idx="2815">
                  <c:v>59057</c:v>
                </c:pt>
                <c:pt idx="2816">
                  <c:v>59064</c:v>
                </c:pt>
                <c:pt idx="2817">
                  <c:v>59071</c:v>
                </c:pt>
                <c:pt idx="2818">
                  <c:v>59078</c:v>
                </c:pt>
                <c:pt idx="2819">
                  <c:v>59085</c:v>
                </c:pt>
                <c:pt idx="2820">
                  <c:v>59092</c:v>
                </c:pt>
                <c:pt idx="2821">
                  <c:v>59099</c:v>
                </c:pt>
                <c:pt idx="2822">
                  <c:v>59106</c:v>
                </c:pt>
                <c:pt idx="2823">
                  <c:v>59113</c:v>
                </c:pt>
                <c:pt idx="2824">
                  <c:v>59120</c:v>
                </c:pt>
                <c:pt idx="2825">
                  <c:v>59127</c:v>
                </c:pt>
                <c:pt idx="2826">
                  <c:v>59134</c:v>
                </c:pt>
                <c:pt idx="2827">
                  <c:v>59141</c:v>
                </c:pt>
                <c:pt idx="2828">
                  <c:v>59148</c:v>
                </c:pt>
                <c:pt idx="2829">
                  <c:v>59155</c:v>
                </c:pt>
                <c:pt idx="2830">
                  <c:v>59162</c:v>
                </c:pt>
                <c:pt idx="2831">
                  <c:v>59169</c:v>
                </c:pt>
                <c:pt idx="2832">
                  <c:v>59176</c:v>
                </c:pt>
                <c:pt idx="2833">
                  <c:v>59183</c:v>
                </c:pt>
                <c:pt idx="2834">
                  <c:v>59190</c:v>
                </c:pt>
                <c:pt idx="2835">
                  <c:v>59198</c:v>
                </c:pt>
                <c:pt idx="2836">
                  <c:v>59205</c:v>
                </c:pt>
                <c:pt idx="2837">
                  <c:v>59212</c:v>
                </c:pt>
                <c:pt idx="2838">
                  <c:v>59219</c:v>
                </c:pt>
                <c:pt idx="2839">
                  <c:v>59226</c:v>
                </c:pt>
                <c:pt idx="2840">
                  <c:v>59233</c:v>
                </c:pt>
                <c:pt idx="2841">
                  <c:v>59240</c:v>
                </c:pt>
                <c:pt idx="2842">
                  <c:v>59247</c:v>
                </c:pt>
                <c:pt idx="2843">
                  <c:v>59258</c:v>
                </c:pt>
                <c:pt idx="2844">
                  <c:v>59265</c:v>
                </c:pt>
                <c:pt idx="2845">
                  <c:v>59272</c:v>
                </c:pt>
                <c:pt idx="2846">
                  <c:v>59279</c:v>
                </c:pt>
                <c:pt idx="2847">
                  <c:v>59287</c:v>
                </c:pt>
                <c:pt idx="2848">
                  <c:v>59294</c:v>
                </c:pt>
                <c:pt idx="2849">
                  <c:v>59301</c:v>
                </c:pt>
                <c:pt idx="2850">
                  <c:v>59308</c:v>
                </c:pt>
                <c:pt idx="2851">
                  <c:v>59315</c:v>
                </c:pt>
                <c:pt idx="2852">
                  <c:v>59322</c:v>
                </c:pt>
                <c:pt idx="2853">
                  <c:v>59329</c:v>
                </c:pt>
                <c:pt idx="2854">
                  <c:v>59336</c:v>
                </c:pt>
                <c:pt idx="2855">
                  <c:v>59343</c:v>
                </c:pt>
                <c:pt idx="2856">
                  <c:v>59350</c:v>
                </c:pt>
                <c:pt idx="2857">
                  <c:v>59357</c:v>
                </c:pt>
                <c:pt idx="2858">
                  <c:v>59364</c:v>
                </c:pt>
                <c:pt idx="2859">
                  <c:v>59371</c:v>
                </c:pt>
                <c:pt idx="2860">
                  <c:v>59378</c:v>
                </c:pt>
                <c:pt idx="2861">
                  <c:v>59385</c:v>
                </c:pt>
                <c:pt idx="2862">
                  <c:v>59392</c:v>
                </c:pt>
                <c:pt idx="2863">
                  <c:v>59399</c:v>
                </c:pt>
                <c:pt idx="2864">
                  <c:v>59406</c:v>
                </c:pt>
                <c:pt idx="2865">
                  <c:v>59413</c:v>
                </c:pt>
                <c:pt idx="2866">
                  <c:v>59420</c:v>
                </c:pt>
                <c:pt idx="2867">
                  <c:v>59427</c:v>
                </c:pt>
                <c:pt idx="2868">
                  <c:v>59434</c:v>
                </c:pt>
                <c:pt idx="2869">
                  <c:v>59441</c:v>
                </c:pt>
                <c:pt idx="2870">
                  <c:v>59448</c:v>
                </c:pt>
                <c:pt idx="2871">
                  <c:v>59455</c:v>
                </c:pt>
                <c:pt idx="2872">
                  <c:v>59462</c:v>
                </c:pt>
                <c:pt idx="2873">
                  <c:v>59469</c:v>
                </c:pt>
                <c:pt idx="2874">
                  <c:v>59476</c:v>
                </c:pt>
                <c:pt idx="2875">
                  <c:v>59483</c:v>
                </c:pt>
                <c:pt idx="2876">
                  <c:v>59490</c:v>
                </c:pt>
                <c:pt idx="2877">
                  <c:v>59497</c:v>
                </c:pt>
                <c:pt idx="2878">
                  <c:v>59504</c:v>
                </c:pt>
                <c:pt idx="2879">
                  <c:v>59511</c:v>
                </c:pt>
                <c:pt idx="2880">
                  <c:v>59518</c:v>
                </c:pt>
                <c:pt idx="2881">
                  <c:v>59525</c:v>
                </c:pt>
                <c:pt idx="2882">
                  <c:v>59532</c:v>
                </c:pt>
                <c:pt idx="2883">
                  <c:v>59539</c:v>
                </c:pt>
                <c:pt idx="2884">
                  <c:v>59546</c:v>
                </c:pt>
                <c:pt idx="2885">
                  <c:v>59553</c:v>
                </c:pt>
                <c:pt idx="2886">
                  <c:v>59560</c:v>
                </c:pt>
                <c:pt idx="2887">
                  <c:v>59567</c:v>
                </c:pt>
                <c:pt idx="2888">
                  <c:v>59574</c:v>
                </c:pt>
                <c:pt idx="2889">
                  <c:v>59581</c:v>
                </c:pt>
                <c:pt idx="2890">
                  <c:v>59588</c:v>
                </c:pt>
                <c:pt idx="2891">
                  <c:v>59595</c:v>
                </c:pt>
                <c:pt idx="2892">
                  <c:v>59602</c:v>
                </c:pt>
                <c:pt idx="2893">
                  <c:v>59609</c:v>
                </c:pt>
                <c:pt idx="2894">
                  <c:v>59616</c:v>
                </c:pt>
                <c:pt idx="2895">
                  <c:v>59623</c:v>
                </c:pt>
                <c:pt idx="2896">
                  <c:v>59630</c:v>
                </c:pt>
                <c:pt idx="2897">
                  <c:v>59637</c:v>
                </c:pt>
                <c:pt idx="2898">
                  <c:v>59644</c:v>
                </c:pt>
                <c:pt idx="2899">
                  <c:v>59652</c:v>
                </c:pt>
                <c:pt idx="2900">
                  <c:v>59659</c:v>
                </c:pt>
                <c:pt idx="2901">
                  <c:v>59666</c:v>
                </c:pt>
                <c:pt idx="2902">
                  <c:v>59673</c:v>
                </c:pt>
                <c:pt idx="2903">
                  <c:v>59680</c:v>
                </c:pt>
                <c:pt idx="2904">
                  <c:v>59687</c:v>
                </c:pt>
                <c:pt idx="2905">
                  <c:v>59694</c:v>
                </c:pt>
                <c:pt idx="2906">
                  <c:v>59701</c:v>
                </c:pt>
                <c:pt idx="2907">
                  <c:v>59708</c:v>
                </c:pt>
                <c:pt idx="2908">
                  <c:v>59715</c:v>
                </c:pt>
                <c:pt idx="2909">
                  <c:v>59722</c:v>
                </c:pt>
                <c:pt idx="2910">
                  <c:v>59729</c:v>
                </c:pt>
                <c:pt idx="2911">
                  <c:v>59736</c:v>
                </c:pt>
                <c:pt idx="2912">
                  <c:v>59743</c:v>
                </c:pt>
                <c:pt idx="2913">
                  <c:v>59750</c:v>
                </c:pt>
                <c:pt idx="2914">
                  <c:v>59757</c:v>
                </c:pt>
                <c:pt idx="2915">
                  <c:v>59764</c:v>
                </c:pt>
                <c:pt idx="2916">
                  <c:v>59771</c:v>
                </c:pt>
                <c:pt idx="2917">
                  <c:v>59778</c:v>
                </c:pt>
                <c:pt idx="2918">
                  <c:v>59785</c:v>
                </c:pt>
                <c:pt idx="2919">
                  <c:v>59792</c:v>
                </c:pt>
                <c:pt idx="2920">
                  <c:v>59799</c:v>
                </c:pt>
                <c:pt idx="2921">
                  <c:v>59806</c:v>
                </c:pt>
                <c:pt idx="2922">
                  <c:v>59813</c:v>
                </c:pt>
                <c:pt idx="2923">
                  <c:v>59820</c:v>
                </c:pt>
                <c:pt idx="2924">
                  <c:v>59827</c:v>
                </c:pt>
                <c:pt idx="2925">
                  <c:v>59834</c:v>
                </c:pt>
                <c:pt idx="2926">
                  <c:v>59841</c:v>
                </c:pt>
                <c:pt idx="2927">
                  <c:v>59848</c:v>
                </c:pt>
                <c:pt idx="2928">
                  <c:v>59855</c:v>
                </c:pt>
                <c:pt idx="2929">
                  <c:v>59862</c:v>
                </c:pt>
                <c:pt idx="2930">
                  <c:v>59869</c:v>
                </c:pt>
                <c:pt idx="2931">
                  <c:v>59876</c:v>
                </c:pt>
                <c:pt idx="2932">
                  <c:v>59883</c:v>
                </c:pt>
                <c:pt idx="2933">
                  <c:v>59890</c:v>
                </c:pt>
                <c:pt idx="2934">
                  <c:v>59897</c:v>
                </c:pt>
                <c:pt idx="2935">
                  <c:v>59904</c:v>
                </c:pt>
                <c:pt idx="2936">
                  <c:v>59911</c:v>
                </c:pt>
                <c:pt idx="2937">
                  <c:v>59918</c:v>
                </c:pt>
                <c:pt idx="2938">
                  <c:v>59925</c:v>
                </c:pt>
                <c:pt idx="2939">
                  <c:v>59932</c:v>
                </c:pt>
                <c:pt idx="2940">
                  <c:v>59939</c:v>
                </c:pt>
                <c:pt idx="2941">
                  <c:v>59946</c:v>
                </c:pt>
                <c:pt idx="2942">
                  <c:v>59953</c:v>
                </c:pt>
                <c:pt idx="2943">
                  <c:v>59960</c:v>
                </c:pt>
                <c:pt idx="2944">
                  <c:v>59967</c:v>
                </c:pt>
                <c:pt idx="2945">
                  <c:v>59974</c:v>
                </c:pt>
                <c:pt idx="2946">
                  <c:v>59981</c:v>
                </c:pt>
                <c:pt idx="2947">
                  <c:v>59988</c:v>
                </c:pt>
                <c:pt idx="2948">
                  <c:v>59995</c:v>
                </c:pt>
                <c:pt idx="2949">
                  <c:v>60002</c:v>
                </c:pt>
                <c:pt idx="2950">
                  <c:v>60009</c:v>
                </c:pt>
                <c:pt idx="2951">
                  <c:v>60016</c:v>
                </c:pt>
                <c:pt idx="2952">
                  <c:v>60023</c:v>
                </c:pt>
                <c:pt idx="2953">
                  <c:v>60030</c:v>
                </c:pt>
                <c:pt idx="2954">
                  <c:v>60037</c:v>
                </c:pt>
                <c:pt idx="2955">
                  <c:v>60044</c:v>
                </c:pt>
                <c:pt idx="2956">
                  <c:v>60051</c:v>
                </c:pt>
                <c:pt idx="2957">
                  <c:v>60058</c:v>
                </c:pt>
                <c:pt idx="2958">
                  <c:v>60065</c:v>
                </c:pt>
                <c:pt idx="2959">
                  <c:v>60072</c:v>
                </c:pt>
                <c:pt idx="2960">
                  <c:v>60079</c:v>
                </c:pt>
                <c:pt idx="2961">
                  <c:v>60086</c:v>
                </c:pt>
                <c:pt idx="2962">
                  <c:v>60093</c:v>
                </c:pt>
                <c:pt idx="2963">
                  <c:v>60100</c:v>
                </c:pt>
                <c:pt idx="2964">
                  <c:v>60107</c:v>
                </c:pt>
                <c:pt idx="2965">
                  <c:v>60114</c:v>
                </c:pt>
                <c:pt idx="2966">
                  <c:v>60121</c:v>
                </c:pt>
                <c:pt idx="2967">
                  <c:v>60128</c:v>
                </c:pt>
                <c:pt idx="2968">
                  <c:v>60135</c:v>
                </c:pt>
                <c:pt idx="2969">
                  <c:v>60142</c:v>
                </c:pt>
                <c:pt idx="2970">
                  <c:v>60149</c:v>
                </c:pt>
                <c:pt idx="2971">
                  <c:v>60156</c:v>
                </c:pt>
                <c:pt idx="2972">
                  <c:v>60163</c:v>
                </c:pt>
                <c:pt idx="2973">
                  <c:v>60170</c:v>
                </c:pt>
                <c:pt idx="2974">
                  <c:v>60177</c:v>
                </c:pt>
                <c:pt idx="2975">
                  <c:v>60184</c:v>
                </c:pt>
                <c:pt idx="2976">
                  <c:v>60191</c:v>
                </c:pt>
                <c:pt idx="2977">
                  <c:v>60198</c:v>
                </c:pt>
                <c:pt idx="2978">
                  <c:v>60205</c:v>
                </c:pt>
                <c:pt idx="2979">
                  <c:v>60212</c:v>
                </c:pt>
                <c:pt idx="2980">
                  <c:v>60219</c:v>
                </c:pt>
                <c:pt idx="2981">
                  <c:v>60226</c:v>
                </c:pt>
                <c:pt idx="2982">
                  <c:v>60233</c:v>
                </c:pt>
                <c:pt idx="2983">
                  <c:v>60240</c:v>
                </c:pt>
                <c:pt idx="2984">
                  <c:v>60247</c:v>
                </c:pt>
                <c:pt idx="2985">
                  <c:v>60254</c:v>
                </c:pt>
                <c:pt idx="2986">
                  <c:v>60265</c:v>
                </c:pt>
                <c:pt idx="2987">
                  <c:v>60272</c:v>
                </c:pt>
                <c:pt idx="2988">
                  <c:v>60279</c:v>
                </c:pt>
                <c:pt idx="2989">
                  <c:v>60286</c:v>
                </c:pt>
                <c:pt idx="2990">
                  <c:v>60294</c:v>
                </c:pt>
                <c:pt idx="2991">
                  <c:v>60301</c:v>
                </c:pt>
                <c:pt idx="2992">
                  <c:v>60308</c:v>
                </c:pt>
                <c:pt idx="2993">
                  <c:v>60315</c:v>
                </c:pt>
                <c:pt idx="2994">
                  <c:v>60322</c:v>
                </c:pt>
                <c:pt idx="2995">
                  <c:v>60329</c:v>
                </c:pt>
                <c:pt idx="2996">
                  <c:v>60336</c:v>
                </c:pt>
                <c:pt idx="2997">
                  <c:v>60343</c:v>
                </c:pt>
                <c:pt idx="2998">
                  <c:v>60350</c:v>
                </c:pt>
                <c:pt idx="2999">
                  <c:v>60357</c:v>
                </c:pt>
                <c:pt idx="3000">
                  <c:v>60364</c:v>
                </c:pt>
                <c:pt idx="3001">
                  <c:v>60371</c:v>
                </c:pt>
                <c:pt idx="3002">
                  <c:v>60378</c:v>
                </c:pt>
                <c:pt idx="3003">
                  <c:v>60385</c:v>
                </c:pt>
                <c:pt idx="3004">
                  <c:v>60392</c:v>
                </c:pt>
                <c:pt idx="3005">
                  <c:v>60399</c:v>
                </c:pt>
                <c:pt idx="3006">
                  <c:v>60406</c:v>
                </c:pt>
                <c:pt idx="3007">
                  <c:v>60413</c:v>
                </c:pt>
                <c:pt idx="3008">
                  <c:v>60420</c:v>
                </c:pt>
                <c:pt idx="3009">
                  <c:v>60427</c:v>
                </c:pt>
                <c:pt idx="3010">
                  <c:v>60434</c:v>
                </c:pt>
                <c:pt idx="3011">
                  <c:v>60441</c:v>
                </c:pt>
                <c:pt idx="3012">
                  <c:v>60448</c:v>
                </c:pt>
                <c:pt idx="3013">
                  <c:v>60455</c:v>
                </c:pt>
                <c:pt idx="3014">
                  <c:v>60462</c:v>
                </c:pt>
                <c:pt idx="3015">
                  <c:v>60469</c:v>
                </c:pt>
                <c:pt idx="3016">
                  <c:v>60476</c:v>
                </c:pt>
                <c:pt idx="3017">
                  <c:v>60483</c:v>
                </c:pt>
                <c:pt idx="3018">
                  <c:v>60490</c:v>
                </c:pt>
                <c:pt idx="3019">
                  <c:v>60497</c:v>
                </c:pt>
                <c:pt idx="3020">
                  <c:v>60504</c:v>
                </c:pt>
                <c:pt idx="3021">
                  <c:v>60511</c:v>
                </c:pt>
                <c:pt idx="3022">
                  <c:v>60518</c:v>
                </c:pt>
                <c:pt idx="3023">
                  <c:v>60525</c:v>
                </c:pt>
                <c:pt idx="3024">
                  <c:v>60532</c:v>
                </c:pt>
                <c:pt idx="3025">
                  <c:v>60539</c:v>
                </c:pt>
                <c:pt idx="3026">
                  <c:v>60546</c:v>
                </c:pt>
                <c:pt idx="3027">
                  <c:v>60553</c:v>
                </c:pt>
                <c:pt idx="3028">
                  <c:v>60560</c:v>
                </c:pt>
                <c:pt idx="3029">
                  <c:v>60567</c:v>
                </c:pt>
                <c:pt idx="3030">
                  <c:v>60574</c:v>
                </c:pt>
                <c:pt idx="3031">
                  <c:v>60581</c:v>
                </c:pt>
                <c:pt idx="3032">
                  <c:v>60588</c:v>
                </c:pt>
                <c:pt idx="3033">
                  <c:v>60595</c:v>
                </c:pt>
                <c:pt idx="3034">
                  <c:v>60602</c:v>
                </c:pt>
                <c:pt idx="3035">
                  <c:v>60609</c:v>
                </c:pt>
                <c:pt idx="3036">
                  <c:v>60616</c:v>
                </c:pt>
                <c:pt idx="3037">
                  <c:v>60623</c:v>
                </c:pt>
                <c:pt idx="3038">
                  <c:v>60630</c:v>
                </c:pt>
                <c:pt idx="3039">
                  <c:v>60637</c:v>
                </c:pt>
                <c:pt idx="3040">
                  <c:v>60644</c:v>
                </c:pt>
                <c:pt idx="3041">
                  <c:v>60651</c:v>
                </c:pt>
                <c:pt idx="3042">
                  <c:v>60659</c:v>
                </c:pt>
                <c:pt idx="3043">
                  <c:v>60666</c:v>
                </c:pt>
                <c:pt idx="3044">
                  <c:v>60673</c:v>
                </c:pt>
                <c:pt idx="3045">
                  <c:v>60680</c:v>
                </c:pt>
                <c:pt idx="3046">
                  <c:v>60687</c:v>
                </c:pt>
                <c:pt idx="3047">
                  <c:v>60694</c:v>
                </c:pt>
                <c:pt idx="3048">
                  <c:v>60701</c:v>
                </c:pt>
                <c:pt idx="3049">
                  <c:v>60708</c:v>
                </c:pt>
                <c:pt idx="3050">
                  <c:v>60715</c:v>
                </c:pt>
                <c:pt idx="3051">
                  <c:v>60722</c:v>
                </c:pt>
                <c:pt idx="3052">
                  <c:v>60729</c:v>
                </c:pt>
                <c:pt idx="3053">
                  <c:v>60736</c:v>
                </c:pt>
                <c:pt idx="3054">
                  <c:v>60743</c:v>
                </c:pt>
                <c:pt idx="3055">
                  <c:v>60750</c:v>
                </c:pt>
                <c:pt idx="3056">
                  <c:v>60757</c:v>
                </c:pt>
                <c:pt idx="3057">
                  <c:v>60764</c:v>
                </c:pt>
                <c:pt idx="3058">
                  <c:v>60771</c:v>
                </c:pt>
                <c:pt idx="3059">
                  <c:v>60778</c:v>
                </c:pt>
                <c:pt idx="3060">
                  <c:v>60785</c:v>
                </c:pt>
                <c:pt idx="3061">
                  <c:v>60792</c:v>
                </c:pt>
                <c:pt idx="3062">
                  <c:v>60799</c:v>
                </c:pt>
                <c:pt idx="3063">
                  <c:v>60806</c:v>
                </c:pt>
                <c:pt idx="3064">
                  <c:v>60813</c:v>
                </c:pt>
                <c:pt idx="3065">
                  <c:v>60820</c:v>
                </c:pt>
                <c:pt idx="3066">
                  <c:v>60827</c:v>
                </c:pt>
                <c:pt idx="3067">
                  <c:v>60834</c:v>
                </c:pt>
                <c:pt idx="3068">
                  <c:v>60841</c:v>
                </c:pt>
                <c:pt idx="3069">
                  <c:v>60848</c:v>
                </c:pt>
                <c:pt idx="3070">
                  <c:v>60855</c:v>
                </c:pt>
                <c:pt idx="3071">
                  <c:v>60862</c:v>
                </c:pt>
                <c:pt idx="3072">
                  <c:v>60869</c:v>
                </c:pt>
                <c:pt idx="3073">
                  <c:v>60876</c:v>
                </c:pt>
                <c:pt idx="3074">
                  <c:v>60883</c:v>
                </c:pt>
                <c:pt idx="3075">
                  <c:v>60890</c:v>
                </c:pt>
                <c:pt idx="3076">
                  <c:v>60897</c:v>
                </c:pt>
                <c:pt idx="3077">
                  <c:v>60904</c:v>
                </c:pt>
                <c:pt idx="3078">
                  <c:v>60911</c:v>
                </c:pt>
                <c:pt idx="3079">
                  <c:v>60918</c:v>
                </c:pt>
                <c:pt idx="3080">
                  <c:v>60925</c:v>
                </c:pt>
                <c:pt idx="3081">
                  <c:v>60932</c:v>
                </c:pt>
                <c:pt idx="3082">
                  <c:v>60939</c:v>
                </c:pt>
                <c:pt idx="3083">
                  <c:v>60946</c:v>
                </c:pt>
                <c:pt idx="3084">
                  <c:v>60953</c:v>
                </c:pt>
                <c:pt idx="3085">
                  <c:v>60960</c:v>
                </c:pt>
                <c:pt idx="3086">
                  <c:v>60967</c:v>
                </c:pt>
                <c:pt idx="3087">
                  <c:v>60974</c:v>
                </c:pt>
                <c:pt idx="3088">
                  <c:v>60981</c:v>
                </c:pt>
                <c:pt idx="3089">
                  <c:v>60988</c:v>
                </c:pt>
                <c:pt idx="3090">
                  <c:v>60995</c:v>
                </c:pt>
                <c:pt idx="3091">
                  <c:v>61002</c:v>
                </c:pt>
                <c:pt idx="3092">
                  <c:v>61009</c:v>
                </c:pt>
                <c:pt idx="3093">
                  <c:v>61016</c:v>
                </c:pt>
                <c:pt idx="3094">
                  <c:v>61024</c:v>
                </c:pt>
                <c:pt idx="3095">
                  <c:v>61031</c:v>
                </c:pt>
                <c:pt idx="3096">
                  <c:v>61038</c:v>
                </c:pt>
                <c:pt idx="3097">
                  <c:v>61045</c:v>
                </c:pt>
                <c:pt idx="3098">
                  <c:v>61052</c:v>
                </c:pt>
                <c:pt idx="3099">
                  <c:v>61059</c:v>
                </c:pt>
                <c:pt idx="3100">
                  <c:v>61066</c:v>
                </c:pt>
                <c:pt idx="3101">
                  <c:v>61073</c:v>
                </c:pt>
                <c:pt idx="3102">
                  <c:v>61080</c:v>
                </c:pt>
                <c:pt idx="3103">
                  <c:v>61087</c:v>
                </c:pt>
                <c:pt idx="3104">
                  <c:v>61094</c:v>
                </c:pt>
                <c:pt idx="3105">
                  <c:v>61101</c:v>
                </c:pt>
                <c:pt idx="3106">
                  <c:v>61108</c:v>
                </c:pt>
                <c:pt idx="3107">
                  <c:v>61115</c:v>
                </c:pt>
                <c:pt idx="3108">
                  <c:v>61122</c:v>
                </c:pt>
                <c:pt idx="3109">
                  <c:v>61129</c:v>
                </c:pt>
                <c:pt idx="3110">
                  <c:v>61136</c:v>
                </c:pt>
                <c:pt idx="3111">
                  <c:v>61143</c:v>
                </c:pt>
                <c:pt idx="3112">
                  <c:v>61150</c:v>
                </c:pt>
                <c:pt idx="3113">
                  <c:v>61157</c:v>
                </c:pt>
                <c:pt idx="3114">
                  <c:v>61164</c:v>
                </c:pt>
                <c:pt idx="3115">
                  <c:v>61171</c:v>
                </c:pt>
                <c:pt idx="3116">
                  <c:v>61178</c:v>
                </c:pt>
                <c:pt idx="3117">
                  <c:v>61185</c:v>
                </c:pt>
                <c:pt idx="3118">
                  <c:v>61192</c:v>
                </c:pt>
                <c:pt idx="3119">
                  <c:v>61199</c:v>
                </c:pt>
                <c:pt idx="3120">
                  <c:v>61206</c:v>
                </c:pt>
                <c:pt idx="3121">
                  <c:v>61213</c:v>
                </c:pt>
                <c:pt idx="3122">
                  <c:v>61220</c:v>
                </c:pt>
                <c:pt idx="3123">
                  <c:v>61227</c:v>
                </c:pt>
                <c:pt idx="3124">
                  <c:v>61234</c:v>
                </c:pt>
                <c:pt idx="3125">
                  <c:v>61241</c:v>
                </c:pt>
                <c:pt idx="3126">
                  <c:v>61248</c:v>
                </c:pt>
                <c:pt idx="3127">
                  <c:v>61255</c:v>
                </c:pt>
                <c:pt idx="3128">
                  <c:v>61262</c:v>
                </c:pt>
                <c:pt idx="3129">
                  <c:v>61269</c:v>
                </c:pt>
                <c:pt idx="3130">
                  <c:v>61276</c:v>
                </c:pt>
                <c:pt idx="3131">
                  <c:v>61283</c:v>
                </c:pt>
                <c:pt idx="3132">
                  <c:v>61290</c:v>
                </c:pt>
                <c:pt idx="3133">
                  <c:v>61297</c:v>
                </c:pt>
                <c:pt idx="3134">
                  <c:v>61304</c:v>
                </c:pt>
                <c:pt idx="3135">
                  <c:v>61311</c:v>
                </c:pt>
                <c:pt idx="3136">
                  <c:v>61318</c:v>
                </c:pt>
                <c:pt idx="3137">
                  <c:v>61325</c:v>
                </c:pt>
                <c:pt idx="3138">
                  <c:v>61332</c:v>
                </c:pt>
                <c:pt idx="3139">
                  <c:v>61339</c:v>
                </c:pt>
                <c:pt idx="3140">
                  <c:v>61346</c:v>
                </c:pt>
                <c:pt idx="3141">
                  <c:v>61353</c:v>
                </c:pt>
                <c:pt idx="3142">
                  <c:v>61360</c:v>
                </c:pt>
                <c:pt idx="3143">
                  <c:v>61367</c:v>
                </c:pt>
                <c:pt idx="3144">
                  <c:v>61374</c:v>
                </c:pt>
                <c:pt idx="3145">
                  <c:v>61381</c:v>
                </c:pt>
                <c:pt idx="3146">
                  <c:v>61389</c:v>
                </c:pt>
                <c:pt idx="3147">
                  <c:v>61396</c:v>
                </c:pt>
                <c:pt idx="3148">
                  <c:v>61403</c:v>
                </c:pt>
                <c:pt idx="3149">
                  <c:v>61410</c:v>
                </c:pt>
                <c:pt idx="3150">
                  <c:v>61417</c:v>
                </c:pt>
                <c:pt idx="3151">
                  <c:v>61424</c:v>
                </c:pt>
                <c:pt idx="3152">
                  <c:v>61431</c:v>
                </c:pt>
                <c:pt idx="3153">
                  <c:v>61438</c:v>
                </c:pt>
                <c:pt idx="3154">
                  <c:v>61445</c:v>
                </c:pt>
                <c:pt idx="3155">
                  <c:v>61452</c:v>
                </c:pt>
                <c:pt idx="3156">
                  <c:v>61459</c:v>
                </c:pt>
                <c:pt idx="3157">
                  <c:v>61466</c:v>
                </c:pt>
                <c:pt idx="3158">
                  <c:v>61477</c:v>
                </c:pt>
                <c:pt idx="3159">
                  <c:v>61484</c:v>
                </c:pt>
                <c:pt idx="3160">
                  <c:v>61491</c:v>
                </c:pt>
                <c:pt idx="3161">
                  <c:v>61498</c:v>
                </c:pt>
                <c:pt idx="3162">
                  <c:v>61505</c:v>
                </c:pt>
                <c:pt idx="3163">
                  <c:v>61512</c:v>
                </c:pt>
                <c:pt idx="3164">
                  <c:v>61519</c:v>
                </c:pt>
                <c:pt idx="3165">
                  <c:v>61526</c:v>
                </c:pt>
                <c:pt idx="3166">
                  <c:v>61533</c:v>
                </c:pt>
                <c:pt idx="3167">
                  <c:v>61540</c:v>
                </c:pt>
                <c:pt idx="3168">
                  <c:v>61547</c:v>
                </c:pt>
                <c:pt idx="3169">
                  <c:v>61554</c:v>
                </c:pt>
                <c:pt idx="3170">
                  <c:v>61561</c:v>
                </c:pt>
                <c:pt idx="3171">
                  <c:v>61568</c:v>
                </c:pt>
                <c:pt idx="3172">
                  <c:v>61575</c:v>
                </c:pt>
                <c:pt idx="3173">
                  <c:v>61582</c:v>
                </c:pt>
                <c:pt idx="3174">
                  <c:v>61589</c:v>
                </c:pt>
                <c:pt idx="3175">
                  <c:v>61596</c:v>
                </c:pt>
                <c:pt idx="3176">
                  <c:v>61603</c:v>
                </c:pt>
                <c:pt idx="3177">
                  <c:v>61610</c:v>
                </c:pt>
                <c:pt idx="3178">
                  <c:v>61617</c:v>
                </c:pt>
                <c:pt idx="3179">
                  <c:v>61624</c:v>
                </c:pt>
                <c:pt idx="3180">
                  <c:v>61631</c:v>
                </c:pt>
                <c:pt idx="3181">
                  <c:v>61638</c:v>
                </c:pt>
                <c:pt idx="3182">
                  <c:v>61645</c:v>
                </c:pt>
                <c:pt idx="3183">
                  <c:v>61652</c:v>
                </c:pt>
                <c:pt idx="3184">
                  <c:v>61659</c:v>
                </c:pt>
                <c:pt idx="3185">
                  <c:v>61666</c:v>
                </c:pt>
                <c:pt idx="3186">
                  <c:v>61673</c:v>
                </c:pt>
                <c:pt idx="3187">
                  <c:v>61680</c:v>
                </c:pt>
                <c:pt idx="3188">
                  <c:v>61687</c:v>
                </c:pt>
                <c:pt idx="3189">
                  <c:v>61694</c:v>
                </c:pt>
                <c:pt idx="3190">
                  <c:v>61701</c:v>
                </c:pt>
                <c:pt idx="3191">
                  <c:v>61708</c:v>
                </c:pt>
                <c:pt idx="3192">
                  <c:v>61715</c:v>
                </c:pt>
                <c:pt idx="3193">
                  <c:v>61724</c:v>
                </c:pt>
                <c:pt idx="3194">
                  <c:v>61731</c:v>
                </c:pt>
                <c:pt idx="3195">
                  <c:v>61738</c:v>
                </c:pt>
                <c:pt idx="3196">
                  <c:v>61745</c:v>
                </c:pt>
                <c:pt idx="3197">
                  <c:v>61752</c:v>
                </c:pt>
                <c:pt idx="3198">
                  <c:v>61759</c:v>
                </c:pt>
                <c:pt idx="3199">
                  <c:v>61766</c:v>
                </c:pt>
                <c:pt idx="3200">
                  <c:v>61773</c:v>
                </c:pt>
                <c:pt idx="3201">
                  <c:v>61780</c:v>
                </c:pt>
                <c:pt idx="3202">
                  <c:v>61787</c:v>
                </c:pt>
                <c:pt idx="3203">
                  <c:v>61794</c:v>
                </c:pt>
                <c:pt idx="3204">
                  <c:v>61801</c:v>
                </c:pt>
                <c:pt idx="3205">
                  <c:v>61808</c:v>
                </c:pt>
                <c:pt idx="3206">
                  <c:v>61815</c:v>
                </c:pt>
                <c:pt idx="3207">
                  <c:v>61822</c:v>
                </c:pt>
                <c:pt idx="3208">
                  <c:v>61829</c:v>
                </c:pt>
                <c:pt idx="3209">
                  <c:v>61836</c:v>
                </c:pt>
                <c:pt idx="3210">
                  <c:v>61844</c:v>
                </c:pt>
                <c:pt idx="3211">
                  <c:v>61851</c:v>
                </c:pt>
                <c:pt idx="3212">
                  <c:v>61858</c:v>
                </c:pt>
                <c:pt idx="3213">
                  <c:v>61865</c:v>
                </c:pt>
                <c:pt idx="3214">
                  <c:v>61872</c:v>
                </c:pt>
                <c:pt idx="3215">
                  <c:v>61879</c:v>
                </c:pt>
                <c:pt idx="3216">
                  <c:v>61886</c:v>
                </c:pt>
                <c:pt idx="3217">
                  <c:v>61893</c:v>
                </c:pt>
                <c:pt idx="3218">
                  <c:v>61900</c:v>
                </c:pt>
                <c:pt idx="3219">
                  <c:v>61907</c:v>
                </c:pt>
                <c:pt idx="3220">
                  <c:v>61914</c:v>
                </c:pt>
                <c:pt idx="3221">
                  <c:v>61921</c:v>
                </c:pt>
                <c:pt idx="3222">
                  <c:v>61928</c:v>
                </c:pt>
                <c:pt idx="3223">
                  <c:v>61935</c:v>
                </c:pt>
                <c:pt idx="3224">
                  <c:v>61942</c:v>
                </c:pt>
                <c:pt idx="3225">
                  <c:v>61949</c:v>
                </c:pt>
                <c:pt idx="3226">
                  <c:v>61956</c:v>
                </c:pt>
                <c:pt idx="3227">
                  <c:v>61963</c:v>
                </c:pt>
                <c:pt idx="3228">
                  <c:v>61970</c:v>
                </c:pt>
                <c:pt idx="3229">
                  <c:v>61977</c:v>
                </c:pt>
                <c:pt idx="3230">
                  <c:v>61984</c:v>
                </c:pt>
                <c:pt idx="3231">
                  <c:v>61991</c:v>
                </c:pt>
                <c:pt idx="3232">
                  <c:v>61998</c:v>
                </c:pt>
                <c:pt idx="3233">
                  <c:v>62005</c:v>
                </c:pt>
                <c:pt idx="3234">
                  <c:v>62012</c:v>
                </c:pt>
                <c:pt idx="3235">
                  <c:v>62019</c:v>
                </c:pt>
                <c:pt idx="3236">
                  <c:v>62026</c:v>
                </c:pt>
                <c:pt idx="3237">
                  <c:v>62033</c:v>
                </c:pt>
                <c:pt idx="3238">
                  <c:v>62040</c:v>
                </c:pt>
                <c:pt idx="3239">
                  <c:v>62047</c:v>
                </c:pt>
                <c:pt idx="3240">
                  <c:v>62054</c:v>
                </c:pt>
                <c:pt idx="3241">
                  <c:v>62061</c:v>
                </c:pt>
                <c:pt idx="3242">
                  <c:v>62068</c:v>
                </c:pt>
                <c:pt idx="3243">
                  <c:v>62075</c:v>
                </c:pt>
                <c:pt idx="3244">
                  <c:v>62082</c:v>
                </c:pt>
                <c:pt idx="3245">
                  <c:v>62089</c:v>
                </c:pt>
                <c:pt idx="3246">
                  <c:v>62096</c:v>
                </c:pt>
                <c:pt idx="3247">
                  <c:v>62103</c:v>
                </c:pt>
                <c:pt idx="3248">
                  <c:v>62110</c:v>
                </c:pt>
                <c:pt idx="3249">
                  <c:v>62117</c:v>
                </c:pt>
                <c:pt idx="3250">
                  <c:v>62124</c:v>
                </c:pt>
                <c:pt idx="3251">
                  <c:v>62131</c:v>
                </c:pt>
                <c:pt idx="3252">
                  <c:v>62138</c:v>
                </c:pt>
                <c:pt idx="3253">
                  <c:v>62145</c:v>
                </c:pt>
                <c:pt idx="3254">
                  <c:v>62152</c:v>
                </c:pt>
                <c:pt idx="3255">
                  <c:v>62159</c:v>
                </c:pt>
                <c:pt idx="3256">
                  <c:v>62166</c:v>
                </c:pt>
                <c:pt idx="3257">
                  <c:v>62173</c:v>
                </c:pt>
                <c:pt idx="3258">
                  <c:v>62184</c:v>
                </c:pt>
                <c:pt idx="3259">
                  <c:v>62191</c:v>
                </c:pt>
                <c:pt idx="3260">
                  <c:v>62198</c:v>
                </c:pt>
                <c:pt idx="3261">
                  <c:v>62205</c:v>
                </c:pt>
                <c:pt idx="3262">
                  <c:v>62212</c:v>
                </c:pt>
                <c:pt idx="3263">
                  <c:v>62219</c:v>
                </c:pt>
                <c:pt idx="3264">
                  <c:v>62226</c:v>
                </c:pt>
                <c:pt idx="3265">
                  <c:v>62233</c:v>
                </c:pt>
                <c:pt idx="3266">
                  <c:v>62240</c:v>
                </c:pt>
                <c:pt idx="3267">
                  <c:v>62247</c:v>
                </c:pt>
                <c:pt idx="3268">
                  <c:v>62254</c:v>
                </c:pt>
                <c:pt idx="3269">
                  <c:v>62261</c:v>
                </c:pt>
                <c:pt idx="3270">
                  <c:v>62268</c:v>
                </c:pt>
                <c:pt idx="3271">
                  <c:v>62275</c:v>
                </c:pt>
                <c:pt idx="3272">
                  <c:v>62282</c:v>
                </c:pt>
                <c:pt idx="3273">
                  <c:v>62289</c:v>
                </c:pt>
                <c:pt idx="3274">
                  <c:v>62296</c:v>
                </c:pt>
                <c:pt idx="3275">
                  <c:v>62303</c:v>
                </c:pt>
                <c:pt idx="3276">
                  <c:v>62310</c:v>
                </c:pt>
                <c:pt idx="3277">
                  <c:v>62317</c:v>
                </c:pt>
                <c:pt idx="3278">
                  <c:v>62324</c:v>
                </c:pt>
                <c:pt idx="3279">
                  <c:v>62331</c:v>
                </c:pt>
                <c:pt idx="3280">
                  <c:v>62338</c:v>
                </c:pt>
                <c:pt idx="3281">
                  <c:v>62345</c:v>
                </c:pt>
                <c:pt idx="3282">
                  <c:v>62352</c:v>
                </c:pt>
                <c:pt idx="3283">
                  <c:v>62359</c:v>
                </c:pt>
                <c:pt idx="3284">
                  <c:v>62366</c:v>
                </c:pt>
                <c:pt idx="3285">
                  <c:v>62373</c:v>
                </c:pt>
                <c:pt idx="3286">
                  <c:v>62380</c:v>
                </c:pt>
                <c:pt idx="3287">
                  <c:v>62387</c:v>
                </c:pt>
                <c:pt idx="3288">
                  <c:v>62394</c:v>
                </c:pt>
                <c:pt idx="3289">
                  <c:v>62401</c:v>
                </c:pt>
                <c:pt idx="3290">
                  <c:v>62408</c:v>
                </c:pt>
                <c:pt idx="3291">
                  <c:v>62415</c:v>
                </c:pt>
                <c:pt idx="3292">
                  <c:v>62422</c:v>
                </c:pt>
                <c:pt idx="3293">
                  <c:v>62429</c:v>
                </c:pt>
                <c:pt idx="3294">
                  <c:v>62436</c:v>
                </c:pt>
                <c:pt idx="3295">
                  <c:v>62443</c:v>
                </c:pt>
                <c:pt idx="3296">
                  <c:v>62450</c:v>
                </c:pt>
                <c:pt idx="3297">
                  <c:v>62457</c:v>
                </c:pt>
                <c:pt idx="3298">
                  <c:v>62464</c:v>
                </c:pt>
                <c:pt idx="3299">
                  <c:v>62471</c:v>
                </c:pt>
                <c:pt idx="3300">
                  <c:v>62478</c:v>
                </c:pt>
                <c:pt idx="3301">
                  <c:v>62485</c:v>
                </c:pt>
                <c:pt idx="3302">
                  <c:v>62492</c:v>
                </c:pt>
                <c:pt idx="3303">
                  <c:v>62499</c:v>
                </c:pt>
                <c:pt idx="3304">
                  <c:v>62506</c:v>
                </c:pt>
                <c:pt idx="3305">
                  <c:v>62513</c:v>
                </c:pt>
                <c:pt idx="3306">
                  <c:v>62520</c:v>
                </c:pt>
                <c:pt idx="3307">
                  <c:v>62527</c:v>
                </c:pt>
                <c:pt idx="3308">
                  <c:v>62534</c:v>
                </c:pt>
                <c:pt idx="3309">
                  <c:v>62541</c:v>
                </c:pt>
                <c:pt idx="3310">
                  <c:v>62548</c:v>
                </c:pt>
                <c:pt idx="3311">
                  <c:v>62555</c:v>
                </c:pt>
                <c:pt idx="3312">
                  <c:v>62562</c:v>
                </c:pt>
                <c:pt idx="3313">
                  <c:v>62569</c:v>
                </c:pt>
                <c:pt idx="3314">
                  <c:v>62576</c:v>
                </c:pt>
                <c:pt idx="3315">
                  <c:v>62583</c:v>
                </c:pt>
                <c:pt idx="3316">
                  <c:v>62590</c:v>
                </c:pt>
                <c:pt idx="3317">
                  <c:v>62597</c:v>
                </c:pt>
                <c:pt idx="3318">
                  <c:v>62604</c:v>
                </c:pt>
                <c:pt idx="3319">
                  <c:v>62611</c:v>
                </c:pt>
                <c:pt idx="3320">
                  <c:v>62618</c:v>
                </c:pt>
                <c:pt idx="3321">
                  <c:v>62625</c:v>
                </c:pt>
                <c:pt idx="3322">
                  <c:v>62632</c:v>
                </c:pt>
                <c:pt idx="3323">
                  <c:v>62639</c:v>
                </c:pt>
                <c:pt idx="3324">
                  <c:v>62646</c:v>
                </c:pt>
                <c:pt idx="3325">
                  <c:v>62653</c:v>
                </c:pt>
                <c:pt idx="3326">
                  <c:v>62660</c:v>
                </c:pt>
                <c:pt idx="3327">
                  <c:v>62667</c:v>
                </c:pt>
                <c:pt idx="3328">
                  <c:v>62674</c:v>
                </c:pt>
                <c:pt idx="3329">
                  <c:v>62681</c:v>
                </c:pt>
                <c:pt idx="3330">
                  <c:v>62688</c:v>
                </c:pt>
                <c:pt idx="3331">
                  <c:v>62695</c:v>
                </c:pt>
                <c:pt idx="3332">
                  <c:v>62702</c:v>
                </c:pt>
                <c:pt idx="3333">
                  <c:v>62709</c:v>
                </c:pt>
                <c:pt idx="3334">
                  <c:v>62716</c:v>
                </c:pt>
                <c:pt idx="3335">
                  <c:v>62723</c:v>
                </c:pt>
                <c:pt idx="3336">
                  <c:v>62730</c:v>
                </c:pt>
                <c:pt idx="3337">
                  <c:v>62737</c:v>
                </c:pt>
                <c:pt idx="3338">
                  <c:v>62744</c:v>
                </c:pt>
                <c:pt idx="3339">
                  <c:v>62751</c:v>
                </c:pt>
                <c:pt idx="3340">
                  <c:v>62758</c:v>
                </c:pt>
                <c:pt idx="3341">
                  <c:v>62765</c:v>
                </c:pt>
                <c:pt idx="3342">
                  <c:v>62772</c:v>
                </c:pt>
                <c:pt idx="3343">
                  <c:v>62779</c:v>
                </c:pt>
                <c:pt idx="3344">
                  <c:v>62786</c:v>
                </c:pt>
                <c:pt idx="3345">
                  <c:v>62793</c:v>
                </c:pt>
                <c:pt idx="3346">
                  <c:v>62800</c:v>
                </c:pt>
                <c:pt idx="3347">
                  <c:v>62807</c:v>
                </c:pt>
                <c:pt idx="3348">
                  <c:v>62814</c:v>
                </c:pt>
                <c:pt idx="3349">
                  <c:v>62821</c:v>
                </c:pt>
                <c:pt idx="3350">
                  <c:v>62828</c:v>
                </c:pt>
                <c:pt idx="3351">
                  <c:v>62835</c:v>
                </c:pt>
                <c:pt idx="3352">
                  <c:v>62842</c:v>
                </c:pt>
                <c:pt idx="3353">
                  <c:v>62850</c:v>
                </c:pt>
                <c:pt idx="3354">
                  <c:v>62857</c:v>
                </c:pt>
                <c:pt idx="3355">
                  <c:v>62864</c:v>
                </c:pt>
                <c:pt idx="3356">
                  <c:v>62871</c:v>
                </c:pt>
                <c:pt idx="3357">
                  <c:v>62878</c:v>
                </c:pt>
                <c:pt idx="3358">
                  <c:v>62885</c:v>
                </c:pt>
                <c:pt idx="3359">
                  <c:v>62892</c:v>
                </c:pt>
                <c:pt idx="3360">
                  <c:v>62899</c:v>
                </c:pt>
                <c:pt idx="3361">
                  <c:v>62906</c:v>
                </c:pt>
                <c:pt idx="3362">
                  <c:v>62913</c:v>
                </c:pt>
                <c:pt idx="3363">
                  <c:v>62920</c:v>
                </c:pt>
                <c:pt idx="3364">
                  <c:v>62927</c:v>
                </c:pt>
                <c:pt idx="3365">
                  <c:v>62934</c:v>
                </c:pt>
                <c:pt idx="3366">
                  <c:v>62941</c:v>
                </c:pt>
                <c:pt idx="3367">
                  <c:v>62948</c:v>
                </c:pt>
                <c:pt idx="3368">
                  <c:v>62955</c:v>
                </c:pt>
                <c:pt idx="3369">
                  <c:v>62962</c:v>
                </c:pt>
                <c:pt idx="3370">
                  <c:v>62969</c:v>
                </c:pt>
                <c:pt idx="3371">
                  <c:v>62976</c:v>
                </c:pt>
                <c:pt idx="3372">
                  <c:v>62983</c:v>
                </c:pt>
                <c:pt idx="3373">
                  <c:v>62990</c:v>
                </c:pt>
                <c:pt idx="3374">
                  <c:v>62997</c:v>
                </c:pt>
                <c:pt idx="3375">
                  <c:v>63004</c:v>
                </c:pt>
                <c:pt idx="3376">
                  <c:v>63011</c:v>
                </c:pt>
                <c:pt idx="3377">
                  <c:v>63018</c:v>
                </c:pt>
                <c:pt idx="3378">
                  <c:v>63025</c:v>
                </c:pt>
                <c:pt idx="3379">
                  <c:v>63032</c:v>
                </c:pt>
                <c:pt idx="3380">
                  <c:v>63039</c:v>
                </c:pt>
                <c:pt idx="3381">
                  <c:v>63046</c:v>
                </c:pt>
                <c:pt idx="3382">
                  <c:v>63053</c:v>
                </c:pt>
                <c:pt idx="3383">
                  <c:v>63060</c:v>
                </c:pt>
                <c:pt idx="3384">
                  <c:v>63067</c:v>
                </c:pt>
                <c:pt idx="3385">
                  <c:v>63074</c:v>
                </c:pt>
                <c:pt idx="3386">
                  <c:v>63081</c:v>
                </c:pt>
                <c:pt idx="3387">
                  <c:v>63088</c:v>
                </c:pt>
                <c:pt idx="3388">
                  <c:v>63095</c:v>
                </c:pt>
                <c:pt idx="3389">
                  <c:v>63102</c:v>
                </c:pt>
                <c:pt idx="3390">
                  <c:v>63109</c:v>
                </c:pt>
                <c:pt idx="3391">
                  <c:v>63116</c:v>
                </c:pt>
                <c:pt idx="3392">
                  <c:v>63123</c:v>
                </c:pt>
                <c:pt idx="3393">
                  <c:v>63130</c:v>
                </c:pt>
                <c:pt idx="3394">
                  <c:v>63137</c:v>
                </c:pt>
                <c:pt idx="3395">
                  <c:v>63144</c:v>
                </c:pt>
                <c:pt idx="3396">
                  <c:v>63151</c:v>
                </c:pt>
                <c:pt idx="3397">
                  <c:v>63158</c:v>
                </c:pt>
                <c:pt idx="3398">
                  <c:v>63165</c:v>
                </c:pt>
                <c:pt idx="3399">
                  <c:v>63172</c:v>
                </c:pt>
                <c:pt idx="3400">
                  <c:v>63179</c:v>
                </c:pt>
                <c:pt idx="3401">
                  <c:v>63186</c:v>
                </c:pt>
                <c:pt idx="3402">
                  <c:v>63193</c:v>
                </c:pt>
                <c:pt idx="3403">
                  <c:v>63200</c:v>
                </c:pt>
                <c:pt idx="3404">
                  <c:v>63207</c:v>
                </c:pt>
                <c:pt idx="3405">
                  <c:v>63214</c:v>
                </c:pt>
                <c:pt idx="3406">
                  <c:v>63221</c:v>
                </c:pt>
                <c:pt idx="3407">
                  <c:v>63228</c:v>
                </c:pt>
                <c:pt idx="3408">
                  <c:v>63235</c:v>
                </c:pt>
                <c:pt idx="3409">
                  <c:v>63242</c:v>
                </c:pt>
                <c:pt idx="3410">
                  <c:v>63249</c:v>
                </c:pt>
                <c:pt idx="3411">
                  <c:v>63256</c:v>
                </c:pt>
                <c:pt idx="3412">
                  <c:v>63263</c:v>
                </c:pt>
                <c:pt idx="3413">
                  <c:v>63270</c:v>
                </c:pt>
                <c:pt idx="3414">
                  <c:v>63277</c:v>
                </c:pt>
                <c:pt idx="3415">
                  <c:v>63284</c:v>
                </c:pt>
                <c:pt idx="3416">
                  <c:v>63291</c:v>
                </c:pt>
                <c:pt idx="3417">
                  <c:v>63298</c:v>
                </c:pt>
                <c:pt idx="3418">
                  <c:v>63305</c:v>
                </c:pt>
                <c:pt idx="3419">
                  <c:v>63312</c:v>
                </c:pt>
                <c:pt idx="3420">
                  <c:v>63319</c:v>
                </c:pt>
                <c:pt idx="3421">
                  <c:v>63326</c:v>
                </c:pt>
                <c:pt idx="3422">
                  <c:v>63333</c:v>
                </c:pt>
                <c:pt idx="3423">
                  <c:v>63340</c:v>
                </c:pt>
                <c:pt idx="3424">
                  <c:v>63347</c:v>
                </c:pt>
                <c:pt idx="3425">
                  <c:v>63354</c:v>
                </c:pt>
                <c:pt idx="3426">
                  <c:v>63361</c:v>
                </c:pt>
                <c:pt idx="3427">
                  <c:v>63368</c:v>
                </c:pt>
                <c:pt idx="3428">
                  <c:v>63375</c:v>
                </c:pt>
                <c:pt idx="3429">
                  <c:v>63382</c:v>
                </c:pt>
                <c:pt idx="3430">
                  <c:v>63389</c:v>
                </c:pt>
                <c:pt idx="3431">
                  <c:v>63396</c:v>
                </c:pt>
                <c:pt idx="3432">
                  <c:v>63403</c:v>
                </c:pt>
                <c:pt idx="3433">
                  <c:v>63410</c:v>
                </c:pt>
                <c:pt idx="3434">
                  <c:v>63417</c:v>
                </c:pt>
                <c:pt idx="3435">
                  <c:v>63424</c:v>
                </c:pt>
                <c:pt idx="3436">
                  <c:v>63431</c:v>
                </c:pt>
                <c:pt idx="3437">
                  <c:v>63438</c:v>
                </c:pt>
                <c:pt idx="3438">
                  <c:v>63445</c:v>
                </c:pt>
                <c:pt idx="3439">
                  <c:v>63452</c:v>
                </c:pt>
                <c:pt idx="3440">
                  <c:v>63459</c:v>
                </c:pt>
                <c:pt idx="3441">
                  <c:v>63466</c:v>
                </c:pt>
                <c:pt idx="3442">
                  <c:v>63473</c:v>
                </c:pt>
                <c:pt idx="3443">
                  <c:v>63480</c:v>
                </c:pt>
                <c:pt idx="3444">
                  <c:v>63487</c:v>
                </c:pt>
                <c:pt idx="3445">
                  <c:v>63494</c:v>
                </c:pt>
                <c:pt idx="3446">
                  <c:v>63501</c:v>
                </c:pt>
                <c:pt idx="3447">
                  <c:v>63508</c:v>
                </c:pt>
                <c:pt idx="3448">
                  <c:v>63515</c:v>
                </c:pt>
                <c:pt idx="3449">
                  <c:v>63522</c:v>
                </c:pt>
                <c:pt idx="3450">
                  <c:v>63529</c:v>
                </c:pt>
                <c:pt idx="3451">
                  <c:v>63536</c:v>
                </c:pt>
                <c:pt idx="3452">
                  <c:v>63543</c:v>
                </c:pt>
                <c:pt idx="3453">
                  <c:v>63550</c:v>
                </c:pt>
                <c:pt idx="3454">
                  <c:v>63557</c:v>
                </c:pt>
                <c:pt idx="3455">
                  <c:v>63564</c:v>
                </c:pt>
                <c:pt idx="3456">
                  <c:v>63571</c:v>
                </c:pt>
                <c:pt idx="3457">
                  <c:v>63578</c:v>
                </c:pt>
                <c:pt idx="3458">
                  <c:v>63585</c:v>
                </c:pt>
                <c:pt idx="3459">
                  <c:v>63592</c:v>
                </c:pt>
                <c:pt idx="3460">
                  <c:v>63599</c:v>
                </c:pt>
                <c:pt idx="3461">
                  <c:v>63606</c:v>
                </c:pt>
                <c:pt idx="3462">
                  <c:v>63613</c:v>
                </c:pt>
                <c:pt idx="3463">
                  <c:v>63620</c:v>
                </c:pt>
                <c:pt idx="3464">
                  <c:v>63627</c:v>
                </c:pt>
                <c:pt idx="3465">
                  <c:v>63634</c:v>
                </c:pt>
                <c:pt idx="3466">
                  <c:v>63641</c:v>
                </c:pt>
                <c:pt idx="3467">
                  <c:v>63648</c:v>
                </c:pt>
                <c:pt idx="3468">
                  <c:v>63655</c:v>
                </c:pt>
                <c:pt idx="3469">
                  <c:v>63662</c:v>
                </c:pt>
                <c:pt idx="3470">
                  <c:v>63670</c:v>
                </c:pt>
                <c:pt idx="3471">
                  <c:v>63677</c:v>
                </c:pt>
                <c:pt idx="3472">
                  <c:v>63684</c:v>
                </c:pt>
                <c:pt idx="3473">
                  <c:v>63691</c:v>
                </c:pt>
                <c:pt idx="3474">
                  <c:v>63698</c:v>
                </c:pt>
                <c:pt idx="3475">
                  <c:v>63705</c:v>
                </c:pt>
                <c:pt idx="3476">
                  <c:v>63712</c:v>
                </c:pt>
                <c:pt idx="3477">
                  <c:v>63719</c:v>
                </c:pt>
                <c:pt idx="3478">
                  <c:v>63726</c:v>
                </c:pt>
                <c:pt idx="3479">
                  <c:v>63733</c:v>
                </c:pt>
                <c:pt idx="3480">
                  <c:v>63740</c:v>
                </c:pt>
                <c:pt idx="3481">
                  <c:v>63747</c:v>
                </c:pt>
                <c:pt idx="3482">
                  <c:v>63754</c:v>
                </c:pt>
                <c:pt idx="3483">
                  <c:v>63761</c:v>
                </c:pt>
                <c:pt idx="3484">
                  <c:v>63768</c:v>
                </c:pt>
                <c:pt idx="3485">
                  <c:v>63775</c:v>
                </c:pt>
                <c:pt idx="3486">
                  <c:v>63782</c:v>
                </c:pt>
                <c:pt idx="3487">
                  <c:v>63789</c:v>
                </c:pt>
                <c:pt idx="3488">
                  <c:v>63796</c:v>
                </c:pt>
                <c:pt idx="3489">
                  <c:v>63803</c:v>
                </c:pt>
                <c:pt idx="3490">
                  <c:v>63810</c:v>
                </c:pt>
                <c:pt idx="3491">
                  <c:v>63817</c:v>
                </c:pt>
                <c:pt idx="3492">
                  <c:v>63824</c:v>
                </c:pt>
                <c:pt idx="3493">
                  <c:v>63831</c:v>
                </c:pt>
                <c:pt idx="3494">
                  <c:v>63838</c:v>
                </c:pt>
                <c:pt idx="3495">
                  <c:v>63845</c:v>
                </c:pt>
                <c:pt idx="3496">
                  <c:v>63852</c:v>
                </c:pt>
                <c:pt idx="3497">
                  <c:v>63859</c:v>
                </c:pt>
                <c:pt idx="3498">
                  <c:v>63866</c:v>
                </c:pt>
                <c:pt idx="3499">
                  <c:v>63873</c:v>
                </c:pt>
                <c:pt idx="3500">
                  <c:v>63880</c:v>
                </c:pt>
                <c:pt idx="3501">
                  <c:v>63887</c:v>
                </c:pt>
                <c:pt idx="3502">
                  <c:v>63894</c:v>
                </c:pt>
                <c:pt idx="3503">
                  <c:v>63901</c:v>
                </c:pt>
                <c:pt idx="3504">
                  <c:v>63908</c:v>
                </c:pt>
                <c:pt idx="3505">
                  <c:v>63915</c:v>
                </c:pt>
                <c:pt idx="3506">
                  <c:v>63922</c:v>
                </c:pt>
                <c:pt idx="3507">
                  <c:v>63929</c:v>
                </c:pt>
                <c:pt idx="3508">
                  <c:v>63936</c:v>
                </c:pt>
                <c:pt idx="3509">
                  <c:v>63943</c:v>
                </c:pt>
                <c:pt idx="3510">
                  <c:v>63950</c:v>
                </c:pt>
                <c:pt idx="3511">
                  <c:v>63957</c:v>
                </c:pt>
                <c:pt idx="3512">
                  <c:v>63964</c:v>
                </c:pt>
                <c:pt idx="3513">
                  <c:v>63971</c:v>
                </c:pt>
                <c:pt idx="3514">
                  <c:v>63978</c:v>
                </c:pt>
                <c:pt idx="3515">
                  <c:v>63985</c:v>
                </c:pt>
                <c:pt idx="3516">
                  <c:v>63992</c:v>
                </c:pt>
                <c:pt idx="3517">
                  <c:v>63999</c:v>
                </c:pt>
                <c:pt idx="3518">
                  <c:v>64006</c:v>
                </c:pt>
                <c:pt idx="3519">
                  <c:v>64013</c:v>
                </c:pt>
                <c:pt idx="3520">
                  <c:v>64020</c:v>
                </c:pt>
                <c:pt idx="3521">
                  <c:v>64027</c:v>
                </c:pt>
                <c:pt idx="3522">
                  <c:v>64035</c:v>
                </c:pt>
                <c:pt idx="3523">
                  <c:v>64042</c:v>
                </c:pt>
                <c:pt idx="3524">
                  <c:v>64049</c:v>
                </c:pt>
                <c:pt idx="3525">
                  <c:v>64056</c:v>
                </c:pt>
                <c:pt idx="3526">
                  <c:v>64063</c:v>
                </c:pt>
                <c:pt idx="3527">
                  <c:v>64070</c:v>
                </c:pt>
                <c:pt idx="3528">
                  <c:v>64077</c:v>
                </c:pt>
                <c:pt idx="3529">
                  <c:v>64084</c:v>
                </c:pt>
                <c:pt idx="3530">
                  <c:v>64091</c:v>
                </c:pt>
                <c:pt idx="3531">
                  <c:v>64098</c:v>
                </c:pt>
                <c:pt idx="3532">
                  <c:v>64105</c:v>
                </c:pt>
                <c:pt idx="3533">
                  <c:v>64112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2.181599999999996E-2</c:v>
                </c:pt>
                <c:pt idx="1">
                  <c:v>2.1807959595159326E-2</c:v>
                </c:pt>
                <c:pt idx="2">
                  <c:v>2.1799910111082659E-2</c:v>
                </c:pt>
                <c:pt idx="3">
                  <c:v>2.1791858919729085E-2</c:v>
                </c:pt>
                <c:pt idx="4">
                  <c:v>2.1788027780390608E-2</c:v>
                </c:pt>
                <c:pt idx="5">
                  <c:v>2.1759790448431307E-2</c:v>
                </c:pt>
                <c:pt idx="6">
                  <c:v>2.1751843687981973E-2</c:v>
                </c:pt>
                <c:pt idx="7">
                  <c:v>2.1743928885694156E-2</c:v>
                </c:pt>
                <c:pt idx="8">
                  <c:v>2.1736041365698705E-2</c:v>
                </c:pt>
                <c:pt idx="9">
                  <c:v>2.172065598595806E-2</c:v>
                </c:pt>
                <c:pt idx="10">
                  <c:v>2.1704670592550823E-2</c:v>
                </c:pt>
                <c:pt idx="11">
                  <c:v>2.1696848779695521E-2</c:v>
                </c:pt>
                <c:pt idx="12">
                  <c:v>2.1689022789209252E-2</c:v>
                </c:pt>
                <c:pt idx="13">
                  <c:v>2.1681184540017565E-2</c:v>
                </c:pt>
                <c:pt idx="14">
                  <c:v>2.1666223840804504E-2</c:v>
                </c:pt>
                <c:pt idx="15">
                  <c:v>2.1649547336956804E-2</c:v>
                </c:pt>
                <c:pt idx="16">
                  <c:v>2.1641526728315985E-2</c:v>
                </c:pt>
                <c:pt idx="17">
                  <c:v>2.1633446263531184E-2</c:v>
                </c:pt>
                <c:pt idx="18">
                  <c:v>2.1625298749630463E-2</c:v>
                </c:pt>
                <c:pt idx="19">
                  <c:v>2.1610182141206694E-2</c:v>
                </c:pt>
                <c:pt idx="20">
                  <c:v>2.158330369377914E-2</c:v>
                </c:pt>
                <c:pt idx="21">
                  <c:v>2.157460283633637E-2</c:v>
                </c:pt>
                <c:pt idx="22">
                  <c:v>2.156578458078881E-2</c:v>
                </c:pt>
                <c:pt idx="23">
                  <c:v>2.1549999996455994E-2</c:v>
                </c:pt>
                <c:pt idx="24">
                  <c:v>2.1529336806050004E-2</c:v>
                </c:pt>
                <c:pt idx="25">
                  <c:v>2.1519965008447221E-2</c:v>
                </c:pt>
                <c:pt idx="26">
                  <c:v>2.151050919284847E-2</c:v>
                </c:pt>
                <c:pt idx="27">
                  <c:v>2.1500980429288608E-2</c:v>
                </c:pt>
                <c:pt idx="28">
                  <c:v>2.148464174567663E-2</c:v>
                </c:pt>
                <c:pt idx="29">
                  <c:v>2.1462357292606035E-2</c:v>
                </c:pt>
                <c:pt idx="30">
                  <c:v>2.145262983619383E-2</c:v>
                </c:pt>
                <c:pt idx="31">
                  <c:v>2.144289584985988E-2</c:v>
                </c:pt>
                <c:pt idx="32">
                  <c:v>2.143316640290345E-2</c:v>
                </c:pt>
                <c:pt idx="33">
                  <c:v>2.1417078449189657E-2</c:v>
                </c:pt>
                <c:pt idx="34">
                  <c:v>2.1394515391053821E-2</c:v>
                </c:pt>
                <c:pt idx="35">
                  <c:v>2.1384974676702743E-2</c:v>
                </c:pt>
                <c:pt idx="36">
                  <c:v>2.1375504915274891E-2</c:v>
                </c:pt>
                <c:pt idx="37">
                  <c:v>2.1366117175331302E-2</c:v>
                </c:pt>
                <c:pt idx="38">
                  <c:v>2.1348165619948768E-2</c:v>
                </c:pt>
                <c:pt idx="39">
                  <c:v>2.1329607798149589E-2</c:v>
                </c:pt>
                <c:pt idx="40">
                  <c:v>2.1320796190624068E-2</c:v>
                </c:pt>
                <c:pt idx="41">
                  <c:v>2.1312133013944058E-2</c:v>
                </c:pt>
                <c:pt idx="42">
                  <c:v>2.130362933603545E-2</c:v>
                </c:pt>
                <c:pt idx="43">
                  <c:v>2.1290202228970382E-2</c:v>
                </c:pt>
                <c:pt idx="44">
                  <c:v>2.1271430968027836E-2</c:v>
                </c:pt>
                <c:pt idx="45">
                  <c:v>2.1263888036238746E-2</c:v>
                </c:pt>
                <c:pt idx="46">
                  <c:v>2.1256554424769539E-2</c:v>
                </c:pt>
                <c:pt idx="47">
                  <c:v>2.1249424616653644E-2</c:v>
                </c:pt>
                <c:pt idx="48">
                  <c:v>2.1238148311999546E-2</c:v>
                </c:pt>
                <c:pt idx="49">
                  <c:v>2.1222833080861942E-2</c:v>
                </c:pt>
                <c:pt idx="50">
                  <c:v>2.1216639537437524E-2</c:v>
                </c:pt>
                <c:pt idx="51">
                  <c:v>2.1210616696976499E-2</c:v>
                </c:pt>
                <c:pt idx="52">
                  <c:v>2.120475904295982E-2</c:v>
                </c:pt>
                <c:pt idx="53">
                  <c:v>2.1195498994053395E-2</c:v>
                </c:pt>
                <c:pt idx="54">
                  <c:v>2.1182869962699705E-2</c:v>
                </c:pt>
                <c:pt idx="55">
                  <c:v>2.1177755494857023E-2</c:v>
                </c:pt>
                <c:pt idx="56">
                  <c:v>2.117277311537066E-2</c:v>
                </c:pt>
                <c:pt idx="57">
                  <c:v>2.1167917308047506E-2</c:v>
                </c:pt>
                <c:pt idx="58">
                  <c:v>2.1164621683932575E-2</c:v>
                </c:pt>
                <c:pt idx="59">
                  <c:v>2.1145343789782473E-2</c:v>
                </c:pt>
                <c:pt idx="60">
                  <c:v>2.1141131577470287E-2</c:v>
                </c:pt>
                <c:pt idx="61">
                  <c:v>2.1137007324981763E-2</c:v>
                </c:pt>
                <c:pt idx="62">
                  <c:v>2.1131224819472699E-2</c:v>
                </c:pt>
                <c:pt idx="63">
                  <c:v>2.1121279595209333E-2</c:v>
                </c:pt>
                <c:pt idx="64">
                  <c:v>2.1117512403534867E-2</c:v>
                </c:pt>
                <c:pt idx="65">
                  <c:v>2.1113801816773803E-2</c:v>
                </c:pt>
                <c:pt idx="66">
                  <c:v>2.1110151020296924E-2</c:v>
                </c:pt>
                <c:pt idx="67">
                  <c:v>2.1106978883077176E-2</c:v>
                </c:pt>
                <c:pt idx="68">
                  <c:v>2.1096244248826997E-2</c:v>
                </c:pt>
                <c:pt idx="69">
                  <c:v>2.1092966287344517E-2</c:v>
                </c:pt>
                <c:pt idx="70">
                  <c:v>2.1089777669483112E-2</c:v>
                </c:pt>
                <c:pt idx="71">
                  <c:v>2.1086683320760025E-2</c:v>
                </c:pt>
                <c:pt idx="72">
                  <c:v>2.1084340172745773E-2</c:v>
                </c:pt>
                <c:pt idx="73">
                  <c:v>2.1075347127260897E-2</c:v>
                </c:pt>
                <c:pt idx="74">
                  <c:v>2.1072798006687599E-2</c:v>
                </c:pt>
                <c:pt idx="75">
                  <c:v>2.1070372708202778E-2</c:v>
                </c:pt>
                <c:pt idx="76">
                  <c:v>2.1068076157285794E-2</c:v>
                </c:pt>
                <c:pt idx="77">
                  <c:v>2.106796409412404E-2</c:v>
                </c:pt>
                <c:pt idx="78">
                  <c:v>2.105904679456046E-2</c:v>
                </c:pt>
                <c:pt idx="79">
                  <c:v>2.1057361728731745E-2</c:v>
                </c:pt>
                <c:pt idx="80">
                  <c:v>2.105583425074134E-2</c:v>
                </c:pt>
                <c:pt idx="81">
                  <c:v>2.1054469339942705E-2</c:v>
                </c:pt>
                <c:pt idx="82">
                  <c:v>2.1053271975699995E-2</c:v>
                </c:pt>
                <c:pt idx="83">
                  <c:v>2.1050734956207153E-2</c:v>
                </c:pt>
                <c:pt idx="84">
                  <c:v>2.105025757217607E-2</c:v>
                </c:pt>
                <c:pt idx="85">
                  <c:v>2.1049972631794183E-2</c:v>
                </c:pt>
                <c:pt idx="86">
                  <c:v>2.1049885114545874E-2</c:v>
                </c:pt>
                <c:pt idx="87">
                  <c:v>2.104999999994759E-2</c:v>
                </c:pt>
                <c:pt idx="88">
                  <c:v>2.1051578831192259E-2</c:v>
                </c:pt>
                <c:pt idx="89">
                  <c:v>2.105251113195715E-2</c:v>
                </c:pt>
                <c:pt idx="90">
                  <c:v>2.1053639054797967E-2</c:v>
                </c:pt>
                <c:pt idx="91">
                  <c:v>2.1054955925103723E-2</c:v>
                </c:pt>
                <c:pt idx="92">
                  <c:v>2.1056455068279464E-2</c:v>
                </c:pt>
                <c:pt idx="93">
                  <c:v>2.1061979389315724E-2</c:v>
                </c:pt>
                <c:pt idx="94">
                  <c:v>2.1064140878306849E-2</c:v>
                </c:pt>
                <c:pt idx="95">
                  <c:v>2.1066451267375764E-2</c:v>
                </c:pt>
                <c:pt idx="96">
                  <c:v>2.1068903881979163E-2</c:v>
                </c:pt>
                <c:pt idx="97">
                  <c:v>2.1084713599154502E-2</c:v>
                </c:pt>
                <c:pt idx="98">
                  <c:v>2.108336950467601E-2</c:v>
                </c:pt>
                <c:pt idx="99">
                  <c:v>2.1083066728827902E-2</c:v>
                </c:pt>
                <c:pt idx="100">
                  <c:v>2.1089600863960292E-2</c:v>
                </c:pt>
                <c:pt idx="101">
                  <c:v>2.1102718090784171E-2</c:v>
                </c:pt>
                <c:pt idx="102">
                  <c:v>2.1102772803101709E-2</c:v>
                </c:pt>
                <c:pt idx="103">
                  <c:v>2.1110250505121952E-2</c:v>
                </c:pt>
                <c:pt idx="104">
                  <c:v>2.1113907972142923E-2</c:v>
                </c:pt>
                <c:pt idx="105">
                  <c:v>2.1117609506720675E-2</c:v>
                </c:pt>
                <c:pt idx="106">
                  <c:v>2.1127411426988017E-2</c:v>
                </c:pt>
                <c:pt idx="107">
                  <c:v>2.1132724268435585E-2</c:v>
                </c:pt>
                <c:pt idx="108">
                  <c:v>2.1136547101464221E-2</c:v>
                </c:pt>
                <c:pt idx="109">
                  <c:v>2.1140374386144824E-2</c:v>
                </c:pt>
                <c:pt idx="110">
                  <c:v>2.1144199519739972E-2</c:v>
                </c:pt>
                <c:pt idx="111">
                  <c:v>2.115312874945223E-2</c:v>
                </c:pt>
                <c:pt idx="112">
                  <c:v>2.1159346487621543E-2</c:v>
                </c:pt>
                <c:pt idx="113">
                  <c:v>2.1163061823838255E-2</c:v>
                </c:pt>
                <c:pt idx="114">
                  <c:v>2.1166735392018146E-2</c:v>
                </c:pt>
                <c:pt idx="115">
                  <c:v>2.1170360589250248E-2</c:v>
                </c:pt>
                <c:pt idx="116">
                  <c:v>2.1177707959244705E-2</c:v>
                </c:pt>
                <c:pt idx="117">
                  <c:v>2.1185846743700727E-2</c:v>
                </c:pt>
                <c:pt idx="118">
                  <c:v>2.1187529907851943E-2</c:v>
                </c:pt>
                <c:pt idx="119">
                  <c:v>2.1190726217114632E-2</c:v>
                </c:pt>
                <c:pt idx="120">
                  <c:v>2.1193827934491569E-2</c:v>
                </c:pt>
                <c:pt idx="121">
                  <c:v>2.1195612746050339E-2</c:v>
                </c:pt>
                <c:pt idx="122">
                  <c:v>2.1205156823802116E-2</c:v>
                </c:pt>
                <c:pt idx="123">
                  <c:v>2.1207686535653466E-2</c:v>
                </c:pt>
                <c:pt idx="124">
                  <c:v>2.1210082037118133E-2</c:v>
                </c:pt>
                <c:pt idx="125">
                  <c:v>2.121233672508958E-2</c:v>
                </c:pt>
                <c:pt idx="126">
                  <c:v>2.1214584534259652E-2</c:v>
                </c:pt>
                <c:pt idx="127">
                  <c:v>2.1219815279980195E-2</c:v>
                </c:pt>
                <c:pt idx="128">
                  <c:v>2.1221266853978175E-2</c:v>
                </c:pt>
                <c:pt idx="129">
                  <c:v>2.1222537995930029E-2</c:v>
                </c:pt>
                <c:pt idx="130">
                  <c:v>2.1223622102780313E-2</c:v>
                </c:pt>
                <c:pt idx="131">
                  <c:v>2.1222448066278012E-2</c:v>
                </c:pt>
                <c:pt idx="132">
                  <c:v>2.1225956118785333E-2</c:v>
                </c:pt>
                <c:pt idx="133">
                  <c:v>2.1226006005066887E-2</c:v>
                </c:pt>
                <c:pt idx="134">
                  <c:v>2.1225829238422499E-2</c:v>
                </c:pt>
                <c:pt idx="135">
                  <c:v>2.1225419215996692E-2</c:v>
                </c:pt>
                <c:pt idx="136">
                  <c:v>2.1220305882494593E-2</c:v>
                </c:pt>
                <c:pt idx="137">
                  <c:v>2.1221314512954653E-2</c:v>
                </c:pt>
                <c:pt idx="138">
                  <c:v>2.1219639170433503E-2</c:v>
                </c:pt>
                <c:pt idx="139">
                  <c:v>2.121769095604201E-2</c:v>
                </c:pt>
                <c:pt idx="140">
                  <c:v>2.1215463267310559E-2</c:v>
                </c:pt>
                <c:pt idx="141">
                  <c:v>2.1205941150786008E-2</c:v>
                </c:pt>
                <c:pt idx="142">
                  <c:v>2.1207498824915218E-2</c:v>
                </c:pt>
                <c:pt idx="143">
                  <c:v>2.1203963488063013E-2</c:v>
                </c:pt>
                <c:pt idx="144">
                  <c:v>2.120010980701292E-2</c:v>
                </c:pt>
                <c:pt idx="145">
                  <c:v>2.1195931107668726E-2</c:v>
                </c:pt>
                <c:pt idx="146">
                  <c:v>2.1191420716039321E-2</c:v>
                </c:pt>
                <c:pt idx="147">
                  <c:v>2.1175832649212831E-2</c:v>
                </c:pt>
                <c:pt idx="148">
                  <c:v>2.116992875082209E-2</c:v>
                </c:pt>
                <c:pt idx="149">
                  <c:v>2.1163659791960214E-2</c:v>
                </c:pt>
                <c:pt idx="150">
                  <c:v>2.1157019099384212E-2</c:v>
                </c:pt>
                <c:pt idx="151">
                  <c:v>2.1149999999999815E-2</c:v>
                </c:pt>
                <c:pt idx="152">
                  <c:v>2.1126689347134912E-2</c:v>
                </c:pt>
                <c:pt idx="153">
                  <c:v>2.1118204749572933E-2</c:v>
                </c:pt>
                <c:pt idx="154">
                  <c:v>2.1109382883329263E-2</c:v>
                </c:pt>
                <c:pt idx="155">
                  <c:v>2.1100235701154824E-2</c:v>
                </c:pt>
                <c:pt idx="156">
                  <c:v>2.1090775155775583E-2</c:v>
                </c:pt>
                <c:pt idx="157">
                  <c:v>2.1060632867033819E-2</c:v>
                </c:pt>
                <c:pt idx="158">
                  <c:v>2.1050038395196511E-2</c:v>
                </c:pt>
                <c:pt idx="159">
                  <c:v>2.1039190323039733E-2</c:v>
                </c:pt>
                <c:pt idx="160">
                  <c:v>2.1028100602934988E-2</c:v>
                </c:pt>
                <c:pt idx="161">
                  <c:v>2.0969445609759933E-2</c:v>
                </c:pt>
                <c:pt idx="162">
                  <c:v>2.0957156996454795E-2</c:v>
                </c:pt>
                <c:pt idx="163">
                  <c:v>2.0944710399011954E-2</c:v>
                </c:pt>
                <c:pt idx="164">
                  <c:v>2.0893583195921942E-2</c:v>
                </c:pt>
                <c:pt idx="165">
                  <c:v>2.0880525947631363E-2</c:v>
                </c:pt>
                <c:pt idx="166">
                  <c:v>2.0867382422157573E-2</c:v>
                </c:pt>
                <c:pt idx="167">
                  <c:v>2.0854164570154078E-2</c:v>
                </c:pt>
                <c:pt idx="168">
                  <c:v>2.0840884342120305E-2</c:v>
                </c:pt>
                <c:pt idx="169">
                  <c:v>2.0800788904530285E-2</c:v>
                </c:pt>
                <c:pt idx="170">
                  <c:v>2.0787378674281941E-2</c:v>
                </c:pt>
                <c:pt idx="171">
                  <c:v>2.0773965818168833E-2</c:v>
                </c:pt>
                <c:pt idx="172">
                  <c:v>2.0760562285747228E-2</c:v>
                </c:pt>
                <c:pt idx="173">
                  <c:v>2.0747180026417528E-2</c:v>
                </c:pt>
                <c:pt idx="174">
                  <c:v>2.0707280378597988E-2</c:v>
                </c:pt>
                <c:pt idx="175">
                  <c:v>2.0694102702472059E-2</c:v>
                </c:pt>
                <c:pt idx="176">
                  <c:v>2.0681006044079048E-2</c:v>
                </c:pt>
                <c:pt idx="177">
                  <c:v>2.0668002351885987E-2</c:v>
                </c:pt>
                <c:pt idx="178">
                  <c:v>2.0655103574212963E-2</c:v>
                </c:pt>
                <c:pt idx="179">
                  <c:v>2.0612747221054543E-2</c:v>
                </c:pt>
                <c:pt idx="180">
                  <c:v>2.0592601584861397E-2</c:v>
                </c:pt>
                <c:pt idx="181">
                  <c:v>2.0580583201133314E-2</c:v>
                </c:pt>
                <c:pt idx="182">
                  <c:v>2.0568753366303264E-2</c:v>
                </c:pt>
                <c:pt idx="183">
                  <c:v>2.0534514627348708E-2</c:v>
                </c:pt>
                <c:pt idx="184">
                  <c:v>2.0526289813021084E-2</c:v>
                </c:pt>
                <c:pt idx="185">
                  <c:v>2.0515324736708994E-2</c:v>
                </c:pt>
                <c:pt idx="186">
                  <c:v>2.0504614966057353E-2</c:v>
                </c:pt>
                <c:pt idx="187">
                  <c:v>2.0494172579885075E-2</c:v>
                </c:pt>
                <c:pt idx="188">
                  <c:v>2.0463453557701669E-2</c:v>
                </c:pt>
                <c:pt idx="189">
                  <c:v>2.0455318453979559E-2</c:v>
                </c:pt>
                <c:pt idx="190">
                  <c:v>2.0446394170224709E-2</c:v>
                </c:pt>
                <c:pt idx="191">
                  <c:v>2.0437809742628064E-2</c:v>
                </c:pt>
                <c:pt idx="192">
                  <c:v>2.0429577249683441E-2</c:v>
                </c:pt>
                <c:pt idx="193">
                  <c:v>2.0405872454265214E-2</c:v>
                </c:pt>
                <c:pt idx="194">
                  <c:v>2.0400320535654735E-2</c:v>
                </c:pt>
                <c:pt idx="195">
                  <c:v>2.0393945344158899E-2</c:v>
                </c:pt>
                <c:pt idx="196">
                  <c:v>2.0387953468894278E-2</c:v>
                </c:pt>
                <c:pt idx="197">
                  <c:v>2.038234877072018E-2</c:v>
                </c:pt>
                <c:pt idx="198">
                  <c:v>2.0370660674079454E-2</c:v>
                </c:pt>
                <c:pt idx="199">
                  <c:v>2.0363878969250848E-2</c:v>
                </c:pt>
                <c:pt idx="200">
                  <c:v>2.0360268072618568E-2</c:v>
                </c:pt>
                <c:pt idx="201">
                  <c:v>2.0357067520210211E-2</c:v>
                </c:pt>
                <c:pt idx="202">
                  <c:v>2.0354281173582081E-2</c:v>
                </c:pt>
                <c:pt idx="203">
                  <c:v>2.0357328585894497E-2</c:v>
                </c:pt>
                <c:pt idx="204">
                  <c:v>2.0356655268991514E-2</c:v>
                </c:pt>
                <c:pt idx="205">
                  <c:v>2.0356405278661279E-2</c:v>
                </c:pt>
                <c:pt idx="206">
                  <c:v>2.035658239379939E-2</c:v>
                </c:pt>
                <c:pt idx="207">
                  <c:v>2.0368049917546201E-2</c:v>
                </c:pt>
                <c:pt idx="208">
                  <c:v>2.0361637491842728E-2</c:v>
                </c:pt>
                <c:pt idx="209">
                  <c:v>2.0364006822705717E-2</c:v>
                </c:pt>
                <c:pt idx="210">
                  <c:v>2.036682593543581E-2</c:v>
                </c:pt>
                <c:pt idx="211">
                  <c:v>2.0370098609976042E-2</c:v>
                </c:pt>
                <c:pt idx="212">
                  <c:v>2.0393653599235777E-2</c:v>
                </c:pt>
                <c:pt idx="213">
                  <c:v>2.0387747344547871E-2</c:v>
                </c:pt>
                <c:pt idx="214">
                  <c:v>2.0393271647943013E-2</c:v>
                </c:pt>
                <c:pt idx="215">
                  <c:v>2.0399224919247394E-2</c:v>
                </c:pt>
                <c:pt idx="216">
                  <c:v>2.0405599120140241E-2</c:v>
                </c:pt>
                <c:pt idx="217">
                  <c:v>2.0427337583392189E-2</c:v>
                </c:pt>
                <c:pt idx="218">
                  <c:v>2.0435144455981415E-2</c:v>
                </c:pt>
                <c:pt idx="219">
                  <c:v>2.0443502732674295E-2</c:v>
                </c:pt>
                <c:pt idx="220">
                  <c:v>2.0452233710510116E-2</c:v>
                </c:pt>
                <c:pt idx="221">
                  <c:v>2.0461329351585678E-2</c:v>
                </c:pt>
                <c:pt idx="222">
                  <c:v>2.0511996180456397E-2</c:v>
                </c:pt>
                <c:pt idx="223">
                  <c:v>2.0523111006048745E-2</c:v>
                </c:pt>
                <c:pt idx="224">
                  <c:v>2.0525996171056174E-2</c:v>
                </c:pt>
                <c:pt idx="225">
                  <c:v>2.0537661674224297E-2</c:v>
                </c:pt>
                <c:pt idx="226">
                  <c:v>2.0574401243999497E-2</c:v>
                </c:pt>
                <c:pt idx="227">
                  <c:v>2.05872017011429E-2</c:v>
                </c:pt>
                <c:pt idx="228">
                  <c:v>2.0600265582022412E-2</c:v>
                </c:pt>
                <c:pt idx="229">
                  <c:v>2.0613584760633331E-2</c:v>
                </c:pt>
                <c:pt idx="230">
                  <c:v>2.0627151110919294E-2</c:v>
                </c:pt>
                <c:pt idx="231">
                  <c:v>2.066925193026101E-2</c:v>
                </c:pt>
                <c:pt idx="232">
                  <c:v>2.0683725705323574E-2</c:v>
                </c:pt>
                <c:pt idx="233">
                  <c:v>2.0698406020726669E-2</c:v>
                </c:pt>
                <c:pt idx="234">
                  <c:v>2.0713284749963284E-2</c:v>
                </c:pt>
                <c:pt idx="235">
                  <c:v>2.0728353766436454E-2</c:v>
                </c:pt>
                <c:pt idx="236">
                  <c:v>2.0774621271883311E-2</c:v>
                </c:pt>
                <c:pt idx="237">
                  <c:v>2.0790370169405745E-2</c:v>
                </c:pt>
                <c:pt idx="238">
                  <c:v>2.0806268719702366E-2</c:v>
                </c:pt>
                <c:pt idx="239">
                  <c:v>2.0822308795561684E-2</c:v>
                </c:pt>
                <c:pt idx="240">
                  <c:v>2.0838482269655536E-2</c:v>
                </c:pt>
                <c:pt idx="241">
                  <c:v>2.0904347597719742E-2</c:v>
                </c:pt>
                <c:pt idx="242">
                  <c:v>2.0921066148924222E-2</c:v>
                </c:pt>
                <c:pt idx="243">
                  <c:v>2.0937869331870244E-2</c:v>
                </c:pt>
                <c:pt idx="244">
                  <c:v>2.0954749018366633E-2</c:v>
                </c:pt>
                <c:pt idx="245">
                  <c:v>2.1014810436607179E-2</c:v>
                </c:pt>
                <c:pt idx="246">
                  <c:v>2.1031901173039814E-2</c:v>
                </c:pt>
                <c:pt idx="247">
                  <c:v>2.1049026977555951E-2</c:v>
                </c:pt>
                <c:pt idx="248">
                  <c:v>2.1066179809036072E-2</c:v>
                </c:pt>
                <c:pt idx="249">
                  <c:v>2.1101288463084261E-2</c:v>
                </c:pt>
                <c:pt idx="250">
                  <c:v>2.1134900577349645E-2</c:v>
                </c:pt>
                <c:pt idx="251">
                  <c:v>2.1152067922004861E-2</c:v>
                </c:pt>
                <c:pt idx="252">
                  <c:v>2.1169214043997273E-2</c:v>
                </c:pt>
                <c:pt idx="253">
                  <c:v>2.1186330901239215E-2</c:v>
                </c:pt>
                <c:pt idx="254">
                  <c:v>2.1221107482273568E-2</c:v>
                </c:pt>
                <c:pt idx="255">
                  <c:v>2.1254430616942883E-2</c:v>
                </c:pt>
                <c:pt idx="256">
                  <c:v>2.1271362274864321E-2</c:v>
                </c:pt>
                <c:pt idx="257">
                  <c:v>2.1288256623431676E-2</c:v>
                </c:pt>
                <c:pt idx="258">
                  <c:v>2.130511366216924E-2</c:v>
                </c:pt>
                <c:pt idx="259">
                  <c:v>2.1339381651216169E-2</c:v>
                </c:pt>
                <c:pt idx="260">
                  <c:v>2.1372168709369126E-2</c:v>
                </c:pt>
                <c:pt idx="261">
                  <c:v>2.138883919187588E-2</c:v>
                </c:pt>
                <c:pt idx="262">
                  <c:v>2.140547236172767E-2</c:v>
                </c:pt>
                <c:pt idx="263">
                  <c:v>2.1422068218455846E-2</c:v>
                </c:pt>
                <c:pt idx="264">
                  <c:v>2.1455827431379998E-2</c:v>
                </c:pt>
                <c:pt idx="265">
                  <c:v>2.1488078504831427E-2</c:v>
                </c:pt>
                <c:pt idx="266">
                  <c:v>2.1504487788971537E-2</c:v>
                </c:pt>
                <c:pt idx="267">
                  <c:v>2.1520859757207786E-2</c:v>
                </c:pt>
                <c:pt idx="268">
                  <c:v>2.1537194409077687E-2</c:v>
                </c:pt>
                <c:pt idx="269">
                  <c:v>2.1570444658957584E-2</c:v>
                </c:pt>
                <c:pt idx="270">
                  <c:v>2.1602159843744372E-2</c:v>
                </c:pt>
                <c:pt idx="271">
                  <c:v>2.1618307906924424E-2</c:v>
                </c:pt>
                <c:pt idx="272">
                  <c:v>2.1634418651002813E-2</c:v>
                </c:pt>
                <c:pt idx="273">
                  <c:v>2.1650492075524098E-2</c:v>
                </c:pt>
                <c:pt idx="274">
                  <c:v>2.1683233172713395E-2</c:v>
                </c:pt>
                <c:pt idx="275">
                  <c:v>2.1730299389021868E-2</c:v>
                </c:pt>
                <c:pt idx="276">
                  <c:v>2.1746148886760384E-2</c:v>
                </c:pt>
                <c:pt idx="277">
                  <c:v>2.1761961061802129E-2</c:v>
                </c:pt>
                <c:pt idx="278">
                  <c:v>2.1794192813979502E-2</c:v>
                </c:pt>
                <c:pt idx="279">
                  <c:v>2.1824836526146234E-2</c:v>
                </c:pt>
                <c:pt idx="280">
                  <c:v>2.184046208106627E-2</c:v>
                </c:pt>
                <c:pt idx="281">
                  <c:v>2.1856050310641438E-2</c:v>
                </c:pt>
                <c:pt idx="282">
                  <c:v>2.1871601214433028E-2</c:v>
                </c:pt>
                <c:pt idx="283">
                  <c:v>2.1903323426655595E-2</c:v>
                </c:pt>
                <c:pt idx="284">
                  <c:v>2.1933431563036194E-2</c:v>
                </c:pt>
                <c:pt idx="285">
                  <c:v>2.1948795831375115E-2</c:v>
                </c:pt>
                <c:pt idx="286">
                  <c:v>2.1964122771323764E-2</c:v>
                </c:pt>
                <c:pt idx="287">
                  <c:v>2.1979412382451363E-2</c:v>
                </c:pt>
                <c:pt idx="288">
                  <c:v>2.201858763668953E-2</c:v>
                </c:pt>
                <c:pt idx="289">
                  <c:v>2.2040197530179755E-2</c:v>
                </c:pt>
                <c:pt idx="290">
                  <c:v>2.2055300490780954E-2</c:v>
                </c:pt>
                <c:pt idx="291">
                  <c:v>2.207036611999846E-2</c:v>
                </c:pt>
                <c:pt idx="292">
                  <c:v>2.2085394417410299E-2</c:v>
                </c:pt>
                <c:pt idx="293">
                  <c:v>2.211609695470303E-2</c:v>
                </c:pt>
                <c:pt idx="294">
                  <c:v>2.2145134280565127E-2</c:v>
                </c:pt>
                <c:pt idx="295">
                  <c:v>2.2159975912632312E-2</c:v>
                </c:pt>
                <c:pt idx="296">
                  <c:v>2.2174780210375229E-2</c:v>
                </c:pt>
                <c:pt idx="297">
                  <c:v>2.2189547173377192E-2</c:v>
                </c:pt>
                <c:pt idx="298">
                  <c:v>2.2196528066812857E-2</c:v>
                </c:pt>
                <c:pt idx="299">
                  <c:v>2.224824166969825E-2</c:v>
                </c:pt>
                <c:pt idx="300">
                  <c:v>2.226282195279454E-2</c:v>
                </c:pt>
                <c:pt idx="301">
                  <c:v>2.2277364898677085E-2</c:v>
                </c:pt>
                <c:pt idx="302">
                  <c:v>2.2291870506935371E-2</c:v>
                </c:pt>
                <c:pt idx="303">
                  <c:v>2.2321552559479665E-2</c:v>
                </c:pt>
                <c:pt idx="304">
                  <c:v>2.2349519555601015E-2</c:v>
                </c:pt>
                <c:pt idx="305">
                  <c:v>2.2363838469649833E-2</c:v>
                </c:pt>
                <c:pt idx="306">
                  <c:v>2.2378120043645651E-2</c:v>
                </c:pt>
                <c:pt idx="307">
                  <c:v>2.2392364277186751E-2</c:v>
                </c:pt>
                <c:pt idx="308">
                  <c:v>2.2421535777712418E-2</c:v>
                </c:pt>
                <c:pt idx="309">
                  <c:v>2.2463025324096351E-2</c:v>
                </c:pt>
                <c:pt idx="310">
                  <c:v>2.2477045506538496E-2</c:v>
                </c:pt>
                <c:pt idx="311">
                  <c:v>2.2491028345747455E-2</c:v>
                </c:pt>
                <c:pt idx="312">
                  <c:v>2.2519689084754262E-2</c:v>
                </c:pt>
                <c:pt idx="313">
                  <c:v>2.2546586262388105E-2</c:v>
                </c:pt>
                <c:pt idx="314">
                  <c:v>2.256038237954908E-2</c:v>
                </c:pt>
                <c:pt idx="315">
                  <c:v>2.2574141151132689E-2</c:v>
                </c:pt>
                <c:pt idx="316">
                  <c:v>2.258786257675308E-2</c:v>
                </c:pt>
                <c:pt idx="317">
                  <c:v>2.2616012342505785E-2</c:v>
                </c:pt>
                <c:pt idx="318">
                  <c:v>2.2642374811902177E-2</c:v>
                </c:pt>
                <c:pt idx="319">
                  <c:v>2.2655909501941619E-2</c:v>
                </c:pt>
                <c:pt idx="320">
                  <c:v>2.2669406843719476E-2</c:v>
                </c:pt>
                <c:pt idx="321">
                  <c:v>2.2682866836856948E-2</c:v>
                </c:pt>
                <c:pt idx="322">
                  <c:v>2.2710505415440358E-2</c:v>
                </c:pt>
                <c:pt idx="323">
                  <c:v>2.2736333315446257E-2</c:v>
                </c:pt>
                <c:pt idx="324">
                  <c:v>2.2749606559726163E-2</c:v>
                </c:pt>
                <c:pt idx="325">
                  <c:v>2.2762842453110482E-2</c:v>
                </c:pt>
                <c:pt idx="326">
                  <c:v>2.2776040995228338E-2</c:v>
                </c:pt>
                <c:pt idx="327">
                  <c:v>2.2803168170605004E-2</c:v>
                </c:pt>
                <c:pt idx="328">
                  <c:v>2.2828461643629075E-2</c:v>
                </c:pt>
                <c:pt idx="329">
                  <c:v>2.2841473423869104E-2</c:v>
                </c:pt>
                <c:pt idx="330">
                  <c:v>2.2847536706742801E-2</c:v>
                </c:pt>
                <c:pt idx="331">
                  <c:v>2.286049164867706E-2</c:v>
                </c:pt>
                <c:pt idx="332">
                  <c:v>2.287340923846188E-2</c:v>
                </c:pt>
                <c:pt idx="333">
                  <c:v>2.2911937891338489E-2</c:v>
                </c:pt>
                <c:pt idx="334">
                  <c:v>2.2924706068947025E-2</c:v>
                </c:pt>
                <c:pt idx="335">
                  <c:v>2.2937436892621316E-2</c:v>
                </c:pt>
                <c:pt idx="336">
                  <c:v>2.2950130362007787E-2</c:v>
                </c:pt>
                <c:pt idx="337">
                  <c:v>2.2962786476753757E-2</c:v>
                </c:pt>
                <c:pt idx="338">
                  <c:v>2.3000530689630694E-2</c:v>
                </c:pt>
                <c:pt idx="339">
                  <c:v>2.3013037382304719E-2</c:v>
                </c:pt>
                <c:pt idx="340">
                  <c:v>2.3025506718589064E-2</c:v>
                </c:pt>
                <c:pt idx="341">
                  <c:v>2.303793869813639E-2</c:v>
                </c:pt>
                <c:pt idx="342">
                  <c:v>2.3050333320602027E-2</c:v>
                </c:pt>
                <c:pt idx="343">
                  <c:v>2.3087293042064777E-2</c:v>
                </c:pt>
                <c:pt idx="344">
                  <c:v>2.309953823276676E-2</c:v>
                </c:pt>
                <c:pt idx="345">
                  <c:v>2.3111746064674393E-2</c:v>
                </c:pt>
                <c:pt idx="346">
                  <c:v>2.3123916537448351E-2</c:v>
                </c:pt>
                <c:pt idx="347">
                  <c:v>2.3136049650749311E-2</c:v>
                </c:pt>
                <c:pt idx="348">
                  <c:v>2.3185104871101335E-2</c:v>
                </c:pt>
                <c:pt idx="349">
                  <c:v>2.319063645157686E-2</c:v>
                </c:pt>
                <c:pt idx="350">
                  <c:v>2.3196154813402054E-2</c:v>
                </c:pt>
                <c:pt idx="351">
                  <c:v>2.3208063762822001E-2</c:v>
                </c:pt>
                <c:pt idx="352">
                  <c:v>2.3219935350431077E-2</c:v>
                </c:pt>
                <c:pt idx="353">
                  <c:v>2.3273350500210697E-2</c:v>
                </c:pt>
                <c:pt idx="354">
                  <c:v>2.3285017333054894E-2</c:v>
                </c:pt>
                <c:pt idx="355">
                  <c:v>2.3296646799956206E-2</c:v>
                </c:pt>
                <c:pt idx="356">
                  <c:v>2.3320700907256839E-2</c:v>
                </c:pt>
                <c:pt idx="357">
                  <c:v>2.3342791001610984E-2</c:v>
                </c:pt>
                <c:pt idx="358">
                  <c:v>2.3354233633916578E-2</c:v>
                </c:pt>
                <c:pt idx="359">
                  <c:v>2.3365638898332413E-2</c:v>
                </c:pt>
                <c:pt idx="360">
                  <c:v>2.3377006794539586E-2</c:v>
                </c:pt>
                <c:pt idx="361">
                  <c:v>2.3382214403794323E-2</c:v>
                </c:pt>
                <c:pt idx="362">
                  <c:v>2.3422104690905443E-2</c:v>
                </c:pt>
                <c:pt idx="363">
                  <c:v>2.3433285741296394E-2</c:v>
                </c:pt>
                <c:pt idx="364">
                  <c:v>2.3444429421576738E-2</c:v>
                </c:pt>
                <c:pt idx="365">
                  <c:v>2.3455535731433746E-2</c:v>
                </c:pt>
                <c:pt idx="366">
                  <c:v>2.3478563667015562E-2</c:v>
                </c:pt>
                <c:pt idx="367">
                  <c:v>2.3499587260398403E-2</c:v>
                </c:pt>
                <c:pt idx="368">
                  <c:v>2.3510506713476795E-2</c:v>
                </c:pt>
                <c:pt idx="369">
                  <c:v>2.3527284248954741E-2</c:v>
                </c:pt>
                <c:pt idx="370">
                  <c:v>2.353223350248243E-2</c:v>
                </c:pt>
                <c:pt idx="371">
                  <c:v>2.3554748003998673E-2</c:v>
                </c:pt>
                <c:pt idx="372">
                  <c:v>2.3575238603374814E-2</c:v>
                </c:pt>
                <c:pt idx="373">
                  <c:v>2.358589644409952E-2</c:v>
                </c:pt>
                <c:pt idx="374">
                  <c:v>2.3596516910425212E-2</c:v>
                </c:pt>
                <c:pt idx="375">
                  <c:v>2.36071000020515E-2</c:v>
                </c:pt>
                <c:pt idx="376">
                  <c:v>2.3629100835248412E-2</c:v>
                </c:pt>
                <c:pt idx="377">
                  <c:v>2.3649058615639991E-2</c:v>
                </c:pt>
                <c:pt idx="378">
                  <c:v>2.3659454829332825E-2</c:v>
                </c:pt>
                <c:pt idx="379">
                  <c:v>2.3669813666559084E-2</c:v>
                </c:pt>
                <c:pt idx="380">
                  <c:v>2.3680135127025419E-2</c:v>
                </c:pt>
                <c:pt idx="381">
                  <c:v>2.3701622056131442E-2</c:v>
                </c:pt>
                <c:pt idx="382">
                  <c:v>2.3721047195519616E-2</c:v>
                </c:pt>
                <c:pt idx="383">
                  <c:v>2.3731181767861809E-2</c:v>
                </c:pt>
                <c:pt idx="384">
                  <c:v>2.3741278961720964E-2</c:v>
                </c:pt>
                <c:pt idx="385">
                  <c:v>2.3751338776812538E-2</c:v>
                </c:pt>
                <c:pt idx="386">
                  <c:v>2.3772311564589803E-2</c:v>
                </c:pt>
                <c:pt idx="387">
                  <c:v>2.3791204243862375E-2</c:v>
                </c:pt>
                <c:pt idx="388">
                  <c:v>2.3801077160895471E-2</c:v>
                </c:pt>
                <c:pt idx="389">
                  <c:v>2.3810912697480154E-2</c:v>
                </c:pt>
                <c:pt idx="390">
                  <c:v>2.3820710853339814E-2</c:v>
                </c:pt>
                <c:pt idx="391">
                  <c:v>2.3841169261146943E-2</c:v>
                </c:pt>
                <c:pt idx="392">
                  <c:v>2.3859529664037312E-2</c:v>
                </c:pt>
                <c:pt idx="393">
                  <c:v>2.3863846588522118E-2</c:v>
                </c:pt>
                <c:pt idx="394">
                  <c:v>2.3868150422169662E-2</c:v>
                </c:pt>
                <c:pt idx="395">
                  <c:v>2.3877723040683425E-2</c:v>
                </c:pt>
                <c:pt idx="396">
                  <c:v>2.3887258280939752E-2</c:v>
                </c:pt>
                <c:pt idx="397">
                  <c:v>2.3920837472071188E-2</c:v>
                </c:pt>
                <c:pt idx="398">
                  <c:v>2.3925025454169475E-2</c:v>
                </c:pt>
                <c:pt idx="399">
                  <c:v>2.3934373799228571E-2</c:v>
                </c:pt>
                <c:pt idx="400">
                  <c:v>2.3943684764473235E-2</c:v>
                </c:pt>
                <c:pt idx="401">
                  <c:v>2.3952958349646825E-2</c:v>
                </c:pt>
                <c:pt idx="402">
                  <c:v>2.3985625968308902E-2</c:v>
                </c:pt>
                <c:pt idx="403">
                  <c:v>2.3989678884549726E-2</c:v>
                </c:pt>
                <c:pt idx="404">
                  <c:v>2.3998765565565069E-2</c:v>
                </c:pt>
                <c:pt idx="405">
                  <c:v>2.4007814864994668E-2</c:v>
                </c:pt>
                <c:pt idx="406">
                  <c:v>2.4016826782589984E-2</c:v>
                </c:pt>
                <c:pt idx="407">
                  <c:v>2.4048582676668959E-2</c:v>
                </c:pt>
                <c:pt idx="408">
                  <c:v>2.4052500629686412E-2</c:v>
                </c:pt>
                <c:pt idx="409">
                  <c:v>2.4061325634412805E-2</c:v>
                </c:pt>
                <c:pt idx="410">
                  <c:v>2.4070113255833477E-2</c:v>
                </c:pt>
                <c:pt idx="411">
                  <c:v>2.4078863493707088E-2</c:v>
                </c:pt>
                <c:pt idx="412">
                  <c:v>2.4122053921473745E-2</c:v>
                </c:pt>
                <c:pt idx="413">
                  <c:v>2.4130579853044627E-2</c:v>
                </c:pt>
                <c:pt idx="414">
                  <c:v>2.4143813482319806E-2</c:v>
                </c:pt>
                <c:pt idx="415">
                  <c:v>2.416900038915866E-2</c:v>
                </c:pt>
                <c:pt idx="416">
                  <c:v>2.4172648728091429E-2</c:v>
                </c:pt>
                <c:pt idx="417">
                  <c:v>2.418095034491816E-2</c:v>
                </c:pt>
                <c:pt idx="418">
                  <c:v>2.4189214575151392E-2</c:v>
                </c:pt>
                <c:pt idx="419">
                  <c:v>2.4197441418559694E-2</c:v>
                </c:pt>
                <c:pt idx="420">
                  <c:v>2.422646122922302E-2</c:v>
                </c:pt>
                <c:pt idx="421">
                  <c:v>2.4229974919460811E-2</c:v>
                </c:pt>
                <c:pt idx="422">
                  <c:v>2.4238014825381928E-2</c:v>
                </c:pt>
                <c:pt idx="423">
                  <c:v>2.4246017343139952E-2</c:v>
                </c:pt>
                <c:pt idx="424">
                  <c:v>2.425398247251245E-2</c:v>
                </c:pt>
                <c:pt idx="425">
                  <c:v>2.4286514429183653E-2</c:v>
                </c:pt>
                <c:pt idx="426">
                  <c:v>2.4289887348920521E-2</c:v>
                </c:pt>
                <c:pt idx="427">
                  <c:v>2.4293247285971042E-2</c:v>
                </c:pt>
                <c:pt idx="428">
                  <c:v>2.4300988080470199E-2</c:v>
                </c:pt>
                <c:pt idx="429">
                  <c:v>2.4308691485073669E-2</c:v>
                </c:pt>
                <c:pt idx="430">
                  <c:v>2.4335886485541681E-2</c:v>
                </c:pt>
                <c:pt idx="431">
                  <c:v>2.4339131200295568E-2</c:v>
                </c:pt>
                <c:pt idx="432">
                  <c:v>2.4350920387986062E-2</c:v>
                </c:pt>
                <c:pt idx="433">
                  <c:v>2.4361568382519141E-2</c:v>
                </c:pt>
                <c:pt idx="434">
                  <c:v>2.4375269679149734E-2</c:v>
                </c:pt>
                <c:pt idx="435">
                  <c:v>2.4378398758316745E-2</c:v>
                </c:pt>
                <c:pt idx="436">
                  <c:v>2.4394058582123974E-2</c:v>
                </c:pt>
                <c:pt idx="437">
                  <c:v>2.4401294113743609E-2</c:v>
                </c:pt>
                <c:pt idx="438">
                  <c:v>2.4408492255041332E-2</c:v>
                </c:pt>
                <c:pt idx="439">
                  <c:v>2.443798268397019E-2</c:v>
                </c:pt>
                <c:pt idx="440">
                  <c:v>2.4440958859067375E-2</c:v>
                </c:pt>
                <c:pt idx="441">
                  <c:v>2.4443922099885173E-2</c:v>
                </c:pt>
                <c:pt idx="442">
                  <c:v>2.445089589517634E-2</c:v>
                </c:pt>
                <c:pt idx="443">
                  <c:v>2.4457832298796039E-2</c:v>
                </c:pt>
                <c:pt idx="444">
                  <c:v>2.4486284442231023E-2</c:v>
                </c:pt>
                <c:pt idx="445">
                  <c:v>2.4489126537958664E-2</c:v>
                </c:pt>
                <c:pt idx="446">
                  <c:v>2.4491955716305313E-2</c:v>
                </c:pt>
                <c:pt idx="447">
                  <c:v>2.4498670891852661E-2</c:v>
                </c:pt>
                <c:pt idx="448">
                  <c:v>2.4505350702037632E-2</c:v>
                </c:pt>
                <c:pt idx="449">
                  <c:v>2.4532831906131532E-2</c:v>
                </c:pt>
                <c:pt idx="450">
                  <c:v>2.4535540897636248E-2</c:v>
                </c:pt>
                <c:pt idx="451">
                  <c:v>2.4538237008171357E-2</c:v>
                </c:pt>
                <c:pt idx="452">
                  <c:v>2.4544715267625229E-2</c:v>
                </c:pt>
                <c:pt idx="453">
                  <c:v>2.4551161708902085E-2</c:v>
                </c:pt>
                <c:pt idx="454">
                  <c:v>2.4577789797075405E-2</c:v>
                </c:pt>
                <c:pt idx="455">
                  <c:v>2.4587811763786258E-2</c:v>
                </c:pt>
                <c:pt idx="456">
                  <c:v>2.4594076113707935E-2</c:v>
                </c:pt>
                <c:pt idx="457">
                  <c:v>2.4600312870792566E-2</c:v>
                </c:pt>
                <c:pt idx="458">
                  <c:v>2.4613893361999491E-2</c:v>
                </c:pt>
                <c:pt idx="459">
                  <c:v>2.4624993777815133E-2</c:v>
                </c:pt>
                <c:pt idx="460">
                  <c:v>2.4631099926045064E-2</c:v>
                </c:pt>
                <c:pt idx="461">
                  <c:v>2.463718142359677E-2</c:v>
                </c:pt>
                <c:pt idx="462">
                  <c:v>2.4643238760844295E-2</c:v>
                </c:pt>
                <c:pt idx="463">
                  <c:v>2.4660173460389408E-2</c:v>
                </c:pt>
                <c:pt idx="464">
                  <c:v>2.4667236314354562E-2</c:v>
                </c:pt>
                <c:pt idx="465">
                  <c:v>2.4673180205784372E-2</c:v>
                </c:pt>
                <c:pt idx="466">
                  <c:v>2.467910287921506E-2</c:v>
                </c:pt>
                <c:pt idx="467">
                  <c:v>2.4685004825043579E-2</c:v>
                </c:pt>
                <c:pt idx="468">
                  <c:v>2.4698085661409557E-2</c:v>
                </c:pt>
                <c:pt idx="469">
                  <c:v>2.4708415140359513E-2</c:v>
                </c:pt>
                <c:pt idx="470">
                  <c:v>2.471422080422481E-2</c:v>
                </c:pt>
                <c:pt idx="471">
                  <c:v>2.4720008682929537E-2</c:v>
                </c:pt>
                <c:pt idx="472">
                  <c:v>2.4725779266892674E-2</c:v>
                </c:pt>
                <c:pt idx="473">
                  <c:v>2.4738690872647802E-2</c:v>
                </c:pt>
                <c:pt idx="474">
                  <c:v>2.4748698463784517E-2</c:v>
                </c:pt>
                <c:pt idx="475">
                  <c:v>2.4754389930411503E-2</c:v>
                </c:pt>
                <c:pt idx="476">
                  <c:v>2.476006704486888E-2</c:v>
                </c:pt>
                <c:pt idx="477">
                  <c:v>2.4765730297594123E-2</c:v>
                </c:pt>
                <c:pt idx="478">
                  <c:v>2.4767811782922075E-2</c:v>
                </c:pt>
                <c:pt idx="479">
                  <c:v>2.4784686649890052E-2</c:v>
                </c:pt>
                <c:pt idx="480">
                  <c:v>2.4790287706471216E-2</c:v>
                </c:pt>
                <c:pt idx="481">
                  <c:v>2.4795877639864478E-2</c:v>
                </c:pt>
                <c:pt idx="482">
                  <c:v>2.4801456945886938E-2</c:v>
                </c:pt>
                <c:pt idx="483">
                  <c:v>2.4807026120356585E-2</c:v>
                </c:pt>
                <c:pt idx="484">
                  <c:v>2.4823677812664171E-2</c:v>
                </c:pt>
                <c:pt idx="485">
                  <c:v>2.4829211419155905E-2</c:v>
                </c:pt>
                <c:pt idx="486">
                  <c:v>2.4834737373224849E-2</c:v>
                </c:pt>
                <c:pt idx="487">
                  <c:v>2.4840256170706811E-2</c:v>
                </c:pt>
                <c:pt idx="488">
                  <c:v>2.486776016371902E-2</c:v>
                </c:pt>
                <c:pt idx="489">
                  <c:v>2.4873246434360959E-2</c:v>
                </c:pt>
                <c:pt idx="490">
                  <c:v>2.4878729019334214E-2</c:v>
                </c:pt>
                <c:pt idx="491">
                  <c:v>2.4884208414497747E-2</c:v>
                </c:pt>
                <c:pt idx="492">
                  <c:v>2.4900632419724934E-2</c:v>
                </c:pt>
                <c:pt idx="493">
                  <c:v>2.4911574898310595E-2</c:v>
                </c:pt>
                <c:pt idx="494">
                  <c:v>2.4917045567743865E-2</c:v>
                </c:pt>
                <c:pt idx="495">
                  <c:v>2.4933393972206133E-2</c:v>
                </c:pt>
                <c:pt idx="496">
                  <c:v>2.4942570326746367E-2</c:v>
                </c:pt>
                <c:pt idx="497">
                  <c:v>2.4948051297135364E-2</c:v>
                </c:pt>
                <c:pt idx="498">
                  <c:v>2.495353508238591E-2</c:v>
                </c:pt>
                <c:pt idx="499">
                  <c:v>2.4959022173034133E-2</c:v>
                </c:pt>
                <c:pt idx="500">
                  <c:v>2.4975482054392328E-2</c:v>
                </c:pt>
                <c:pt idx="501">
                  <c:v>2.4981013400408553E-2</c:v>
                </c:pt>
                <c:pt idx="502">
                  <c:v>2.4986524376173599E-2</c:v>
                </c:pt>
                <c:pt idx="503">
                  <c:v>2.499204160060689E-2</c:v>
                </c:pt>
                <c:pt idx="504">
                  <c:v>2.4997565564263073E-2</c:v>
                </c:pt>
                <c:pt idx="505">
                  <c:v>2.5010465153292034E-2</c:v>
                </c:pt>
                <c:pt idx="506">
                  <c:v>2.5019736414915738E-2</c:v>
                </c:pt>
                <c:pt idx="507">
                  <c:v>2.5025298408150827E-2</c:v>
                </c:pt>
                <c:pt idx="508">
                  <c:v>2.5030868121856384E-2</c:v>
                </c:pt>
                <c:pt idx="509">
                  <c:v>2.5036445556062364E-2</c:v>
                </c:pt>
                <c:pt idx="510">
                  <c:v>2.5049458481272015E-2</c:v>
                </c:pt>
                <c:pt idx="511">
                  <c:v>2.5058832498546811E-2</c:v>
                </c:pt>
                <c:pt idx="512">
                  <c:v>2.506444853574559E-2</c:v>
                </c:pt>
                <c:pt idx="513">
                  <c:v>2.5070072293640354E-2</c:v>
                </c:pt>
                <c:pt idx="514">
                  <c:v>2.5075703772262828E-2</c:v>
                </c:pt>
                <c:pt idx="515">
                  <c:v>2.5088830178715479E-2</c:v>
                </c:pt>
                <c:pt idx="516">
                  <c:v>2.5098306894694864E-2</c:v>
                </c:pt>
                <c:pt idx="517">
                  <c:v>2.5103976977450947E-2</c:v>
                </c:pt>
                <c:pt idx="518">
                  <c:v>2.5143883744497973E-2</c:v>
                </c:pt>
                <c:pt idx="519">
                  <c:v>2.5184168848222579E-2</c:v>
                </c:pt>
                <c:pt idx="520">
                  <c:v>2.5224832300069028E-2</c:v>
                </c:pt>
                <c:pt idx="521">
                  <c:v>2.5265874111589055E-2</c:v>
                </c:pt>
                <c:pt idx="522">
                  <c:v>2.5307294294441875E-2</c:v>
                </c:pt>
                <c:pt idx="523">
                  <c:v>2.5349092860394173E-2</c:v>
                </c:pt>
                <c:pt idx="524">
                  <c:v>2.5391269821322754E-2</c:v>
                </c:pt>
                <c:pt idx="525">
                  <c:v>2.5433825189206609E-2</c:v>
                </c:pt>
                <c:pt idx="526">
                  <c:v>2.5476758976137492E-2</c:v>
                </c:pt>
                <c:pt idx="527">
                  <c:v>2.552007119431287E-2</c:v>
                </c:pt>
                <c:pt idx="528">
                  <c:v>2.5563761856036798E-2</c:v>
                </c:pt>
                <c:pt idx="529">
                  <c:v>2.5607830973720814E-2</c:v>
                </c:pt>
                <c:pt idx="530">
                  <c:v>2.5652278559887443E-2</c:v>
                </c:pt>
                <c:pt idx="531">
                  <c:v>2.5692929014558108E-2</c:v>
                </c:pt>
                <c:pt idx="532">
                  <c:v>2.5738103366671435E-2</c:v>
                </c:pt>
                <c:pt idx="533">
                  <c:v>2.5783656192339664E-2</c:v>
                </c:pt>
                <c:pt idx="534">
                  <c:v>2.5833853843535978E-2</c:v>
                </c:pt>
                <c:pt idx="535">
                  <c:v>2.5880193963679146E-2</c:v>
                </c:pt>
                <c:pt idx="536">
                  <c:v>2.5926912629683867E-2</c:v>
                </c:pt>
                <c:pt idx="537">
                  <c:v>2.5974009854824114E-2</c:v>
                </c:pt>
                <c:pt idx="538">
                  <c:v>2.602148565248133E-2</c:v>
                </c:pt>
                <c:pt idx="539">
                  <c:v>2.6069340036146197E-2</c:v>
                </c:pt>
                <c:pt idx="540">
                  <c:v>2.6117573019413347E-2</c:v>
                </c:pt>
                <c:pt idx="541">
                  <c:v>2.6166184615986653E-2</c:v>
                </c:pt>
                <c:pt idx="542">
                  <c:v>2.6215174839679219E-2</c:v>
                </c:pt>
                <c:pt idx="543">
                  <c:v>2.6264543704410739E-2</c:v>
                </c:pt>
                <c:pt idx="544">
                  <c:v>2.6305152449753452E-2</c:v>
                </c:pt>
                <c:pt idx="545">
                  <c:v>2.6355217340531246E-2</c:v>
                </c:pt>
                <c:pt idx="546">
                  <c:v>2.6405660844447992E-2</c:v>
                </c:pt>
                <c:pt idx="547">
                  <c:v>2.6463774189122456E-2</c:v>
                </c:pt>
                <c:pt idx="548">
                  <c:v>2.6515029054252404E-2</c:v>
                </c:pt>
                <c:pt idx="549">
                  <c:v>2.6566662576940972E-2</c:v>
                </c:pt>
                <c:pt idx="550">
                  <c:v>2.6618674771540552E-2</c:v>
                </c:pt>
                <c:pt idx="551">
                  <c:v>2.66710656525098E-2</c:v>
                </c:pt>
                <c:pt idx="552">
                  <c:v>2.6719020018978978E-2</c:v>
                </c:pt>
                <c:pt idx="553">
                  <c:v>2.6772137384418887E-2</c:v>
                </c:pt>
                <c:pt idx="554">
                  <c:v>2.6825633443745431E-2</c:v>
                </c:pt>
                <c:pt idx="555">
                  <c:v>2.6879504452648671E-2</c:v>
                </c:pt>
                <c:pt idx="556">
                  <c:v>2.6948536709969675E-2</c:v>
                </c:pt>
                <c:pt idx="557">
                  <c:v>2.7003167695826086E-2</c:v>
                </c:pt>
                <c:pt idx="558">
                  <c:v>2.7058102717535681E-2</c:v>
                </c:pt>
                <c:pt idx="559">
                  <c:v>2.71133199629147E-2</c:v>
                </c:pt>
                <c:pt idx="560">
                  <c:v>2.7168797618639443E-2</c:v>
                </c:pt>
                <c:pt idx="561">
                  <c:v>2.7219481503611122E-2</c:v>
                </c:pt>
                <c:pt idx="562">
                  <c:v>2.7275400527828508E-2</c:v>
                </c:pt>
                <c:pt idx="563">
                  <c:v>2.7331515622494786E-2</c:v>
                </c:pt>
                <c:pt idx="564">
                  <c:v>2.7395858951723775E-2</c:v>
                </c:pt>
                <c:pt idx="565">
                  <c:v>2.7457404223132614E-2</c:v>
                </c:pt>
                <c:pt idx="566">
                  <c:v>2.7514002914797862E-2</c:v>
                </c:pt>
                <c:pt idx="567">
                  <c:v>2.7570706459289881E-2</c:v>
                </c:pt>
                <c:pt idx="568">
                  <c:v>2.7627502780615047E-2</c:v>
                </c:pt>
                <c:pt idx="569">
                  <c:v>2.7684391203902741E-2</c:v>
                </c:pt>
                <c:pt idx="570">
                  <c:v>2.7741371733063451E-2</c:v>
                </c:pt>
                <c:pt idx="571">
                  <c:v>2.7798444372015584E-2</c:v>
                </c:pt>
                <c:pt idx="572">
                  <c:v>2.7855609124681959E-2</c:v>
                </c:pt>
                <c:pt idx="573">
                  <c:v>2.7912865994995081E-2</c:v>
                </c:pt>
                <c:pt idx="574">
                  <c:v>2.797021498689186E-2</c:v>
                </c:pt>
                <c:pt idx="575">
                  <c:v>2.8027656104315377E-2</c:v>
                </c:pt>
                <c:pt idx="576">
                  <c:v>2.8085189351214873E-2</c:v>
                </c:pt>
                <c:pt idx="577">
                  <c:v>2.8142814731546645E-2</c:v>
                </c:pt>
                <c:pt idx="578">
                  <c:v>2.8200532249274025E-2</c:v>
                </c:pt>
                <c:pt idx="579">
                  <c:v>2.825834190836388E-2</c:v>
                </c:pt>
                <c:pt idx="580">
                  <c:v>2.8316243712794526E-2</c:v>
                </c:pt>
                <c:pt idx="581">
                  <c:v>2.8374237666545159E-2</c:v>
                </c:pt>
                <c:pt idx="582">
                  <c:v>2.8432323773603781E-2</c:v>
                </c:pt>
                <c:pt idx="583">
                  <c:v>2.8485220257633535E-2</c:v>
                </c:pt>
                <c:pt idx="584">
                  <c:v>2.8543479564630322E-2</c:v>
                </c:pt>
                <c:pt idx="585">
                  <c:v>2.8601831020220601E-2</c:v>
                </c:pt>
                <c:pt idx="586">
                  <c:v>2.8660274628374751E-2</c:v>
                </c:pt>
                <c:pt idx="587">
                  <c:v>2.8724136748558581E-2</c:v>
                </c:pt>
                <c:pt idx="588">
                  <c:v>2.8782775859576219E-2</c:v>
                </c:pt>
                <c:pt idx="589">
                  <c:v>2.8841507151996716E-2</c:v>
                </c:pt>
                <c:pt idx="590">
                  <c:v>2.8900330629859177E-2</c:v>
                </c:pt>
                <c:pt idx="591">
                  <c:v>2.8959246297209747E-2</c:v>
                </c:pt>
                <c:pt idx="592">
                  <c:v>2.9018254158099856E-2</c:v>
                </c:pt>
                <c:pt idx="593">
                  <c:v>2.907735421658799E-2</c:v>
                </c:pt>
                <c:pt idx="594">
                  <c:v>2.9136546476737909E-2</c:v>
                </c:pt>
                <c:pt idx="595">
                  <c:v>2.9190414625139448E-2</c:v>
                </c:pt>
                <c:pt idx="596">
                  <c:v>2.9244353706849389E-2</c:v>
                </c:pt>
                <c:pt idx="597">
                  <c:v>2.9303799920320679E-2</c:v>
                </c:pt>
                <c:pt idx="598">
                  <c:v>2.9363338317183421E-2</c:v>
                </c:pt>
                <c:pt idx="599">
                  <c:v>2.9422968901444E-2</c:v>
                </c:pt>
                <c:pt idx="600">
                  <c:v>2.9482691677113312E-2</c:v>
                </c:pt>
                <c:pt idx="601">
                  <c:v>2.9542506648209444E-2</c:v>
                </c:pt>
                <c:pt idx="602">
                  <c:v>2.96024138187568E-2</c:v>
                </c:pt>
                <c:pt idx="603">
                  <c:v>2.9662413192786979E-2</c:v>
                </c:pt>
                <c:pt idx="604">
                  <c:v>2.9716988713168673E-2</c:v>
                </c:pt>
                <c:pt idx="605">
                  <c:v>2.9777161032927761E-2</c:v>
                </c:pt>
                <c:pt idx="606">
                  <c:v>2.9837425530230839E-2</c:v>
                </c:pt>
                <c:pt idx="607">
                  <c:v>2.9897771816278781E-2</c:v>
                </c:pt>
                <c:pt idx="608">
                  <c:v>2.9974806359077181E-2</c:v>
                </c:pt>
                <c:pt idx="609">
                  <c:v>3.0035188646552358E-2</c:v>
                </c:pt>
                <c:pt idx="610">
                  <c:v>3.0095517973844667E-2</c:v>
                </c:pt>
                <c:pt idx="611">
                  <c:v>3.0155753675788027E-2</c:v>
                </c:pt>
                <c:pt idx="612">
                  <c:v>3.0215855084774403E-2</c:v>
                </c:pt>
                <c:pt idx="613">
                  <c:v>3.0270291827650061E-2</c:v>
                </c:pt>
                <c:pt idx="614">
                  <c:v>3.0330023519097134E-2</c:v>
                </c:pt>
                <c:pt idx="615">
                  <c:v>3.0389500955481218E-2</c:v>
                </c:pt>
                <c:pt idx="616">
                  <c:v>3.0457111086396794E-2</c:v>
                </c:pt>
                <c:pt idx="617">
                  <c:v>3.0537459234691495E-2</c:v>
                </c:pt>
                <c:pt idx="618">
                  <c:v>3.0590405186284829E-2</c:v>
                </c:pt>
                <c:pt idx="619">
                  <c:v>3.0648312233379483E-2</c:v>
                </c:pt>
                <c:pt idx="620">
                  <c:v>3.0705777451008887E-2</c:v>
                </c:pt>
                <c:pt idx="621">
                  <c:v>3.0746951988178707E-2</c:v>
                </c:pt>
                <c:pt idx="622">
                  <c:v>3.081938075317046E-2</c:v>
                </c:pt>
                <c:pt idx="623">
                  <c:v>3.0859831626159455E-2</c:v>
                </c:pt>
                <c:pt idx="624">
                  <c:v>3.0931214416213305E-2</c:v>
                </c:pt>
                <c:pt idx="625">
                  <c:v>3.0986467585507958E-2</c:v>
                </c:pt>
                <c:pt idx="626">
                  <c:v>3.10464219753162E-2</c:v>
                </c:pt>
                <c:pt idx="627">
                  <c:v>3.1095646505840416E-2</c:v>
                </c:pt>
                <c:pt idx="628">
                  <c:v>3.1149572219806441E-2</c:v>
                </c:pt>
                <c:pt idx="629">
                  <c:v>3.1203055411842623E-2</c:v>
                </c:pt>
                <c:pt idx="630">
                  <c:v>3.1256096063789422E-2</c:v>
                </c:pt>
                <c:pt idx="631">
                  <c:v>3.130869415763473E-2</c:v>
                </c:pt>
                <c:pt idx="632">
                  <c:v>3.1360849675520774E-2</c:v>
                </c:pt>
                <c:pt idx="633">
                  <c:v>3.1412562599734635E-2</c:v>
                </c:pt>
                <c:pt idx="634">
                  <c:v>3.1449038562933004E-2</c:v>
                </c:pt>
                <c:pt idx="635">
                  <c:v>3.1499947980180604E-2</c:v>
                </c:pt>
                <c:pt idx="636">
                  <c:v>3.1550414848376437E-2</c:v>
                </c:pt>
                <c:pt idx="637">
                  <c:v>3.1600439150931851E-2</c:v>
                </c:pt>
                <c:pt idx="638">
                  <c:v>3.1650020871399787E-2</c:v>
                </c:pt>
                <c:pt idx="639">
                  <c:v>3.1713544705104284E-2</c:v>
                </c:pt>
                <c:pt idx="640">
                  <c:v>3.1762158990359744E-2</c:v>
                </c:pt>
                <c:pt idx="641">
                  <c:v>3.1810330545669736E-2</c:v>
                </c:pt>
                <c:pt idx="642">
                  <c:v>3.1862767227420402E-2</c:v>
                </c:pt>
                <c:pt idx="643">
                  <c:v>3.1905345401175705E-2</c:v>
                </c:pt>
                <c:pt idx="644">
                  <c:v>3.195218866910491E-2</c:v>
                </c:pt>
                <c:pt idx="645">
                  <c:v>3.1984699265387627E-2</c:v>
                </c:pt>
                <c:pt idx="646">
                  <c:v>3.2044546805774891E-2</c:v>
                </c:pt>
                <c:pt idx="647">
                  <c:v>3.2076337520230522E-2</c:v>
                </c:pt>
                <c:pt idx="648">
                  <c:v>3.2121492547335567E-2</c:v>
                </c:pt>
                <c:pt idx="649">
                  <c:v>3.2166204821053361E-2</c:v>
                </c:pt>
                <c:pt idx="650">
                  <c:v>3.2210474326684245E-2</c:v>
                </c:pt>
                <c:pt idx="651">
                  <c:v>3.2254301049673736E-2</c:v>
                </c:pt>
                <c:pt idx="652">
                  <c:v>3.2297684975612515E-2</c:v>
                </c:pt>
                <c:pt idx="653">
                  <c:v>3.2358253787679592E-2</c:v>
                </c:pt>
                <c:pt idx="654">
                  <c:v>3.2383124379427419E-2</c:v>
                </c:pt>
                <c:pt idx="655">
                  <c:v>3.2425179829212551E-2</c:v>
                </c:pt>
                <c:pt idx="656">
                  <c:v>3.2462463228067256E-2</c:v>
                </c:pt>
                <c:pt idx="657">
                  <c:v>3.2503660940267229E-2</c:v>
                </c:pt>
                <c:pt idx="658">
                  <c:v>3.2544415887647178E-2</c:v>
                </c:pt>
                <c:pt idx="659">
                  <c:v>3.2584735103506901E-2</c:v>
                </c:pt>
                <c:pt idx="660">
                  <c:v>3.2628862579348772E-2</c:v>
                </c:pt>
                <c:pt idx="661">
                  <c:v>3.2685151393256347E-2</c:v>
                </c:pt>
                <c:pt idx="662">
                  <c:v>3.2720011226748218E-2</c:v>
                </c:pt>
                <c:pt idx="663">
                  <c:v>3.2758722395633148E-2</c:v>
                </c:pt>
                <c:pt idx="664">
                  <c:v>3.2797105903099186E-2</c:v>
                </c:pt>
                <c:pt idx="665">
                  <c:v>3.2822765342370219E-2</c:v>
                </c:pt>
                <c:pt idx="666">
                  <c:v>3.2882079432461964E-2</c:v>
                </c:pt>
                <c:pt idx="667">
                  <c:v>3.2919485671684602E-2</c:v>
                </c:pt>
                <c:pt idx="668">
                  <c:v>3.295665238814327E-2</c:v>
                </c:pt>
                <c:pt idx="669">
                  <c:v>3.2997690125213058E-2</c:v>
                </c:pt>
                <c:pt idx="670">
                  <c:v>3.3034429342919391E-2</c:v>
                </c:pt>
                <c:pt idx="671">
                  <c:v>3.3070986696011703E-2</c:v>
                </c:pt>
                <c:pt idx="672">
                  <c:v>3.3107365534322176E-2</c:v>
                </c:pt>
                <c:pt idx="673">
                  <c:v>3.3143565852974829E-2</c:v>
                </c:pt>
                <c:pt idx="674">
                  <c:v>3.3179587647117453E-2</c:v>
                </c:pt>
                <c:pt idx="675">
                  <c:v>3.3215430911920744E-2</c:v>
                </c:pt>
                <c:pt idx="676">
                  <c:v>3.3251095642581836E-2</c:v>
                </c:pt>
                <c:pt idx="677">
                  <c:v>3.3286581834319866E-2</c:v>
                </c:pt>
                <c:pt idx="678">
                  <c:v>3.3321889482377784E-2</c:v>
                </c:pt>
                <c:pt idx="679">
                  <c:v>3.3357018582023182E-2</c:v>
                </c:pt>
                <c:pt idx="680">
                  <c:v>3.339196912854657E-2</c:v>
                </c:pt>
                <c:pt idx="681">
                  <c:v>3.3426741117264007E-2</c:v>
                </c:pt>
                <c:pt idx="682">
                  <c:v>3.3461334543514437E-2</c:v>
                </c:pt>
                <c:pt idx="683">
                  <c:v>3.3495749402660618E-2</c:v>
                </c:pt>
                <c:pt idx="684">
                  <c:v>3.3529985690088186E-2</c:v>
                </c:pt>
                <c:pt idx="685">
                  <c:v>3.3564043401209227E-2</c:v>
                </c:pt>
                <c:pt idx="686">
                  <c:v>3.3593994633657955E-2</c:v>
                </c:pt>
                <c:pt idx="687">
                  <c:v>3.3627704843583149E-2</c:v>
                </c:pt>
                <c:pt idx="688">
                  <c:v>3.3661236477209991E-2</c:v>
                </c:pt>
                <c:pt idx="689">
                  <c:v>3.3694589530093411E-2</c:v>
                </c:pt>
                <c:pt idx="690">
                  <c:v>3.3727763997811473E-2</c:v>
                </c:pt>
                <c:pt idx="691">
                  <c:v>3.376463931150718E-2</c:v>
                </c:pt>
                <c:pt idx="692">
                  <c:v>3.3797446861989509E-2</c:v>
                </c:pt>
                <c:pt idx="693">
                  <c:v>3.3830075800312019E-2</c:v>
                </c:pt>
                <c:pt idx="694">
                  <c:v>3.3862526122100854E-2</c:v>
                </c:pt>
                <c:pt idx="695">
                  <c:v>3.3894797823005064E-2</c:v>
                </c:pt>
                <c:pt idx="696">
                  <c:v>3.3926890898698353E-2</c:v>
                </c:pt>
                <c:pt idx="697">
                  <c:v>3.3958805344879994E-2</c:v>
                </c:pt>
                <c:pt idx="698">
                  <c:v>3.3990541157270376E-2</c:v>
                </c:pt>
                <c:pt idx="699">
                  <c:v>3.4014495276486638E-2</c:v>
                </c:pt>
                <c:pt idx="700">
                  <c:v>3.4045893498731924E-2</c:v>
                </c:pt>
                <c:pt idx="701">
                  <c:v>3.4077113102951077E-2</c:v>
                </c:pt>
                <c:pt idx="702">
                  <c:v>3.4108154085048574E-2</c:v>
                </c:pt>
                <c:pt idx="703">
                  <c:v>3.4139016440954087E-2</c:v>
                </c:pt>
                <c:pt idx="704">
                  <c:v>3.4173452683187361E-2</c:v>
                </c:pt>
                <c:pt idx="705">
                  <c:v>3.420020525801952E-2</c:v>
                </c:pt>
                <c:pt idx="706">
                  <c:v>3.4230531711154956E-2</c:v>
                </c:pt>
                <c:pt idx="707">
                  <c:v>3.4264971768905639E-2</c:v>
                </c:pt>
                <c:pt idx="708">
                  <c:v>3.4291203348177091E-2</c:v>
                </c:pt>
                <c:pt idx="709">
                  <c:v>3.4320978315054755E-2</c:v>
                </c:pt>
                <c:pt idx="710">
                  <c:v>3.4350574641954068E-2</c:v>
                </c:pt>
                <c:pt idx="711">
                  <c:v>3.4379992325035802E-2</c:v>
                </c:pt>
                <c:pt idx="712">
                  <c:v>3.4420245414147295E-2</c:v>
                </c:pt>
                <c:pt idx="713">
                  <c:v>3.4449275694355935E-2</c:v>
                </c:pt>
                <c:pt idx="714">
                  <c:v>3.4478127275019248E-2</c:v>
                </c:pt>
                <c:pt idx="715">
                  <c:v>3.4506800152271679E-2</c:v>
                </c:pt>
                <c:pt idx="716">
                  <c:v>3.453166393469051E-2</c:v>
                </c:pt>
                <c:pt idx="717">
                  <c:v>3.4559989489457744E-2</c:v>
                </c:pt>
                <c:pt idx="718">
                  <c:v>3.4588136344305222E-2</c:v>
                </c:pt>
                <c:pt idx="719">
                  <c:v>3.4616104495497686E-2</c:v>
                </c:pt>
                <c:pt idx="720">
                  <c:v>3.4643893939327493E-2</c:v>
                </c:pt>
                <c:pt idx="721">
                  <c:v>3.4675084430520531E-2</c:v>
                </c:pt>
                <c:pt idx="722">
                  <c:v>3.4702506277589591E-2</c:v>
                </c:pt>
                <c:pt idx="723">
                  <c:v>3.4729749391162849E-2</c:v>
                </c:pt>
                <c:pt idx="724">
                  <c:v>3.4756813767589712E-2</c:v>
                </c:pt>
                <c:pt idx="725">
                  <c:v>3.478369940323895E-2</c:v>
                </c:pt>
                <c:pt idx="726">
                  <c:v>3.4810406294507525E-2</c:v>
                </c:pt>
                <c:pt idx="727">
                  <c:v>3.4836934437813549E-2</c:v>
                </c:pt>
                <c:pt idx="728">
                  <c:v>3.4863283829601549E-2</c:v>
                </c:pt>
                <c:pt idx="729">
                  <c:v>3.4889454466338968E-2</c:v>
                </c:pt>
                <c:pt idx="730">
                  <c:v>3.4915446344515273E-2</c:v>
                </c:pt>
                <c:pt idx="731">
                  <c:v>3.4941259460645469E-2</c:v>
                </c:pt>
                <c:pt idx="732">
                  <c:v>3.4966893811270112E-2</c:v>
                </c:pt>
                <c:pt idx="733">
                  <c:v>3.4992349392951781E-2</c:v>
                </c:pt>
                <c:pt idx="734">
                  <c:v>3.5017626202277732E-2</c:v>
                </c:pt>
                <c:pt idx="735">
                  <c:v>3.5042724235857234E-2</c:v>
                </c:pt>
                <c:pt idx="736">
                  <c:v>3.5067643490326858E-2</c:v>
                </c:pt>
                <c:pt idx="737">
                  <c:v>3.5092383962344327E-2</c:v>
                </c:pt>
                <c:pt idx="738">
                  <c:v>3.5113540882711951E-2</c:v>
                </c:pt>
                <c:pt idx="739">
                  <c:v>3.5137934213441691E-2</c:v>
                </c:pt>
                <c:pt idx="740">
                  <c:v>3.5162148767602375E-2</c:v>
                </c:pt>
                <c:pt idx="741">
                  <c:v>3.5186184541984217E-2</c:v>
                </c:pt>
                <c:pt idx="742">
                  <c:v>3.5210041533397907E-2</c:v>
                </c:pt>
                <c:pt idx="743">
                  <c:v>3.5237072178871447E-2</c:v>
                </c:pt>
                <c:pt idx="744">
                  <c:v>3.5260561082185601E-2</c:v>
                </c:pt>
                <c:pt idx="745">
                  <c:v>3.5283871177180633E-2</c:v>
                </c:pt>
                <c:pt idx="746">
                  <c:v>3.5307002460730964E-2</c:v>
                </c:pt>
                <c:pt idx="747">
                  <c:v>3.5329954929735702E-2</c:v>
                </c:pt>
                <c:pt idx="748">
                  <c:v>3.5352728581115961E-2</c:v>
                </c:pt>
                <c:pt idx="749">
                  <c:v>3.5375323411819294E-2</c:v>
                </c:pt>
                <c:pt idx="750">
                  <c:v>3.5397739418815272E-2</c:v>
                </c:pt>
                <c:pt idx="751">
                  <c:v>3.5413440011798532E-2</c:v>
                </c:pt>
                <c:pt idx="752">
                  <c:v>3.5435519642365736E-2</c:v>
                </c:pt>
                <c:pt idx="753">
                  <c:v>3.5457420472641839E-2</c:v>
                </c:pt>
                <c:pt idx="754">
                  <c:v>3.5479142499754195E-2</c:v>
                </c:pt>
                <c:pt idx="755">
                  <c:v>3.5500685720853582E-2</c:v>
                </c:pt>
                <c:pt idx="756">
                  <c:v>3.5522050133112382E-2</c:v>
                </c:pt>
                <c:pt idx="757">
                  <c:v>3.5543235733729098E-2</c:v>
                </c:pt>
                <c:pt idx="758">
                  <c:v>3.556424251992564E-2</c:v>
                </c:pt>
                <c:pt idx="759">
                  <c:v>3.5588031315609926E-2</c:v>
                </c:pt>
                <c:pt idx="760">
                  <c:v>3.560548327262731E-2</c:v>
                </c:pt>
                <c:pt idx="761">
                  <c:v>3.5625938838631147E-2</c:v>
                </c:pt>
                <c:pt idx="762">
                  <c:v>3.5646216630659817E-2</c:v>
                </c:pt>
                <c:pt idx="763">
                  <c:v>3.5666327851907362E-2</c:v>
                </c:pt>
                <c:pt idx="764">
                  <c:v>3.5695700720938826E-2</c:v>
                </c:pt>
                <c:pt idx="765">
                  <c:v>3.5715518600857595E-2</c:v>
                </c:pt>
                <c:pt idx="766">
                  <c:v>3.5735225944931531E-2</c:v>
                </c:pt>
                <c:pt idx="767">
                  <c:v>3.5754839245628611E-2</c:v>
                </c:pt>
                <c:pt idx="768">
                  <c:v>3.5771243135231251E-2</c:v>
                </c:pt>
                <c:pt idx="769">
                  <c:v>3.5790715968749942E-2</c:v>
                </c:pt>
                <c:pt idx="770">
                  <c:v>3.5810143335420888E-2</c:v>
                </c:pt>
                <c:pt idx="771">
                  <c:v>3.5829541908632696E-2</c:v>
                </c:pt>
                <c:pt idx="772">
                  <c:v>3.584892836209462E-2</c:v>
                </c:pt>
                <c:pt idx="773">
                  <c:v>3.5871467758530298E-2</c:v>
                </c:pt>
                <c:pt idx="774">
                  <c:v>3.5890884572179066E-2</c:v>
                </c:pt>
                <c:pt idx="775">
                  <c:v>3.5910336544783594E-2</c:v>
                </c:pt>
                <c:pt idx="776">
                  <c:v>3.592982642599224E-2</c:v>
                </c:pt>
                <c:pt idx="777">
                  <c:v>3.5949354216357352E-2</c:v>
                </c:pt>
                <c:pt idx="778">
                  <c:v>3.5968919916433043E-2</c:v>
                </c:pt>
                <c:pt idx="779">
                  <c:v>3.5988523526773411E-2</c:v>
                </c:pt>
                <c:pt idx="780">
                  <c:v>3.6008165047936108E-2</c:v>
                </c:pt>
                <c:pt idx="781">
                  <c:v>3.6027844480476988E-2</c:v>
                </c:pt>
                <c:pt idx="782">
                  <c:v>3.6047561824955464E-2</c:v>
                </c:pt>
                <c:pt idx="783">
                  <c:v>3.6067317081928271E-2</c:v>
                </c:pt>
                <c:pt idx="784">
                  <c:v>3.6087110251956579E-2</c:v>
                </c:pt>
                <c:pt idx="785">
                  <c:v>3.6106941335604187E-2</c:v>
                </c:pt>
                <c:pt idx="786">
                  <c:v>3.6126810333431361E-2</c:v>
                </c:pt>
                <c:pt idx="787">
                  <c:v>3.6146717246001034E-2</c:v>
                </c:pt>
                <c:pt idx="788">
                  <c:v>3.6166662073879641E-2</c:v>
                </c:pt>
                <c:pt idx="789">
                  <c:v>3.6186644817630988E-2</c:v>
                </c:pt>
                <c:pt idx="790">
                  <c:v>3.6203438142968815E-2</c:v>
                </c:pt>
                <c:pt idx="791">
                  <c:v>3.6223492030947047E-2</c:v>
                </c:pt>
                <c:pt idx="792">
                  <c:v>3.6243583831622864E-2</c:v>
                </c:pt>
                <c:pt idx="793">
                  <c:v>3.6263713545558247E-2</c:v>
                </c:pt>
                <c:pt idx="794">
                  <c:v>3.6283881173318738E-2</c:v>
                </c:pt>
                <c:pt idx="795">
                  <c:v>3.6307337545304484E-2</c:v>
                </c:pt>
                <c:pt idx="796">
                  <c:v>3.6327585716101146E-2</c:v>
                </c:pt>
                <c:pt idx="797">
                  <c:v>3.6347871807335563E-2</c:v>
                </c:pt>
                <c:pt idx="798">
                  <c:v>3.6368195819583872E-2</c:v>
                </c:pt>
                <c:pt idx="799">
                  <c:v>3.6388557753422202E-2</c:v>
                </c:pt>
                <c:pt idx="800">
                  <c:v>3.640895760942757E-2</c:v>
                </c:pt>
                <c:pt idx="801">
                  <c:v>3.6429395388177868E-2</c:v>
                </c:pt>
                <c:pt idx="802">
                  <c:v>3.6449871090254521E-2</c:v>
                </c:pt>
                <c:pt idx="803">
                  <c:v>3.6463808032864066E-2</c:v>
                </c:pt>
                <c:pt idx="804">
                  <c:v>3.6484350077908477E-2</c:v>
                </c:pt>
                <c:pt idx="805">
                  <c:v>3.6504930038097815E-2</c:v>
                </c:pt>
                <c:pt idx="806">
                  <c:v>3.6525547914003004E-2</c:v>
                </c:pt>
                <c:pt idx="807">
                  <c:v>3.654620370619497E-2</c:v>
                </c:pt>
                <c:pt idx="808">
                  <c:v>3.656689741524824E-2</c:v>
                </c:pt>
                <c:pt idx="809">
                  <c:v>3.6587629041737339E-2</c:v>
                </c:pt>
                <c:pt idx="810">
                  <c:v>3.6608398586235907E-2</c:v>
                </c:pt>
                <c:pt idx="811">
                  <c:v>3.6632181639475118E-2</c:v>
                </c:pt>
                <c:pt idx="812">
                  <c:v>3.6649701477514014E-2</c:v>
                </c:pt>
                <c:pt idx="813">
                  <c:v>3.6670585399711436E-2</c:v>
                </c:pt>
                <c:pt idx="814">
                  <c:v>3.6691507237293197E-2</c:v>
                </c:pt>
                <c:pt idx="815">
                  <c:v>3.6712466990832089E-2</c:v>
                </c:pt>
                <c:pt idx="816">
                  <c:v>3.675022238912732E-2</c:v>
                </c:pt>
                <c:pt idx="817">
                  <c:v>3.6774640488717071E-2</c:v>
                </c:pt>
                <c:pt idx="818">
                  <c:v>3.6792379695727302E-2</c:v>
                </c:pt>
                <c:pt idx="819">
                  <c:v>3.6813515264043972E-2</c:v>
                </c:pt>
                <c:pt idx="820">
                  <c:v>3.6824574160466854E-2</c:v>
                </c:pt>
                <c:pt idx="821">
                  <c:v>3.6857900662616287E-2</c:v>
                </c:pt>
                <c:pt idx="822">
                  <c:v>3.6879157204344128E-2</c:v>
                </c:pt>
                <c:pt idx="823">
                  <c:v>3.690349684116026E-2</c:v>
                </c:pt>
                <c:pt idx="824">
                  <c:v>3.6928228373800588E-2</c:v>
                </c:pt>
                <c:pt idx="825">
                  <c:v>3.6949608992705073E-2</c:v>
                </c:pt>
                <c:pt idx="826">
                  <c:v>3.6971027549690741E-2</c:v>
                </c:pt>
                <c:pt idx="827">
                  <c:v>3.6992484045365433E-2</c:v>
                </c:pt>
                <c:pt idx="828">
                  <c:v>3.7013978480336995E-2</c:v>
                </c:pt>
                <c:pt idx="829">
                  <c:v>3.7035510855215045E-2</c:v>
                </c:pt>
                <c:pt idx="830">
                  <c:v>3.7057081170611822E-2</c:v>
                </c:pt>
                <c:pt idx="831">
                  <c:v>3.7078689427136949E-2</c:v>
                </c:pt>
                <c:pt idx="832">
                  <c:v>3.7100335625404428E-2</c:v>
                </c:pt>
                <c:pt idx="833">
                  <c:v>3.7122019766030044E-2</c:v>
                </c:pt>
                <c:pt idx="834">
                  <c:v>3.7143741849626037E-2</c:v>
                </c:pt>
                <c:pt idx="835">
                  <c:v>3.7165501876809955E-2</c:v>
                </c:pt>
                <c:pt idx="836">
                  <c:v>3.7187299848198456E-2</c:v>
                </c:pt>
                <c:pt idx="837">
                  <c:v>3.7209135764411705E-2</c:v>
                </c:pt>
                <c:pt idx="838">
                  <c:v>3.7231009626066375E-2</c:v>
                </c:pt>
                <c:pt idx="839">
                  <c:v>3.7252921433784399E-2</c:v>
                </c:pt>
                <c:pt idx="840">
                  <c:v>3.7274871188188605E-2</c:v>
                </c:pt>
                <c:pt idx="841">
                  <c:v>3.729685888989917E-2</c:v>
                </c:pt>
                <c:pt idx="842">
                  <c:v>3.7315402506215803E-2</c:v>
                </c:pt>
                <c:pt idx="843">
                  <c:v>3.7337461148258318E-2</c:v>
                </c:pt>
                <c:pt idx="844">
                  <c:v>3.7359557734250218E-2</c:v>
                </c:pt>
                <c:pt idx="845">
                  <c:v>3.738169226481227E-2</c:v>
                </c:pt>
                <c:pt idx="846">
                  <c:v>3.7407366629934297E-2</c:v>
                </c:pt>
                <c:pt idx="847">
                  <c:v>3.7429582028626618E-2</c:v>
                </c:pt>
                <c:pt idx="848">
                  <c:v>3.7451835379015003E-2</c:v>
                </c:pt>
                <c:pt idx="849">
                  <c:v>3.7474126681730224E-2</c:v>
                </c:pt>
                <c:pt idx="850">
                  <c:v>3.7496455937406539E-2</c:v>
                </c:pt>
                <c:pt idx="851">
                  <c:v>3.7518823146674707E-2</c:v>
                </c:pt>
                <c:pt idx="852">
                  <c:v>3.7541228310172522E-2</c:v>
                </c:pt>
                <c:pt idx="853">
                  <c:v>3.7563671428532501E-2</c:v>
                </c:pt>
                <c:pt idx="854">
                  <c:v>3.7586152502392445E-2</c:v>
                </c:pt>
                <c:pt idx="855">
                  <c:v>3.7605124658962159E-2</c:v>
                </c:pt>
                <c:pt idx="856">
                  <c:v>3.7627676621022559E-2</c:v>
                </c:pt>
                <c:pt idx="857">
                  <c:v>3.7650266535176162E-2</c:v>
                </c:pt>
                <c:pt idx="858">
                  <c:v>3.7672894402057094E-2</c:v>
                </c:pt>
                <c:pt idx="859">
                  <c:v>3.7695560222300355E-2</c:v>
                </c:pt>
                <c:pt idx="860">
                  <c:v>3.7718263996542739E-2</c:v>
                </c:pt>
                <c:pt idx="861">
                  <c:v>3.7741005725420149E-2</c:v>
                </c:pt>
                <c:pt idx="862">
                  <c:v>3.7763785409570275E-2</c:v>
                </c:pt>
                <c:pt idx="863">
                  <c:v>3.778301655843809E-2</c:v>
                </c:pt>
                <c:pt idx="864">
                  <c:v>3.7805867088563413E-2</c:v>
                </c:pt>
                <c:pt idx="865">
                  <c:v>3.7828755570504399E-2</c:v>
                </c:pt>
                <c:pt idx="866">
                  <c:v>3.785168200489681E-2</c:v>
                </c:pt>
                <c:pt idx="867">
                  <c:v>3.7874646392375519E-2</c:v>
                </c:pt>
                <c:pt idx="868">
                  <c:v>3.7904873223062324E-2</c:v>
                </c:pt>
                <c:pt idx="869">
                  <c:v>3.7927923706561034E-2</c:v>
                </c:pt>
                <c:pt idx="870">
                  <c:v>3.7951012155892222E-2</c:v>
                </c:pt>
                <c:pt idx="871">
                  <c:v>3.7974138571712196E-2</c:v>
                </c:pt>
                <c:pt idx="872">
                  <c:v>3.7993669932279879E-2</c:v>
                </c:pt>
                <c:pt idx="873">
                  <c:v>3.8016867166861548E-2</c:v>
                </c:pt>
                <c:pt idx="874">
                  <c:v>3.804010236445985E-2</c:v>
                </c:pt>
                <c:pt idx="875">
                  <c:v>3.8063375525724058E-2</c:v>
                </c:pt>
                <c:pt idx="876">
                  <c:v>3.8090340171145945E-2</c:v>
                </c:pt>
                <c:pt idx="877">
                  <c:v>3.811369439971523E-2</c:v>
                </c:pt>
                <c:pt idx="878">
                  <c:v>3.8137086599387651E-2</c:v>
                </c:pt>
                <c:pt idx="879">
                  <c:v>3.8160516770829198E-2</c:v>
                </c:pt>
                <c:pt idx="880">
                  <c:v>3.8183984914702332E-2</c:v>
                </c:pt>
                <c:pt idx="881">
                  <c:v>3.8207491031673924E-2</c:v>
                </c:pt>
                <c:pt idx="882">
                  <c:v>3.8231035122410842E-2</c:v>
                </c:pt>
                <c:pt idx="883">
                  <c:v>3.8254617187581719E-2</c:v>
                </c:pt>
                <c:pt idx="884">
                  <c:v>3.8278237227854311E-2</c:v>
                </c:pt>
                <c:pt idx="885">
                  <c:v>3.8301895243899882E-2</c:v>
                </c:pt>
                <c:pt idx="886">
                  <c:v>3.8325591236388838E-2</c:v>
                </c:pt>
                <c:pt idx="887">
                  <c:v>3.8349325205993323E-2</c:v>
                </c:pt>
                <c:pt idx="888">
                  <c:v>3.8373097153388144E-2</c:v>
                </c:pt>
                <c:pt idx="889">
                  <c:v>3.8396907079247214E-2</c:v>
                </c:pt>
                <c:pt idx="890">
                  <c:v>3.8420754984244458E-2</c:v>
                </c:pt>
                <c:pt idx="891">
                  <c:v>3.8444640869058182E-2</c:v>
                </c:pt>
                <c:pt idx="892">
                  <c:v>3.8468564734364961E-2</c:v>
                </c:pt>
                <c:pt idx="893">
                  <c:v>3.8492526580844871E-2</c:v>
                </c:pt>
                <c:pt idx="894">
                  <c:v>3.8512779561400555E-2</c:v>
                </c:pt>
                <c:pt idx="895">
                  <c:v>3.8536812134567416E-2</c:v>
                </c:pt>
                <c:pt idx="896">
                  <c:v>3.8560882685339241E-2</c:v>
                </c:pt>
                <c:pt idx="897">
                  <c:v>3.8592517134671121E-2</c:v>
                </c:pt>
                <c:pt idx="898">
                  <c:v>3.8612905554667294E-2</c:v>
                </c:pt>
                <c:pt idx="899">
                  <c:v>3.8637095302496843E-2</c:v>
                </c:pt>
                <c:pt idx="900">
                  <c:v>3.866132303628126E-2</c:v>
                </c:pt>
                <c:pt idx="901">
                  <c:v>3.8685588756707676E-2</c:v>
                </c:pt>
                <c:pt idx="902">
                  <c:v>3.8709892464464102E-2</c:v>
                </c:pt>
                <c:pt idx="903">
                  <c:v>3.8734234160240306E-2</c:v>
                </c:pt>
                <c:pt idx="904">
                  <c:v>3.8758613844726945E-2</c:v>
                </c:pt>
                <c:pt idx="905">
                  <c:v>3.8783031518616444E-2</c:v>
                </c:pt>
                <c:pt idx="906">
                  <c:v>3.8807487182600332E-2</c:v>
                </c:pt>
                <c:pt idx="907">
                  <c:v>3.8824350857641958E-2</c:v>
                </c:pt>
                <c:pt idx="908">
                  <c:v>3.8848871882550193E-2</c:v>
                </c:pt>
                <c:pt idx="909">
                  <c:v>3.8873430888222017E-2</c:v>
                </c:pt>
                <c:pt idx="910">
                  <c:v>3.890506256222416E-2</c:v>
                </c:pt>
                <c:pt idx="911">
                  <c:v>3.8929708383631884E-2</c:v>
                </c:pt>
                <c:pt idx="912">
                  <c:v>3.8954392188048186E-2</c:v>
                </c:pt>
                <c:pt idx="913">
                  <c:v>3.8979113976156547E-2</c:v>
                </c:pt>
                <c:pt idx="914">
                  <c:v>3.9003873748644079E-2</c:v>
                </c:pt>
                <c:pt idx="915">
                  <c:v>3.9024813517423214E-2</c:v>
                </c:pt>
                <c:pt idx="916">
                  <c:v>3.9049643904181752E-2</c:v>
                </c:pt>
                <c:pt idx="917">
                  <c:v>3.9074512208085783E-2</c:v>
                </c:pt>
                <c:pt idx="918">
                  <c:v>3.9099412831267805E-2</c:v>
                </c:pt>
                <c:pt idx="919">
                  <c:v>3.9132077334035245E-2</c:v>
                </c:pt>
                <c:pt idx="920">
                  <c:v>3.9172484527679442E-2</c:v>
                </c:pt>
                <c:pt idx="921">
                  <c:v>3.9181892224776832E-2</c:v>
                </c:pt>
                <c:pt idx="922">
                  <c:v>3.9218352430650388E-2</c:v>
                </c:pt>
                <c:pt idx="923">
                  <c:v>3.9243147977379343E-2</c:v>
                </c:pt>
                <c:pt idx="924">
                  <c:v>3.9256311397292055E-2</c:v>
                </c:pt>
                <c:pt idx="925">
                  <c:v>3.9280972989843246E-2</c:v>
                </c:pt>
                <c:pt idx="926">
                  <c:v>3.9319520649967944E-2</c:v>
                </c:pt>
                <c:pt idx="927">
                  <c:v>3.9343895241227403E-2</c:v>
                </c:pt>
                <c:pt idx="928">
                  <c:v>3.9371945251266992E-2</c:v>
                </c:pt>
                <c:pt idx="929">
                  <c:v>3.9396013997097981E-2</c:v>
                </c:pt>
                <c:pt idx="930">
                  <c:v>3.9419914522264274E-2</c:v>
                </c:pt>
                <c:pt idx="931">
                  <c:v>3.9443645163715575E-2</c:v>
                </c:pt>
                <c:pt idx="932">
                  <c:v>3.9467205918433786E-2</c:v>
                </c:pt>
                <c:pt idx="933">
                  <c:v>3.9490596783418437E-2</c:v>
                </c:pt>
                <c:pt idx="934">
                  <c:v>3.9513817755694597E-2</c:v>
                </c:pt>
                <c:pt idx="935">
                  <c:v>3.9536868832305845E-2</c:v>
                </c:pt>
                <c:pt idx="936">
                  <c:v>3.9559750010317772E-2</c:v>
                </c:pt>
                <c:pt idx="937">
                  <c:v>3.9582461286819762E-2</c:v>
                </c:pt>
                <c:pt idx="938">
                  <c:v>3.9605002658920578E-2</c:v>
                </c:pt>
                <c:pt idx="939">
                  <c:v>3.9627374123751002E-2</c:v>
                </c:pt>
                <c:pt idx="940">
                  <c:v>3.9649575678464721E-2</c:v>
                </c:pt>
                <c:pt idx="941">
                  <c:v>3.9671607320234809E-2</c:v>
                </c:pt>
                <c:pt idx="942">
                  <c:v>3.9693469046259006E-2</c:v>
                </c:pt>
                <c:pt idx="943">
                  <c:v>3.9715160853754428E-2</c:v>
                </c:pt>
                <c:pt idx="944">
                  <c:v>3.9736682739958451E-2</c:v>
                </c:pt>
                <c:pt idx="945">
                  <c:v>3.97543837501661E-2</c:v>
                </c:pt>
                <c:pt idx="946">
                  <c:v>3.9775575625942861E-2</c:v>
                </c:pt>
                <c:pt idx="947">
                  <c:v>3.9796597589683708E-2</c:v>
                </c:pt>
                <c:pt idx="948">
                  <c:v>3.9817449638743514E-2</c:v>
                </c:pt>
                <c:pt idx="949">
                  <c:v>3.984174325651918E-2</c:v>
                </c:pt>
                <c:pt idx="950">
                  <c:v>3.9862245558217754E-2</c:v>
                </c:pt>
                <c:pt idx="951">
                  <c:v>3.9882577919906764E-2</c:v>
                </c:pt>
                <c:pt idx="952">
                  <c:v>3.9902740338998016E-2</c:v>
                </c:pt>
                <c:pt idx="953">
                  <c:v>3.9922732812924459E-2</c:v>
                </c:pt>
                <c:pt idx="954">
                  <c:v>3.9942555339142816E-2</c:v>
                </c:pt>
                <c:pt idx="955">
                  <c:v>3.9962207915128327E-2</c:v>
                </c:pt>
                <c:pt idx="956">
                  <c:v>3.998169053838177E-2</c:v>
                </c:pt>
                <c:pt idx="957">
                  <c:v>4.0001003206422421E-2</c:v>
                </c:pt>
                <c:pt idx="958">
                  <c:v>4.0013101887395305E-2</c:v>
                </c:pt>
                <c:pt idx="959">
                  <c:v>4.0032094772861453E-2</c:v>
                </c:pt>
                <c:pt idx="960">
                  <c:v>4.0050917731299408E-2</c:v>
                </c:pt>
                <c:pt idx="961">
                  <c:v>4.0069570760370522E-2</c:v>
                </c:pt>
                <c:pt idx="962">
                  <c:v>4.0088053857748766E-2</c:v>
                </c:pt>
                <c:pt idx="963">
                  <c:v>4.0109838878712063E-2</c:v>
                </c:pt>
                <c:pt idx="964">
                  <c:v>4.0124510248245031E-2</c:v>
                </c:pt>
                <c:pt idx="965">
                  <c:v>4.0142483536823544E-2</c:v>
                </c:pt>
                <c:pt idx="966">
                  <c:v>4.0160286884631115E-2</c:v>
                </c:pt>
                <c:pt idx="967">
                  <c:v>4.0177920289452468E-2</c:v>
                </c:pt>
                <c:pt idx="968">
                  <c:v>4.0195383749090353E-2</c:v>
                </c:pt>
                <c:pt idx="969">
                  <c:v>4.0212677261370025E-2</c:v>
                </c:pt>
                <c:pt idx="970">
                  <c:v>4.022980082413926E-2</c:v>
                </c:pt>
                <c:pt idx="971">
                  <c:v>4.0253533924469585E-2</c:v>
                </c:pt>
                <c:pt idx="972">
                  <c:v>4.0270296981458065E-2</c:v>
                </c:pt>
                <c:pt idx="973">
                  <c:v>4.0286890046498644E-2</c:v>
                </c:pt>
                <c:pt idx="974">
                  <c:v>4.0303313117478839E-2</c:v>
                </c:pt>
                <c:pt idx="975">
                  <c:v>4.031621812962094E-2</c:v>
                </c:pt>
                <c:pt idx="976">
                  <c:v>4.0332311579955739E-2</c:v>
                </c:pt>
                <c:pt idx="977">
                  <c:v>4.0348235048164732E-2</c:v>
                </c:pt>
                <c:pt idx="978">
                  <c:v>4.0363988532241366E-2</c:v>
                </c:pt>
                <c:pt idx="979">
                  <c:v>4.0379572030204897E-2</c:v>
                </c:pt>
                <c:pt idx="980">
                  <c:v>4.0398281552573634E-2</c:v>
                </c:pt>
                <c:pt idx="981">
                  <c:v>4.0413514607820833E-2</c:v>
                </c:pt>
                <c:pt idx="982">
                  <c:v>4.0428577652890006E-2</c:v>
                </c:pt>
                <c:pt idx="983">
                  <c:v>4.0443470685865998E-2</c:v>
                </c:pt>
                <c:pt idx="984">
                  <c:v>4.0458193704851264E-2</c:v>
                </c:pt>
                <c:pt idx="985">
                  <c:v>4.0472746707972934E-2</c:v>
                </c:pt>
                <c:pt idx="986">
                  <c:v>4.0487129693378393E-2</c:v>
                </c:pt>
                <c:pt idx="987">
                  <c:v>4.0501342659237938E-2</c:v>
                </c:pt>
                <c:pt idx="988">
                  <c:v>4.0515385603738588E-2</c:v>
                </c:pt>
                <c:pt idx="989">
                  <c:v>4.0529258525096451E-2</c:v>
                </c:pt>
                <c:pt idx="990">
                  <c:v>4.0542961421545252E-2</c:v>
                </c:pt>
                <c:pt idx="991">
                  <c:v>4.0556494291340728E-2</c:v>
                </c:pt>
                <c:pt idx="992">
                  <c:v>4.0569857132758E-2</c:v>
                </c:pt>
                <c:pt idx="993">
                  <c:v>4.0583049944097747E-2</c:v>
                </c:pt>
                <c:pt idx="994">
                  <c:v>4.0596072723682652E-2</c:v>
                </c:pt>
                <c:pt idx="995">
                  <c:v>4.0608925469850399E-2</c:v>
                </c:pt>
                <c:pt idx="996">
                  <c:v>4.0621608180968598E-2</c:v>
                </c:pt>
                <c:pt idx="997">
                  <c:v>4.063100523494604E-2</c:v>
                </c:pt>
                <c:pt idx="998">
                  <c:v>4.064335864834543E-2</c:v>
                </c:pt>
                <c:pt idx="999">
                  <c:v>4.0655542040456745E-2</c:v>
                </c:pt>
                <c:pt idx="1000">
                  <c:v>4.0667555409743671E-2</c:v>
                </c:pt>
                <c:pt idx="1001">
                  <c:v>4.0679398754695721E-2</c:v>
                </c:pt>
                <c:pt idx="1002">
                  <c:v>4.0694133622721708E-2</c:v>
                </c:pt>
                <c:pt idx="1003">
                  <c:v>4.0705626044494674E-2</c:v>
                </c:pt>
                <c:pt idx="1004">
                  <c:v>4.07169484189061E-2</c:v>
                </c:pt>
                <c:pt idx="1005">
                  <c:v>4.072810074451743E-2</c:v>
                </c:pt>
                <c:pt idx="1006">
                  <c:v>4.073908301990771E-2</c:v>
                </c:pt>
                <c:pt idx="1007">
                  <c:v>4.0749895243678884E-2</c:v>
                </c:pt>
                <c:pt idx="1008">
                  <c:v>4.0760537414454928E-2</c:v>
                </c:pt>
                <c:pt idx="1009">
                  <c:v>4.0771009530881842E-2</c:v>
                </c:pt>
                <c:pt idx="1010">
                  <c:v>4.0775362626910804E-2</c:v>
                </c:pt>
                <c:pt idx="1011">
                  <c:v>4.0785516666844088E-2</c:v>
                </c:pt>
                <c:pt idx="1012">
                  <c:v>4.0795500685935397E-2</c:v>
                </c:pt>
                <c:pt idx="1013">
                  <c:v>4.0805314682940221E-2</c:v>
                </c:pt>
                <c:pt idx="1014">
                  <c:v>4.0817889375267924E-2</c:v>
                </c:pt>
                <c:pt idx="1015">
                  <c:v>4.0824432605825842E-2</c:v>
                </c:pt>
                <c:pt idx="1016">
                  <c:v>4.0833736529324774E-2</c:v>
                </c:pt>
                <c:pt idx="1017">
                  <c:v>4.0842870425978006E-2</c:v>
                </c:pt>
                <c:pt idx="1018">
                  <c:v>4.0853100967411127E-2</c:v>
                </c:pt>
                <c:pt idx="1019">
                  <c:v>4.0858996186939917E-2</c:v>
                </c:pt>
                <c:pt idx="1020">
                  <c:v>4.0867606892022193E-2</c:v>
                </c:pt>
                <c:pt idx="1021">
                  <c:v>4.0876047655613992E-2</c:v>
                </c:pt>
                <c:pt idx="1022">
                  <c:v>4.0884319246387371E-2</c:v>
                </c:pt>
                <c:pt idx="1023">
                  <c:v>4.0900910614938842E-2</c:v>
                </c:pt>
                <c:pt idx="1024">
                  <c:v>4.0908815036991682E-2</c:v>
                </c:pt>
                <c:pt idx="1025">
                  <c:v>4.0916554079659814E-2</c:v>
                </c:pt>
                <c:pt idx="1026">
                  <c:v>4.0924128874973029E-2</c:v>
                </c:pt>
                <c:pt idx="1027">
                  <c:v>4.092875464811168E-2</c:v>
                </c:pt>
                <c:pt idx="1028">
                  <c:v>4.0936014808398216E-2</c:v>
                </c:pt>
                <c:pt idx="1029">
                  <c:v>4.0943114073221258E-2</c:v>
                </c:pt>
                <c:pt idx="1030">
                  <c:v>4.0950053587056709E-2</c:v>
                </c:pt>
                <c:pt idx="1031">
                  <c:v>4.0956834494406298E-2</c:v>
                </c:pt>
                <c:pt idx="1032">
                  <c:v>4.0966191849817937E-2</c:v>
                </c:pt>
                <c:pt idx="1033">
                  <c:v>4.0972648612927903E-2</c:v>
                </c:pt>
                <c:pt idx="1034">
                  <c:v>4.0978949997109687E-2</c:v>
                </c:pt>
                <c:pt idx="1035">
                  <c:v>4.098509619046465E-2</c:v>
                </c:pt>
                <c:pt idx="1036">
                  <c:v>4.0991087192277467E-2</c:v>
                </c:pt>
                <c:pt idx="1037">
                  <c:v>4.0996923001854847E-2</c:v>
                </c:pt>
                <c:pt idx="1038">
                  <c:v>4.100260361851759E-2</c:v>
                </c:pt>
                <c:pt idx="1039">
                  <c:v>4.1008129041604099E-2</c:v>
                </c:pt>
                <c:pt idx="1040">
                  <c:v>4.1013499270475706E-2</c:v>
                </c:pt>
                <c:pt idx="1041">
                  <c:v>4.1018714304506938E-2</c:v>
                </c:pt>
                <c:pt idx="1042">
                  <c:v>4.1023774143094355E-2</c:v>
                </c:pt>
                <c:pt idx="1043">
                  <c:v>4.1028678785645971E-2</c:v>
                </c:pt>
                <c:pt idx="1044">
                  <c:v>4.1033428231594449E-2</c:v>
                </c:pt>
                <c:pt idx="1045">
                  <c:v>4.1038022480388341E-2</c:v>
                </c:pt>
                <c:pt idx="1046">
                  <c:v>4.1042461531494663E-2</c:v>
                </c:pt>
                <c:pt idx="1047">
                  <c:v>4.1046745384395428E-2</c:v>
                </c:pt>
                <c:pt idx="1048">
                  <c:v>4.105087403859467E-2</c:v>
                </c:pt>
                <c:pt idx="1049">
                  <c:v>4.1052292106735361E-2</c:v>
                </c:pt>
                <c:pt idx="1050">
                  <c:v>4.1056121019336672E-2</c:v>
                </c:pt>
                <c:pt idx="1051">
                  <c:v>4.1059794749211294E-2</c:v>
                </c:pt>
                <c:pt idx="1052">
                  <c:v>4.1063313295937064E-2</c:v>
                </c:pt>
                <c:pt idx="1053">
                  <c:v>4.106667665911054E-2</c:v>
                </c:pt>
                <c:pt idx="1054">
                  <c:v>4.1072386765461627E-2</c:v>
                </c:pt>
                <c:pt idx="1055">
                  <c:v>4.1075429016330746E-2</c:v>
                </c:pt>
                <c:pt idx="1056">
                  <c:v>4.1078316065164877E-2</c:v>
                </c:pt>
                <c:pt idx="1057">
                  <c:v>4.1081047911631904E-2</c:v>
                </c:pt>
                <c:pt idx="1058">
                  <c:v>4.1083624555411161E-2</c:v>
                </c:pt>
                <c:pt idx="1059">
                  <c:v>4.1086045996205772E-2</c:v>
                </c:pt>
                <c:pt idx="1060">
                  <c:v>4.1088312233733847E-2</c:v>
                </c:pt>
                <c:pt idx="1061">
                  <c:v>4.1090423267731095E-2</c:v>
                </c:pt>
                <c:pt idx="1062">
                  <c:v>4.1089963609892664E-2</c:v>
                </c:pt>
                <c:pt idx="1063">
                  <c:v>4.1091775119221373E-2</c:v>
                </c:pt>
                <c:pt idx="1064">
                  <c:v>4.1093431441727432E-2</c:v>
                </c:pt>
                <c:pt idx="1065">
                  <c:v>4.1094932577219363E-2</c:v>
                </c:pt>
                <c:pt idx="1066">
                  <c:v>4.1096278525524381E-2</c:v>
                </c:pt>
                <c:pt idx="1067">
                  <c:v>4.109746928649019E-2</c:v>
                </c:pt>
                <c:pt idx="1068">
                  <c:v>4.1098504859976973E-2</c:v>
                </c:pt>
                <c:pt idx="1069">
                  <c:v>4.109938524586805E-2</c:v>
                </c:pt>
                <c:pt idx="1070">
                  <c:v>4.1100201375415056E-2</c:v>
                </c:pt>
                <c:pt idx="1071">
                  <c:v>4.109843299693932E-2</c:v>
                </c:pt>
                <c:pt idx="1072">
                  <c:v>4.1098836689430228E-2</c:v>
                </c:pt>
                <c:pt idx="1073">
                  <c:v>4.1099085211408017E-2</c:v>
                </c:pt>
                <c:pt idx="1074">
                  <c:v>4.1099178562845666E-2</c:v>
                </c:pt>
                <c:pt idx="1075">
                  <c:v>4.1103659765435244E-2</c:v>
                </c:pt>
                <c:pt idx="1076">
                  <c:v>4.1103420554965985E-2</c:v>
                </c:pt>
                <c:pt idx="1077">
                  <c:v>4.1103026139212837E-2</c:v>
                </c:pt>
                <c:pt idx="1078">
                  <c:v>4.1102476518219841E-2</c:v>
                </c:pt>
                <c:pt idx="1079">
                  <c:v>4.1101771692051314E-2</c:v>
                </c:pt>
                <c:pt idx="1080">
                  <c:v>4.1098696327536828E-2</c:v>
                </c:pt>
                <c:pt idx="1081">
                  <c:v>4.109769228982587E-2</c:v>
                </c:pt>
                <c:pt idx="1082">
                  <c:v>4.1096533064612722E-2</c:v>
                </c:pt>
                <c:pt idx="1083">
                  <c:v>4.1095218652028302E-2</c:v>
                </c:pt>
                <c:pt idx="1084">
                  <c:v>4.1095919487077373E-2</c:v>
                </c:pt>
                <c:pt idx="1085">
                  <c:v>4.1094283432207737E-2</c:v>
                </c:pt>
                <c:pt idx="1086">
                  <c:v>4.1092492173114857E-2</c:v>
                </c:pt>
                <c:pt idx="1087">
                  <c:v>4.109054571000488E-2</c:v>
                </c:pt>
                <c:pt idx="1088">
                  <c:v>4.1088444043106839E-2</c:v>
                </c:pt>
                <c:pt idx="1089">
                  <c:v>4.1086187172663005E-2</c:v>
                </c:pt>
                <c:pt idx="1090">
                  <c:v>4.1083775098935002E-2</c:v>
                </c:pt>
                <c:pt idx="1091">
                  <c:v>4.1081207822205625E-2</c:v>
                </c:pt>
                <c:pt idx="1092">
                  <c:v>4.1078485342770858E-2</c:v>
                </c:pt>
                <c:pt idx="1093">
                  <c:v>4.1075607660946964E-2</c:v>
                </c:pt>
                <c:pt idx="1094">
                  <c:v>4.1072574777069576E-2</c:v>
                </c:pt>
                <c:pt idx="1095">
                  <c:v>4.1069386691490191E-2</c:v>
                </c:pt>
                <c:pt idx="1096">
                  <c:v>4.1066043404578804E-2</c:v>
                </c:pt>
                <c:pt idx="1097">
                  <c:v>4.1062544916723911E-2</c:v>
                </c:pt>
                <c:pt idx="1098">
                  <c:v>4.1058891228331618E-2</c:v>
                </c:pt>
                <c:pt idx="1099">
                  <c:v>4.1055082339827416E-2</c:v>
                </c:pt>
                <c:pt idx="1100">
                  <c:v>4.105111825165178E-2</c:v>
                </c:pt>
                <c:pt idx="1101">
                  <c:v>4.1045022443808914E-2</c:v>
                </c:pt>
                <c:pt idx="1102">
                  <c:v>4.1040759520214083E-2</c:v>
                </c:pt>
                <c:pt idx="1103">
                  <c:v>4.1036341415660441E-2</c:v>
                </c:pt>
                <c:pt idx="1104">
                  <c:v>4.1031768130650285E-2</c:v>
                </c:pt>
                <c:pt idx="1105">
                  <c:v>4.1027039665712653E-2</c:v>
                </c:pt>
                <c:pt idx="1106">
                  <c:v>4.1024074556579616E-2</c:v>
                </c:pt>
                <c:pt idx="1107">
                  <c:v>4.1019024084615698E-2</c:v>
                </c:pt>
                <c:pt idx="1108">
                  <c:v>4.1013818417170091E-2</c:v>
                </c:pt>
                <c:pt idx="1109">
                  <c:v>4.1014102303776001E-2</c:v>
                </c:pt>
                <c:pt idx="1110">
                  <c:v>4.1002941498271342E-2</c:v>
                </c:pt>
                <c:pt idx="1111">
                  <c:v>4.0997270248081467E-2</c:v>
                </c:pt>
                <c:pt idx="1112">
                  <c:v>4.0991443804934663E-2</c:v>
                </c:pt>
                <c:pt idx="1113">
                  <c:v>4.0985462169512779E-2</c:v>
                </c:pt>
                <c:pt idx="1114">
                  <c:v>4.0975674628377666E-2</c:v>
                </c:pt>
                <c:pt idx="1115">
                  <c:v>4.0969406180910314E-2</c:v>
                </c:pt>
                <c:pt idx="1116">
                  <c:v>4.0962982577637939E-2</c:v>
                </c:pt>
                <c:pt idx="1117">
                  <c:v>4.0956403819289965E-2</c:v>
                </c:pt>
                <c:pt idx="1118">
                  <c:v>4.0949669906613813E-2</c:v>
                </c:pt>
                <c:pt idx="1119">
                  <c:v>4.0942780840374927E-2</c:v>
                </c:pt>
                <c:pt idx="1120">
                  <c:v>4.0935736621354947E-2</c:v>
                </c:pt>
                <c:pt idx="1121">
                  <c:v>4.092853725035623E-2</c:v>
                </c:pt>
                <c:pt idx="1122">
                  <c:v>4.0922913828178441E-2</c:v>
                </c:pt>
                <c:pt idx="1123">
                  <c:v>4.0911952865148898E-2</c:v>
                </c:pt>
                <c:pt idx="1124">
                  <c:v>4.0904299978733585E-2</c:v>
                </c:pt>
                <c:pt idx="1125">
                  <c:v>4.0896491960788948E-2</c:v>
                </c:pt>
                <c:pt idx="1126">
                  <c:v>4.0888528812194666E-2</c:v>
                </c:pt>
                <c:pt idx="1127">
                  <c:v>4.0885424506264798E-2</c:v>
                </c:pt>
                <c:pt idx="1128">
                  <c:v>4.0877115080138381E-2</c:v>
                </c:pt>
                <c:pt idx="1129">
                  <c:v>4.08686504750135E-2</c:v>
                </c:pt>
                <c:pt idx="1130">
                  <c:v>4.0860030691872398E-2</c:v>
                </c:pt>
                <c:pt idx="1131">
                  <c:v>4.0851255731718467E-2</c:v>
                </c:pt>
                <c:pt idx="1132">
                  <c:v>4.0840715507812847E-2</c:v>
                </c:pt>
                <c:pt idx="1133">
                  <c:v>4.0831642290577903E-2</c:v>
                </c:pt>
                <c:pt idx="1134">
                  <c:v>4.0822413916405016E-2</c:v>
                </c:pt>
                <c:pt idx="1135">
                  <c:v>4.0813030386357578E-2</c:v>
                </c:pt>
                <c:pt idx="1136">
                  <c:v>4.0805053312041227E-2</c:v>
                </c:pt>
                <c:pt idx="1137">
                  <c:v>4.079534731183726E-2</c:v>
                </c:pt>
                <c:pt idx="1138">
                  <c:v>4.0785486142132218E-2</c:v>
                </c:pt>
                <c:pt idx="1139">
                  <c:v>4.0775469804072199E-2</c:v>
                </c:pt>
                <c:pt idx="1140">
                  <c:v>4.0765298298819155E-2</c:v>
                </c:pt>
                <c:pt idx="1141">
                  <c:v>4.0754971627556195E-2</c:v>
                </c:pt>
                <c:pt idx="1142">
                  <c:v>4.074448979148227E-2</c:v>
                </c:pt>
                <c:pt idx="1143">
                  <c:v>4.0733852791813956E-2</c:v>
                </c:pt>
                <c:pt idx="1144">
                  <c:v>4.0723060629787214E-2</c:v>
                </c:pt>
                <c:pt idx="1145">
                  <c:v>4.0712113306656486E-2</c:v>
                </c:pt>
                <c:pt idx="1146">
                  <c:v>4.0701010823692103E-2</c:v>
                </c:pt>
                <c:pt idx="1147">
                  <c:v>4.0689753182183742E-2</c:v>
                </c:pt>
                <c:pt idx="1148">
                  <c:v>4.0678340383438719E-2</c:v>
                </c:pt>
                <c:pt idx="1149">
                  <c:v>4.0666772428783735E-2</c:v>
                </c:pt>
                <c:pt idx="1150">
                  <c:v>4.0655049319561327E-2</c:v>
                </c:pt>
                <c:pt idx="1151">
                  <c:v>4.0643171057135191E-2</c:v>
                </c:pt>
                <c:pt idx="1152">
                  <c:v>4.0631137642882238E-2</c:v>
                </c:pt>
                <c:pt idx="1153">
                  <c:v>4.0618949078201398E-2</c:v>
                </c:pt>
                <c:pt idx="1154">
                  <c:v>4.0605265239536968E-2</c:v>
                </c:pt>
                <c:pt idx="1155">
                  <c:v>4.0592778842070909E-2</c:v>
                </c:pt>
                <c:pt idx="1156">
                  <c:v>4.0580137315111321E-2</c:v>
                </c:pt>
                <c:pt idx="1157">
                  <c:v>4.0567340660109009E-2</c:v>
                </c:pt>
                <c:pt idx="1158">
                  <c:v>4.0555679048554366E-2</c:v>
                </c:pt>
                <c:pt idx="1159">
                  <c:v>4.0542559611665932E-2</c:v>
                </c:pt>
                <c:pt idx="1160">
                  <c:v>4.0529285034635439E-2</c:v>
                </c:pt>
                <c:pt idx="1161">
                  <c:v>4.0515855319008927E-2</c:v>
                </c:pt>
                <c:pt idx="1162">
                  <c:v>4.050227046634302E-2</c:v>
                </c:pt>
                <c:pt idx="1163">
                  <c:v>4.048853047821635E-2</c:v>
                </c:pt>
                <c:pt idx="1164">
                  <c:v>4.0474635356226946E-2</c:v>
                </c:pt>
                <c:pt idx="1165">
                  <c:v>4.0460585101985157E-2</c:v>
                </c:pt>
                <c:pt idx="1166">
                  <c:v>4.0445190251688475E-2</c:v>
                </c:pt>
                <c:pt idx="1167">
                  <c:v>4.0429664473294304E-2</c:v>
                </c:pt>
                <c:pt idx="1168">
                  <c:v>4.041517418688511E-2</c:v>
                </c:pt>
                <c:pt idx="1169">
                  <c:v>4.0400528807645657E-2</c:v>
                </c:pt>
                <c:pt idx="1170">
                  <c:v>4.0385728337238296E-2</c:v>
                </c:pt>
                <c:pt idx="1171">
                  <c:v>4.0370772777346083E-2</c:v>
                </c:pt>
                <c:pt idx="1172">
                  <c:v>4.03556621296665E-2</c:v>
                </c:pt>
                <c:pt idx="1173">
                  <c:v>4.0340396395917716E-2</c:v>
                </c:pt>
                <c:pt idx="1174">
                  <c:v>4.0324975577834127E-2</c:v>
                </c:pt>
                <c:pt idx="1175">
                  <c:v>4.0308322473682975E-2</c:v>
                </c:pt>
                <c:pt idx="1176">
                  <c:v>4.0292604296356213E-2</c:v>
                </c:pt>
                <c:pt idx="1177">
                  <c:v>4.0276731064318345E-2</c:v>
                </c:pt>
                <c:pt idx="1178">
                  <c:v>4.0260706894861588E-2</c:v>
                </c:pt>
                <c:pt idx="1179">
                  <c:v>4.0247639234575396E-2</c:v>
                </c:pt>
                <c:pt idx="1180">
                  <c:v>4.0231338825959854E-2</c:v>
                </c:pt>
                <c:pt idx="1181">
                  <c:v>4.021494082132223E-2</c:v>
                </c:pt>
                <c:pt idx="1182">
                  <c:v>4.0198461324201754E-2</c:v>
                </c:pt>
                <c:pt idx="1183">
                  <c:v>4.0181916437875997E-2</c:v>
                </c:pt>
                <c:pt idx="1184">
                  <c:v>4.0164310483689618E-2</c:v>
                </c:pt>
                <c:pt idx="1185">
                  <c:v>4.0147683193084815E-2</c:v>
                </c:pt>
                <c:pt idx="1186">
                  <c:v>4.0131038013852288E-2</c:v>
                </c:pt>
                <c:pt idx="1187">
                  <c:v>4.0112013928039147E-2</c:v>
                </c:pt>
                <c:pt idx="1188">
                  <c:v>4.0099450755629477E-2</c:v>
                </c:pt>
                <c:pt idx="1189">
                  <c:v>4.0081844941666764E-2</c:v>
                </c:pt>
                <c:pt idx="1190">
                  <c:v>4.0065305232934618E-2</c:v>
                </c:pt>
                <c:pt idx="1191">
                  <c:v>4.0048821857765107E-2</c:v>
                </c:pt>
                <c:pt idx="1192">
                  <c:v>4.0029319743127525E-2</c:v>
                </c:pt>
                <c:pt idx="1193">
                  <c:v>4.0016024725665962E-2</c:v>
                </c:pt>
                <c:pt idx="1194">
                  <c:v>3.9996622159564899E-2</c:v>
                </c:pt>
                <c:pt idx="1195">
                  <c:v>3.9983453746502057E-2</c:v>
                </c:pt>
                <c:pt idx="1196">
                  <c:v>3.996725306251022E-2</c:v>
                </c:pt>
                <c:pt idx="1197">
                  <c:v>3.9952145920752101E-2</c:v>
                </c:pt>
                <c:pt idx="1198">
                  <c:v>3.9935021302207135E-2</c:v>
                </c:pt>
                <c:pt idx="1199">
                  <c:v>3.9918990224503438E-2</c:v>
                </c:pt>
                <c:pt idx="1200">
                  <c:v>3.9903015680839843E-2</c:v>
                </c:pt>
                <c:pt idx="1201">
                  <c:v>3.988709767052917E-2</c:v>
                </c:pt>
                <c:pt idx="1202">
                  <c:v>3.9871236192880806E-2</c:v>
                </c:pt>
                <c:pt idx="1203">
                  <c:v>3.985543124721018E-2</c:v>
                </c:pt>
                <c:pt idx="1204">
                  <c:v>3.9839682832834414E-2</c:v>
                </c:pt>
                <c:pt idx="1205">
                  <c:v>3.9820826272717338E-2</c:v>
                </c:pt>
                <c:pt idx="1206">
                  <c:v>3.9805183899749186E-2</c:v>
                </c:pt>
                <c:pt idx="1207">
                  <c:v>3.9789598035801579E-2</c:v>
                </c:pt>
                <c:pt idx="1208">
                  <c:v>3.9774068680223464E-2</c:v>
                </c:pt>
                <c:pt idx="1209">
                  <c:v>3.9758595832365587E-2</c:v>
                </c:pt>
                <c:pt idx="1210">
                  <c:v>3.9746379465857962E-2</c:v>
                </c:pt>
                <c:pt idx="1211">
                  <c:v>3.9731026751638365E-2</c:v>
                </c:pt>
                <c:pt idx="1212">
                  <c:v>3.9715730563338714E-2</c:v>
                </c:pt>
                <c:pt idx="1213">
                  <c:v>3.9701565311668213E-2</c:v>
                </c:pt>
                <c:pt idx="1214">
                  <c:v>3.9685307761862673E-2</c:v>
                </c:pt>
                <c:pt idx="1215">
                  <c:v>3.9670181147371433E-2</c:v>
                </c:pt>
                <c:pt idx="1216">
                  <c:v>3.9651868059463878E-2</c:v>
                </c:pt>
                <c:pt idx="1217">
                  <c:v>3.964009748761653E-2</c:v>
                </c:pt>
                <c:pt idx="1218">
                  <c:v>3.9621882943057518E-2</c:v>
                </c:pt>
                <c:pt idx="1219">
                  <c:v>3.9605887499666217E-2</c:v>
                </c:pt>
                <c:pt idx="1220">
                  <c:v>3.9591033762564259E-2</c:v>
                </c:pt>
                <c:pt idx="1221">
                  <c:v>3.9576236518921816E-2</c:v>
                </c:pt>
                <c:pt idx="1222">
                  <c:v>3.9561495768129236E-2</c:v>
                </c:pt>
                <c:pt idx="1223">
                  <c:v>3.9546811509575078E-2</c:v>
                </c:pt>
                <c:pt idx="1224">
                  <c:v>3.9532183742651487E-2</c:v>
                </c:pt>
                <c:pt idx="1225">
                  <c:v>3.9517612466755128E-2</c:v>
                </c:pt>
                <c:pt idx="1226">
                  <c:v>3.9503097681281747E-2</c:v>
                </c:pt>
                <c:pt idx="1227">
                  <c:v>3.9487532423488854E-2</c:v>
                </c:pt>
                <c:pt idx="1228">
                  <c:v>3.9473128132847E-2</c:v>
                </c:pt>
                <c:pt idx="1229">
                  <c:v>3.9458780324237906E-2</c:v>
                </c:pt>
                <c:pt idx="1230">
                  <c:v>3.9444488997071474E-2</c:v>
                </c:pt>
                <c:pt idx="1231">
                  <c:v>3.9432488348096636E-2</c:v>
                </c:pt>
                <c:pt idx="1232">
                  <c:v>3.9422797296015256E-2</c:v>
                </c:pt>
                <c:pt idx="1233">
                  <c:v>3.9404198152728928E-2</c:v>
                </c:pt>
                <c:pt idx="1234">
                  <c:v>3.9393514167323472E-2</c:v>
                </c:pt>
                <c:pt idx="1235">
                  <c:v>3.9379517897778389E-2</c:v>
                </c:pt>
                <c:pt idx="1236">
                  <c:v>3.936218655010567E-2</c:v>
                </c:pt>
                <c:pt idx="1237">
                  <c:v>3.9340383378178218E-2</c:v>
                </c:pt>
                <c:pt idx="1238">
                  <c:v>3.9326581262014382E-2</c:v>
                </c:pt>
                <c:pt idx="1239">
                  <c:v>3.9312835634854444E-2</c:v>
                </c:pt>
                <c:pt idx="1240">
                  <c:v>3.9300288388714924E-2</c:v>
                </c:pt>
                <c:pt idx="1241">
                  <c:v>3.9286658312617226E-2</c:v>
                </c:pt>
                <c:pt idx="1242">
                  <c:v>3.927308473031936E-2</c:v>
                </c:pt>
                <c:pt idx="1243">
                  <c:v>3.9259567641249597E-2</c:v>
                </c:pt>
                <c:pt idx="1244">
                  <c:v>3.9246107044835325E-2</c:v>
                </c:pt>
                <c:pt idx="1245">
                  <c:v>3.9232702940507465E-2</c:v>
                </c:pt>
                <c:pt idx="1246">
                  <c:v>3.9219355327701329E-2</c:v>
                </c:pt>
                <c:pt idx="1247">
                  <c:v>3.9206064205849593E-2</c:v>
                </c:pt>
                <c:pt idx="1248">
                  <c:v>3.9192829574392865E-2</c:v>
                </c:pt>
                <c:pt idx="1249">
                  <c:v>3.9179651432768227E-2</c:v>
                </c:pt>
                <c:pt idx="1250">
                  <c:v>3.9166529780422447E-2</c:v>
                </c:pt>
                <c:pt idx="1251">
                  <c:v>3.9153464616797889E-2</c:v>
                </c:pt>
                <c:pt idx="1252">
                  <c:v>3.9140455941344854E-2</c:v>
                </c:pt>
                <c:pt idx="1253">
                  <c:v>3.9127503753511872E-2</c:v>
                </c:pt>
                <c:pt idx="1254">
                  <c:v>3.9114608052751874E-2</c:v>
                </c:pt>
                <c:pt idx="1255">
                  <c:v>3.9101768838519568E-2</c:v>
                </c:pt>
                <c:pt idx="1256">
                  <c:v>3.9088986110271416E-2</c:v>
                </c:pt>
                <c:pt idx="1257">
                  <c:v>3.9075073322305018E-2</c:v>
                </c:pt>
                <c:pt idx="1258">
                  <c:v>3.9062400879752664E-2</c:v>
                </c:pt>
                <c:pt idx="1259">
                  <c:v>3.9049784915161423E-2</c:v>
                </c:pt>
                <c:pt idx="1260">
                  <c:v>3.9037225428001379E-2</c:v>
                </c:pt>
                <c:pt idx="1261">
                  <c:v>3.9025919739970792E-2</c:v>
                </c:pt>
                <c:pt idx="1262">
                  <c:v>3.9013475916365635E-2</c:v>
                </c:pt>
                <c:pt idx="1263">
                  <c:v>3.9001088575013859E-2</c:v>
                </c:pt>
                <c:pt idx="1264">
                  <c:v>3.8988757715389538E-2</c:v>
                </c:pt>
                <c:pt idx="1265">
                  <c:v>3.8976483336972047E-2</c:v>
                </c:pt>
                <c:pt idx="1266">
                  <c:v>3.8964265439244271E-2</c:v>
                </c:pt>
                <c:pt idx="1267">
                  <c:v>3.8952104021687334E-2</c:v>
                </c:pt>
                <c:pt idx="1268">
                  <c:v>3.8939999083788535E-2</c:v>
                </c:pt>
                <c:pt idx="1269">
                  <c:v>3.8927950625035158E-2</c:v>
                </c:pt>
                <c:pt idx="1270">
                  <c:v>3.8914736700794074E-2</c:v>
                </c:pt>
                <c:pt idx="1271">
                  <c:v>3.8902798431244195E-2</c:v>
                </c:pt>
                <c:pt idx="1272">
                  <c:v>3.8890916632980249E-2</c:v>
                </c:pt>
                <c:pt idx="1273">
                  <c:v>3.8879091305504369E-2</c:v>
                </c:pt>
                <c:pt idx="1274">
                  <c:v>3.8867322448324047E-2</c:v>
                </c:pt>
                <c:pt idx="1275">
                  <c:v>3.8855610060944991E-2</c:v>
                </c:pt>
                <c:pt idx="1276">
                  <c:v>3.8843954142879146E-2</c:v>
                </c:pt>
                <c:pt idx="1277">
                  <c:v>3.8832354693639333E-2</c:v>
                </c:pt>
                <c:pt idx="1278">
                  <c:v>3.8820811712739281E-2</c:v>
                </c:pt>
                <c:pt idx="1279">
                  <c:v>3.8808078477646495E-2</c:v>
                </c:pt>
                <c:pt idx="1280">
                  <c:v>3.8796645608327844E-2</c:v>
                </c:pt>
                <c:pt idx="1281">
                  <c:v>3.878526919961614E-2</c:v>
                </c:pt>
                <c:pt idx="1282">
                  <c:v>3.8773949251040427E-2</c:v>
                </c:pt>
                <c:pt idx="1283">
                  <c:v>3.8765202231931944E-2</c:v>
                </c:pt>
                <c:pt idx="1284">
                  <c:v>3.8754000900584881E-2</c:v>
                </c:pt>
                <c:pt idx="1285">
                  <c:v>3.8742856040519989E-2</c:v>
                </c:pt>
                <c:pt idx="1286">
                  <c:v>3.8731767651268623E-2</c:v>
                </c:pt>
                <c:pt idx="1287">
                  <c:v>3.8720735732358597E-2</c:v>
                </c:pt>
                <c:pt idx="1288">
                  <c:v>3.8708487557436777E-2</c:v>
                </c:pt>
                <c:pt idx="1289">
                  <c:v>3.8697565696943909E-2</c:v>
                </c:pt>
                <c:pt idx="1290">
                  <c:v>3.8686700299154962E-2</c:v>
                </c:pt>
                <c:pt idx="1291">
                  <c:v>3.8675891363614844E-2</c:v>
                </c:pt>
                <c:pt idx="1292">
                  <c:v>3.8666423176725424E-2</c:v>
                </c:pt>
                <c:pt idx="1293">
                  <c:v>3.865573007016606E-2</c:v>
                </c:pt>
                <c:pt idx="1294">
                  <c:v>3.8645093430736133E-2</c:v>
                </c:pt>
                <c:pt idx="1295">
                  <c:v>3.8634513257984601E-2</c:v>
                </c:pt>
                <c:pt idx="1296">
                  <c:v>3.8623989551466592E-2</c:v>
                </c:pt>
                <c:pt idx="1297">
                  <c:v>3.8613522310735476E-2</c:v>
                </c:pt>
                <c:pt idx="1298">
                  <c:v>3.8603111535347262E-2</c:v>
                </c:pt>
                <c:pt idx="1299">
                  <c:v>3.8592757224865874E-2</c:v>
                </c:pt>
                <c:pt idx="1300">
                  <c:v>3.8582459378850853E-2</c:v>
                </c:pt>
                <c:pt idx="1301">
                  <c:v>3.8572217996867005E-2</c:v>
                </c:pt>
                <c:pt idx="1302">
                  <c:v>3.8562033078482681E-2</c:v>
                </c:pt>
                <c:pt idx="1303">
                  <c:v>3.855190462326534E-2</c:v>
                </c:pt>
                <c:pt idx="1304">
                  <c:v>3.8541832630790369E-2</c:v>
                </c:pt>
                <c:pt idx="1305">
                  <c:v>3.8531817100626982E-2</c:v>
                </c:pt>
                <c:pt idx="1306">
                  <c:v>3.852185803235586E-2</c:v>
                </c:pt>
                <c:pt idx="1307">
                  <c:v>3.8511955425554148E-2</c:v>
                </c:pt>
                <c:pt idx="1308">
                  <c:v>3.8502109279806053E-2</c:v>
                </c:pt>
                <c:pt idx="1309">
                  <c:v>3.8490985064866499E-2</c:v>
                </c:pt>
                <c:pt idx="1310">
                  <c:v>3.8481248828897807E-2</c:v>
                </c:pt>
                <c:pt idx="1311">
                  <c:v>3.8471569046588806E-2</c:v>
                </c:pt>
                <c:pt idx="1312">
                  <c:v>3.8461945717533384E-2</c:v>
                </c:pt>
                <c:pt idx="1313">
                  <c:v>3.8453725452342165E-2</c:v>
                </c:pt>
                <c:pt idx="1314">
                  <c:v>3.8444218064242891E-2</c:v>
                </c:pt>
                <c:pt idx="1315">
                  <c:v>3.8434767134333303E-2</c:v>
                </c:pt>
                <c:pt idx="1316">
                  <c:v>3.8425372662209925E-2</c:v>
                </c:pt>
                <c:pt idx="1317">
                  <c:v>3.8417393825271907E-2</c:v>
                </c:pt>
                <c:pt idx="1318">
                  <c:v>3.840675308974581E-2</c:v>
                </c:pt>
                <c:pt idx="1319">
                  <c:v>3.8397527988617515E-2</c:v>
                </c:pt>
                <c:pt idx="1320">
                  <c:v>3.8388359343701189E-2</c:v>
                </c:pt>
                <c:pt idx="1321">
                  <c:v>3.8379247154611877E-2</c:v>
                </c:pt>
                <c:pt idx="1322">
                  <c:v>3.8367443507481336E-2</c:v>
                </c:pt>
                <c:pt idx="1323">
                  <c:v>3.8358438048266025E-2</c:v>
                </c:pt>
                <c:pt idx="1324">
                  <c:v>3.8349489031535719E-2</c:v>
                </c:pt>
                <c:pt idx="1325">
                  <c:v>3.8340596456923004E-2</c:v>
                </c:pt>
                <c:pt idx="1326">
                  <c:v>3.8330502626831846E-2</c:v>
                </c:pt>
                <c:pt idx="1327">
                  <c:v>3.8321730998376428E-2</c:v>
                </c:pt>
                <c:pt idx="1328">
                  <c:v>3.8313015810886843E-2</c:v>
                </c:pt>
                <c:pt idx="1329">
                  <c:v>3.8304357064006492E-2</c:v>
                </c:pt>
                <c:pt idx="1330">
                  <c:v>3.8294530463776399E-2</c:v>
                </c:pt>
                <c:pt idx="1331">
                  <c:v>3.8284590370585868E-2</c:v>
                </c:pt>
                <c:pt idx="1332">
                  <c:v>3.8276105860544737E-2</c:v>
                </c:pt>
                <c:pt idx="1333">
                  <c:v>3.8267677783582588E-2</c:v>
                </c:pt>
                <c:pt idx="1334">
                  <c:v>3.8259306139357935E-2</c:v>
                </c:pt>
                <c:pt idx="1335">
                  <c:v>3.8255236855744085E-2</c:v>
                </c:pt>
                <c:pt idx="1336">
                  <c:v>3.82469875877674E-2</c:v>
                </c:pt>
                <c:pt idx="1337">
                  <c:v>3.823879476964144E-2</c:v>
                </c:pt>
                <c:pt idx="1338">
                  <c:v>3.8230658401019996E-2</c:v>
                </c:pt>
                <c:pt idx="1339">
                  <c:v>3.8221150048988552E-2</c:v>
                </c:pt>
                <c:pt idx="1340">
                  <c:v>3.8213123382810382E-2</c:v>
                </c:pt>
                <c:pt idx="1341">
                  <c:v>3.820515315908081E-2</c:v>
                </c:pt>
                <c:pt idx="1342">
                  <c:v>3.8197239377468516E-2</c:v>
                </c:pt>
                <c:pt idx="1343">
                  <c:v>3.8189382037640413E-2</c:v>
                </c:pt>
                <c:pt idx="1344">
                  <c:v>3.8183025609800636E-2</c:v>
                </c:pt>
                <c:pt idx="1345">
                  <c:v>3.8175284378216927E-2</c:v>
                </c:pt>
                <c:pt idx="1346">
                  <c:v>3.8167599593452638E-2</c:v>
                </c:pt>
                <c:pt idx="1347">
                  <c:v>3.8159971255184465E-2</c:v>
                </c:pt>
                <c:pt idx="1348">
                  <c:v>3.8152399363088216E-2</c:v>
                </c:pt>
                <c:pt idx="1349">
                  <c:v>3.8144883916846756E-2</c:v>
                </c:pt>
                <c:pt idx="1350">
                  <c:v>3.8137424916139431E-2</c:v>
                </c:pt>
                <c:pt idx="1351">
                  <c:v>3.8130022360652611E-2</c:v>
                </c:pt>
                <c:pt idx="1352">
                  <c:v>3.81226762500727E-2</c:v>
                </c:pt>
                <c:pt idx="1353">
                  <c:v>3.8115386584088716E-2</c:v>
                </c:pt>
                <c:pt idx="1354">
                  <c:v>3.8108153362394974E-2</c:v>
                </c:pt>
                <c:pt idx="1355">
                  <c:v>3.8100976584681388E-2</c:v>
                </c:pt>
                <c:pt idx="1356">
                  <c:v>3.8093856250649316E-2</c:v>
                </c:pt>
                <c:pt idx="1357">
                  <c:v>3.8086792359994841E-2</c:v>
                </c:pt>
                <c:pt idx="1358">
                  <c:v>3.8079784912420193E-2</c:v>
                </c:pt>
                <c:pt idx="1359">
                  <c:v>3.8072833907627633E-2</c:v>
                </c:pt>
                <c:pt idx="1360">
                  <c:v>3.8065939345327315E-2</c:v>
                </c:pt>
                <c:pt idx="1361">
                  <c:v>3.8057601102898464E-2</c:v>
                </c:pt>
                <c:pt idx="1362">
                  <c:v>3.8050816097258439E-2</c:v>
                </c:pt>
                <c:pt idx="1363">
                  <c:v>3.8044087527280487E-2</c:v>
                </c:pt>
                <c:pt idx="1364">
                  <c:v>3.8037415392685847E-2</c:v>
                </c:pt>
                <c:pt idx="1365">
                  <c:v>3.8030799693193978E-2</c:v>
                </c:pt>
                <c:pt idx="1366">
                  <c:v>3.8025757247654307E-2</c:v>
                </c:pt>
                <c:pt idx="1367">
                  <c:v>3.8019257774755906E-2</c:v>
                </c:pt>
                <c:pt idx="1368">
                  <c:v>3.8012814742083095E-2</c:v>
                </c:pt>
                <c:pt idx="1369">
                  <c:v>3.8006428149361907E-2</c:v>
                </c:pt>
                <c:pt idx="1370">
                  <c:v>3.8000097996323666E-2</c:v>
                </c:pt>
                <c:pt idx="1371">
                  <c:v>3.7993824282702315E-2</c:v>
                </c:pt>
                <c:pt idx="1372">
                  <c:v>3.7987607008230936E-2</c:v>
                </c:pt>
                <c:pt idx="1373">
                  <c:v>3.7981446172646129E-2</c:v>
                </c:pt>
                <c:pt idx="1374">
                  <c:v>3.7972254521170985E-2</c:v>
                </c:pt>
                <c:pt idx="1375">
                  <c:v>3.7966199753968151E-2</c:v>
                </c:pt>
                <c:pt idx="1376">
                  <c:v>3.7960201413032066E-2</c:v>
                </c:pt>
                <c:pt idx="1377">
                  <c:v>3.7954259498115976E-2</c:v>
                </c:pt>
                <c:pt idx="1378">
                  <c:v>3.7948374008973156E-2</c:v>
                </c:pt>
                <c:pt idx="1379">
                  <c:v>3.7942544945360465E-2</c:v>
                </c:pt>
                <c:pt idx="1380">
                  <c:v>3.7936772307035654E-2</c:v>
                </c:pt>
                <c:pt idx="1381">
                  <c:v>3.7931056093761899E-2</c:v>
                </c:pt>
                <c:pt idx="1382">
                  <c:v>3.7924592370186964E-2</c:v>
                </c:pt>
                <c:pt idx="1383">
                  <c:v>3.7917422752645487E-2</c:v>
                </c:pt>
                <c:pt idx="1384">
                  <c:v>3.7911880416527398E-2</c:v>
                </c:pt>
                <c:pt idx="1385">
                  <c:v>3.790639449859308E-2</c:v>
                </c:pt>
                <c:pt idx="1386">
                  <c:v>3.7900964998623977E-2</c:v>
                </c:pt>
                <c:pt idx="1387">
                  <c:v>3.7903537229588148E-2</c:v>
                </c:pt>
                <c:pt idx="1388">
                  <c:v>3.7899831850836341E-2</c:v>
                </c:pt>
                <c:pt idx="1389">
                  <c:v>3.7892995170394468E-2</c:v>
                </c:pt>
                <c:pt idx="1390">
                  <c:v>3.788780881070937E-2</c:v>
                </c:pt>
                <c:pt idx="1391">
                  <c:v>3.7877868479400133E-2</c:v>
                </c:pt>
                <c:pt idx="1392">
                  <c:v>3.7869904691563733E-2</c:v>
                </c:pt>
                <c:pt idx="1393">
                  <c:v>3.786490937704233E-2</c:v>
                </c:pt>
                <c:pt idx="1394">
                  <c:v>3.7859269541524902E-2</c:v>
                </c:pt>
                <c:pt idx="1395">
                  <c:v>3.7856014750185935E-2</c:v>
                </c:pt>
                <c:pt idx="1396">
                  <c:v>3.7851200313378165E-2</c:v>
                </c:pt>
                <c:pt idx="1397">
                  <c:v>3.7846442309695631E-2</c:v>
                </c:pt>
                <c:pt idx="1398">
                  <c:v>3.7841740738931318E-2</c:v>
                </c:pt>
                <c:pt idx="1399">
                  <c:v>3.7837095600890533E-2</c:v>
                </c:pt>
                <c:pt idx="1400">
                  <c:v>3.7832506895375949E-2</c:v>
                </c:pt>
                <c:pt idx="1401">
                  <c:v>3.7827974622191111E-2</c:v>
                </c:pt>
                <c:pt idx="1402">
                  <c:v>3.7823498781150156E-2</c:v>
                </c:pt>
                <c:pt idx="1403">
                  <c:v>3.7819079372056613E-2</c:v>
                </c:pt>
                <c:pt idx="1404">
                  <c:v>3.7814716394729914E-2</c:v>
                </c:pt>
                <c:pt idx="1405">
                  <c:v>3.7810409848982401E-2</c:v>
                </c:pt>
                <c:pt idx="1406">
                  <c:v>3.7806159734632604E-2</c:v>
                </c:pt>
                <c:pt idx="1407">
                  <c:v>3.7801966051499061E-2</c:v>
                </c:pt>
                <c:pt idx="1408">
                  <c:v>3.7797828799409093E-2</c:v>
                </c:pt>
                <c:pt idx="1409">
                  <c:v>3.7793747978185639E-2</c:v>
                </c:pt>
                <c:pt idx="1410">
                  <c:v>3.7789723587654277E-2</c:v>
                </c:pt>
                <c:pt idx="1411">
                  <c:v>3.77857556276485E-2</c:v>
                </c:pt>
                <c:pt idx="1412">
                  <c:v>3.7781844097995655E-2</c:v>
                </c:pt>
                <c:pt idx="1413">
                  <c:v>3.7776304890195837E-2</c:v>
                </c:pt>
                <c:pt idx="1414">
                  <c:v>3.7772502581745131E-2</c:v>
                </c:pt>
                <c:pt idx="1415">
                  <c:v>3.7768756697323241E-2</c:v>
                </c:pt>
                <c:pt idx="1416">
                  <c:v>3.7765067236770748E-2</c:v>
                </c:pt>
                <c:pt idx="1417">
                  <c:v>3.7763132899373227E-2</c:v>
                </c:pt>
                <c:pt idx="1418">
                  <c:v>3.7759559948468351E-2</c:v>
                </c:pt>
                <c:pt idx="1419">
                  <c:v>3.7756043426812588E-2</c:v>
                </c:pt>
                <c:pt idx="1420">
                  <c:v>3.7752583334257059E-2</c:v>
                </c:pt>
                <c:pt idx="1421">
                  <c:v>3.7749179670654644E-2</c:v>
                </c:pt>
                <c:pt idx="1422">
                  <c:v>3.7745832435862638E-2</c:v>
                </c:pt>
                <c:pt idx="1423">
                  <c:v>3.7742541629739203E-2</c:v>
                </c:pt>
                <c:pt idx="1424">
                  <c:v>3.7739307252145152E-2</c:v>
                </c:pt>
                <c:pt idx="1425">
                  <c:v>3.7734401141323273E-2</c:v>
                </c:pt>
                <c:pt idx="1426">
                  <c:v>3.7729544514327813E-2</c:v>
                </c:pt>
                <c:pt idx="1427">
                  <c:v>3.7726471992677042E-2</c:v>
                </c:pt>
                <c:pt idx="1428">
                  <c:v>3.7723455887384662E-2</c:v>
                </c:pt>
                <c:pt idx="1429">
                  <c:v>3.7720496198320991E-2</c:v>
                </c:pt>
                <c:pt idx="1430">
                  <c:v>3.7717592925364467E-2</c:v>
                </c:pt>
                <c:pt idx="1431">
                  <c:v>3.7714746068396213E-2</c:v>
                </c:pt>
                <c:pt idx="1432">
                  <c:v>3.7711955627298274E-2</c:v>
                </c:pt>
                <c:pt idx="1433">
                  <c:v>3.7709221601954473E-2</c:v>
                </c:pt>
                <c:pt idx="1434">
                  <c:v>3.7704783199988823E-2</c:v>
                </c:pt>
                <c:pt idx="1435">
                  <c:v>3.7702158246072509E-2</c:v>
                </c:pt>
                <c:pt idx="1436">
                  <c:v>3.7699589701767268E-2</c:v>
                </c:pt>
                <c:pt idx="1437">
                  <c:v>3.7697076725148861E-2</c:v>
                </c:pt>
                <c:pt idx="1438">
                  <c:v>3.7699939220914025E-2</c:v>
                </c:pt>
                <c:pt idx="1439">
                  <c:v>3.7697530092758481E-2</c:v>
                </c:pt>
                <c:pt idx="1440">
                  <c:v>3.769516063341511E-2</c:v>
                </c:pt>
                <c:pt idx="1441">
                  <c:v>3.7692825955110455E-2</c:v>
                </c:pt>
                <c:pt idx="1442">
                  <c:v>3.7690521170085145E-2</c:v>
                </c:pt>
                <c:pt idx="1443">
                  <c:v>3.7686461045580967E-2</c:v>
                </c:pt>
                <c:pt idx="1444">
                  <c:v>3.7684201441696014E-2</c:v>
                </c:pt>
                <c:pt idx="1445">
                  <c:v>3.7681957319487147E-2</c:v>
                </c:pt>
                <c:pt idx="1446">
                  <c:v>3.767940522734544E-2</c:v>
                </c:pt>
                <c:pt idx="1447">
                  <c:v>3.7678956357312568E-2</c:v>
                </c:pt>
                <c:pt idx="1448">
                  <c:v>3.7676727971673832E-2</c:v>
                </c:pt>
                <c:pt idx="1449">
                  <c:v>3.7674494631206416E-2</c:v>
                </c:pt>
                <c:pt idx="1450">
                  <c:v>3.767225363083565E-2</c:v>
                </c:pt>
                <c:pt idx="1451">
                  <c:v>3.767000481857509E-2</c:v>
                </c:pt>
                <c:pt idx="1452">
                  <c:v>3.7667748194439708E-2</c:v>
                </c:pt>
                <c:pt idx="1453">
                  <c:v>3.7665483758440081E-2</c:v>
                </c:pt>
                <c:pt idx="1454">
                  <c:v>3.7663211510592057E-2</c:v>
                </c:pt>
                <c:pt idx="1455">
                  <c:v>3.7660931450907986E-2</c:v>
                </c:pt>
                <c:pt idx="1456">
                  <c:v>3.7658643579401067E-2</c:v>
                </c:pt>
                <c:pt idx="1457">
                  <c:v>3.7656347896084519E-2</c:v>
                </c:pt>
                <c:pt idx="1458">
                  <c:v>3.7654044400971552E-2</c:v>
                </c:pt>
                <c:pt idx="1459">
                  <c:v>3.7651733094076267E-2</c:v>
                </c:pt>
                <c:pt idx="1460">
                  <c:v>3.7649413975413638E-2</c:v>
                </c:pt>
                <c:pt idx="1461">
                  <c:v>3.764708704499424E-2</c:v>
                </c:pt>
                <c:pt idx="1462">
                  <c:v>3.7644752302833047E-2</c:v>
                </c:pt>
                <c:pt idx="1463">
                  <c:v>3.7642409748944144E-2</c:v>
                </c:pt>
                <c:pt idx="1464">
                  <c:v>3.7640059383339877E-2</c:v>
                </c:pt>
                <c:pt idx="1465">
                  <c:v>3.7635936735260951E-2</c:v>
                </c:pt>
                <c:pt idx="1466">
                  <c:v>3.7633571546993302E-2</c:v>
                </c:pt>
                <c:pt idx="1467">
                  <c:v>3.7631198547839584E-2</c:v>
                </c:pt>
                <c:pt idx="1468">
                  <c:v>3.7628817737810474E-2</c:v>
                </c:pt>
                <c:pt idx="1469">
                  <c:v>3.7628190380090139E-2</c:v>
                </c:pt>
                <c:pt idx="1470">
                  <c:v>3.7625793144490535E-2</c:v>
                </c:pt>
                <c:pt idx="1471">
                  <c:v>3.7623388097274231E-2</c:v>
                </c:pt>
                <c:pt idx="1472">
                  <c:v>3.7620975238455312E-2</c:v>
                </c:pt>
                <c:pt idx="1473">
                  <c:v>3.7618554568046116E-2</c:v>
                </c:pt>
                <c:pt idx="1474">
                  <c:v>3.7616126086063385E-2</c:v>
                </c:pt>
                <c:pt idx="1475">
                  <c:v>3.7613689792519452E-2</c:v>
                </c:pt>
                <c:pt idx="1476">
                  <c:v>3.7611245687429289E-2</c:v>
                </c:pt>
                <c:pt idx="1477">
                  <c:v>3.7608793770806115E-2</c:v>
                </c:pt>
                <c:pt idx="1478">
                  <c:v>3.760458004251948E-2</c:v>
                </c:pt>
                <c:pt idx="1479">
                  <c:v>3.760211331379712E-2</c:v>
                </c:pt>
                <c:pt idx="1480">
                  <c:v>3.7599638774370371E-2</c:v>
                </c:pt>
                <c:pt idx="1481">
                  <c:v>3.7597156424253486E-2</c:v>
                </c:pt>
                <c:pt idx="1482">
                  <c:v>3.759466626345892E-2</c:v>
                </c:pt>
                <c:pt idx="1483">
                  <c:v>3.759216829200094E-2</c:v>
                </c:pt>
                <c:pt idx="1484">
                  <c:v>3.7589662509896454E-2</c:v>
                </c:pt>
                <c:pt idx="1485">
                  <c:v>3.7587148917158822E-2</c:v>
                </c:pt>
                <c:pt idx="1486">
                  <c:v>3.7582880064505032E-2</c:v>
                </c:pt>
                <c:pt idx="1487">
                  <c:v>3.7580351667588517E-2</c:v>
                </c:pt>
                <c:pt idx="1488">
                  <c:v>3.7577815460865978E-2</c:v>
                </c:pt>
                <c:pt idx="1489">
                  <c:v>3.7575271444349127E-2</c:v>
                </c:pt>
                <c:pt idx="1490">
                  <c:v>3.7572719618054161E-2</c:v>
                </c:pt>
                <c:pt idx="1491">
                  <c:v>3.7573646735353607E-2</c:v>
                </c:pt>
                <c:pt idx="1492">
                  <c:v>3.7571077647498848E-2</c:v>
                </c:pt>
                <c:pt idx="1493">
                  <c:v>3.7568500748346285E-2</c:v>
                </c:pt>
                <c:pt idx="1494">
                  <c:v>3.7565916037913538E-2</c:v>
                </c:pt>
                <c:pt idx="1495">
                  <c:v>3.7561583408159765E-2</c:v>
                </c:pt>
                <c:pt idx="1496">
                  <c:v>3.7558983899424796E-2</c:v>
                </c:pt>
                <c:pt idx="1497">
                  <c:v>3.7556376580232129E-2</c:v>
                </c:pt>
                <c:pt idx="1498">
                  <c:v>3.755376145059959E-2</c:v>
                </c:pt>
                <c:pt idx="1499">
                  <c:v>3.7552875317047374E-2</c:v>
                </c:pt>
                <c:pt idx="1500">
                  <c:v>3.7550243739241838E-2</c:v>
                </c:pt>
                <c:pt idx="1501">
                  <c:v>3.7547604350261832E-2</c:v>
                </c:pt>
                <c:pt idx="1502">
                  <c:v>3.7544957150120566E-2</c:v>
                </c:pt>
                <c:pt idx="1503">
                  <c:v>3.7542302138836539E-2</c:v>
                </c:pt>
                <c:pt idx="1504">
                  <c:v>3.7539639316423852E-2</c:v>
                </c:pt>
                <c:pt idx="1505">
                  <c:v>3.7536968682898353E-2</c:v>
                </c:pt>
                <c:pt idx="1506">
                  <c:v>3.753429023827503E-2</c:v>
                </c:pt>
                <c:pt idx="1507">
                  <c:v>3.7531603982569724E-2</c:v>
                </c:pt>
                <c:pt idx="1508">
                  <c:v>3.7528909915799186E-2</c:v>
                </c:pt>
                <c:pt idx="1509">
                  <c:v>3.7526208037977501E-2</c:v>
                </c:pt>
                <c:pt idx="1510">
                  <c:v>3.7523498349123177E-2</c:v>
                </c:pt>
                <c:pt idx="1511">
                  <c:v>3.7520780849247669E-2</c:v>
                </c:pt>
                <c:pt idx="1512">
                  <c:v>3.7518055538372987E-2</c:v>
                </c:pt>
                <c:pt idx="1513">
                  <c:v>3.7515322416508831E-2</c:v>
                </c:pt>
                <c:pt idx="1514">
                  <c:v>3.7512581483675464E-2</c:v>
                </c:pt>
                <c:pt idx="1515">
                  <c:v>3.7509832739886971E-2</c:v>
                </c:pt>
                <c:pt idx="1516">
                  <c:v>3.7507076185160103E-2</c:v>
                </c:pt>
                <c:pt idx="1517">
                  <c:v>3.7502590024249327E-2</c:v>
                </c:pt>
                <c:pt idx="1518">
                  <c:v>3.7499818689041502E-2</c:v>
                </c:pt>
                <c:pt idx="1519">
                  <c:v>3.749703954371976E-2</c:v>
                </c:pt>
                <c:pt idx="1520">
                  <c:v>3.7501129884647037E-2</c:v>
                </c:pt>
                <c:pt idx="1521">
                  <c:v>3.7493176248012947E-2</c:v>
                </c:pt>
                <c:pt idx="1522">
                  <c:v>3.7490372827994063E-2</c:v>
                </c:pt>
                <c:pt idx="1523">
                  <c:v>3.7487561597153087E-2</c:v>
                </c:pt>
                <c:pt idx="1524">
                  <c:v>3.7484742555502347E-2</c:v>
                </c:pt>
                <c:pt idx="1525">
                  <c:v>3.7481915703059455E-2</c:v>
                </c:pt>
                <c:pt idx="1526">
                  <c:v>3.7479081039842044E-2</c:v>
                </c:pt>
                <c:pt idx="1527">
                  <c:v>3.7476238565865072E-2</c:v>
                </c:pt>
                <c:pt idx="1528">
                  <c:v>3.7473388281147935E-2</c:v>
                </c:pt>
                <c:pt idx="1529">
                  <c:v>3.7470530185703843E-2</c:v>
                </c:pt>
                <c:pt idx="1530">
                  <c:v>3.7464242720532039E-2</c:v>
                </c:pt>
                <c:pt idx="1531">
                  <c:v>3.7461370706407406E-2</c:v>
                </c:pt>
                <c:pt idx="1532">
                  <c:v>3.7458490883155733E-2</c:v>
                </c:pt>
                <c:pt idx="1533">
                  <c:v>3.7455657386963291E-2</c:v>
                </c:pt>
                <c:pt idx="1534">
                  <c:v>3.745446352777354E-2</c:v>
                </c:pt>
                <c:pt idx="1535">
                  <c:v>3.7449848061442872E-2</c:v>
                </c:pt>
                <c:pt idx="1536">
                  <c:v>3.7446931683938853E-2</c:v>
                </c:pt>
                <c:pt idx="1537">
                  <c:v>3.7441884943371459E-2</c:v>
                </c:pt>
                <c:pt idx="1538">
                  <c:v>3.7438952687842579E-2</c:v>
                </c:pt>
                <c:pt idx="1539">
                  <c:v>3.743601262331453E-2</c:v>
                </c:pt>
                <c:pt idx="1540">
                  <c:v>3.7433064749806233E-2</c:v>
                </c:pt>
                <c:pt idx="1541">
                  <c:v>3.7430109067333898E-2</c:v>
                </c:pt>
                <c:pt idx="1542">
                  <c:v>3.7430545370871697E-2</c:v>
                </c:pt>
                <c:pt idx="1543">
                  <c:v>3.7427572348142014E-2</c:v>
                </c:pt>
                <c:pt idx="1544">
                  <c:v>3.7424591514956709E-2</c:v>
                </c:pt>
                <c:pt idx="1545">
                  <c:v>3.7421602871330749E-2</c:v>
                </c:pt>
                <c:pt idx="1546">
                  <c:v>3.7416909952660178E-2</c:v>
                </c:pt>
                <c:pt idx="1547">
                  <c:v>3.7413906552552889E-2</c:v>
                </c:pt>
                <c:pt idx="1548">
                  <c:v>3.7410895342830444E-2</c:v>
                </c:pt>
                <c:pt idx="1549">
                  <c:v>3.740787632350797E-2</c:v>
                </c:pt>
                <c:pt idx="1550">
                  <c:v>3.7404849494605957E-2</c:v>
                </c:pt>
                <c:pt idx="1551">
                  <c:v>3.7403506991324685E-2</c:v>
                </c:pt>
                <c:pt idx="1552">
                  <c:v>3.7400463675113654E-2</c:v>
                </c:pt>
                <c:pt idx="1553">
                  <c:v>3.7397412548604687E-2</c:v>
                </c:pt>
                <c:pt idx="1554">
                  <c:v>3.7394353611812751E-2</c:v>
                </c:pt>
                <c:pt idx="1555">
                  <c:v>3.7391286864759878E-2</c:v>
                </c:pt>
                <c:pt idx="1556">
                  <c:v>3.7388212307461921E-2</c:v>
                </c:pt>
                <c:pt idx="1557">
                  <c:v>3.7385129939937381E-2</c:v>
                </c:pt>
                <c:pt idx="1558">
                  <c:v>3.7382039762202994E-2</c:v>
                </c:pt>
                <c:pt idx="1559">
                  <c:v>3.737894177427814E-2</c:v>
                </c:pt>
                <c:pt idx="1560">
                  <c:v>3.7375835976180438E-2</c:v>
                </c:pt>
                <c:pt idx="1561">
                  <c:v>3.7372722367930156E-2</c:v>
                </c:pt>
                <c:pt idx="1562">
                  <c:v>3.736960094954226E-2</c:v>
                </c:pt>
                <c:pt idx="1563">
                  <c:v>3.7366471721036139E-2</c:v>
                </c:pt>
                <c:pt idx="1564">
                  <c:v>3.7363334682431165E-2</c:v>
                </c:pt>
                <c:pt idx="1565">
                  <c:v>3.7360189833744083E-2</c:v>
                </c:pt>
                <c:pt idx="1566">
                  <c:v>3.735703717499516E-2</c:v>
                </c:pt>
                <c:pt idx="1567">
                  <c:v>3.735387670620112E-2</c:v>
                </c:pt>
                <c:pt idx="1568">
                  <c:v>3.7349031156163941E-2</c:v>
                </c:pt>
                <c:pt idx="1569">
                  <c:v>3.7345855948598503E-2</c:v>
                </c:pt>
                <c:pt idx="1570">
                  <c:v>3.7342672931812447E-2</c:v>
                </c:pt>
                <c:pt idx="1571">
                  <c:v>3.7339482105820915E-2</c:v>
                </c:pt>
                <c:pt idx="1572">
                  <c:v>3.7336283470645271E-2</c:v>
                </c:pt>
                <c:pt idx="1573">
                  <c:v>3.7334749883545799E-2</c:v>
                </c:pt>
                <c:pt idx="1574">
                  <c:v>3.7331534744961911E-2</c:v>
                </c:pt>
                <c:pt idx="1575">
                  <c:v>3.7328311796482661E-2</c:v>
                </c:pt>
                <c:pt idx="1576">
                  <c:v>3.7325081038126567E-2</c:v>
                </c:pt>
                <c:pt idx="1577">
                  <c:v>3.7321842469914761E-2</c:v>
                </c:pt>
                <c:pt idx="1578">
                  <c:v>3.7318596091862222E-2</c:v>
                </c:pt>
                <c:pt idx="1579">
                  <c:v>3.7315341903991855E-2</c:v>
                </c:pt>
                <c:pt idx="1580">
                  <c:v>3.7312079906320399E-2</c:v>
                </c:pt>
                <c:pt idx="1581">
                  <c:v>3.7305478616794355E-2</c:v>
                </c:pt>
                <c:pt idx="1582">
                  <c:v>3.730220278185914E-2</c:v>
                </c:pt>
                <c:pt idx="1583">
                  <c:v>3.7298919138709113E-2</c:v>
                </c:pt>
                <c:pt idx="1584">
                  <c:v>3.7295627687363178E-2</c:v>
                </c:pt>
                <c:pt idx="1585">
                  <c:v>3.7292328427838452E-2</c:v>
                </c:pt>
                <c:pt idx="1586">
                  <c:v>3.728902136015564E-2</c:v>
                </c:pt>
                <c:pt idx="1587">
                  <c:v>3.7285706484331854E-2</c:v>
                </c:pt>
                <c:pt idx="1588">
                  <c:v>3.7282383800388709E-2</c:v>
                </c:pt>
                <c:pt idx="1589">
                  <c:v>3.7278576886369846E-2</c:v>
                </c:pt>
                <c:pt idx="1590">
                  <c:v>3.7273579945909727E-2</c:v>
                </c:pt>
                <c:pt idx="1591">
                  <c:v>3.7270233620181989E-2</c:v>
                </c:pt>
                <c:pt idx="1592">
                  <c:v>3.7266879487173131E-2</c:v>
                </c:pt>
                <c:pt idx="1593">
                  <c:v>3.7263517546904108E-2</c:v>
                </c:pt>
                <c:pt idx="1594">
                  <c:v>3.726510966416343E-2</c:v>
                </c:pt>
                <c:pt idx="1595">
                  <c:v>3.7261729406160474E-2</c:v>
                </c:pt>
                <c:pt idx="1596">
                  <c:v>3.7258341338670911E-2</c:v>
                </c:pt>
                <c:pt idx="1597">
                  <c:v>3.7254945461713262E-2</c:v>
                </c:pt>
                <c:pt idx="1598">
                  <c:v>3.7249891403687056E-2</c:v>
                </c:pt>
                <c:pt idx="1599">
                  <c:v>3.7246480812132936E-2</c:v>
                </c:pt>
                <c:pt idx="1600">
                  <c:v>3.7243062411931753E-2</c:v>
                </c:pt>
                <c:pt idx="1601">
                  <c:v>3.723963620310132E-2</c:v>
                </c:pt>
                <c:pt idx="1602">
                  <c:v>3.7236202185664792E-2</c:v>
                </c:pt>
                <c:pt idx="1603">
                  <c:v>3.7234406202282529E-2</c:v>
                </c:pt>
                <c:pt idx="1604">
                  <c:v>3.7230955659616406E-2</c:v>
                </c:pt>
                <c:pt idx="1605">
                  <c:v>3.7227497307644283E-2</c:v>
                </c:pt>
                <c:pt idx="1606">
                  <c:v>3.7224031146384645E-2</c:v>
                </c:pt>
                <c:pt idx="1607">
                  <c:v>3.7220557175860418E-2</c:v>
                </c:pt>
                <c:pt idx="1608">
                  <c:v>3.7217075396089205E-2</c:v>
                </c:pt>
                <c:pt idx="1609">
                  <c:v>3.7213585807093039E-2</c:v>
                </c:pt>
                <c:pt idx="1610">
                  <c:v>3.7210088408891291E-2</c:v>
                </c:pt>
                <c:pt idx="1611">
                  <c:v>3.7206583201505987E-2</c:v>
                </c:pt>
                <c:pt idx="1612">
                  <c:v>3.7203070184956513E-2</c:v>
                </c:pt>
                <c:pt idx="1613">
                  <c:v>3.719954935926225E-2</c:v>
                </c:pt>
                <c:pt idx="1614">
                  <c:v>3.7196020724447859E-2</c:v>
                </c:pt>
                <c:pt idx="1615">
                  <c:v>3.7192484280529202E-2</c:v>
                </c:pt>
                <c:pt idx="1616">
                  <c:v>3.7188940027530058E-2</c:v>
                </c:pt>
                <c:pt idx="1617">
                  <c:v>3.7185387965469809E-2</c:v>
                </c:pt>
                <c:pt idx="1618">
                  <c:v>3.7181828094369603E-2</c:v>
                </c:pt>
                <c:pt idx="1619">
                  <c:v>3.7178260414249695E-2</c:v>
                </c:pt>
                <c:pt idx="1620">
                  <c:v>3.7173054622827939E-2</c:v>
                </c:pt>
                <c:pt idx="1621">
                  <c:v>3.7169472245680346E-2</c:v>
                </c:pt>
                <c:pt idx="1622">
                  <c:v>3.7165882060330113E-2</c:v>
                </c:pt>
                <c:pt idx="1623">
                  <c:v>3.7162284066800395E-2</c:v>
                </c:pt>
                <c:pt idx="1624">
                  <c:v>3.7158678265110781E-2</c:v>
                </c:pt>
                <c:pt idx="1625">
                  <c:v>3.7156690345305846E-2</c:v>
                </c:pt>
                <c:pt idx="1626">
                  <c:v>3.7153068002639157E-2</c:v>
                </c:pt>
                <c:pt idx="1627">
                  <c:v>3.7149437851121909E-2</c:v>
                </c:pt>
                <c:pt idx="1628">
                  <c:v>3.7145799890775238E-2</c:v>
                </c:pt>
                <c:pt idx="1629">
                  <c:v>3.7142154121621182E-2</c:v>
                </c:pt>
                <c:pt idx="1630">
                  <c:v>3.7138500543679114E-2</c:v>
                </c:pt>
                <c:pt idx="1631">
                  <c:v>3.7134839156971931E-2</c:v>
                </c:pt>
                <c:pt idx="1632">
                  <c:v>3.7131169961520792E-2</c:v>
                </c:pt>
                <c:pt idx="1633">
                  <c:v>3.7124256435570137E-2</c:v>
                </c:pt>
                <c:pt idx="1634">
                  <c:v>3.712057348403771E-2</c:v>
                </c:pt>
                <c:pt idx="1635">
                  <c:v>3.7116882725330563E-2</c:v>
                </c:pt>
                <c:pt idx="1636">
                  <c:v>3.7113184159469403E-2</c:v>
                </c:pt>
                <c:pt idx="1637">
                  <c:v>3.7109477786474949E-2</c:v>
                </c:pt>
                <c:pt idx="1638">
                  <c:v>3.7105763606367012E-2</c:v>
                </c:pt>
                <c:pt idx="1639">
                  <c:v>3.7102041619169898E-2</c:v>
                </c:pt>
                <c:pt idx="1640">
                  <c:v>3.7098311824903418E-2</c:v>
                </c:pt>
                <c:pt idx="1641">
                  <c:v>3.7094039643234177E-2</c:v>
                </c:pt>
                <c:pt idx="1642">
                  <c:v>3.7088683424543752E-2</c:v>
                </c:pt>
                <c:pt idx="1643">
                  <c:v>3.7084930031231131E-2</c:v>
                </c:pt>
                <c:pt idx="1644">
                  <c:v>3.7081168831688265E-2</c:v>
                </c:pt>
                <c:pt idx="1645">
                  <c:v>3.7077399825935185E-2</c:v>
                </c:pt>
                <c:pt idx="1646">
                  <c:v>3.7078440893807414E-2</c:v>
                </c:pt>
                <c:pt idx="1647">
                  <c:v>3.7074653454308902E-2</c:v>
                </c:pt>
                <c:pt idx="1648">
                  <c:v>3.7070858206419685E-2</c:v>
                </c:pt>
                <c:pt idx="1649">
                  <c:v>3.7067055150160018E-2</c:v>
                </c:pt>
                <c:pt idx="1650">
                  <c:v>3.7061642073892016E-2</c:v>
                </c:pt>
                <c:pt idx="1651">
                  <c:v>3.7057824344561507E-2</c:v>
                </c:pt>
                <c:pt idx="1652">
                  <c:v>3.7053998807677624E-2</c:v>
                </c:pt>
                <c:pt idx="1653">
                  <c:v>3.705016546325994E-2</c:v>
                </c:pt>
                <c:pt idx="1654">
                  <c:v>3.7046324311331626E-2</c:v>
                </c:pt>
                <c:pt idx="1655">
                  <c:v>3.7044072838084981E-2</c:v>
                </c:pt>
                <c:pt idx="1656">
                  <c:v>3.7040215123862928E-2</c:v>
                </c:pt>
                <c:pt idx="1657">
                  <c:v>3.7036349601450143E-2</c:v>
                </c:pt>
                <c:pt idx="1658">
                  <c:v>3.7032476270869523E-2</c:v>
                </c:pt>
                <c:pt idx="1659">
                  <c:v>3.7028595132143974E-2</c:v>
                </c:pt>
                <c:pt idx="1660">
                  <c:v>3.7024706185294638E-2</c:v>
                </c:pt>
                <c:pt idx="1661">
                  <c:v>3.7020809430347072E-2</c:v>
                </c:pt>
                <c:pt idx="1662">
                  <c:v>3.7016904867321523E-2</c:v>
                </c:pt>
                <c:pt idx="1663">
                  <c:v>3.7012992496243541E-2</c:v>
                </c:pt>
                <c:pt idx="1664">
                  <c:v>3.70090723171334E-2</c:v>
                </c:pt>
                <c:pt idx="1665">
                  <c:v>3.7005144330014873E-2</c:v>
                </c:pt>
                <c:pt idx="1666">
                  <c:v>3.7001208534911748E-2</c:v>
                </c:pt>
                <c:pt idx="1667">
                  <c:v>3.6997264931845172E-2</c:v>
                </c:pt>
                <c:pt idx="1668">
                  <c:v>3.6993313520840683E-2</c:v>
                </c:pt>
                <c:pt idx="1669">
                  <c:v>3.6989354301918548E-2</c:v>
                </c:pt>
                <c:pt idx="1670">
                  <c:v>3.6985387275105204E-2</c:v>
                </c:pt>
                <c:pt idx="1671">
                  <c:v>3.6981412440421774E-2</c:v>
                </c:pt>
                <c:pt idx="1672">
                  <c:v>3.697584851785736E-2</c:v>
                </c:pt>
                <c:pt idx="1673">
                  <c:v>3.6971859027501101E-2</c:v>
                </c:pt>
                <c:pt idx="1674">
                  <c:v>3.696786173008753E-2</c:v>
                </c:pt>
                <c:pt idx="1675">
                  <c:v>3.69638566256398E-2</c:v>
                </c:pt>
                <c:pt idx="1676">
                  <c:v>3.6959843714180193E-2</c:v>
                </c:pt>
                <c:pt idx="1677">
                  <c:v>3.6957399468365772E-2</c:v>
                </c:pt>
                <c:pt idx="1678">
                  <c:v>3.6953369979247239E-2</c:v>
                </c:pt>
                <c:pt idx="1679">
                  <c:v>3.6949332682448918E-2</c:v>
                </c:pt>
                <c:pt idx="1680">
                  <c:v>3.6945287577990177E-2</c:v>
                </c:pt>
                <c:pt idx="1681">
                  <c:v>3.6941234665897459E-2</c:v>
                </c:pt>
                <c:pt idx="1682">
                  <c:v>3.6937173946191892E-2</c:v>
                </c:pt>
                <c:pt idx="1683">
                  <c:v>3.6933105418901678E-2</c:v>
                </c:pt>
                <c:pt idx="1684">
                  <c:v>3.6929029084045314E-2</c:v>
                </c:pt>
                <c:pt idx="1685">
                  <c:v>3.6923376199396334E-2</c:v>
                </c:pt>
                <c:pt idx="1686">
                  <c:v>3.6919285219110143E-2</c:v>
                </c:pt>
                <c:pt idx="1687">
                  <c:v>3.6915186432071236E-2</c:v>
                </c:pt>
                <c:pt idx="1688">
                  <c:v>3.6911079838303655E-2</c:v>
                </c:pt>
                <c:pt idx="1689">
                  <c:v>3.6906965437830563E-2</c:v>
                </c:pt>
                <c:pt idx="1690">
                  <c:v>3.690284323067422E-2</c:v>
                </c:pt>
                <c:pt idx="1691">
                  <c:v>3.689871321686046E-2</c:v>
                </c:pt>
                <c:pt idx="1692">
                  <c:v>3.6894575396412436E-2</c:v>
                </c:pt>
                <c:pt idx="1693">
                  <c:v>3.6889836899644542E-2</c:v>
                </c:pt>
                <c:pt idx="1694">
                  <c:v>3.6884122512738392E-2</c:v>
                </c:pt>
                <c:pt idx="1695">
                  <c:v>3.6879961133534263E-2</c:v>
                </c:pt>
                <c:pt idx="1696">
                  <c:v>3.6875791973028087E-2</c:v>
                </c:pt>
                <c:pt idx="1697">
                  <c:v>3.6871615864973575E-2</c:v>
                </c:pt>
                <c:pt idx="1698">
                  <c:v>3.6873661989512765E-2</c:v>
                </c:pt>
                <c:pt idx="1699">
                  <c:v>3.6871033387218352E-2</c:v>
                </c:pt>
                <c:pt idx="1700">
                  <c:v>3.6865290350429292E-2</c:v>
                </c:pt>
                <c:pt idx="1701">
                  <c:v>3.6861105336110811E-2</c:v>
                </c:pt>
                <c:pt idx="1702">
                  <c:v>3.6849863872840317E-2</c:v>
                </c:pt>
                <c:pt idx="1703">
                  <c:v>3.6845688618056573E-2</c:v>
                </c:pt>
                <c:pt idx="1704">
                  <c:v>3.6841520594314628E-2</c:v>
                </c:pt>
                <c:pt idx="1705">
                  <c:v>3.6837361648298518E-2</c:v>
                </c:pt>
                <c:pt idx="1706">
                  <c:v>3.683477297240656E-2</c:v>
                </c:pt>
                <c:pt idx="1707">
                  <c:v>3.6830638444451232E-2</c:v>
                </c:pt>
                <c:pt idx="1708">
                  <c:v>3.6826518552059692E-2</c:v>
                </c:pt>
                <c:pt idx="1709">
                  <c:v>3.6822414670174164E-2</c:v>
                </c:pt>
                <c:pt idx="1710">
                  <c:v>3.681832699048232E-2</c:v>
                </c:pt>
                <c:pt idx="1711">
                  <c:v>3.6814255512933054E-2</c:v>
                </c:pt>
                <c:pt idx="1712">
                  <c:v>3.6810200237477053E-2</c:v>
                </c:pt>
                <c:pt idx="1713">
                  <c:v>3.6806161164065848E-2</c:v>
                </c:pt>
                <c:pt idx="1714">
                  <c:v>3.6802138292649229E-2</c:v>
                </c:pt>
                <c:pt idx="1715">
                  <c:v>3.6798131623180519E-2</c:v>
                </c:pt>
                <c:pt idx="1716">
                  <c:v>3.6794141155607724E-2</c:v>
                </c:pt>
                <c:pt idx="1717">
                  <c:v>3.6790166889885047E-2</c:v>
                </c:pt>
                <c:pt idx="1718">
                  <c:v>3.6786208825963153E-2</c:v>
                </c:pt>
                <c:pt idx="1719">
                  <c:v>3.678226696379535E-2</c:v>
                </c:pt>
                <c:pt idx="1720">
                  <c:v>3.6778341303331429E-2</c:v>
                </c:pt>
                <c:pt idx="1721">
                  <c:v>3.6774431844526459E-2</c:v>
                </c:pt>
                <c:pt idx="1722">
                  <c:v>3.6770538587331113E-2</c:v>
                </c:pt>
                <c:pt idx="1723">
                  <c:v>3.6766661531698691E-2</c:v>
                </c:pt>
                <c:pt idx="1724">
                  <c:v>3.6761227746802051E-2</c:v>
                </c:pt>
                <c:pt idx="1725">
                  <c:v>3.6757382322441565E-2</c:v>
                </c:pt>
                <c:pt idx="1726">
                  <c:v>3.6753553097841465E-2</c:v>
                </c:pt>
                <c:pt idx="1727">
                  <c:v>3.6752890754353437E-2</c:v>
                </c:pt>
                <c:pt idx="1728">
                  <c:v>3.6747519275341978E-2</c:v>
                </c:pt>
                <c:pt idx="1729">
                  <c:v>3.6743739428105771E-2</c:v>
                </c:pt>
                <c:pt idx="1730">
                  <c:v>3.6739975782107422E-2</c:v>
                </c:pt>
                <c:pt idx="1731">
                  <c:v>3.6736228337302015E-2</c:v>
                </c:pt>
                <c:pt idx="1732">
                  <c:v>3.6732497093641965E-2</c:v>
                </c:pt>
                <c:pt idx="1733">
                  <c:v>3.6728782051084118E-2</c:v>
                </c:pt>
                <c:pt idx="1734">
                  <c:v>3.67250832095809E-2</c:v>
                </c:pt>
                <c:pt idx="1735">
                  <c:v>3.6721400569090908E-2</c:v>
                </c:pt>
                <c:pt idx="1736">
                  <c:v>3.6717734129565686E-2</c:v>
                </c:pt>
                <c:pt idx="1737">
                  <c:v>3.6710917887594202E-2</c:v>
                </c:pt>
                <c:pt idx="1738">
                  <c:v>3.6707282263538137E-2</c:v>
                </c:pt>
                <c:pt idx="1739">
                  <c:v>3.670366283700903E-2</c:v>
                </c:pt>
                <c:pt idx="1740">
                  <c:v>3.6699033088988822E-2</c:v>
                </c:pt>
                <c:pt idx="1741">
                  <c:v>3.6695450685211246E-2</c:v>
                </c:pt>
                <c:pt idx="1742">
                  <c:v>3.6691884478818354E-2</c:v>
                </c:pt>
                <c:pt idx="1743">
                  <c:v>3.6688334469767818E-2</c:v>
                </c:pt>
                <c:pt idx="1744">
                  <c:v>3.6684800658016409E-2</c:v>
                </c:pt>
                <c:pt idx="1745">
                  <c:v>3.6679693694770851E-2</c:v>
                </c:pt>
                <c:pt idx="1746">
                  <c:v>3.6676191470936176E-2</c:v>
                </c:pt>
                <c:pt idx="1747">
                  <c:v>3.6672705442626241E-2</c:v>
                </c:pt>
                <c:pt idx="1748">
                  <c:v>3.6669235609800059E-2</c:v>
                </c:pt>
                <c:pt idx="1749">
                  <c:v>3.6670560279038665E-2</c:v>
                </c:pt>
                <c:pt idx="1750">
                  <c:v>3.6667125277130792E-2</c:v>
                </c:pt>
                <c:pt idx="1751">
                  <c:v>3.6663706475530508E-2</c:v>
                </c:pt>
                <c:pt idx="1752">
                  <c:v>3.6660303874197289E-2</c:v>
                </c:pt>
                <c:pt idx="1753">
                  <c:v>3.6656917473087976E-2</c:v>
                </c:pt>
                <c:pt idx="1754">
                  <c:v>3.6651950235006871E-2</c:v>
                </c:pt>
                <c:pt idx="1755">
                  <c:v>3.6648595412425447E-2</c:v>
                </c:pt>
                <c:pt idx="1756">
                  <c:v>3.6645256788300544E-2</c:v>
                </c:pt>
                <c:pt idx="1757">
                  <c:v>3.6641461052663131E-2</c:v>
                </c:pt>
                <c:pt idx="1758">
                  <c:v>3.6644560064767316E-2</c:v>
                </c:pt>
                <c:pt idx="1759">
                  <c:v>3.6639673826017183E-2</c:v>
                </c:pt>
                <c:pt idx="1760">
                  <c:v>3.6636404800751921E-2</c:v>
                </c:pt>
                <c:pt idx="1761">
                  <c:v>3.6633151978672111E-2</c:v>
                </c:pt>
                <c:pt idx="1762">
                  <c:v>3.6625103469155838E-2</c:v>
                </c:pt>
                <c:pt idx="1763">
                  <c:v>3.6626694943905878E-2</c:v>
                </c:pt>
                <c:pt idx="1764">
                  <c:v>3.6618673823242312E-2</c:v>
                </c:pt>
                <c:pt idx="1765">
                  <c:v>3.6620302721400336E-2</c:v>
                </c:pt>
                <c:pt idx="1766">
                  <c:v>3.6617130914646814E-2</c:v>
                </c:pt>
                <c:pt idx="1767">
                  <c:v>3.661558384331768E-2</c:v>
                </c:pt>
                <c:pt idx="1768">
                  <c:v>3.6610835909938251E-2</c:v>
                </c:pt>
                <c:pt idx="1769">
                  <c:v>3.6607712711905604E-2</c:v>
                </c:pt>
                <c:pt idx="1770">
                  <c:v>3.6604605716703188E-2</c:v>
                </c:pt>
                <c:pt idx="1771">
                  <c:v>3.6601514924291333E-2</c:v>
                </c:pt>
                <c:pt idx="1772">
                  <c:v>3.6598440334632103E-2</c:v>
                </c:pt>
                <c:pt idx="1773">
                  <c:v>3.6595381947688431E-2</c:v>
                </c:pt>
                <c:pt idx="1774">
                  <c:v>3.659233976341978E-2</c:v>
                </c:pt>
                <c:pt idx="1775">
                  <c:v>3.6584468926500906E-2</c:v>
                </c:pt>
                <c:pt idx="1776">
                  <c:v>3.6581456577285565E-2</c:v>
                </c:pt>
                <c:pt idx="1777">
                  <c:v>3.6578460425719835E-2</c:v>
                </c:pt>
                <c:pt idx="1778">
                  <c:v>3.6575480471767216E-2</c:v>
                </c:pt>
                <c:pt idx="1779">
                  <c:v>3.6572516715392966E-2</c:v>
                </c:pt>
                <c:pt idx="1780">
                  <c:v>3.6574426911926319E-2</c:v>
                </c:pt>
                <c:pt idx="1781">
                  <c:v>3.6571498145349962E-2</c:v>
                </c:pt>
                <c:pt idx="1782">
                  <c:v>3.6568585581155492E-2</c:v>
                </c:pt>
                <c:pt idx="1783">
                  <c:v>3.656731145281767E-2</c:v>
                </c:pt>
                <c:pt idx="1784">
                  <c:v>3.6562809059762183E-2</c:v>
                </c:pt>
                <c:pt idx="1785">
                  <c:v>3.6559945102492643E-2</c:v>
                </c:pt>
                <c:pt idx="1786">
                  <c:v>3.6552223949990241E-2</c:v>
                </c:pt>
                <c:pt idx="1787">
                  <c:v>3.6554265794629309E-2</c:v>
                </c:pt>
                <c:pt idx="1788">
                  <c:v>3.6546571793225832E-2</c:v>
                </c:pt>
                <c:pt idx="1789">
                  <c:v>3.6542143300206248E-2</c:v>
                </c:pt>
                <c:pt idx="1790">
                  <c:v>3.6539356835666587E-2</c:v>
                </c:pt>
                <c:pt idx="1791">
                  <c:v>3.6536586566657446E-2</c:v>
                </c:pt>
                <c:pt idx="1792">
                  <c:v>3.6533832493148212E-2</c:v>
                </c:pt>
                <c:pt idx="1793">
                  <c:v>3.653109461510376E-2</c:v>
                </c:pt>
                <c:pt idx="1794">
                  <c:v>3.6528372932492573E-2</c:v>
                </c:pt>
                <c:pt idx="1795">
                  <c:v>3.6525667445281337E-2</c:v>
                </c:pt>
                <c:pt idx="1796">
                  <c:v>3.6522978153439425E-2</c:v>
                </c:pt>
                <c:pt idx="1797">
                  <c:v>3.6518671460789486E-2</c:v>
                </c:pt>
                <c:pt idx="1798">
                  <c:v>3.6516013667526666E-2</c:v>
                </c:pt>
                <c:pt idx="1799">
                  <c:v>3.6513372067908133E-2</c:v>
                </c:pt>
                <c:pt idx="1800">
                  <c:v>3.6510746661900184E-2</c:v>
                </c:pt>
                <c:pt idx="1801">
                  <c:v>3.6511411992443517E-2</c:v>
                </c:pt>
                <c:pt idx="1802">
                  <c:v>3.6515375790266598E-2</c:v>
                </c:pt>
                <c:pt idx="1803">
                  <c:v>3.6506245746208213E-2</c:v>
                </c:pt>
                <c:pt idx="1804">
                  <c:v>3.6508608300166799E-2</c:v>
                </c:pt>
                <c:pt idx="1805">
                  <c:v>3.6506068381162E-2</c:v>
                </c:pt>
                <c:pt idx="1806">
                  <c:v>3.6497181447448505E-2</c:v>
                </c:pt>
                <c:pt idx="1807">
                  <c:v>3.6494680464740893E-2</c:v>
                </c:pt>
                <c:pt idx="1808">
                  <c:v>3.6492195678644444E-2</c:v>
                </c:pt>
                <c:pt idx="1809">
                  <c:v>3.6489727089123528E-2</c:v>
                </c:pt>
                <c:pt idx="1810">
                  <c:v>3.6488920931039594E-2</c:v>
                </c:pt>
                <c:pt idx="1811">
                  <c:v>3.6486485649156741E-2</c:v>
                </c:pt>
                <c:pt idx="1812">
                  <c:v>3.6484066565388822E-2</c:v>
                </c:pt>
                <c:pt idx="1813">
                  <c:v>3.6481663679709418E-2</c:v>
                </c:pt>
                <c:pt idx="1814">
                  <c:v>3.6479276992085051E-2</c:v>
                </c:pt>
                <c:pt idx="1815">
                  <c:v>3.6476906502491045E-2</c:v>
                </c:pt>
                <c:pt idx="1816">
                  <c:v>3.6474552210893942E-2</c:v>
                </c:pt>
                <c:pt idx="1817">
                  <c:v>3.647221411726994E-2</c:v>
                </c:pt>
                <c:pt idx="1818">
                  <c:v>3.6469892221586454E-2</c:v>
                </c:pt>
                <c:pt idx="1819">
                  <c:v>3.646758652381793E-2</c:v>
                </c:pt>
                <c:pt idx="1820">
                  <c:v>3.6465297023935306E-2</c:v>
                </c:pt>
                <c:pt idx="1821">
                  <c:v>3.6463023721910383E-2</c:v>
                </c:pt>
                <c:pt idx="1822">
                  <c:v>3.6460766617717619E-2</c:v>
                </c:pt>
                <c:pt idx="1823">
                  <c:v>3.6458525711327947E-2</c:v>
                </c:pt>
                <c:pt idx="1824">
                  <c:v>3.6456301002714922E-2</c:v>
                </c:pt>
                <c:pt idx="1825">
                  <c:v>3.6454092491849492E-2</c:v>
                </c:pt>
                <c:pt idx="1826">
                  <c:v>3.6451900178707863E-2</c:v>
                </c:pt>
                <c:pt idx="1827">
                  <c:v>3.6448062059796407E-2</c:v>
                </c:pt>
                <c:pt idx="1828">
                  <c:v>3.6445901199855343E-2</c:v>
                </c:pt>
                <c:pt idx="1829">
                  <c:v>3.6443756535934957E-2</c:v>
                </c:pt>
                <c:pt idx="1830">
                  <c:v>3.6441628068012093E-2</c:v>
                </c:pt>
                <c:pt idx="1831">
                  <c:v>3.6441181577909751E-2</c:v>
                </c:pt>
                <c:pt idx="1832">
                  <c:v>3.6439086450551543E-2</c:v>
                </c:pt>
                <c:pt idx="1833">
                  <c:v>3.6437007520732138E-2</c:v>
                </c:pt>
                <c:pt idx="1834">
                  <c:v>3.6434944788428632E-2</c:v>
                </c:pt>
                <c:pt idx="1835">
                  <c:v>3.6432898253615481E-2</c:v>
                </c:pt>
                <c:pt idx="1836">
                  <c:v>3.6430867916266256E-2</c:v>
                </c:pt>
                <c:pt idx="1837">
                  <c:v>3.6428853776358933E-2</c:v>
                </c:pt>
                <c:pt idx="1838">
                  <c:v>3.6426855833867088E-2</c:v>
                </c:pt>
                <c:pt idx="1839">
                  <c:v>3.6424874088767809E-2</c:v>
                </c:pt>
                <c:pt idx="1840">
                  <c:v>3.6419559988062185E-2</c:v>
                </c:pt>
                <c:pt idx="1841">
                  <c:v>3.6417608711457078E-2</c:v>
                </c:pt>
                <c:pt idx="1842">
                  <c:v>3.6415673628937162E-2</c:v>
                </c:pt>
                <c:pt idx="1843">
                  <c:v>3.6413754740480836E-2</c:v>
                </c:pt>
                <c:pt idx="1844">
                  <c:v>3.6413530082793008E-2</c:v>
                </c:pt>
                <c:pt idx="1845">
                  <c:v>3.6409965545666174E-2</c:v>
                </c:pt>
                <c:pt idx="1846">
                  <c:v>3.6408095239261917E-2</c:v>
                </c:pt>
                <c:pt idx="1847">
                  <c:v>3.6406241126830295E-2</c:v>
                </c:pt>
                <c:pt idx="1848">
                  <c:v>3.6404403208350589E-2</c:v>
                </c:pt>
                <c:pt idx="1849">
                  <c:v>3.6402581483798491E-2</c:v>
                </c:pt>
                <c:pt idx="1850">
                  <c:v>3.6400775953155093E-2</c:v>
                </c:pt>
                <c:pt idx="1851">
                  <c:v>3.6398986616397871E-2</c:v>
                </c:pt>
                <c:pt idx="1852">
                  <c:v>3.6397213473504324E-2</c:v>
                </c:pt>
                <c:pt idx="1853">
                  <c:v>3.6398830370410099E-2</c:v>
                </c:pt>
                <c:pt idx="1854">
                  <c:v>3.6397091583412075E-2</c:v>
                </c:pt>
                <c:pt idx="1855">
                  <c:v>3.6395368993446323E-2</c:v>
                </c:pt>
                <c:pt idx="1856">
                  <c:v>3.6393662600489048E-2</c:v>
                </c:pt>
                <c:pt idx="1857">
                  <c:v>3.6390281432118601E-2</c:v>
                </c:pt>
                <c:pt idx="1858">
                  <c:v>3.6388606442440886E-2</c:v>
                </c:pt>
                <c:pt idx="1859">
                  <c:v>3.6386947648098071E-2</c:v>
                </c:pt>
                <c:pt idx="1860">
                  <c:v>3.638530504907235E-2</c:v>
                </c:pt>
                <c:pt idx="1861">
                  <c:v>3.6383678645339673E-2</c:v>
                </c:pt>
                <c:pt idx="1862">
                  <c:v>3.6383764378807359E-2</c:v>
                </c:pt>
                <c:pt idx="1863">
                  <c:v>3.6382171364349181E-2</c:v>
                </c:pt>
                <c:pt idx="1864">
                  <c:v>3.6380594546742667E-2</c:v>
                </c:pt>
                <c:pt idx="1865">
                  <c:v>3.6379033925965809E-2</c:v>
                </c:pt>
                <c:pt idx="1866">
                  <c:v>3.63774895020001E-2</c:v>
                </c:pt>
                <c:pt idx="1867">
                  <c:v>3.637596127482616E-2</c:v>
                </c:pt>
                <c:pt idx="1868">
                  <c:v>3.6374449244427252E-2</c:v>
                </c:pt>
                <c:pt idx="1869">
                  <c:v>3.637295341078664E-2</c:v>
                </c:pt>
                <c:pt idx="1870">
                  <c:v>3.6371473773880544E-2</c:v>
                </c:pt>
                <c:pt idx="1871">
                  <c:v>3.6370010333695732E-2</c:v>
                </c:pt>
                <c:pt idx="1872">
                  <c:v>3.6368563090212844E-2</c:v>
                </c:pt>
                <c:pt idx="1873">
                  <c:v>3.6367132043414241E-2</c:v>
                </c:pt>
                <c:pt idx="1874">
                  <c:v>3.6365717193282319E-2</c:v>
                </c:pt>
                <c:pt idx="1875">
                  <c:v>3.6364318539801224E-2</c:v>
                </c:pt>
                <c:pt idx="1876">
                  <c:v>3.6362936082951561E-2</c:v>
                </c:pt>
                <c:pt idx="1877">
                  <c:v>3.6361569822720125E-2</c:v>
                </c:pt>
                <c:pt idx="1878">
                  <c:v>3.6360219759085773E-2</c:v>
                </c:pt>
                <c:pt idx="1879">
                  <c:v>3.6357172752309125E-2</c:v>
                </c:pt>
                <c:pt idx="1880">
                  <c:v>3.6355854055695788E-2</c:v>
                </c:pt>
                <c:pt idx="1881">
                  <c:v>3.6354551554024596E-2</c:v>
                </c:pt>
                <c:pt idx="1882">
                  <c:v>3.6353265247278617E-2</c:v>
                </c:pt>
                <c:pt idx="1883">
                  <c:v>3.6351995135444494E-2</c:v>
                </c:pt>
                <c:pt idx="1884">
                  <c:v>3.635245950497798E-2</c:v>
                </c:pt>
                <c:pt idx="1885">
                  <c:v>3.6351222817092431E-2</c:v>
                </c:pt>
                <c:pt idx="1886">
                  <c:v>3.6350002325683271E-2</c:v>
                </c:pt>
                <c:pt idx="1887">
                  <c:v>3.6348798030733771E-2</c:v>
                </c:pt>
                <c:pt idx="1888">
                  <c:v>3.6347609932228069E-2</c:v>
                </c:pt>
                <c:pt idx="1889">
                  <c:v>3.6346438030152077E-2</c:v>
                </c:pt>
                <c:pt idx="1890">
                  <c:v>3.634528232449169E-2</c:v>
                </c:pt>
                <c:pt idx="1891">
                  <c:v>3.634414281523634E-2</c:v>
                </c:pt>
                <c:pt idx="1892">
                  <c:v>3.6341292897451499E-2</c:v>
                </c:pt>
                <c:pt idx="1893">
                  <c:v>3.6340184733915704E-2</c:v>
                </c:pt>
                <c:pt idx="1894">
                  <c:v>3.6339092765132343E-2</c:v>
                </c:pt>
                <c:pt idx="1895">
                  <c:v>3.6338016991091633E-2</c:v>
                </c:pt>
                <c:pt idx="1896">
                  <c:v>3.6336957411773965E-2</c:v>
                </c:pt>
                <c:pt idx="1897">
                  <c:v>3.6335914027173996E-2</c:v>
                </c:pt>
                <c:pt idx="1898">
                  <c:v>3.6334886837276599E-2</c:v>
                </c:pt>
                <c:pt idx="1899">
                  <c:v>3.6333875842068396E-2</c:v>
                </c:pt>
                <c:pt idx="1900">
                  <c:v>3.6332740249191038E-2</c:v>
                </c:pt>
                <c:pt idx="1901">
                  <c:v>3.6330027935296473E-2</c:v>
                </c:pt>
                <c:pt idx="1902">
                  <c:v>3.6329066776093884E-2</c:v>
                </c:pt>
                <c:pt idx="1903">
                  <c:v>3.6328121809924695E-2</c:v>
                </c:pt>
                <c:pt idx="1904">
                  <c:v>3.6327193036778095E-2</c:v>
                </c:pt>
                <c:pt idx="1905">
                  <c:v>3.6329761228157599E-2</c:v>
                </c:pt>
                <c:pt idx="1906">
                  <c:v>3.632886697712339E-2</c:v>
                </c:pt>
                <c:pt idx="1907">
                  <c:v>3.6327988922293358E-2</c:v>
                </c:pt>
                <c:pt idx="1908">
                  <c:v>3.6327127063652542E-2</c:v>
                </c:pt>
                <c:pt idx="1909">
                  <c:v>3.6326281401195641E-2</c:v>
                </c:pt>
                <c:pt idx="1910">
                  <c:v>3.6323706083787648E-2</c:v>
                </c:pt>
                <c:pt idx="1911">
                  <c:v>3.6322891737474348E-2</c:v>
                </c:pt>
                <c:pt idx="1912">
                  <c:v>3.6322093585706865E-2</c:v>
                </c:pt>
                <c:pt idx="1913">
                  <c:v>3.6321311628476287E-2</c:v>
                </c:pt>
                <c:pt idx="1914">
                  <c:v>3.6322296031279747E-2</c:v>
                </c:pt>
                <c:pt idx="1915">
                  <c:v>3.6321547545703513E-2</c:v>
                </c:pt>
                <c:pt idx="1916">
                  <c:v>3.6320815256240722E-2</c:v>
                </c:pt>
                <c:pt idx="1917">
                  <c:v>3.6320099162882577E-2</c:v>
                </c:pt>
                <c:pt idx="1918">
                  <c:v>3.631939926562202E-2</c:v>
                </c:pt>
                <c:pt idx="1919">
                  <c:v>3.6318715564447601E-2</c:v>
                </c:pt>
                <c:pt idx="1920">
                  <c:v>3.6318048059354034E-2</c:v>
                </c:pt>
                <c:pt idx="1921">
                  <c:v>3.6317396750330751E-2</c:v>
                </c:pt>
                <c:pt idx="1922">
                  <c:v>3.6316761637372463E-2</c:v>
                </c:pt>
                <c:pt idx="1923">
                  <c:v>3.6316142720469478E-2</c:v>
                </c:pt>
                <c:pt idx="1924">
                  <c:v>3.6315539999613872E-2</c:v>
                </c:pt>
                <c:pt idx="1925">
                  <c:v>3.6314953474801244E-2</c:v>
                </c:pt>
                <c:pt idx="1926">
                  <c:v>3.6314383146020132E-2</c:v>
                </c:pt>
                <c:pt idx="1927">
                  <c:v>3.6313829013267018E-2</c:v>
                </c:pt>
                <c:pt idx="1928">
                  <c:v>3.6313291076533978E-2</c:v>
                </c:pt>
                <c:pt idx="1929">
                  <c:v>3.6312769335813955E-2</c:v>
                </c:pt>
                <c:pt idx="1930">
                  <c:v>3.6312263791102542E-2</c:v>
                </c:pt>
                <c:pt idx="1931">
                  <c:v>3.6310005654273551E-2</c:v>
                </c:pt>
                <c:pt idx="1932">
                  <c:v>3.6309531391671396E-2</c:v>
                </c:pt>
                <c:pt idx="1933">
                  <c:v>3.6309073323454739E-2</c:v>
                </c:pt>
                <c:pt idx="1934">
                  <c:v>3.6308631449616463E-2</c:v>
                </c:pt>
                <c:pt idx="1935">
                  <c:v>3.6308205770154783E-2</c:v>
                </c:pt>
                <c:pt idx="1936">
                  <c:v>3.6309570638657383E-2</c:v>
                </c:pt>
                <c:pt idx="1937">
                  <c:v>3.6309178465835389E-2</c:v>
                </c:pt>
                <c:pt idx="1938">
                  <c:v>3.6308802488977963E-2</c:v>
                </c:pt>
                <c:pt idx="1939">
                  <c:v>3.6310220644854639E-2</c:v>
                </c:pt>
                <c:pt idx="1940">
                  <c:v>3.630809912313656E-2</c:v>
                </c:pt>
                <c:pt idx="1941">
                  <c:v>3.630777173414465E-2</c:v>
                </c:pt>
                <c:pt idx="1942">
                  <c:v>3.6307460541098818E-2</c:v>
                </c:pt>
                <c:pt idx="1943">
                  <c:v>3.6307165543995525E-2</c:v>
                </c:pt>
                <c:pt idx="1944">
                  <c:v>3.6303320285062425E-2</c:v>
                </c:pt>
                <c:pt idx="1945">
                  <c:v>3.6303055418588352E-2</c:v>
                </c:pt>
                <c:pt idx="1946">
                  <c:v>3.6302806744841494E-2</c:v>
                </c:pt>
                <c:pt idx="1947">
                  <c:v>3.6302574263815557E-2</c:v>
                </c:pt>
                <c:pt idx="1948">
                  <c:v>3.6302357975510541E-2</c:v>
                </c:pt>
                <c:pt idx="1949">
                  <c:v>3.6302157879922838E-2</c:v>
                </c:pt>
                <c:pt idx="1950">
                  <c:v>3.6301973977049748E-2</c:v>
                </c:pt>
                <c:pt idx="1951">
                  <c:v>3.6301806266891272E-2</c:v>
                </c:pt>
                <c:pt idx="1952">
                  <c:v>3.6303446954431474E-2</c:v>
                </c:pt>
                <c:pt idx="1953">
                  <c:v>3.6299726304116153E-2</c:v>
                </c:pt>
                <c:pt idx="1954">
                  <c:v>3.6299606027372207E-2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653376"/>
        <c:axId val="599766144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42167</c:v>
                </c:pt>
                <c:pt idx="1">
                  <c:v>42258</c:v>
                </c:pt>
                <c:pt idx="2">
                  <c:v>42349</c:v>
                </c:pt>
                <c:pt idx="3">
                  <c:v>42440</c:v>
                </c:pt>
                <c:pt idx="4">
                  <c:v>42531</c:v>
                </c:pt>
                <c:pt idx="5">
                  <c:v>42622</c:v>
                </c:pt>
                <c:pt idx="6">
                  <c:v>42713</c:v>
                </c:pt>
                <c:pt idx="7">
                  <c:v>42804</c:v>
                </c:pt>
                <c:pt idx="8">
                  <c:v>42895</c:v>
                </c:pt>
                <c:pt idx="9">
                  <c:v>42986</c:v>
                </c:pt>
                <c:pt idx="10">
                  <c:v>43077</c:v>
                </c:pt>
                <c:pt idx="11">
                  <c:v>43168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2.155000000000001E-2</c:v>
                </c:pt>
                <c:pt idx="1">
                  <c:v>2.1049999999999899E-2</c:v>
                </c:pt>
                <c:pt idx="2">
                  <c:v>2.1150000000000092E-2</c:v>
                </c:pt>
                <c:pt idx="3">
                  <c:v>2.1449999999999959E-2</c:v>
                </c:pt>
                <c:pt idx="4">
                  <c:v>2.2049999999999983E-2</c:v>
                </c:pt>
                <c:pt idx="5">
                  <c:v>2.2750000000000058E-2</c:v>
                </c:pt>
                <c:pt idx="6">
                  <c:v>2.3549999999999897E-2</c:v>
                </c:pt>
                <c:pt idx="7">
                  <c:v>2.4399999999999977E-2</c:v>
                </c:pt>
                <c:pt idx="8">
                  <c:v>2.530000000000001E-2</c:v>
                </c:pt>
                <c:pt idx="9">
                  <c:v>2.6200000000000046E-2</c:v>
                </c:pt>
                <c:pt idx="10">
                  <c:v>2.7150000000000035E-2</c:v>
                </c:pt>
                <c:pt idx="11">
                  <c:v>2.7949999999999874E-2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42166</c:v>
                </c:pt>
                <c:pt idx="1">
                  <c:v>42198</c:v>
                </c:pt>
                <c:pt idx="2">
                  <c:v>42227</c:v>
                </c:pt>
                <c:pt idx="3">
                  <c:v>42258</c:v>
                </c:pt>
                <c:pt idx="4">
                  <c:v>42289</c:v>
                </c:pt>
                <c:pt idx="5">
                  <c:v>42319</c:v>
                </c:pt>
              </c:numCache>
            </c:numRef>
          </c:xVal>
          <c:yVal>
            <c:numRef>
              <c:f>[0]!FRASeries</c:f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653376"/>
        <c:axId val="599766144"/>
      </c:scatterChart>
      <c:dateAx>
        <c:axId val="599653376"/>
        <c:scaling>
          <c:orientation val="minMax"/>
          <c:max val="42866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9976614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99766144"/>
        <c:scaling>
          <c:orientation val="minMax"/>
          <c:max val="2.6000000000000002E-2"/>
          <c:min val="0.0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99653376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42135</c:v>
                </c:pt>
                <c:pt idx="1">
                  <c:v>42136</c:v>
                </c:pt>
                <c:pt idx="2">
                  <c:v>42137</c:v>
                </c:pt>
                <c:pt idx="3">
                  <c:v>42138</c:v>
                </c:pt>
                <c:pt idx="4">
                  <c:v>42139</c:v>
                </c:pt>
                <c:pt idx="5">
                  <c:v>42142</c:v>
                </c:pt>
                <c:pt idx="6">
                  <c:v>42143</c:v>
                </c:pt>
                <c:pt idx="7">
                  <c:v>42144</c:v>
                </c:pt>
                <c:pt idx="8">
                  <c:v>42145</c:v>
                </c:pt>
                <c:pt idx="9">
                  <c:v>42146</c:v>
                </c:pt>
                <c:pt idx="10">
                  <c:v>42149</c:v>
                </c:pt>
                <c:pt idx="11">
                  <c:v>42150</c:v>
                </c:pt>
                <c:pt idx="12">
                  <c:v>42151</c:v>
                </c:pt>
                <c:pt idx="13">
                  <c:v>42152</c:v>
                </c:pt>
                <c:pt idx="14">
                  <c:v>42153</c:v>
                </c:pt>
                <c:pt idx="15">
                  <c:v>42156</c:v>
                </c:pt>
                <c:pt idx="16">
                  <c:v>42157</c:v>
                </c:pt>
                <c:pt idx="17">
                  <c:v>42158</c:v>
                </c:pt>
                <c:pt idx="18">
                  <c:v>42159</c:v>
                </c:pt>
                <c:pt idx="19">
                  <c:v>42160</c:v>
                </c:pt>
                <c:pt idx="20">
                  <c:v>42164</c:v>
                </c:pt>
                <c:pt idx="21">
                  <c:v>42165</c:v>
                </c:pt>
                <c:pt idx="22">
                  <c:v>42166</c:v>
                </c:pt>
                <c:pt idx="23">
                  <c:v>42167</c:v>
                </c:pt>
                <c:pt idx="24">
                  <c:v>42170</c:v>
                </c:pt>
                <c:pt idx="25">
                  <c:v>42171</c:v>
                </c:pt>
                <c:pt idx="26">
                  <c:v>42172</c:v>
                </c:pt>
                <c:pt idx="27">
                  <c:v>42173</c:v>
                </c:pt>
                <c:pt idx="28">
                  <c:v>42174</c:v>
                </c:pt>
                <c:pt idx="29">
                  <c:v>42177</c:v>
                </c:pt>
                <c:pt idx="30">
                  <c:v>42178</c:v>
                </c:pt>
                <c:pt idx="31">
                  <c:v>42179</c:v>
                </c:pt>
                <c:pt idx="32">
                  <c:v>42180</c:v>
                </c:pt>
                <c:pt idx="33">
                  <c:v>42181</c:v>
                </c:pt>
                <c:pt idx="34">
                  <c:v>42184</c:v>
                </c:pt>
                <c:pt idx="35">
                  <c:v>42185</c:v>
                </c:pt>
                <c:pt idx="36">
                  <c:v>42186</c:v>
                </c:pt>
                <c:pt idx="37">
                  <c:v>42187</c:v>
                </c:pt>
                <c:pt idx="38">
                  <c:v>42188</c:v>
                </c:pt>
                <c:pt idx="39">
                  <c:v>42191</c:v>
                </c:pt>
                <c:pt idx="40">
                  <c:v>42192</c:v>
                </c:pt>
                <c:pt idx="41">
                  <c:v>42193</c:v>
                </c:pt>
                <c:pt idx="42">
                  <c:v>42194</c:v>
                </c:pt>
                <c:pt idx="43">
                  <c:v>42195</c:v>
                </c:pt>
                <c:pt idx="44">
                  <c:v>42198</c:v>
                </c:pt>
                <c:pt idx="45">
                  <c:v>42199</c:v>
                </c:pt>
                <c:pt idx="46">
                  <c:v>42200</c:v>
                </c:pt>
                <c:pt idx="47">
                  <c:v>42201</c:v>
                </c:pt>
                <c:pt idx="48">
                  <c:v>42202</c:v>
                </c:pt>
                <c:pt idx="49">
                  <c:v>42205</c:v>
                </c:pt>
                <c:pt idx="50">
                  <c:v>42206</c:v>
                </c:pt>
                <c:pt idx="51">
                  <c:v>42207</c:v>
                </c:pt>
                <c:pt idx="52">
                  <c:v>42208</c:v>
                </c:pt>
                <c:pt idx="53">
                  <c:v>42209</c:v>
                </c:pt>
                <c:pt idx="54">
                  <c:v>42212</c:v>
                </c:pt>
                <c:pt idx="55">
                  <c:v>42213</c:v>
                </c:pt>
                <c:pt idx="56">
                  <c:v>42214</c:v>
                </c:pt>
                <c:pt idx="57">
                  <c:v>42215</c:v>
                </c:pt>
                <c:pt idx="58">
                  <c:v>42216</c:v>
                </c:pt>
                <c:pt idx="59">
                  <c:v>42220</c:v>
                </c:pt>
                <c:pt idx="60">
                  <c:v>42221</c:v>
                </c:pt>
                <c:pt idx="61">
                  <c:v>42222</c:v>
                </c:pt>
                <c:pt idx="62">
                  <c:v>42223</c:v>
                </c:pt>
                <c:pt idx="63">
                  <c:v>42226</c:v>
                </c:pt>
                <c:pt idx="64">
                  <c:v>42227</c:v>
                </c:pt>
                <c:pt idx="65">
                  <c:v>42228</c:v>
                </c:pt>
                <c:pt idx="66">
                  <c:v>42229</c:v>
                </c:pt>
                <c:pt idx="67">
                  <c:v>42230</c:v>
                </c:pt>
                <c:pt idx="68">
                  <c:v>42233</c:v>
                </c:pt>
                <c:pt idx="69">
                  <c:v>42234</c:v>
                </c:pt>
                <c:pt idx="70">
                  <c:v>42235</c:v>
                </c:pt>
                <c:pt idx="71">
                  <c:v>42236</c:v>
                </c:pt>
                <c:pt idx="72">
                  <c:v>42237</c:v>
                </c:pt>
                <c:pt idx="73">
                  <c:v>42240</c:v>
                </c:pt>
                <c:pt idx="74">
                  <c:v>42241</c:v>
                </c:pt>
                <c:pt idx="75">
                  <c:v>42242</c:v>
                </c:pt>
                <c:pt idx="76">
                  <c:v>42243</c:v>
                </c:pt>
                <c:pt idx="77">
                  <c:v>42244</c:v>
                </c:pt>
                <c:pt idx="78">
                  <c:v>42247</c:v>
                </c:pt>
                <c:pt idx="79">
                  <c:v>42248</c:v>
                </c:pt>
                <c:pt idx="80">
                  <c:v>42249</c:v>
                </c:pt>
                <c:pt idx="81">
                  <c:v>42250</c:v>
                </c:pt>
                <c:pt idx="82">
                  <c:v>42251</c:v>
                </c:pt>
                <c:pt idx="83">
                  <c:v>42254</c:v>
                </c:pt>
                <c:pt idx="84">
                  <c:v>42255</c:v>
                </c:pt>
                <c:pt idx="85">
                  <c:v>42256</c:v>
                </c:pt>
                <c:pt idx="86">
                  <c:v>42257</c:v>
                </c:pt>
                <c:pt idx="87">
                  <c:v>42258</c:v>
                </c:pt>
                <c:pt idx="88">
                  <c:v>42261</c:v>
                </c:pt>
                <c:pt idx="89">
                  <c:v>42262</c:v>
                </c:pt>
                <c:pt idx="90">
                  <c:v>42263</c:v>
                </c:pt>
                <c:pt idx="91">
                  <c:v>42264</c:v>
                </c:pt>
                <c:pt idx="92">
                  <c:v>42265</c:v>
                </c:pt>
                <c:pt idx="93">
                  <c:v>42268</c:v>
                </c:pt>
                <c:pt idx="94">
                  <c:v>42269</c:v>
                </c:pt>
                <c:pt idx="95">
                  <c:v>42270</c:v>
                </c:pt>
                <c:pt idx="96">
                  <c:v>42271</c:v>
                </c:pt>
                <c:pt idx="97">
                  <c:v>42272</c:v>
                </c:pt>
                <c:pt idx="98">
                  <c:v>42275</c:v>
                </c:pt>
                <c:pt idx="99">
                  <c:v>42276</c:v>
                </c:pt>
                <c:pt idx="100">
                  <c:v>42277</c:v>
                </c:pt>
                <c:pt idx="101">
                  <c:v>42278</c:v>
                </c:pt>
                <c:pt idx="102">
                  <c:v>42279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42367</c:v>
                </c:pt>
                <c:pt idx="162">
                  <c:v>42368</c:v>
                </c:pt>
                <c:pt idx="163">
                  <c:v>42369</c:v>
                </c:pt>
                <c:pt idx="164">
                  <c:v>42373</c:v>
                </c:pt>
                <c:pt idx="165">
                  <c:v>42374</c:v>
                </c:pt>
                <c:pt idx="166">
                  <c:v>42375</c:v>
                </c:pt>
                <c:pt idx="167">
                  <c:v>42376</c:v>
                </c:pt>
                <c:pt idx="168">
                  <c:v>42377</c:v>
                </c:pt>
                <c:pt idx="169">
                  <c:v>42380</c:v>
                </c:pt>
                <c:pt idx="170">
                  <c:v>42381</c:v>
                </c:pt>
                <c:pt idx="171">
                  <c:v>42382</c:v>
                </c:pt>
                <c:pt idx="172">
                  <c:v>42383</c:v>
                </c:pt>
                <c:pt idx="173">
                  <c:v>42384</c:v>
                </c:pt>
                <c:pt idx="174">
                  <c:v>42387</c:v>
                </c:pt>
                <c:pt idx="175">
                  <c:v>42388</c:v>
                </c:pt>
                <c:pt idx="176">
                  <c:v>42389</c:v>
                </c:pt>
                <c:pt idx="177">
                  <c:v>42390</c:v>
                </c:pt>
                <c:pt idx="178">
                  <c:v>42391</c:v>
                </c:pt>
                <c:pt idx="179">
                  <c:v>42394</c:v>
                </c:pt>
                <c:pt idx="180">
                  <c:v>42396</c:v>
                </c:pt>
                <c:pt idx="181">
                  <c:v>42397</c:v>
                </c:pt>
                <c:pt idx="182">
                  <c:v>42398</c:v>
                </c:pt>
                <c:pt idx="183">
                  <c:v>42401</c:v>
                </c:pt>
                <c:pt idx="184">
                  <c:v>42402</c:v>
                </c:pt>
                <c:pt idx="185">
                  <c:v>42403</c:v>
                </c:pt>
                <c:pt idx="186">
                  <c:v>42404</c:v>
                </c:pt>
                <c:pt idx="187">
                  <c:v>42405</c:v>
                </c:pt>
                <c:pt idx="188">
                  <c:v>42408</c:v>
                </c:pt>
                <c:pt idx="189">
                  <c:v>42409</c:v>
                </c:pt>
                <c:pt idx="190">
                  <c:v>42410</c:v>
                </c:pt>
                <c:pt idx="191">
                  <c:v>42411</c:v>
                </c:pt>
                <c:pt idx="192">
                  <c:v>42412</c:v>
                </c:pt>
                <c:pt idx="193">
                  <c:v>42415</c:v>
                </c:pt>
                <c:pt idx="194">
                  <c:v>42416</c:v>
                </c:pt>
                <c:pt idx="195">
                  <c:v>42417</c:v>
                </c:pt>
                <c:pt idx="196">
                  <c:v>42418</c:v>
                </c:pt>
                <c:pt idx="197">
                  <c:v>42419</c:v>
                </c:pt>
                <c:pt idx="198">
                  <c:v>42422</c:v>
                </c:pt>
                <c:pt idx="199">
                  <c:v>42423</c:v>
                </c:pt>
                <c:pt idx="200">
                  <c:v>42424</c:v>
                </c:pt>
                <c:pt idx="201">
                  <c:v>42425</c:v>
                </c:pt>
                <c:pt idx="202">
                  <c:v>42426</c:v>
                </c:pt>
                <c:pt idx="203">
                  <c:v>42429</c:v>
                </c:pt>
                <c:pt idx="204">
                  <c:v>42430</c:v>
                </c:pt>
                <c:pt idx="205">
                  <c:v>42431</c:v>
                </c:pt>
                <c:pt idx="206">
                  <c:v>42432</c:v>
                </c:pt>
                <c:pt idx="207">
                  <c:v>42433</c:v>
                </c:pt>
                <c:pt idx="208">
                  <c:v>42436</c:v>
                </c:pt>
                <c:pt idx="209">
                  <c:v>42437</c:v>
                </c:pt>
                <c:pt idx="210">
                  <c:v>42438</c:v>
                </c:pt>
                <c:pt idx="211">
                  <c:v>42439</c:v>
                </c:pt>
                <c:pt idx="212">
                  <c:v>42440</c:v>
                </c:pt>
                <c:pt idx="213">
                  <c:v>42443</c:v>
                </c:pt>
                <c:pt idx="214">
                  <c:v>42444</c:v>
                </c:pt>
                <c:pt idx="215">
                  <c:v>42445</c:v>
                </c:pt>
                <c:pt idx="216">
                  <c:v>42446</c:v>
                </c:pt>
                <c:pt idx="217">
                  <c:v>42447</c:v>
                </c:pt>
                <c:pt idx="218">
                  <c:v>42450</c:v>
                </c:pt>
                <c:pt idx="219">
                  <c:v>42451</c:v>
                </c:pt>
                <c:pt idx="220">
                  <c:v>42452</c:v>
                </c:pt>
                <c:pt idx="221">
                  <c:v>42453</c:v>
                </c:pt>
                <c:pt idx="222">
                  <c:v>42458</c:v>
                </c:pt>
                <c:pt idx="223">
                  <c:v>42459</c:v>
                </c:pt>
                <c:pt idx="224">
                  <c:v>42460</c:v>
                </c:pt>
                <c:pt idx="225">
                  <c:v>42461</c:v>
                </c:pt>
                <c:pt idx="226">
                  <c:v>42464</c:v>
                </c:pt>
                <c:pt idx="227">
                  <c:v>42465</c:v>
                </c:pt>
                <c:pt idx="228">
                  <c:v>42466</c:v>
                </c:pt>
                <c:pt idx="229">
                  <c:v>42467</c:v>
                </c:pt>
                <c:pt idx="230">
                  <c:v>42468</c:v>
                </c:pt>
                <c:pt idx="231">
                  <c:v>42471</c:v>
                </c:pt>
                <c:pt idx="232">
                  <c:v>42472</c:v>
                </c:pt>
                <c:pt idx="233">
                  <c:v>42473</c:v>
                </c:pt>
                <c:pt idx="234">
                  <c:v>42474</c:v>
                </c:pt>
                <c:pt idx="235">
                  <c:v>42475</c:v>
                </c:pt>
                <c:pt idx="236">
                  <c:v>42478</c:v>
                </c:pt>
                <c:pt idx="237">
                  <c:v>42479</c:v>
                </c:pt>
                <c:pt idx="238">
                  <c:v>42480</c:v>
                </c:pt>
                <c:pt idx="239">
                  <c:v>42481</c:v>
                </c:pt>
                <c:pt idx="240">
                  <c:v>42482</c:v>
                </c:pt>
                <c:pt idx="241">
                  <c:v>42486</c:v>
                </c:pt>
                <c:pt idx="242">
                  <c:v>42487</c:v>
                </c:pt>
                <c:pt idx="243">
                  <c:v>42488</c:v>
                </c:pt>
                <c:pt idx="244">
                  <c:v>42489</c:v>
                </c:pt>
                <c:pt idx="245">
                  <c:v>42492</c:v>
                </c:pt>
                <c:pt idx="246">
                  <c:v>42493</c:v>
                </c:pt>
                <c:pt idx="247">
                  <c:v>42494</c:v>
                </c:pt>
                <c:pt idx="248">
                  <c:v>42495</c:v>
                </c:pt>
                <c:pt idx="249">
                  <c:v>42496</c:v>
                </c:pt>
                <c:pt idx="250">
                  <c:v>42499</c:v>
                </c:pt>
                <c:pt idx="251">
                  <c:v>42500</c:v>
                </c:pt>
                <c:pt idx="252">
                  <c:v>42501</c:v>
                </c:pt>
                <c:pt idx="253">
                  <c:v>42502</c:v>
                </c:pt>
                <c:pt idx="254">
                  <c:v>42503</c:v>
                </c:pt>
                <c:pt idx="255">
                  <c:v>42506</c:v>
                </c:pt>
                <c:pt idx="256">
                  <c:v>42507</c:v>
                </c:pt>
                <c:pt idx="257">
                  <c:v>42508</c:v>
                </c:pt>
                <c:pt idx="258">
                  <c:v>42509</c:v>
                </c:pt>
                <c:pt idx="259">
                  <c:v>42510</c:v>
                </c:pt>
                <c:pt idx="260">
                  <c:v>42513</c:v>
                </c:pt>
                <c:pt idx="261">
                  <c:v>42514</c:v>
                </c:pt>
                <c:pt idx="262">
                  <c:v>42515</c:v>
                </c:pt>
                <c:pt idx="263">
                  <c:v>42516</c:v>
                </c:pt>
                <c:pt idx="264">
                  <c:v>42517</c:v>
                </c:pt>
                <c:pt idx="265">
                  <c:v>42520</c:v>
                </c:pt>
                <c:pt idx="266">
                  <c:v>42521</c:v>
                </c:pt>
                <c:pt idx="267">
                  <c:v>42522</c:v>
                </c:pt>
                <c:pt idx="268">
                  <c:v>42523</c:v>
                </c:pt>
                <c:pt idx="269">
                  <c:v>42524</c:v>
                </c:pt>
                <c:pt idx="270">
                  <c:v>42527</c:v>
                </c:pt>
                <c:pt idx="271">
                  <c:v>42528</c:v>
                </c:pt>
                <c:pt idx="272">
                  <c:v>42529</c:v>
                </c:pt>
                <c:pt idx="273">
                  <c:v>42530</c:v>
                </c:pt>
                <c:pt idx="274">
                  <c:v>42531</c:v>
                </c:pt>
                <c:pt idx="275">
                  <c:v>42535</c:v>
                </c:pt>
                <c:pt idx="276">
                  <c:v>42536</c:v>
                </c:pt>
                <c:pt idx="277">
                  <c:v>42537</c:v>
                </c:pt>
                <c:pt idx="278">
                  <c:v>42538</c:v>
                </c:pt>
                <c:pt idx="279">
                  <c:v>42541</c:v>
                </c:pt>
                <c:pt idx="280">
                  <c:v>42542</c:v>
                </c:pt>
                <c:pt idx="281">
                  <c:v>42543</c:v>
                </c:pt>
                <c:pt idx="282">
                  <c:v>42544</c:v>
                </c:pt>
                <c:pt idx="283">
                  <c:v>42545</c:v>
                </c:pt>
                <c:pt idx="284">
                  <c:v>42548</c:v>
                </c:pt>
                <c:pt idx="285">
                  <c:v>42549</c:v>
                </c:pt>
                <c:pt idx="286">
                  <c:v>42550</c:v>
                </c:pt>
                <c:pt idx="287">
                  <c:v>42551</c:v>
                </c:pt>
                <c:pt idx="288">
                  <c:v>42552</c:v>
                </c:pt>
                <c:pt idx="289">
                  <c:v>42555</c:v>
                </c:pt>
                <c:pt idx="290">
                  <c:v>42556</c:v>
                </c:pt>
                <c:pt idx="291">
                  <c:v>42557</c:v>
                </c:pt>
                <c:pt idx="292">
                  <c:v>42558</c:v>
                </c:pt>
                <c:pt idx="293">
                  <c:v>42559</c:v>
                </c:pt>
                <c:pt idx="294">
                  <c:v>42562</c:v>
                </c:pt>
                <c:pt idx="295">
                  <c:v>42563</c:v>
                </c:pt>
                <c:pt idx="296">
                  <c:v>42564</c:v>
                </c:pt>
                <c:pt idx="297">
                  <c:v>42565</c:v>
                </c:pt>
                <c:pt idx="298">
                  <c:v>42566</c:v>
                </c:pt>
                <c:pt idx="299">
                  <c:v>42569</c:v>
                </c:pt>
                <c:pt idx="300">
                  <c:v>42570</c:v>
                </c:pt>
                <c:pt idx="301">
                  <c:v>42571</c:v>
                </c:pt>
                <c:pt idx="302">
                  <c:v>42572</c:v>
                </c:pt>
                <c:pt idx="303">
                  <c:v>42573</c:v>
                </c:pt>
                <c:pt idx="304">
                  <c:v>42576</c:v>
                </c:pt>
                <c:pt idx="305">
                  <c:v>42577</c:v>
                </c:pt>
                <c:pt idx="306">
                  <c:v>42578</c:v>
                </c:pt>
                <c:pt idx="307">
                  <c:v>42579</c:v>
                </c:pt>
                <c:pt idx="308">
                  <c:v>42580</c:v>
                </c:pt>
                <c:pt idx="309">
                  <c:v>42584</c:v>
                </c:pt>
                <c:pt idx="310">
                  <c:v>42585</c:v>
                </c:pt>
                <c:pt idx="311">
                  <c:v>42586</c:v>
                </c:pt>
                <c:pt idx="312">
                  <c:v>42587</c:v>
                </c:pt>
                <c:pt idx="313">
                  <c:v>42590</c:v>
                </c:pt>
                <c:pt idx="314">
                  <c:v>42591</c:v>
                </c:pt>
                <c:pt idx="315">
                  <c:v>42592</c:v>
                </c:pt>
                <c:pt idx="316">
                  <c:v>42593</c:v>
                </c:pt>
                <c:pt idx="317">
                  <c:v>42594</c:v>
                </c:pt>
                <c:pt idx="318">
                  <c:v>42597</c:v>
                </c:pt>
                <c:pt idx="319">
                  <c:v>42598</c:v>
                </c:pt>
                <c:pt idx="320">
                  <c:v>42599</c:v>
                </c:pt>
                <c:pt idx="321">
                  <c:v>42600</c:v>
                </c:pt>
                <c:pt idx="322">
                  <c:v>42601</c:v>
                </c:pt>
                <c:pt idx="323">
                  <c:v>42604</c:v>
                </c:pt>
                <c:pt idx="324">
                  <c:v>42605</c:v>
                </c:pt>
                <c:pt idx="325">
                  <c:v>42606</c:v>
                </c:pt>
                <c:pt idx="326">
                  <c:v>42607</c:v>
                </c:pt>
                <c:pt idx="327">
                  <c:v>42608</c:v>
                </c:pt>
                <c:pt idx="328">
                  <c:v>42611</c:v>
                </c:pt>
                <c:pt idx="329">
                  <c:v>42612</c:v>
                </c:pt>
                <c:pt idx="330">
                  <c:v>42613</c:v>
                </c:pt>
                <c:pt idx="331">
                  <c:v>42614</c:v>
                </c:pt>
                <c:pt idx="332">
                  <c:v>42615</c:v>
                </c:pt>
                <c:pt idx="333">
                  <c:v>42618</c:v>
                </c:pt>
                <c:pt idx="334">
                  <c:v>42619</c:v>
                </c:pt>
                <c:pt idx="335">
                  <c:v>42620</c:v>
                </c:pt>
                <c:pt idx="336">
                  <c:v>42621</c:v>
                </c:pt>
                <c:pt idx="337">
                  <c:v>42622</c:v>
                </c:pt>
                <c:pt idx="338">
                  <c:v>42625</c:v>
                </c:pt>
                <c:pt idx="339">
                  <c:v>42626</c:v>
                </c:pt>
                <c:pt idx="340">
                  <c:v>42627</c:v>
                </c:pt>
                <c:pt idx="341">
                  <c:v>42628</c:v>
                </c:pt>
                <c:pt idx="342">
                  <c:v>42629</c:v>
                </c:pt>
                <c:pt idx="343">
                  <c:v>42632</c:v>
                </c:pt>
                <c:pt idx="344">
                  <c:v>42633</c:v>
                </c:pt>
                <c:pt idx="345">
                  <c:v>42634</c:v>
                </c:pt>
                <c:pt idx="346">
                  <c:v>42635</c:v>
                </c:pt>
                <c:pt idx="347">
                  <c:v>42636</c:v>
                </c:pt>
                <c:pt idx="348">
                  <c:v>42639</c:v>
                </c:pt>
                <c:pt idx="349">
                  <c:v>42640</c:v>
                </c:pt>
                <c:pt idx="350">
                  <c:v>42641</c:v>
                </c:pt>
                <c:pt idx="351">
                  <c:v>42642</c:v>
                </c:pt>
                <c:pt idx="352">
                  <c:v>42643</c:v>
                </c:pt>
                <c:pt idx="353">
                  <c:v>42647</c:v>
                </c:pt>
                <c:pt idx="354">
                  <c:v>42648</c:v>
                </c:pt>
                <c:pt idx="355">
                  <c:v>42649</c:v>
                </c:pt>
                <c:pt idx="356">
                  <c:v>42650</c:v>
                </c:pt>
                <c:pt idx="357">
                  <c:v>42653</c:v>
                </c:pt>
                <c:pt idx="358">
                  <c:v>42654</c:v>
                </c:pt>
                <c:pt idx="359">
                  <c:v>42655</c:v>
                </c:pt>
                <c:pt idx="360">
                  <c:v>42656</c:v>
                </c:pt>
                <c:pt idx="361">
                  <c:v>42657</c:v>
                </c:pt>
                <c:pt idx="362">
                  <c:v>42660</c:v>
                </c:pt>
                <c:pt idx="363">
                  <c:v>42661</c:v>
                </c:pt>
                <c:pt idx="364">
                  <c:v>42662</c:v>
                </c:pt>
                <c:pt idx="365">
                  <c:v>42663</c:v>
                </c:pt>
                <c:pt idx="366">
                  <c:v>42664</c:v>
                </c:pt>
                <c:pt idx="367">
                  <c:v>42667</c:v>
                </c:pt>
                <c:pt idx="368">
                  <c:v>42668</c:v>
                </c:pt>
                <c:pt idx="369">
                  <c:v>42669</c:v>
                </c:pt>
                <c:pt idx="370">
                  <c:v>42670</c:v>
                </c:pt>
                <c:pt idx="371">
                  <c:v>42671</c:v>
                </c:pt>
                <c:pt idx="372">
                  <c:v>42674</c:v>
                </c:pt>
                <c:pt idx="373">
                  <c:v>42675</c:v>
                </c:pt>
                <c:pt idx="374">
                  <c:v>42676</c:v>
                </c:pt>
                <c:pt idx="375">
                  <c:v>42677</c:v>
                </c:pt>
                <c:pt idx="376">
                  <c:v>42678</c:v>
                </c:pt>
                <c:pt idx="377">
                  <c:v>42681</c:v>
                </c:pt>
                <c:pt idx="378">
                  <c:v>42682</c:v>
                </c:pt>
                <c:pt idx="379">
                  <c:v>42683</c:v>
                </c:pt>
                <c:pt idx="380">
                  <c:v>42684</c:v>
                </c:pt>
                <c:pt idx="381">
                  <c:v>42685</c:v>
                </c:pt>
                <c:pt idx="382">
                  <c:v>42688</c:v>
                </c:pt>
                <c:pt idx="383">
                  <c:v>42689</c:v>
                </c:pt>
                <c:pt idx="384">
                  <c:v>42690</c:v>
                </c:pt>
                <c:pt idx="385">
                  <c:v>42691</c:v>
                </c:pt>
                <c:pt idx="386">
                  <c:v>42692</c:v>
                </c:pt>
                <c:pt idx="387">
                  <c:v>42695</c:v>
                </c:pt>
                <c:pt idx="388">
                  <c:v>42696</c:v>
                </c:pt>
                <c:pt idx="389">
                  <c:v>42697</c:v>
                </c:pt>
                <c:pt idx="390">
                  <c:v>42698</c:v>
                </c:pt>
                <c:pt idx="391">
                  <c:v>42699</c:v>
                </c:pt>
                <c:pt idx="392">
                  <c:v>42702</c:v>
                </c:pt>
                <c:pt idx="393">
                  <c:v>42703</c:v>
                </c:pt>
                <c:pt idx="394">
                  <c:v>42704</c:v>
                </c:pt>
                <c:pt idx="395">
                  <c:v>42705</c:v>
                </c:pt>
                <c:pt idx="396">
                  <c:v>42706</c:v>
                </c:pt>
                <c:pt idx="397">
                  <c:v>42709</c:v>
                </c:pt>
                <c:pt idx="398">
                  <c:v>42710</c:v>
                </c:pt>
                <c:pt idx="399">
                  <c:v>42711</c:v>
                </c:pt>
                <c:pt idx="400">
                  <c:v>42712</c:v>
                </c:pt>
                <c:pt idx="401">
                  <c:v>42713</c:v>
                </c:pt>
                <c:pt idx="402">
                  <c:v>42716</c:v>
                </c:pt>
                <c:pt idx="403">
                  <c:v>42717</c:v>
                </c:pt>
                <c:pt idx="404">
                  <c:v>42718</c:v>
                </c:pt>
                <c:pt idx="405">
                  <c:v>42719</c:v>
                </c:pt>
                <c:pt idx="406">
                  <c:v>42720</c:v>
                </c:pt>
                <c:pt idx="407">
                  <c:v>42723</c:v>
                </c:pt>
                <c:pt idx="408">
                  <c:v>42724</c:v>
                </c:pt>
                <c:pt idx="409">
                  <c:v>42725</c:v>
                </c:pt>
                <c:pt idx="410">
                  <c:v>42726</c:v>
                </c:pt>
                <c:pt idx="411">
                  <c:v>42727</c:v>
                </c:pt>
                <c:pt idx="412">
                  <c:v>42732</c:v>
                </c:pt>
                <c:pt idx="413">
                  <c:v>42733</c:v>
                </c:pt>
                <c:pt idx="414">
                  <c:v>42734</c:v>
                </c:pt>
                <c:pt idx="415">
                  <c:v>42737</c:v>
                </c:pt>
                <c:pt idx="416">
                  <c:v>42738</c:v>
                </c:pt>
                <c:pt idx="417">
                  <c:v>42739</c:v>
                </c:pt>
                <c:pt idx="418">
                  <c:v>42740</c:v>
                </c:pt>
                <c:pt idx="419">
                  <c:v>42741</c:v>
                </c:pt>
                <c:pt idx="420">
                  <c:v>42744</c:v>
                </c:pt>
                <c:pt idx="421">
                  <c:v>42745</c:v>
                </c:pt>
                <c:pt idx="422">
                  <c:v>42746</c:v>
                </c:pt>
                <c:pt idx="423">
                  <c:v>42747</c:v>
                </c:pt>
                <c:pt idx="424">
                  <c:v>42748</c:v>
                </c:pt>
                <c:pt idx="425">
                  <c:v>42751</c:v>
                </c:pt>
                <c:pt idx="426">
                  <c:v>42752</c:v>
                </c:pt>
                <c:pt idx="427">
                  <c:v>42753</c:v>
                </c:pt>
                <c:pt idx="428">
                  <c:v>42754</c:v>
                </c:pt>
                <c:pt idx="429">
                  <c:v>42755</c:v>
                </c:pt>
                <c:pt idx="430">
                  <c:v>42758</c:v>
                </c:pt>
                <c:pt idx="431">
                  <c:v>42759</c:v>
                </c:pt>
                <c:pt idx="432">
                  <c:v>42760</c:v>
                </c:pt>
                <c:pt idx="433">
                  <c:v>42762</c:v>
                </c:pt>
                <c:pt idx="434">
                  <c:v>42765</c:v>
                </c:pt>
                <c:pt idx="435">
                  <c:v>42766</c:v>
                </c:pt>
                <c:pt idx="436">
                  <c:v>42767</c:v>
                </c:pt>
                <c:pt idx="437">
                  <c:v>42768</c:v>
                </c:pt>
                <c:pt idx="438">
                  <c:v>42769</c:v>
                </c:pt>
                <c:pt idx="439">
                  <c:v>42772</c:v>
                </c:pt>
                <c:pt idx="440">
                  <c:v>42773</c:v>
                </c:pt>
                <c:pt idx="441">
                  <c:v>42774</c:v>
                </c:pt>
                <c:pt idx="442">
                  <c:v>42775</c:v>
                </c:pt>
                <c:pt idx="443">
                  <c:v>42776</c:v>
                </c:pt>
                <c:pt idx="444">
                  <c:v>42779</c:v>
                </c:pt>
                <c:pt idx="445">
                  <c:v>42780</c:v>
                </c:pt>
                <c:pt idx="446">
                  <c:v>42781</c:v>
                </c:pt>
                <c:pt idx="447">
                  <c:v>42782</c:v>
                </c:pt>
                <c:pt idx="448">
                  <c:v>42783</c:v>
                </c:pt>
                <c:pt idx="449">
                  <c:v>42786</c:v>
                </c:pt>
                <c:pt idx="450">
                  <c:v>42787</c:v>
                </c:pt>
                <c:pt idx="451">
                  <c:v>42788</c:v>
                </c:pt>
                <c:pt idx="452">
                  <c:v>42789</c:v>
                </c:pt>
                <c:pt idx="453">
                  <c:v>42790</c:v>
                </c:pt>
                <c:pt idx="454">
                  <c:v>42793</c:v>
                </c:pt>
                <c:pt idx="455">
                  <c:v>42794</c:v>
                </c:pt>
                <c:pt idx="456">
                  <c:v>42795</c:v>
                </c:pt>
                <c:pt idx="457">
                  <c:v>42796</c:v>
                </c:pt>
                <c:pt idx="458">
                  <c:v>42797</c:v>
                </c:pt>
                <c:pt idx="459">
                  <c:v>42800</c:v>
                </c:pt>
                <c:pt idx="460">
                  <c:v>42801</c:v>
                </c:pt>
                <c:pt idx="461">
                  <c:v>42802</c:v>
                </c:pt>
                <c:pt idx="462">
                  <c:v>42803</c:v>
                </c:pt>
                <c:pt idx="463">
                  <c:v>42804</c:v>
                </c:pt>
                <c:pt idx="464">
                  <c:v>42807</c:v>
                </c:pt>
                <c:pt idx="465">
                  <c:v>42808</c:v>
                </c:pt>
                <c:pt idx="466">
                  <c:v>42809</c:v>
                </c:pt>
                <c:pt idx="467">
                  <c:v>42810</c:v>
                </c:pt>
                <c:pt idx="468">
                  <c:v>42811</c:v>
                </c:pt>
                <c:pt idx="469">
                  <c:v>42814</c:v>
                </c:pt>
                <c:pt idx="470">
                  <c:v>42815</c:v>
                </c:pt>
                <c:pt idx="471">
                  <c:v>42816</c:v>
                </c:pt>
                <c:pt idx="472">
                  <c:v>42817</c:v>
                </c:pt>
                <c:pt idx="473">
                  <c:v>42818</c:v>
                </c:pt>
                <c:pt idx="474">
                  <c:v>42821</c:v>
                </c:pt>
                <c:pt idx="475">
                  <c:v>42822</c:v>
                </c:pt>
                <c:pt idx="476">
                  <c:v>42823</c:v>
                </c:pt>
                <c:pt idx="477">
                  <c:v>42824</c:v>
                </c:pt>
                <c:pt idx="478">
                  <c:v>42825</c:v>
                </c:pt>
                <c:pt idx="479">
                  <c:v>42828</c:v>
                </c:pt>
                <c:pt idx="480">
                  <c:v>42829</c:v>
                </c:pt>
                <c:pt idx="481">
                  <c:v>42830</c:v>
                </c:pt>
                <c:pt idx="482">
                  <c:v>42831</c:v>
                </c:pt>
                <c:pt idx="483">
                  <c:v>42832</c:v>
                </c:pt>
                <c:pt idx="484">
                  <c:v>42835</c:v>
                </c:pt>
                <c:pt idx="485">
                  <c:v>42836</c:v>
                </c:pt>
                <c:pt idx="486">
                  <c:v>42837</c:v>
                </c:pt>
                <c:pt idx="487">
                  <c:v>42838</c:v>
                </c:pt>
                <c:pt idx="488">
                  <c:v>42843</c:v>
                </c:pt>
                <c:pt idx="489">
                  <c:v>42844</c:v>
                </c:pt>
                <c:pt idx="490">
                  <c:v>42845</c:v>
                </c:pt>
                <c:pt idx="491">
                  <c:v>42846</c:v>
                </c:pt>
                <c:pt idx="492">
                  <c:v>42849</c:v>
                </c:pt>
                <c:pt idx="493">
                  <c:v>42851</c:v>
                </c:pt>
                <c:pt idx="494">
                  <c:v>42852</c:v>
                </c:pt>
                <c:pt idx="495">
                  <c:v>42853</c:v>
                </c:pt>
                <c:pt idx="496">
                  <c:v>42856</c:v>
                </c:pt>
                <c:pt idx="497">
                  <c:v>42857</c:v>
                </c:pt>
                <c:pt idx="498">
                  <c:v>42858</c:v>
                </c:pt>
                <c:pt idx="499">
                  <c:v>42859</c:v>
                </c:pt>
                <c:pt idx="500">
                  <c:v>42860</c:v>
                </c:pt>
                <c:pt idx="501">
                  <c:v>42863</c:v>
                </c:pt>
                <c:pt idx="502">
                  <c:v>42864</c:v>
                </c:pt>
                <c:pt idx="503">
                  <c:v>42865</c:v>
                </c:pt>
                <c:pt idx="504">
                  <c:v>42866</c:v>
                </c:pt>
                <c:pt idx="505">
                  <c:v>42867</c:v>
                </c:pt>
                <c:pt idx="506">
                  <c:v>42870</c:v>
                </c:pt>
                <c:pt idx="507">
                  <c:v>42871</c:v>
                </c:pt>
                <c:pt idx="508">
                  <c:v>42872</c:v>
                </c:pt>
                <c:pt idx="509">
                  <c:v>42873</c:v>
                </c:pt>
                <c:pt idx="510">
                  <c:v>42874</c:v>
                </c:pt>
                <c:pt idx="511">
                  <c:v>42877</c:v>
                </c:pt>
                <c:pt idx="512">
                  <c:v>42878</c:v>
                </c:pt>
                <c:pt idx="513">
                  <c:v>42879</c:v>
                </c:pt>
                <c:pt idx="514">
                  <c:v>42880</c:v>
                </c:pt>
                <c:pt idx="515">
                  <c:v>42881</c:v>
                </c:pt>
                <c:pt idx="516">
                  <c:v>42884</c:v>
                </c:pt>
                <c:pt idx="517">
                  <c:v>42885</c:v>
                </c:pt>
                <c:pt idx="518">
                  <c:v>42892</c:v>
                </c:pt>
                <c:pt idx="519">
                  <c:v>42899</c:v>
                </c:pt>
                <c:pt idx="520">
                  <c:v>42906</c:v>
                </c:pt>
                <c:pt idx="521">
                  <c:v>42913</c:v>
                </c:pt>
                <c:pt idx="522">
                  <c:v>42920</c:v>
                </c:pt>
                <c:pt idx="523">
                  <c:v>42927</c:v>
                </c:pt>
                <c:pt idx="524">
                  <c:v>42934</c:v>
                </c:pt>
                <c:pt idx="525">
                  <c:v>42941</c:v>
                </c:pt>
                <c:pt idx="526">
                  <c:v>42948</c:v>
                </c:pt>
                <c:pt idx="527">
                  <c:v>42955</c:v>
                </c:pt>
                <c:pt idx="528">
                  <c:v>42962</c:v>
                </c:pt>
                <c:pt idx="529">
                  <c:v>42969</c:v>
                </c:pt>
                <c:pt idx="530">
                  <c:v>42976</c:v>
                </c:pt>
                <c:pt idx="531">
                  <c:v>42983</c:v>
                </c:pt>
                <c:pt idx="532">
                  <c:v>42990</c:v>
                </c:pt>
                <c:pt idx="533">
                  <c:v>42997</c:v>
                </c:pt>
                <c:pt idx="534">
                  <c:v>43004</c:v>
                </c:pt>
                <c:pt idx="535">
                  <c:v>43011</c:v>
                </c:pt>
                <c:pt idx="536">
                  <c:v>43018</c:v>
                </c:pt>
                <c:pt idx="537">
                  <c:v>43025</c:v>
                </c:pt>
                <c:pt idx="538">
                  <c:v>43032</c:v>
                </c:pt>
                <c:pt idx="539">
                  <c:v>43039</c:v>
                </c:pt>
                <c:pt idx="540">
                  <c:v>43046</c:v>
                </c:pt>
                <c:pt idx="541">
                  <c:v>43053</c:v>
                </c:pt>
                <c:pt idx="542">
                  <c:v>43060</c:v>
                </c:pt>
                <c:pt idx="543">
                  <c:v>43067</c:v>
                </c:pt>
                <c:pt idx="544">
                  <c:v>43074</c:v>
                </c:pt>
                <c:pt idx="545">
                  <c:v>43081</c:v>
                </c:pt>
                <c:pt idx="546">
                  <c:v>43088</c:v>
                </c:pt>
                <c:pt idx="547">
                  <c:v>43096</c:v>
                </c:pt>
                <c:pt idx="548">
                  <c:v>43103</c:v>
                </c:pt>
                <c:pt idx="549">
                  <c:v>43110</c:v>
                </c:pt>
                <c:pt idx="550">
                  <c:v>43117</c:v>
                </c:pt>
                <c:pt idx="551">
                  <c:v>43124</c:v>
                </c:pt>
                <c:pt idx="552">
                  <c:v>43131</c:v>
                </c:pt>
                <c:pt idx="553">
                  <c:v>43138</c:v>
                </c:pt>
                <c:pt idx="554">
                  <c:v>43145</c:v>
                </c:pt>
                <c:pt idx="555">
                  <c:v>43152</c:v>
                </c:pt>
                <c:pt idx="556">
                  <c:v>43159</c:v>
                </c:pt>
                <c:pt idx="557">
                  <c:v>43166</c:v>
                </c:pt>
                <c:pt idx="558">
                  <c:v>43173</c:v>
                </c:pt>
                <c:pt idx="559">
                  <c:v>43180</c:v>
                </c:pt>
                <c:pt idx="560">
                  <c:v>43187</c:v>
                </c:pt>
                <c:pt idx="561">
                  <c:v>43194</c:v>
                </c:pt>
                <c:pt idx="562">
                  <c:v>43201</c:v>
                </c:pt>
                <c:pt idx="563">
                  <c:v>43208</c:v>
                </c:pt>
                <c:pt idx="564">
                  <c:v>43216</c:v>
                </c:pt>
                <c:pt idx="565">
                  <c:v>43223</c:v>
                </c:pt>
                <c:pt idx="566">
                  <c:v>43230</c:v>
                </c:pt>
                <c:pt idx="567">
                  <c:v>43237</c:v>
                </c:pt>
                <c:pt idx="568">
                  <c:v>43244</c:v>
                </c:pt>
                <c:pt idx="569">
                  <c:v>43251</c:v>
                </c:pt>
                <c:pt idx="570">
                  <c:v>43258</c:v>
                </c:pt>
                <c:pt idx="571">
                  <c:v>43265</c:v>
                </c:pt>
                <c:pt idx="572">
                  <c:v>43272</c:v>
                </c:pt>
                <c:pt idx="573">
                  <c:v>43279</c:v>
                </c:pt>
                <c:pt idx="574">
                  <c:v>43286</c:v>
                </c:pt>
                <c:pt idx="575">
                  <c:v>43293</c:v>
                </c:pt>
                <c:pt idx="576">
                  <c:v>43300</c:v>
                </c:pt>
                <c:pt idx="577">
                  <c:v>43307</c:v>
                </c:pt>
                <c:pt idx="578">
                  <c:v>43314</c:v>
                </c:pt>
                <c:pt idx="579">
                  <c:v>43321</c:v>
                </c:pt>
                <c:pt idx="580">
                  <c:v>43328</c:v>
                </c:pt>
                <c:pt idx="581">
                  <c:v>43335</c:v>
                </c:pt>
                <c:pt idx="582">
                  <c:v>43342</c:v>
                </c:pt>
                <c:pt idx="583">
                  <c:v>43349</c:v>
                </c:pt>
                <c:pt idx="584">
                  <c:v>43356</c:v>
                </c:pt>
                <c:pt idx="585">
                  <c:v>43363</c:v>
                </c:pt>
                <c:pt idx="586">
                  <c:v>43370</c:v>
                </c:pt>
                <c:pt idx="587">
                  <c:v>43377</c:v>
                </c:pt>
                <c:pt idx="588">
                  <c:v>43384</c:v>
                </c:pt>
                <c:pt idx="589">
                  <c:v>43391</c:v>
                </c:pt>
                <c:pt idx="590">
                  <c:v>43398</c:v>
                </c:pt>
                <c:pt idx="591">
                  <c:v>43405</c:v>
                </c:pt>
                <c:pt idx="592">
                  <c:v>43412</c:v>
                </c:pt>
                <c:pt idx="593">
                  <c:v>43419</c:v>
                </c:pt>
                <c:pt idx="594">
                  <c:v>43426</c:v>
                </c:pt>
                <c:pt idx="595">
                  <c:v>43433</c:v>
                </c:pt>
                <c:pt idx="596">
                  <c:v>43440</c:v>
                </c:pt>
                <c:pt idx="597">
                  <c:v>43447</c:v>
                </c:pt>
                <c:pt idx="598">
                  <c:v>43454</c:v>
                </c:pt>
                <c:pt idx="599">
                  <c:v>43461</c:v>
                </c:pt>
                <c:pt idx="600">
                  <c:v>43468</c:v>
                </c:pt>
                <c:pt idx="601">
                  <c:v>43475</c:v>
                </c:pt>
                <c:pt idx="602">
                  <c:v>43482</c:v>
                </c:pt>
                <c:pt idx="603">
                  <c:v>43489</c:v>
                </c:pt>
                <c:pt idx="604">
                  <c:v>43496</c:v>
                </c:pt>
                <c:pt idx="605">
                  <c:v>43503</c:v>
                </c:pt>
                <c:pt idx="606">
                  <c:v>43510</c:v>
                </c:pt>
                <c:pt idx="607">
                  <c:v>43517</c:v>
                </c:pt>
                <c:pt idx="608">
                  <c:v>43524</c:v>
                </c:pt>
                <c:pt idx="609">
                  <c:v>43531</c:v>
                </c:pt>
                <c:pt idx="610">
                  <c:v>43538</c:v>
                </c:pt>
                <c:pt idx="611">
                  <c:v>43545</c:v>
                </c:pt>
                <c:pt idx="612">
                  <c:v>43552</c:v>
                </c:pt>
                <c:pt idx="613">
                  <c:v>43559</c:v>
                </c:pt>
                <c:pt idx="614">
                  <c:v>43566</c:v>
                </c:pt>
                <c:pt idx="615">
                  <c:v>43573</c:v>
                </c:pt>
                <c:pt idx="616">
                  <c:v>43581</c:v>
                </c:pt>
                <c:pt idx="617">
                  <c:v>43588</c:v>
                </c:pt>
                <c:pt idx="618">
                  <c:v>43595</c:v>
                </c:pt>
                <c:pt idx="619">
                  <c:v>43602</c:v>
                </c:pt>
                <c:pt idx="620">
                  <c:v>43609</c:v>
                </c:pt>
                <c:pt idx="621">
                  <c:v>43616</c:v>
                </c:pt>
                <c:pt idx="622">
                  <c:v>43623</c:v>
                </c:pt>
                <c:pt idx="623">
                  <c:v>43630</c:v>
                </c:pt>
                <c:pt idx="624">
                  <c:v>43637</c:v>
                </c:pt>
                <c:pt idx="625">
                  <c:v>43644</c:v>
                </c:pt>
                <c:pt idx="626">
                  <c:v>43651</c:v>
                </c:pt>
                <c:pt idx="627">
                  <c:v>43658</c:v>
                </c:pt>
                <c:pt idx="628">
                  <c:v>43665</c:v>
                </c:pt>
                <c:pt idx="629">
                  <c:v>43672</c:v>
                </c:pt>
                <c:pt idx="630">
                  <c:v>43679</c:v>
                </c:pt>
                <c:pt idx="631">
                  <c:v>43686</c:v>
                </c:pt>
                <c:pt idx="632">
                  <c:v>43693</c:v>
                </c:pt>
                <c:pt idx="633">
                  <c:v>43700</c:v>
                </c:pt>
                <c:pt idx="634">
                  <c:v>43707</c:v>
                </c:pt>
                <c:pt idx="635">
                  <c:v>43714</c:v>
                </c:pt>
                <c:pt idx="636">
                  <c:v>43721</c:v>
                </c:pt>
                <c:pt idx="637">
                  <c:v>43728</c:v>
                </c:pt>
                <c:pt idx="638">
                  <c:v>43735</c:v>
                </c:pt>
                <c:pt idx="639">
                  <c:v>43742</c:v>
                </c:pt>
                <c:pt idx="640">
                  <c:v>43749</c:v>
                </c:pt>
                <c:pt idx="641">
                  <c:v>43756</c:v>
                </c:pt>
                <c:pt idx="642">
                  <c:v>43763</c:v>
                </c:pt>
                <c:pt idx="643">
                  <c:v>43770</c:v>
                </c:pt>
                <c:pt idx="644">
                  <c:v>43777</c:v>
                </c:pt>
                <c:pt idx="645">
                  <c:v>43784</c:v>
                </c:pt>
                <c:pt idx="646">
                  <c:v>43791</c:v>
                </c:pt>
                <c:pt idx="647">
                  <c:v>43798</c:v>
                </c:pt>
                <c:pt idx="648">
                  <c:v>43805</c:v>
                </c:pt>
                <c:pt idx="649">
                  <c:v>43812</c:v>
                </c:pt>
                <c:pt idx="650">
                  <c:v>43819</c:v>
                </c:pt>
                <c:pt idx="651">
                  <c:v>43826</c:v>
                </c:pt>
                <c:pt idx="652">
                  <c:v>43833</c:v>
                </c:pt>
                <c:pt idx="653">
                  <c:v>43840</c:v>
                </c:pt>
                <c:pt idx="654">
                  <c:v>43847</c:v>
                </c:pt>
                <c:pt idx="655">
                  <c:v>43854</c:v>
                </c:pt>
                <c:pt idx="656">
                  <c:v>43861</c:v>
                </c:pt>
                <c:pt idx="657">
                  <c:v>43868</c:v>
                </c:pt>
                <c:pt idx="658">
                  <c:v>43875</c:v>
                </c:pt>
                <c:pt idx="659">
                  <c:v>43882</c:v>
                </c:pt>
                <c:pt idx="660">
                  <c:v>43889</c:v>
                </c:pt>
                <c:pt idx="661">
                  <c:v>43896</c:v>
                </c:pt>
                <c:pt idx="662">
                  <c:v>43903</c:v>
                </c:pt>
                <c:pt idx="663">
                  <c:v>43910</c:v>
                </c:pt>
                <c:pt idx="664">
                  <c:v>43917</c:v>
                </c:pt>
                <c:pt idx="665">
                  <c:v>43924</c:v>
                </c:pt>
                <c:pt idx="666">
                  <c:v>43935</c:v>
                </c:pt>
                <c:pt idx="667">
                  <c:v>43942</c:v>
                </c:pt>
                <c:pt idx="668">
                  <c:v>43949</c:v>
                </c:pt>
                <c:pt idx="669">
                  <c:v>43956</c:v>
                </c:pt>
                <c:pt idx="670">
                  <c:v>43963</c:v>
                </c:pt>
                <c:pt idx="671">
                  <c:v>43970</c:v>
                </c:pt>
                <c:pt idx="672">
                  <c:v>43977</c:v>
                </c:pt>
                <c:pt idx="673">
                  <c:v>43984</c:v>
                </c:pt>
                <c:pt idx="674">
                  <c:v>43991</c:v>
                </c:pt>
                <c:pt idx="675">
                  <c:v>43998</c:v>
                </c:pt>
                <c:pt idx="676">
                  <c:v>44005</c:v>
                </c:pt>
                <c:pt idx="677">
                  <c:v>44012</c:v>
                </c:pt>
                <c:pt idx="678">
                  <c:v>44019</c:v>
                </c:pt>
                <c:pt idx="679">
                  <c:v>44026</c:v>
                </c:pt>
                <c:pt idx="680">
                  <c:v>44033</c:v>
                </c:pt>
                <c:pt idx="681">
                  <c:v>44040</c:v>
                </c:pt>
                <c:pt idx="682">
                  <c:v>44047</c:v>
                </c:pt>
                <c:pt idx="683">
                  <c:v>44054</c:v>
                </c:pt>
                <c:pt idx="684">
                  <c:v>44061</c:v>
                </c:pt>
                <c:pt idx="685">
                  <c:v>44068</c:v>
                </c:pt>
                <c:pt idx="686">
                  <c:v>44075</c:v>
                </c:pt>
                <c:pt idx="687">
                  <c:v>44082</c:v>
                </c:pt>
                <c:pt idx="688">
                  <c:v>44089</c:v>
                </c:pt>
                <c:pt idx="689">
                  <c:v>44096</c:v>
                </c:pt>
                <c:pt idx="690">
                  <c:v>44103</c:v>
                </c:pt>
                <c:pt idx="691">
                  <c:v>44110</c:v>
                </c:pt>
                <c:pt idx="692">
                  <c:v>44117</c:v>
                </c:pt>
                <c:pt idx="693">
                  <c:v>44124</c:v>
                </c:pt>
                <c:pt idx="694">
                  <c:v>44131</c:v>
                </c:pt>
                <c:pt idx="695">
                  <c:v>44138</c:v>
                </c:pt>
                <c:pt idx="696">
                  <c:v>44145</c:v>
                </c:pt>
                <c:pt idx="697">
                  <c:v>44152</c:v>
                </c:pt>
                <c:pt idx="698">
                  <c:v>44159</c:v>
                </c:pt>
                <c:pt idx="699">
                  <c:v>44166</c:v>
                </c:pt>
                <c:pt idx="700">
                  <c:v>44173</c:v>
                </c:pt>
                <c:pt idx="701">
                  <c:v>44180</c:v>
                </c:pt>
                <c:pt idx="702">
                  <c:v>44187</c:v>
                </c:pt>
                <c:pt idx="703">
                  <c:v>44194</c:v>
                </c:pt>
                <c:pt idx="704">
                  <c:v>44201</c:v>
                </c:pt>
                <c:pt idx="705">
                  <c:v>44208</c:v>
                </c:pt>
                <c:pt idx="706">
                  <c:v>44215</c:v>
                </c:pt>
                <c:pt idx="707">
                  <c:v>44223</c:v>
                </c:pt>
                <c:pt idx="708">
                  <c:v>44230</c:v>
                </c:pt>
                <c:pt idx="709">
                  <c:v>44237</c:v>
                </c:pt>
                <c:pt idx="710">
                  <c:v>44244</c:v>
                </c:pt>
                <c:pt idx="711">
                  <c:v>44251</c:v>
                </c:pt>
                <c:pt idx="712">
                  <c:v>44258</c:v>
                </c:pt>
                <c:pt idx="713">
                  <c:v>44265</c:v>
                </c:pt>
                <c:pt idx="714">
                  <c:v>44272</c:v>
                </c:pt>
                <c:pt idx="715">
                  <c:v>44279</c:v>
                </c:pt>
                <c:pt idx="716">
                  <c:v>44286</c:v>
                </c:pt>
                <c:pt idx="717">
                  <c:v>44293</c:v>
                </c:pt>
                <c:pt idx="718">
                  <c:v>44300</c:v>
                </c:pt>
                <c:pt idx="719">
                  <c:v>44307</c:v>
                </c:pt>
                <c:pt idx="720">
                  <c:v>44314</c:v>
                </c:pt>
                <c:pt idx="721">
                  <c:v>44321</c:v>
                </c:pt>
                <c:pt idx="722">
                  <c:v>44328</c:v>
                </c:pt>
                <c:pt idx="723">
                  <c:v>44335</c:v>
                </c:pt>
                <c:pt idx="724">
                  <c:v>44342</c:v>
                </c:pt>
                <c:pt idx="725">
                  <c:v>44349</c:v>
                </c:pt>
                <c:pt idx="726">
                  <c:v>44356</c:v>
                </c:pt>
                <c:pt idx="727">
                  <c:v>44363</c:v>
                </c:pt>
                <c:pt idx="728">
                  <c:v>44370</c:v>
                </c:pt>
                <c:pt idx="729">
                  <c:v>44377</c:v>
                </c:pt>
                <c:pt idx="730">
                  <c:v>44384</c:v>
                </c:pt>
                <c:pt idx="731">
                  <c:v>44391</c:v>
                </c:pt>
                <c:pt idx="732">
                  <c:v>44398</c:v>
                </c:pt>
                <c:pt idx="733">
                  <c:v>44405</c:v>
                </c:pt>
                <c:pt idx="734">
                  <c:v>44412</c:v>
                </c:pt>
                <c:pt idx="735">
                  <c:v>44419</c:v>
                </c:pt>
                <c:pt idx="736">
                  <c:v>44426</c:v>
                </c:pt>
                <c:pt idx="737">
                  <c:v>44433</c:v>
                </c:pt>
                <c:pt idx="738">
                  <c:v>44440</c:v>
                </c:pt>
                <c:pt idx="739">
                  <c:v>44447</c:v>
                </c:pt>
                <c:pt idx="740">
                  <c:v>44454</c:v>
                </c:pt>
                <c:pt idx="741">
                  <c:v>44461</c:v>
                </c:pt>
                <c:pt idx="742">
                  <c:v>44468</c:v>
                </c:pt>
                <c:pt idx="743">
                  <c:v>44475</c:v>
                </c:pt>
                <c:pt idx="744">
                  <c:v>44482</c:v>
                </c:pt>
                <c:pt idx="745">
                  <c:v>44489</c:v>
                </c:pt>
                <c:pt idx="746">
                  <c:v>44496</c:v>
                </c:pt>
                <c:pt idx="747">
                  <c:v>44503</c:v>
                </c:pt>
                <c:pt idx="748">
                  <c:v>44510</c:v>
                </c:pt>
                <c:pt idx="749">
                  <c:v>44517</c:v>
                </c:pt>
                <c:pt idx="750">
                  <c:v>44524</c:v>
                </c:pt>
                <c:pt idx="751">
                  <c:v>44531</c:v>
                </c:pt>
                <c:pt idx="752">
                  <c:v>44538</c:v>
                </c:pt>
                <c:pt idx="753">
                  <c:v>44545</c:v>
                </c:pt>
                <c:pt idx="754">
                  <c:v>44552</c:v>
                </c:pt>
                <c:pt idx="755">
                  <c:v>44559</c:v>
                </c:pt>
                <c:pt idx="756">
                  <c:v>44566</c:v>
                </c:pt>
                <c:pt idx="757">
                  <c:v>44573</c:v>
                </c:pt>
                <c:pt idx="758">
                  <c:v>44580</c:v>
                </c:pt>
                <c:pt idx="759">
                  <c:v>44588</c:v>
                </c:pt>
                <c:pt idx="760">
                  <c:v>44595</c:v>
                </c:pt>
                <c:pt idx="761">
                  <c:v>44602</c:v>
                </c:pt>
                <c:pt idx="762">
                  <c:v>44609</c:v>
                </c:pt>
                <c:pt idx="763">
                  <c:v>44616</c:v>
                </c:pt>
                <c:pt idx="764">
                  <c:v>44623</c:v>
                </c:pt>
                <c:pt idx="765">
                  <c:v>44630</c:v>
                </c:pt>
                <c:pt idx="766">
                  <c:v>44637</c:v>
                </c:pt>
                <c:pt idx="767">
                  <c:v>44644</c:v>
                </c:pt>
                <c:pt idx="768">
                  <c:v>44651</c:v>
                </c:pt>
                <c:pt idx="769">
                  <c:v>44658</c:v>
                </c:pt>
                <c:pt idx="770">
                  <c:v>44665</c:v>
                </c:pt>
                <c:pt idx="771">
                  <c:v>44672</c:v>
                </c:pt>
                <c:pt idx="772">
                  <c:v>44679</c:v>
                </c:pt>
                <c:pt idx="773">
                  <c:v>44686</c:v>
                </c:pt>
                <c:pt idx="774">
                  <c:v>44693</c:v>
                </c:pt>
                <c:pt idx="775">
                  <c:v>44700</c:v>
                </c:pt>
                <c:pt idx="776">
                  <c:v>44707</c:v>
                </c:pt>
                <c:pt idx="777">
                  <c:v>44714</c:v>
                </c:pt>
                <c:pt idx="778">
                  <c:v>44721</c:v>
                </c:pt>
                <c:pt idx="779">
                  <c:v>44728</c:v>
                </c:pt>
                <c:pt idx="780">
                  <c:v>44735</c:v>
                </c:pt>
                <c:pt idx="781">
                  <c:v>44742</c:v>
                </c:pt>
                <c:pt idx="782">
                  <c:v>44749</c:v>
                </c:pt>
                <c:pt idx="783">
                  <c:v>44756</c:v>
                </c:pt>
                <c:pt idx="784">
                  <c:v>44763</c:v>
                </c:pt>
                <c:pt idx="785">
                  <c:v>44770</c:v>
                </c:pt>
                <c:pt idx="786">
                  <c:v>44777</c:v>
                </c:pt>
                <c:pt idx="787">
                  <c:v>44784</c:v>
                </c:pt>
                <c:pt idx="788">
                  <c:v>44791</c:v>
                </c:pt>
                <c:pt idx="789">
                  <c:v>44798</c:v>
                </c:pt>
                <c:pt idx="790">
                  <c:v>44805</c:v>
                </c:pt>
                <c:pt idx="791">
                  <c:v>44812</c:v>
                </c:pt>
                <c:pt idx="792">
                  <c:v>44819</c:v>
                </c:pt>
                <c:pt idx="793">
                  <c:v>44826</c:v>
                </c:pt>
                <c:pt idx="794">
                  <c:v>44833</c:v>
                </c:pt>
                <c:pt idx="795">
                  <c:v>44840</c:v>
                </c:pt>
                <c:pt idx="796">
                  <c:v>44847</c:v>
                </c:pt>
                <c:pt idx="797">
                  <c:v>44854</c:v>
                </c:pt>
                <c:pt idx="798">
                  <c:v>44861</c:v>
                </c:pt>
                <c:pt idx="799">
                  <c:v>44868</c:v>
                </c:pt>
                <c:pt idx="800">
                  <c:v>44875</c:v>
                </c:pt>
                <c:pt idx="801">
                  <c:v>44882</c:v>
                </c:pt>
                <c:pt idx="802">
                  <c:v>44889</c:v>
                </c:pt>
                <c:pt idx="803">
                  <c:v>44896</c:v>
                </c:pt>
                <c:pt idx="804">
                  <c:v>44903</c:v>
                </c:pt>
                <c:pt idx="805">
                  <c:v>44910</c:v>
                </c:pt>
                <c:pt idx="806">
                  <c:v>44917</c:v>
                </c:pt>
                <c:pt idx="807">
                  <c:v>44924</c:v>
                </c:pt>
                <c:pt idx="808">
                  <c:v>44931</c:v>
                </c:pt>
                <c:pt idx="809">
                  <c:v>44938</c:v>
                </c:pt>
                <c:pt idx="810">
                  <c:v>44945</c:v>
                </c:pt>
                <c:pt idx="811">
                  <c:v>44953</c:v>
                </c:pt>
                <c:pt idx="812">
                  <c:v>44960</c:v>
                </c:pt>
                <c:pt idx="813">
                  <c:v>44967</c:v>
                </c:pt>
                <c:pt idx="814">
                  <c:v>44974</c:v>
                </c:pt>
                <c:pt idx="815">
                  <c:v>44981</c:v>
                </c:pt>
                <c:pt idx="816">
                  <c:v>44988</c:v>
                </c:pt>
                <c:pt idx="817">
                  <c:v>44995</c:v>
                </c:pt>
                <c:pt idx="818">
                  <c:v>45002</c:v>
                </c:pt>
                <c:pt idx="819">
                  <c:v>45009</c:v>
                </c:pt>
                <c:pt idx="820">
                  <c:v>45016</c:v>
                </c:pt>
                <c:pt idx="821">
                  <c:v>45027</c:v>
                </c:pt>
                <c:pt idx="822">
                  <c:v>45034</c:v>
                </c:pt>
                <c:pt idx="823">
                  <c:v>45042</c:v>
                </c:pt>
                <c:pt idx="824">
                  <c:v>45049</c:v>
                </c:pt>
                <c:pt idx="825">
                  <c:v>45056</c:v>
                </c:pt>
                <c:pt idx="826">
                  <c:v>45063</c:v>
                </c:pt>
                <c:pt idx="827">
                  <c:v>45070</c:v>
                </c:pt>
                <c:pt idx="828">
                  <c:v>45077</c:v>
                </c:pt>
                <c:pt idx="829">
                  <c:v>45084</c:v>
                </c:pt>
                <c:pt idx="830">
                  <c:v>45091</c:v>
                </c:pt>
                <c:pt idx="831">
                  <c:v>45098</c:v>
                </c:pt>
                <c:pt idx="832">
                  <c:v>45105</c:v>
                </c:pt>
                <c:pt idx="833">
                  <c:v>45112</c:v>
                </c:pt>
                <c:pt idx="834">
                  <c:v>45119</c:v>
                </c:pt>
                <c:pt idx="835">
                  <c:v>45126</c:v>
                </c:pt>
                <c:pt idx="836">
                  <c:v>45133</c:v>
                </c:pt>
                <c:pt idx="837">
                  <c:v>45140</c:v>
                </c:pt>
                <c:pt idx="838">
                  <c:v>45147</c:v>
                </c:pt>
                <c:pt idx="839">
                  <c:v>45154</c:v>
                </c:pt>
                <c:pt idx="840">
                  <c:v>45161</c:v>
                </c:pt>
                <c:pt idx="841">
                  <c:v>45168</c:v>
                </c:pt>
                <c:pt idx="842">
                  <c:v>45175</c:v>
                </c:pt>
                <c:pt idx="843">
                  <c:v>45182</c:v>
                </c:pt>
                <c:pt idx="844">
                  <c:v>45189</c:v>
                </c:pt>
                <c:pt idx="845">
                  <c:v>45196</c:v>
                </c:pt>
                <c:pt idx="846">
                  <c:v>45203</c:v>
                </c:pt>
                <c:pt idx="847">
                  <c:v>45210</c:v>
                </c:pt>
                <c:pt idx="848">
                  <c:v>45217</c:v>
                </c:pt>
                <c:pt idx="849">
                  <c:v>45224</c:v>
                </c:pt>
                <c:pt idx="850">
                  <c:v>45231</c:v>
                </c:pt>
                <c:pt idx="851">
                  <c:v>45238</c:v>
                </c:pt>
                <c:pt idx="852">
                  <c:v>45245</c:v>
                </c:pt>
                <c:pt idx="853">
                  <c:v>45252</c:v>
                </c:pt>
                <c:pt idx="854">
                  <c:v>45259</c:v>
                </c:pt>
                <c:pt idx="855">
                  <c:v>45266</c:v>
                </c:pt>
                <c:pt idx="856">
                  <c:v>45273</c:v>
                </c:pt>
                <c:pt idx="857">
                  <c:v>45280</c:v>
                </c:pt>
                <c:pt idx="858">
                  <c:v>45287</c:v>
                </c:pt>
                <c:pt idx="859">
                  <c:v>45294</c:v>
                </c:pt>
                <c:pt idx="860">
                  <c:v>45301</c:v>
                </c:pt>
                <c:pt idx="861">
                  <c:v>45308</c:v>
                </c:pt>
                <c:pt idx="862">
                  <c:v>45315</c:v>
                </c:pt>
                <c:pt idx="863">
                  <c:v>45322</c:v>
                </c:pt>
                <c:pt idx="864">
                  <c:v>45329</c:v>
                </c:pt>
                <c:pt idx="865">
                  <c:v>45336</c:v>
                </c:pt>
                <c:pt idx="866">
                  <c:v>45343</c:v>
                </c:pt>
                <c:pt idx="867">
                  <c:v>45350</c:v>
                </c:pt>
                <c:pt idx="868">
                  <c:v>45357</c:v>
                </c:pt>
                <c:pt idx="869">
                  <c:v>45364</c:v>
                </c:pt>
                <c:pt idx="870">
                  <c:v>45371</c:v>
                </c:pt>
                <c:pt idx="871">
                  <c:v>45378</c:v>
                </c:pt>
                <c:pt idx="872">
                  <c:v>45385</c:v>
                </c:pt>
                <c:pt idx="873">
                  <c:v>45392</c:v>
                </c:pt>
                <c:pt idx="874">
                  <c:v>45399</c:v>
                </c:pt>
                <c:pt idx="875">
                  <c:v>45406</c:v>
                </c:pt>
                <c:pt idx="876">
                  <c:v>45413</c:v>
                </c:pt>
                <c:pt idx="877">
                  <c:v>45420</c:v>
                </c:pt>
                <c:pt idx="878">
                  <c:v>45427</c:v>
                </c:pt>
                <c:pt idx="879">
                  <c:v>45434</c:v>
                </c:pt>
                <c:pt idx="880">
                  <c:v>45441</c:v>
                </c:pt>
                <c:pt idx="881">
                  <c:v>45448</c:v>
                </c:pt>
                <c:pt idx="882">
                  <c:v>45455</c:v>
                </c:pt>
                <c:pt idx="883">
                  <c:v>45462</c:v>
                </c:pt>
                <c:pt idx="884">
                  <c:v>45469</c:v>
                </c:pt>
                <c:pt idx="885">
                  <c:v>45476</c:v>
                </c:pt>
                <c:pt idx="886">
                  <c:v>45483</c:v>
                </c:pt>
                <c:pt idx="887">
                  <c:v>45490</c:v>
                </c:pt>
                <c:pt idx="888">
                  <c:v>45497</c:v>
                </c:pt>
                <c:pt idx="889">
                  <c:v>45504</c:v>
                </c:pt>
                <c:pt idx="890">
                  <c:v>45511</c:v>
                </c:pt>
                <c:pt idx="891">
                  <c:v>45518</c:v>
                </c:pt>
                <c:pt idx="892">
                  <c:v>45525</c:v>
                </c:pt>
                <c:pt idx="893">
                  <c:v>45532</c:v>
                </c:pt>
                <c:pt idx="894">
                  <c:v>45539</c:v>
                </c:pt>
                <c:pt idx="895">
                  <c:v>45546</c:v>
                </c:pt>
                <c:pt idx="896">
                  <c:v>45553</c:v>
                </c:pt>
                <c:pt idx="897">
                  <c:v>45560</c:v>
                </c:pt>
                <c:pt idx="898">
                  <c:v>45567</c:v>
                </c:pt>
                <c:pt idx="899">
                  <c:v>45574</c:v>
                </c:pt>
                <c:pt idx="900">
                  <c:v>45581</c:v>
                </c:pt>
                <c:pt idx="901">
                  <c:v>45588</c:v>
                </c:pt>
                <c:pt idx="902">
                  <c:v>45595</c:v>
                </c:pt>
                <c:pt idx="903">
                  <c:v>45602</c:v>
                </c:pt>
                <c:pt idx="904">
                  <c:v>45609</c:v>
                </c:pt>
                <c:pt idx="905">
                  <c:v>45616</c:v>
                </c:pt>
                <c:pt idx="906">
                  <c:v>45623</c:v>
                </c:pt>
                <c:pt idx="907">
                  <c:v>45630</c:v>
                </c:pt>
                <c:pt idx="908">
                  <c:v>45637</c:v>
                </c:pt>
                <c:pt idx="909">
                  <c:v>45644</c:v>
                </c:pt>
                <c:pt idx="910">
                  <c:v>45653</c:v>
                </c:pt>
                <c:pt idx="911">
                  <c:v>45660</c:v>
                </c:pt>
                <c:pt idx="912">
                  <c:v>45667</c:v>
                </c:pt>
                <c:pt idx="913">
                  <c:v>45674</c:v>
                </c:pt>
                <c:pt idx="914">
                  <c:v>45681</c:v>
                </c:pt>
                <c:pt idx="915">
                  <c:v>45688</c:v>
                </c:pt>
                <c:pt idx="916">
                  <c:v>45695</c:v>
                </c:pt>
                <c:pt idx="917">
                  <c:v>45702</c:v>
                </c:pt>
                <c:pt idx="918">
                  <c:v>45709</c:v>
                </c:pt>
                <c:pt idx="919">
                  <c:v>45716</c:v>
                </c:pt>
                <c:pt idx="920">
                  <c:v>45723</c:v>
                </c:pt>
                <c:pt idx="921">
                  <c:v>45730</c:v>
                </c:pt>
                <c:pt idx="922">
                  <c:v>45737</c:v>
                </c:pt>
                <c:pt idx="923">
                  <c:v>45744</c:v>
                </c:pt>
                <c:pt idx="924">
                  <c:v>45751</c:v>
                </c:pt>
                <c:pt idx="925">
                  <c:v>45758</c:v>
                </c:pt>
                <c:pt idx="926">
                  <c:v>45769</c:v>
                </c:pt>
                <c:pt idx="927">
                  <c:v>45776</c:v>
                </c:pt>
                <c:pt idx="928">
                  <c:v>45783</c:v>
                </c:pt>
                <c:pt idx="929">
                  <c:v>45790</c:v>
                </c:pt>
                <c:pt idx="930">
                  <c:v>45797</c:v>
                </c:pt>
                <c:pt idx="931">
                  <c:v>45804</c:v>
                </c:pt>
                <c:pt idx="932">
                  <c:v>45811</c:v>
                </c:pt>
                <c:pt idx="933">
                  <c:v>45818</c:v>
                </c:pt>
                <c:pt idx="934">
                  <c:v>45825</c:v>
                </c:pt>
                <c:pt idx="935">
                  <c:v>45832</c:v>
                </c:pt>
                <c:pt idx="936">
                  <c:v>45839</c:v>
                </c:pt>
                <c:pt idx="937">
                  <c:v>45846</c:v>
                </c:pt>
                <c:pt idx="938">
                  <c:v>45853</c:v>
                </c:pt>
                <c:pt idx="939">
                  <c:v>45860</c:v>
                </c:pt>
                <c:pt idx="940">
                  <c:v>45867</c:v>
                </c:pt>
                <c:pt idx="941">
                  <c:v>45874</c:v>
                </c:pt>
                <c:pt idx="942">
                  <c:v>45881</c:v>
                </c:pt>
                <c:pt idx="943">
                  <c:v>45888</c:v>
                </c:pt>
                <c:pt idx="944">
                  <c:v>45895</c:v>
                </c:pt>
                <c:pt idx="945">
                  <c:v>45902</c:v>
                </c:pt>
                <c:pt idx="946">
                  <c:v>45909</c:v>
                </c:pt>
                <c:pt idx="947">
                  <c:v>45916</c:v>
                </c:pt>
                <c:pt idx="948">
                  <c:v>45923</c:v>
                </c:pt>
                <c:pt idx="949">
                  <c:v>45930</c:v>
                </c:pt>
                <c:pt idx="950">
                  <c:v>45937</c:v>
                </c:pt>
                <c:pt idx="951">
                  <c:v>45944</c:v>
                </c:pt>
                <c:pt idx="952">
                  <c:v>45951</c:v>
                </c:pt>
                <c:pt idx="953">
                  <c:v>45958</c:v>
                </c:pt>
                <c:pt idx="954">
                  <c:v>45965</c:v>
                </c:pt>
                <c:pt idx="955">
                  <c:v>45972</c:v>
                </c:pt>
                <c:pt idx="956">
                  <c:v>45979</c:v>
                </c:pt>
                <c:pt idx="957">
                  <c:v>45986</c:v>
                </c:pt>
                <c:pt idx="958">
                  <c:v>45993</c:v>
                </c:pt>
                <c:pt idx="959">
                  <c:v>46000</c:v>
                </c:pt>
                <c:pt idx="960">
                  <c:v>46007</c:v>
                </c:pt>
                <c:pt idx="961">
                  <c:v>46014</c:v>
                </c:pt>
                <c:pt idx="962">
                  <c:v>46021</c:v>
                </c:pt>
                <c:pt idx="963">
                  <c:v>46028</c:v>
                </c:pt>
                <c:pt idx="964">
                  <c:v>46035</c:v>
                </c:pt>
                <c:pt idx="965">
                  <c:v>46042</c:v>
                </c:pt>
                <c:pt idx="966">
                  <c:v>46049</c:v>
                </c:pt>
                <c:pt idx="967">
                  <c:v>46056</c:v>
                </c:pt>
                <c:pt idx="968">
                  <c:v>46063</c:v>
                </c:pt>
                <c:pt idx="969">
                  <c:v>46070</c:v>
                </c:pt>
                <c:pt idx="970">
                  <c:v>46077</c:v>
                </c:pt>
                <c:pt idx="971">
                  <c:v>46084</c:v>
                </c:pt>
                <c:pt idx="972">
                  <c:v>46091</c:v>
                </c:pt>
                <c:pt idx="973">
                  <c:v>46098</c:v>
                </c:pt>
                <c:pt idx="974">
                  <c:v>46105</c:v>
                </c:pt>
                <c:pt idx="975">
                  <c:v>46112</c:v>
                </c:pt>
                <c:pt idx="976">
                  <c:v>46119</c:v>
                </c:pt>
                <c:pt idx="977">
                  <c:v>46126</c:v>
                </c:pt>
                <c:pt idx="978">
                  <c:v>46133</c:v>
                </c:pt>
                <c:pt idx="979">
                  <c:v>46140</c:v>
                </c:pt>
                <c:pt idx="980">
                  <c:v>46147</c:v>
                </c:pt>
                <c:pt idx="981">
                  <c:v>46154</c:v>
                </c:pt>
                <c:pt idx="982">
                  <c:v>46161</c:v>
                </c:pt>
                <c:pt idx="983">
                  <c:v>46168</c:v>
                </c:pt>
                <c:pt idx="984">
                  <c:v>46175</c:v>
                </c:pt>
                <c:pt idx="985">
                  <c:v>46182</c:v>
                </c:pt>
                <c:pt idx="986">
                  <c:v>46189</c:v>
                </c:pt>
                <c:pt idx="987">
                  <c:v>46196</c:v>
                </c:pt>
                <c:pt idx="988">
                  <c:v>46203</c:v>
                </c:pt>
                <c:pt idx="989">
                  <c:v>46210</c:v>
                </c:pt>
                <c:pt idx="990">
                  <c:v>46217</c:v>
                </c:pt>
                <c:pt idx="991">
                  <c:v>46224</c:v>
                </c:pt>
                <c:pt idx="992">
                  <c:v>46231</c:v>
                </c:pt>
                <c:pt idx="993">
                  <c:v>46238</c:v>
                </c:pt>
                <c:pt idx="994">
                  <c:v>46245</c:v>
                </c:pt>
                <c:pt idx="995">
                  <c:v>46252</c:v>
                </c:pt>
                <c:pt idx="996">
                  <c:v>46259</c:v>
                </c:pt>
                <c:pt idx="997">
                  <c:v>46266</c:v>
                </c:pt>
                <c:pt idx="998">
                  <c:v>46273</c:v>
                </c:pt>
                <c:pt idx="999">
                  <c:v>46280</c:v>
                </c:pt>
                <c:pt idx="1000">
                  <c:v>46287</c:v>
                </c:pt>
                <c:pt idx="1001">
                  <c:v>46294</c:v>
                </c:pt>
                <c:pt idx="1002">
                  <c:v>46301</c:v>
                </c:pt>
                <c:pt idx="1003">
                  <c:v>46308</c:v>
                </c:pt>
                <c:pt idx="1004">
                  <c:v>46315</c:v>
                </c:pt>
                <c:pt idx="1005">
                  <c:v>46322</c:v>
                </c:pt>
                <c:pt idx="1006">
                  <c:v>46329</c:v>
                </c:pt>
                <c:pt idx="1007">
                  <c:v>46336</c:v>
                </c:pt>
                <c:pt idx="1008">
                  <c:v>46343</c:v>
                </c:pt>
                <c:pt idx="1009">
                  <c:v>46350</c:v>
                </c:pt>
                <c:pt idx="1010">
                  <c:v>46357</c:v>
                </c:pt>
                <c:pt idx="1011">
                  <c:v>46364</c:v>
                </c:pt>
                <c:pt idx="1012">
                  <c:v>46371</c:v>
                </c:pt>
                <c:pt idx="1013">
                  <c:v>46378</c:v>
                </c:pt>
                <c:pt idx="1014">
                  <c:v>46385</c:v>
                </c:pt>
                <c:pt idx="1015">
                  <c:v>46392</c:v>
                </c:pt>
                <c:pt idx="1016">
                  <c:v>46399</c:v>
                </c:pt>
                <c:pt idx="1017">
                  <c:v>46406</c:v>
                </c:pt>
                <c:pt idx="1018">
                  <c:v>46414</c:v>
                </c:pt>
                <c:pt idx="1019">
                  <c:v>46421</c:v>
                </c:pt>
                <c:pt idx="1020">
                  <c:v>46428</c:v>
                </c:pt>
                <c:pt idx="1021">
                  <c:v>46435</c:v>
                </c:pt>
                <c:pt idx="1022">
                  <c:v>46442</c:v>
                </c:pt>
                <c:pt idx="1023">
                  <c:v>46449</c:v>
                </c:pt>
                <c:pt idx="1024">
                  <c:v>46456</c:v>
                </c:pt>
                <c:pt idx="1025">
                  <c:v>46463</c:v>
                </c:pt>
                <c:pt idx="1026">
                  <c:v>46470</c:v>
                </c:pt>
                <c:pt idx="1027">
                  <c:v>46477</c:v>
                </c:pt>
                <c:pt idx="1028">
                  <c:v>46484</c:v>
                </c:pt>
                <c:pt idx="1029">
                  <c:v>46491</c:v>
                </c:pt>
                <c:pt idx="1030">
                  <c:v>46498</c:v>
                </c:pt>
                <c:pt idx="1031">
                  <c:v>46505</c:v>
                </c:pt>
                <c:pt idx="1032">
                  <c:v>46512</c:v>
                </c:pt>
                <c:pt idx="1033">
                  <c:v>46519</c:v>
                </c:pt>
                <c:pt idx="1034">
                  <c:v>46526</c:v>
                </c:pt>
                <c:pt idx="1035">
                  <c:v>46533</c:v>
                </c:pt>
                <c:pt idx="1036">
                  <c:v>46540</c:v>
                </c:pt>
                <c:pt idx="1037">
                  <c:v>46547</c:v>
                </c:pt>
                <c:pt idx="1038">
                  <c:v>46554</c:v>
                </c:pt>
                <c:pt idx="1039">
                  <c:v>46561</c:v>
                </c:pt>
                <c:pt idx="1040">
                  <c:v>46568</c:v>
                </c:pt>
                <c:pt idx="1041">
                  <c:v>46575</c:v>
                </c:pt>
                <c:pt idx="1042">
                  <c:v>46582</c:v>
                </c:pt>
                <c:pt idx="1043">
                  <c:v>46589</c:v>
                </c:pt>
                <c:pt idx="1044">
                  <c:v>46596</c:v>
                </c:pt>
                <c:pt idx="1045">
                  <c:v>46603</c:v>
                </c:pt>
                <c:pt idx="1046">
                  <c:v>46610</c:v>
                </c:pt>
                <c:pt idx="1047">
                  <c:v>46617</c:v>
                </c:pt>
                <c:pt idx="1048">
                  <c:v>46624</c:v>
                </c:pt>
                <c:pt idx="1049">
                  <c:v>46631</c:v>
                </c:pt>
                <c:pt idx="1050">
                  <c:v>46638</c:v>
                </c:pt>
                <c:pt idx="1051">
                  <c:v>46645</c:v>
                </c:pt>
                <c:pt idx="1052">
                  <c:v>46652</c:v>
                </c:pt>
                <c:pt idx="1053">
                  <c:v>46659</c:v>
                </c:pt>
                <c:pt idx="1054">
                  <c:v>46666</c:v>
                </c:pt>
                <c:pt idx="1055">
                  <c:v>46673</c:v>
                </c:pt>
                <c:pt idx="1056">
                  <c:v>46680</c:v>
                </c:pt>
                <c:pt idx="1057">
                  <c:v>46687</c:v>
                </c:pt>
                <c:pt idx="1058">
                  <c:v>46694</c:v>
                </c:pt>
                <c:pt idx="1059">
                  <c:v>46701</c:v>
                </c:pt>
                <c:pt idx="1060">
                  <c:v>46708</c:v>
                </c:pt>
                <c:pt idx="1061">
                  <c:v>46715</c:v>
                </c:pt>
                <c:pt idx="1062">
                  <c:v>46722</c:v>
                </c:pt>
                <c:pt idx="1063">
                  <c:v>46729</c:v>
                </c:pt>
                <c:pt idx="1064">
                  <c:v>46736</c:v>
                </c:pt>
                <c:pt idx="1065">
                  <c:v>46743</c:v>
                </c:pt>
                <c:pt idx="1066">
                  <c:v>46750</c:v>
                </c:pt>
                <c:pt idx="1067">
                  <c:v>46757</c:v>
                </c:pt>
                <c:pt idx="1068">
                  <c:v>46764</c:v>
                </c:pt>
                <c:pt idx="1069">
                  <c:v>46771</c:v>
                </c:pt>
                <c:pt idx="1070">
                  <c:v>46779</c:v>
                </c:pt>
                <c:pt idx="1071">
                  <c:v>46786</c:v>
                </c:pt>
                <c:pt idx="1072">
                  <c:v>46793</c:v>
                </c:pt>
                <c:pt idx="1073">
                  <c:v>46800</c:v>
                </c:pt>
                <c:pt idx="1074">
                  <c:v>46807</c:v>
                </c:pt>
                <c:pt idx="1075">
                  <c:v>46814</c:v>
                </c:pt>
                <c:pt idx="1076">
                  <c:v>46821</c:v>
                </c:pt>
                <c:pt idx="1077">
                  <c:v>46828</c:v>
                </c:pt>
                <c:pt idx="1078">
                  <c:v>46835</c:v>
                </c:pt>
                <c:pt idx="1079">
                  <c:v>46842</c:v>
                </c:pt>
                <c:pt idx="1080">
                  <c:v>46849</c:v>
                </c:pt>
                <c:pt idx="1081">
                  <c:v>46856</c:v>
                </c:pt>
                <c:pt idx="1082">
                  <c:v>46863</c:v>
                </c:pt>
                <c:pt idx="1083">
                  <c:v>46870</c:v>
                </c:pt>
                <c:pt idx="1084">
                  <c:v>46877</c:v>
                </c:pt>
                <c:pt idx="1085">
                  <c:v>46884</c:v>
                </c:pt>
                <c:pt idx="1086">
                  <c:v>46891</c:v>
                </c:pt>
                <c:pt idx="1087">
                  <c:v>46898</c:v>
                </c:pt>
                <c:pt idx="1088">
                  <c:v>46905</c:v>
                </c:pt>
                <c:pt idx="1089">
                  <c:v>46912</c:v>
                </c:pt>
                <c:pt idx="1090">
                  <c:v>46919</c:v>
                </c:pt>
                <c:pt idx="1091">
                  <c:v>46926</c:v>
                </c:pt>
                <c:pt idx="1092">
                  <c:v>46933</c:v>
                </c:pt>
                <c:pt idx="1093">
                  <c:v>46940</c:v>
                </c:pt>
                <c:pt idx="1094">
                  <c:v>46947</c:v>
                </c:pt>
                <c:pt idx="1095">
                  <c:v>46954</c:v>
                </c:pt>
                <c:pt idx="1096">
                  <c:v>46961</c:v>
                </c:pt>
                <c:pt idx="1097">
                  <c:v>46968</c:v>
                </c:pt>
                <c:pt idx="1098">
                  <c:v>46975</c:v>
                </c:pt>
                <c:pt idx="1099">
                  <c:v>46982</c:v>
                </c:pt>
                <c:pt idx="1100">
                  <c:v>46989</c:v>
                </c:pt>
                <c:pt idx="1101">
                  <c:v>46996</c:v>
                </c:pt>
                <c:pt idx="1102">
                  <c:v>47003</c:v>
                </c:pt>
                <c:pt idx="1103">
                  <c:v>47010</c:v>
                </c:pt>
                <c:pt idx="1104">
                  <c:v>47017</c:v>
                </c:pt>
                <c:pt idx="1105">
                  <c:v>47024</c:v>
                </c:pt>
                <c:pt idx="1106">
                  <c:v>47031</c:v>
                </c:pt>
                <c:pt idx="1107">
                  <c:v>47038</c:v>
                </c:pt>
                <c:pt idx="1108">
                  <c:v>47045</c:v>
                </c:pt>
                <c:pt idx="1109">
                  <c:v>47052</c:v>
                </c:pt>
                <c:pt idx="1110">
                  <c:v>47059</c:v>
                </c:pt>
                <c:pt idx="1111">
                  <c:v>47066</c:v>
                </c:pt>
                <c:pt idx="1112">
                  <c:v>47073</c:v>
                </c:pt>
                <c:pt idx="1113">
                  <c:v>47080</c:v>
                </c:pt>
                <c:pt idx="1114">
                  <c:v>47087</c:v>
                </c:pt>
                <c:pt idx="1115">
                  <c:v>47094</c:v>
                </c:pt>
                <c:pt idx="1116">
                  <c:v>47101</c:v>
                </c:pt>
                <c:pt idx="1117">
                  <c:v>47108</c:v>
                </c:pt>
                <c:pt idx="1118">
                  <c:v>47115</c:v>
                </c:pt>
                <c:pt idx="1119">
                  <c:v>47122</c:v>
                </c:pt>
                <c:pt idx="1120">
                  <c:v>47129</c:v>
                </c:pt>
                <c:pt idx="1121">
                  <c:v>47136</c:v>
                </c:pt>
                <c:pt idx="1122">
                  <c:v>47143</c:v>
                </c:pt>
                <c:pt idx="1123">
                  <c:v>47150</c:v>
                </c:pt>
                <c:pt idx="1124">
                  <c:v>47157</c:v>
                </c:pt>
                <c:pt idx="1125">
                  <c:v>47164</c:v>
                </c:pt>
                <c:pt idx="1126">
                  <c:v>47171</c:v>
                </c:pt>
                <c:pt idx="1127">
                  <c:v>47178</c:v>
                </c:pt>
                <c:pt idx="1128">
                  <c:v>47185</c:v>
                </c:pt>
                <c:pt idx="1129">
                  <c:v>47192</c:v>
                </c:pt>
                <c:pt idx="1130">
                  <c:v>47199</c:v>
                </c:pt>
                <c:pt idx="1131">
                  <c:v>47206</c:v>
                </c:pt>
                <c:pt idx="1132">
                  <c:v>47213</c:v>
                </c:pt>
                <c:pt idx="1133">
                  <c:v>47220</c:v>
                </c:pt>
                <c:pt idx="1134">
                  <c:v>47227</c:v>
                </c:pt>
                <c:pt idx="1135">
                  <c:v>47234</c:v>
                </c:pt>
                <c:pt idx="1136">
                  <c:v>47241</c:v>
                </c:pt>
                <c:pt idx="1137">
                  <c:v>47248</c:v>
                </c:pt>
                <c:pt idx="1138">
                  <c:v>47255</c:v>
                </c:pt>
                <c:pt idx="1139">
                  <c:v>47262</c:v>
                </c:pt>
                <c:pt idx="1140">
                  <c:v>47269</c:v>
                </c:pt>
                <c:pt idx="1141">
                  <c:v>47276</c:v>
                </c:pt>
                <c:pt idx="1142">
                  <c:v>47283</c:v>
                </c:pt>
                <c:pt idx="1143">
                  <c:v>47290</c:v>
                </c:pt>
                <c:pt idx="1144">
                  <c:v>47297</c:v>
                </c:pt>
                <c:pt idx="1145">
                  <c:v>47304</c:v>
                </c:pt>
                <c:pt idx="1146">
                  <c:v>47311</c:v>
                </c:pt>
                <c:pt idx="1147">
                  <c:v>47318</c:v>
                </c:pt>
                <c:pt idx="1148">
                  <c:v>47325</c:v>
                </c:pt>
                <c:pt idx="1149">
                  <c:v>47332</c:v>
                </c:pt>
                <c:pt idx="1150">
                  <c:v>47339</c:v>
                </c:pt>
                <c:pt idx="1151">
                  <c:v>47346</c:v>
                </c:pt>
                <c:pt idx="1152">
                  <c:v>47353</c:v>
                </c:pt>
                <c:pt idx="1153">
                  <c:v>47360</c:v>
                </c:pt>
                <c:pt idx="1154">
                  <c:v>47367</c:v>
                </c:pt>
                <c:pt idx="1155">
                  <c:v>47374</c:v>
                </c:pt>
                <c:pt idx="1156">
                  <c:v>47381</c:v>
                </c:pt>
                <c:pt idx="1157">
                  <c:v>47388</c:v>
                </c:pt>
                <c:pt idx="1158">
                  <c:v>47395</c:v>
                </c:pt>
                <c:pt idx="1159">
                  <c:v>47402</c:v>
                </c:pt>
                <c:pt idx="1160">
                  <c:v>47409</c:v>
                </c:pt>
                <c:pt idx="1161">
                  <c:v>47416</c:v>
                </c:pt>
                <c:pt idx="1162">
                  <c:v>47423</c:v>
                </c:pt>
                <c:pt idx="1163">
                  <c:v>47430</c:v>
                </c:pt>
                <c:pt idx="1164">
                  <c:v>47437</c:v>
                </c:pt>
                <c:pt idx="1165">
                  <c:v>47444</c:v>
                </c:pt>
                <c:pt idx="1166">
                  <c:v>47451</c:v>
                </c:pt>
                <c:pt idx="1167">
                  <c:v>47458</c:v>
                </c:pt>
                <c:pt idx="1168">
                  <c:v>47465</c:v>
                </c:pt>
                <c:pt idx="1169">
                  <c:v>47472</c:v>
                </c:pt>
                <c:pt idx="1170">
                  <c:v>47479</c:v>
                </c:pt>
                <c:pt idx="1171">
                  <c:v>47486</c:v>
                </c:pt>
                <c:pt idx="1172">
                  <c:v>47493</c:v>
                </c:pt>
                <c:pt idx="1173">
                  <c:v>47500</c:v>
                </c:pt>
                <c:pt idx="1174">
                  <c:v>47507</c:v>
                </c:pt>
                <c:pt idx="1175">
                  <c:v>47514</c:v>
                </c:pt>
                <c:pt idx="1176">
                  <c:v>47521</c:v>
                </c:pt>
                <c:pt idx="1177">
                  <c:v>47528</c:v>
                </c:pt>
                <c:pt idx="1178">
                  <c:v>47535</c:v>
                </c:pt>
                <c:pt idx="1179">
                  <c:v>47542</c:v>
                </c:pt>
                <c:pt idx="1180">
                  <c:v>47549</c:v>
                </c:pt>
                <c:pt idx="1181">
                  <c:v>47556</c:v>
                </c:pt>
                <c:pt idx="1182">
                  <c:v>47563</c:v>
                </c:pt>
                <c:pt idx="1183">
                  <c:v>47570</c:v>
                </c:pt>
                <c:pt idx="1184">
                  <c:v>47577</c:v>
                </c:pt>
                <c:pt idx="1185">
                  <c:v>47584</c:v>
                </c:pt>
                <c:pt idx="1186">
                  <c:v>47591</c:v>
                </c:pt>
                <c:pt idx="1187">
                  <c:v>47599</c:v>
                </c:pt>
                <c:pt idx="1188">
                  <c:v>47606</c:v>
                </c:pt>
                <c:pt idx="1189">
                  <c:v>47613</c:v>
                </c:pt>
                <c:pt idx="1190">
                  <c:v>47620</c:v>
                </c:pt>
                <c:pt idx="1191">
                  <c:v>47627</c:v>
                </c:pt>
                <c:pt idx="1192">
                  <c:v>47634</c:v>
                </c:pt>
                <c:pt idx="1193">
                  <c:v>47641</c:v>
                </c:pt>
                <c:pt idx="1194">
                  <c:v>47648</c:v>
                </c:pt>
                <c:pt idx="1195">
                  <c:v>47655</c:v>
                </c:pt>
                <c:pt idx="1196">
                  <c:v>47662</c:v>
                </c:pt>
                <c:pt idx="1197">
                  <c:v>47669</c:v>
                </c:pt>
                <c:pt idx="1198">
                  <c:v>47676</c:v>
                </c:pt>
                <c:pt idx="1199">
                  <c:v>47683</c:v>
                </c:pt>
                <c:pt idx="1200">
                  <c:v>47690</c:v>
                </c:pt>
                <c:pt idx="1201">
                  <c:v>47697</c:v>
                </c:pt>
                <c:pt idx="1202">
                  <c:v>47704</c:v>
                </c:pt>
                <c:pt idx="1203">
                  <c:v>47711</c:v>
                </c:pt>
                <c:pt idx="1204">
                  <c:v>47718</c:v>
                </c:pt>
                <c:pt idx="1205">
                  <c:v>47725</c:v>
                </c:pt>
                <c:pt idx="1206">
                  <c:v>47732</c:v>
                </c:pt>
                <c:pt idx="1207">
                  <c:v>47739</c:v>
                </c:pt>
                <c:pt idx="1208">
                  <c:v>47746</c:v>
                </c:pt>
                <c:pt idx="1209">
                  <c:v>47753</c:v>
                </c:pt>
                <c:pt idx="1210">
                  <c:v>47760</c:v>
                </c:pt>
                <c:pt idx="1211">
                  <c:v>47767</c:v>
                </c:pt>
                <c:pt idx="1212">
                  <c:v>47774</c:v>
                </c:pt>
                <c:pt idx="1213">
                  <c:v>47781</c:v>
                </c:pt>
                <c:pt idx="1214">
                  <c:v>47788</c:v>
                </c:pt>
                <c:pt idx="1215">
                  <c:v>47795</c:v>
                </c:pt>
                <c:pt idx="1216">
                  <c:v>47802</c:v>
                </c:pt>
                <c:pt idx="1217">
                  <c:v>47809</c:v>
                </c:pt>
                <c:pt idx="1218">
                  <c:v>47816</c:v>
                </c:pt>
                <c:pt idx="1219">
                  <c:v>47823</c:v>
                </c:pt>
                <c:pt idx="1220">
                  <c:v>47830</c:v>
                </c:pt>
                <c:pt idx="1221">
                  <c:v>47837</c:v>
                </c:pt>
                <c:pt idx="1222">
                  <c:v>47844</c:v>
                </c:pt>
                <c:pt idx="1223">
                  <c:v>47851</c:v>
                </c:pt>
                <c:pt idx="1224">
                  <c:v>47858</c:v>
                </c:pt>
                <c:pt idx="1225">
                  <c:v>47865</c:v>
                </c:pt>
                <c:pt idx="1226">
                  <c:v>47872</c:v>
                </c:pt>
                <c:pt idx="1227">
                  <c:v>47879</c:v>
                </c:pt>
                <c:pt idx="1228">
                  <c:v>47886</c:v>
                </c:pt>
                <c:pt idx="1229">
                  <c:v>47893</c:v>
                </c:pt>
                <c:pt idx="1230">
                  <c:v>47900</c:v>
                </c:pt>
                <c:pt idx="1231">
                  <c:v>47907</c:v>
                </c:pt>
                <c:pt idx="1232">
                  <c:v>47914</c:v>
                </c:pt>
                <c:pt idx="1233">
                  <c:v>47921</c:v>
                </c:pt>
                <c:pt idx="1234">
                  <c:v>47928</c:v>
                </c:pt>
                <c:pt idx="1235">
                  <c:v>47935</c:v>
                </c:pt>
                <c:pt idx="1236">
                  <c:v>47942</c:v>
                </c:pt>
                <c:pt idx="1237">
                  <c:v>47953</c:v>
                </c:pt>
                <c:pt idx="1238">
                  <c:v>47960</c:v>
                </c:pt>
                <c:pt idx="1239">
                  <c:v>47967</c:v>
                </c:pt>
                <c:pt idx="1240">
                  <c:v>47974</c:v>
                </c:pt>
                <c:pt idx="1241">
                  <c:v>47981</c:v>
                </c:pt>
                <c:pt idx="1242">
                  <c:v>47988</c:v>
                </c:pt>
                <c:pt idx="1243">
                  <c:v>47995</c:v>
                </c:pt>
                <c:pt idx="1244">
                  <c:v>48002</c:v>
                </c:pt>
                <c:pt idx="1245">
                  <c:v>48009</c:v>
                </c:pt>
                <c:pt idx="1246">
                  <c:v>48016</c:v>
                </c:pt>
                <c:pt idx="1247">
                  <c:v>48023</c:v>
                </c:pt>
                <c:pt idx="1248">
                  <c:v>48030</c:v>
                </c:pt>
                <c:pt idx="1249">
                  <c:v>48037</c:v>
                </c:pt>
                <c:pt idx="1250">
                  <c:v>48044</c:v>
                </c:pt>
                <c:pt idx="1251">
                  <c:v>48051</c:v>
                </c:pt>
                <c:pt idx="1252">
                  <c:v>48058</c:v>
                </c:pt>
                <c:pt idx="1253">
                  <c:v>48065</c:v>
                </c:pt>
                <c:pt idx="1254">
                  <c:v>48072</c:v>
                </c:pt>
                <c:pt idx="1255">
                  <c:v>48079</c:v>
                </c:pt>
                <c:pt idx="1256">
                  <c:v>48086</c:v>
                </c:pt>
                <c:pt idx="1257">
                  <c:v>48093</c:v>
                </c:pt>
                <c:pt idx="1258">
                  <c:v>48100</c:v>
                </c:pt>
                <c:pt idx="1259">
                  <c:v>48107</c:v>
                </c:pt>
                <c:pt idx="1260">
                  <c:v>48114</c:v>
                </c:pt>
                <c:pt idx="1261">
                  <c:v>48121</c:v>
                </c:pt>
                <c:pt idx="1262">
                  <c:v>48128</c:v>
                </c:pt>
                <c:pt idx="1263">
                  <c:v>48135</c:v>
                </c:pt>
                <c:pt idx="1264">
                  <c:v>48142</c:v>
                </c:pt>
                <c:pt idx="1265">
                  <c:v>48149</c:v>
                </c:pt>
                <c:pt idx="1266">
                  <c:v>48156</c:v>
                </c:pt>
                <c:pt idx="1267">
                  <c:v>48163</c:v>
                </c:pt>
                <c:pt idx="1268">
                  <c:v>48170</c:v>
                </c:pt>
                <c:pt idx="1269">
                  <c:v>48177</c:v>
                </c:pt>
                <c:pt idx="1270">
                  <c:v>48184</c:v>
                </c:pt>
                <c:pt idx="1271">
                  <c:v>48191</c:v>
                </c:pt>
                <c:pt idx="1272">
                  <c:v>48198</c:v>
                </c:pt>
                <c:pt idx="1273">
                  <c:v>48205</c:v>
                </c:pt>
                <c:pt idx="1274">
                  <c:v>48212</c:v>
                </c:pt>
                <c:pt idx="1275">
                  <c:v>48219</c:v>
                </c:pt>
                <c:pt idx="1276">
                  <c:v>48226</c:v>
                </c:pt>
                <c:pt idx="1277">
                  <c:v>48233</c:v>
                </c:pt>
                <c:pt idx="1278">
                  <c:v>48240</c:v>
                </c:pt>
                <c:pt idx="1279">
                  <c:v>48247</c:v>
                </c:pt>
                <c:pt idx="1280">
                  <c:v>48254</c:v>
                </c:pt>
                <c:pt idx="1281">
                  <c:v>48261</c:v>
                </c:pt>
                <c:pt idx="1282">
                  <c:v>48268</c:v>
                </c:pt>
                <c:pt idx="1283">
                  <c:v>48275</c:v>
                </c:pt>
                <c:pt idx="1284">
                  <c:v>48282</c:v>
                </c:pt>
                <c:pt idx="1285">
                  <c:v>48289</c:v>
                </c:pt>
                <c:pt idx="1286">
                  <c:v>48296</c:v>
                </c:pt>
                <c:pt idx="1287">
                  <c:v>48303</c:v>
                </c:pt>
                <c:pt idx="1288">
                  <c:v>48310</c:v>
                </c:pt>
                <c:pt idx="1289">
                  <c:v>48317</c:v>
                </c:pt>
                <c:pt idx="1290">
                  <c:v>48324</c:v>
                </c:pt>
                <c:pt idx="1291">
                  <c:v>48331</c:v>
                </c:pt>
                <c:pt idx="1292">
                  <c:v>48338</c:v>
                </c:pt>
                <c:pt idx="1293">
                  <c:v>48345</c:v>
                </c:pt>
                <c:pt idx="1294">
                  <c:v>48352</c:v>
                </c:pt>
                <c:pt idx="1295">
                  <c:v>48359</c:v>
                </c:pt>
                <c:pt idx="1296">
                  <c:v>48366</c:v>
                </c:pt>
                <c:pt idx="1297">
                  <c:v>48373</c:v>
                </c:pt>
                <c:pt idx="1298">
                  <c:v>48380</c:v>
                </c:pt>
                <c:pt idx="1299">
                  <c:v>48387</c:v>
                </c:pt>
                <c:pt idx="1300">
                  <c:v>48394</c:v>
                </c:pt>
                <c:pt idx="1301">
                  <c:v>48401</c:v>
                </c:pt>
                <c:pt idx="1302">
                  <c:v>48408</c:v>
                </c:pt>
                <c:pt idx="1303">
                  <c:v>48415</c:v>
                </c:pt>
                <c:pt idx="1304">
                  <c:v>48422</c:v>
                </c:pt>
                <c:pt idx="1305">
                  <c:v>48429</c:v>
                </c:pt>
                <c:pt idx="1306">
                  <c:v>48436</c:v>
                </c:pt>
                <c:pt idx="1307">
                  <c:v>48443</c:v>
                </c:pt>
                <c:pt idx="1308">
                  <c:v>48450</c:v>
                </c:pt>
                <c:pt idx="1309">
                  <c:v>48457</c:v>
                </c:pt>
                <c:pt idx="1310">
                  <c:v>48464</c:v>
                </c:pt>
                <c:pt idx="1311">
                  <c:v>48471</c:v>
                </c:pt>
                <c:pt idx="1312">
                  <c:v>48478</c:v>
                </c:pt>
                <c:pt idx="1313">
                  <c:v>48485</c:v>
                </c:pt>
                <c:pt idx="1314">
                  <c:v>48492</c:v>
                </c:pt>
                <c:pt idx="1315">
                  <c:v>48499</c:v>
                </c:pt>
                <c:pt idx="1316">
                  <c:v>48506</c:v>
                </c:pt>
                <c:pt idx="1317">
                  <c:v>48513</c:v>
                </c:pt>
                <c:pt idx="1318">
                  <c:v>48520</c:v>
                </c:pt>
                <c:pt idx="1319">
                  <c:v>48527</c:v>
                </c:pt>
                <c:pt idx="1320">
                  <c:v>48534</c:v>
                </c:pt>
                <c:pt idx="1321">
                  <c:v>48541</c:v>
                </c:pt>
                <c:pt idx="1322">
                  <c:v>48548</c:v>
                </c:pt>
                <c:pt idx="1323">
                  <c:v>48555</c:v>
                </c:pt>
                <c:pt idx="1324">
                  <c:v>48562</c:v>
                </c:pt>
                <c:pt idx="1325">
                  <c:v>48569</c:v>
                </c:pt>
                <c:pt idx="1326">
                  <c:v>48577</c:v>
                </c:pt>
                <c:pt idx="1327">
                  <c:v>48584</c:v>
                </c:pt>
                <c:pt idx="1328">
                  <c:v>48591</c:v>
                </c:pt>
                <c:pt idx="1329">
                  <c:v>48598</c:v>
                </c:pt>
                <c:pt idx="1330">
                  <c:v>48606</c:v>
                </c:pt>
                <c:pt idx="1331">
                  <c:v>48613</c:v>
                </c:pt>
                <c:pt idx="1332">
                  <c:v>48620</c:v>
                </c:pt>
                <c:pt idx="1333">
                  <c:v>48627</c:v>
                </c:pt>
                <c:pt idx="1334">
                  <c:v>48634</c:v>
                </c:pt>
                <c:pt idx="1335">
                  <c:v>48641</c:v>
                </c:pt>
                <c:pt idx="1336">
                  <c:v>48648</c:v>
                </c:pt>
                <c:pt idx="1337">
                  <c:v>48655</c:v>
                </c:pt>
                <c:pt idx="1338">
                  <c:v>48662</c:v>
                </c:pt>
                <c:pt idx="1339">
                  <c:v>48669</c:v>
                </c:pt>
                <c:pt idx="1340">
                  <c:v>48676</c:v>
                </c:pt>
                <c:pt idx="1341">
                  <c:v>48683</c:v>
                </c:pt>
                <c:pt idx="1342">
                  <c:v>48690</c:v>
                </c:pt>
                <c:pt idx="1343">
                  <c:v>48697</c:v>
                </c:pt>
                <c:pt idx="1344">
                  <c:v>48704</c:v>
                </c:pt>
                <c:pt idx="1345">
                  <c:v>48711</c:v>
                </c:pt>
                <c:pt idx="1346">
                  <c:v>48718</c:v>
                </c:pt>
                <c:pt idx="1347">
                  <c:v>48725</c:v>
                </c:pt>
                <c:pt idx="1348">
                  <c:v>48732</c:v>
                </c:pt>
                <c:pt idx="1349">
                  <c:v>48739</c:v>
                </c:pt>
                <c:pt idx="1350">
                  <c:v>48746</c:v>
                </c:pt>
                <c:pt idx="1351">
                  <c:v>48753</c:v>
                </c:pt>
                <c:pt idx="1352">
                  <c:v>48760</c:v>
                </c:pt>
                <c:pt idx="1353">
                  <c:v>48767</c:v>
                </c:pt>
                <c:pt idx="1354">
                  <c:v>48774</c:v>
                </c:pt>
                <c:pt idx="1355">
                  <c:v>48781</c:v>
                </c:pt>
                <c:pt idx="1356">
                  <c:v>48788</c:v>
                </c:pt>
                <c:pt idx="1357">
                  <c:v>48795</c:v>
                </c:pt>
                <c:pt idx="1358">
                  <c:v>48802</c:v>
                </c:pt>
                <c:pt idx="1359">
                  <c:v>48809</c:v>
                </c:pt>
                <c:pt idx="1360">
                  <c:v>48816</c:v>
                </c:pt>
                <c:pt idx="1361">
                  <c:v>48823</c:v>
                </c:pt>
                <c:pt idx="1362">
                  <c:v>48830</c:v>
                </c:pt>
                <c:pt idx="1363">
                  <c:v>48837</c:v>
                </c:pt>
                <c:pt idx="1364">
                  <c:v>48844</c:v>
                </c:pt>
                <c:pt idx="1365">
                  <c:v>48851</c:v>
                </c:pt>
                <c:pt idx="1366">
                  <c:v>48858</c:v>
                </c:pt>
                <c:pt idx="1367">
                  <c:v>48865</c:v>
                </c:pt>
                <c:pt idx="1368">
                  <c:v>48872</c:v>
                </c:pt>
                <c:pt idx="1369">
                  <c:v>48879</c:v>
                </c:pt>
                <c:pt idx="1370">
                  <c:v>48886</c:v>
                </c:pt>
                <c:pt idx="1371">
                  <c:v>48893</c:v>
                </c:pt>
                <c:pt idx="1372">
                  <c:v>48900</c:v>
                </c:pt>
                <c:pt idx="1373">
                  <c:v>48907</c:v>
                </c:pt>
                <c:pt idx="1374">
                  <c:v>48914</c:v>
                </c:pt>
                <c:pt idx="1375">
                  <c:v>48921</c:v>
                </c:pt>
                <c:pt idx="1376">
                  <c:v>48928</c:v>
                </c:pt>
                <c:pt idx="1377">
                  <c:v>48935</c:v>
                </c:pt>
                <c:pt idx="1378">
                  <c:v>48942</c:v>
                </c:pt>
                <c:pt idx="1379">
                  <c:v>48949</c:v>
                </c:pt>
                <c:pt idx="1380">
                  <c:v>48956</c:v>
                </c:pt>
                <c:pt idx="1381">
                  <c:v>48963</c:v>
                </c:pt>
                <c:pt idx="1382">
                  <c:v>48971</c:v>
                </c:pt>
                <c:pt idx="1383">
                  <c:v>48978</c:v>
                </c:pt>
                <c:pt idx="1384">
                  <c:v>48985</c:v>
                </c:pt>
                <c:pt idx="1385">
                  <c:v>48992</c:v>
                </c:pt>
                <c:pt idx="1386">
                  <c:v>48999</c:v>
                </c:pt>
                <c:pt idx="1387">
                  <c:v>49006</c:v>
                </c:pt>
                <c:pt idx="1388">
                  <c:v>49013</c:v>
                </c:pt>
                <c:pt idx="1389">
                  <c:v>49020</c:v>
                </c:pt>
                <c:pt idx="1390">
                  <c:v>49027</c:v>
                </c:pt>
                <c:pt idx="1391">
                  <c:v>49034</c:v>
                </c:pt>
                <c:pt idx="1392">
                  <c:v>49045</c:v>
                </c:pt>
                <c:pt idx="1393">
                  <c:v>49052</c:v>
                </c:pt>
                <c:pt idx="1394">
                  <c:v>49060</c:v>
                </c:pt>
                <c:pt idx="1395">
                  <c:v>49067</c:v>
                </c:pt>
                <c:pt idx="1396">
                  <c:v>49074</c:v>
                </c:pt>
                <c:pt idx="1397">
                  <c:v>49081</c:v>
                </c:pt>
                <c:pt idx="1398">
                  <c:v>49088</c:v>
                </c:pt>
                <c:pt idx="1399">
                  <c:v>49095</c:v>
                </c:pt>
                <c:pt idx="1400">
                  <c:v>49102</c:v>
                </c:pt>
                <c:pt idx="1401">
                  <c:v>49109</c:v>
                </c:pt>
                <c:pt idx="1402">
                  <c:v>49116</c:v>
                </c:pt>
                <c:pt idx="1403">
                  <c:v>49123</c:v>
                </c:pt>
                <c:pt idx="1404">
                  <c:v>49130</c:v>
                </c:pt>
                <c:pt idx="1405">
                  <c:v>49137</c:v>
                </c:pt>
                <c:pt idx="1406">
                  <c:v>49144</c:v>
                </c:pt>
                <c:pt idx="1407">
                  <c:v>49151</c:v>
                </c:pt>
                <c:pt idx="1408">
                  <c:v>49158</c:v>
                </c:pt>
                <c:pt idx="1409">
                  <c:v>49165</c:v>
                </c:pt>
                <c:pt idx="1410">
                  <c:v>49172</c:v>
                </c:pt>
                <c:pt idx="1411">
                  <c:v>49179</c:v>
                </c:pt>
                <c:pt idx="1412">
                  <c:v>49186</c:v>
                </c:pt>
                <c:pt idx="1413">
                  <c:v>49193</c:v>
                </c:pt>
                <c:pt idx="1414">
                  <c:v>49200</c:v>
                </c:pt>
                <c:pt idx="1415">
                  <c:v>49207</c:v>
                </c:pt>
                <c:pt idx="1416">
                  <c:v>49214</c:v>
                </c:pt>
                <c:pt idx="1417">
                  <c:v>49221</c:v>
                </c:pt>
                <c:pt idx="1418">
                  <c:v>49228</c:v>
                </c:pt>
                <c:pt idx="1419">
                  <c:v>49235</c:v>
                </c:pt>
                <c:pt idx="1420">
                  <c:v>49242</c:v>
                </c:pt>
                <c:pt idx="1421">
                  <c:v>49249</c:v>
                </c:pt>
                <c:pt idx="1422">
                  <c:v>49256</c:v>
                </c:pt>
                <c:pt idx="1423">
                  <c:v>49263</c:v>
                </c:pt>
                <c:pt idx="1424">
                  <c:v>49270</c:v>
                </c:pt>
                <c:pt idx="1425">
                  <c:v>49277</c:v>
                </c:pt>
                <c:pt idx="1426">
                  <c:v>49284</c:v>
                </c:pt>
                <c:pt idx="1427">
                  <c:v>49291</c:v>
                </c:pt>
                <c:pt idx="1428">
                  <c:v>49298</c:v>
                </c:pt>
                <c:pt idx="1429">
                  <c:v>49305</c:v>
                </c:pt>
                <c:pt idx="1430">
                  <c:v>49312</c:v>
                </c:pt>
                <c:pt idx="1431">
                  <c:v>49319</c:v>
                </c:pt>
                <c:pt idx="1432">
                  <c:v>49326</c:v>
                </c:pt>
                <c:pt idx="1433">
                  <c:v>49333</c:v>
                </c:pt>
                <c:pt idx="1434">
                  <c:v>49340</c:v>
                </c:pt>
                <c:pt idx="1435">
                  <c:v>49347</c:v>
                </c:pt>
                <c:pt idx="1436">
                  <c:v>49354</c:v>
                </c:pt>
                <c:pt idx="1437">
                  <c:v>49361</c:v>
                </c:pt>
                <c:pt idx="1438">
                  <c:v>49368</c:v>
                </c:pt>
                <c:pt idx="1439">
                  <c:v>49375</c:v>
                </c:pt>
                <c:pt idx="1440">
                  <c:v>49382</c:v>
                </c:pt>
                <c:pt idx="1441">
                  <c:v>49389</c:v>
                </c:pt>
                <c:pt idx="1442">
                  <c:v>49396</c:v>
                </c:pt>
                <c:pt idx="1443">
                  <c:v>49403</c:v>
                </c:pt>
                <c:pt idx="1444">
                  <c:v>49410</c:v>
                </c:pt>
                <c:pt idx="1445">
                  <c:v>49417</c:v>
                </c:pt>
                <c:pt idx="1446">
                  <c:v>49425</c:v>
                </c:pt>
                <c:pt idx="1447">
                  <c:v>49432</c:v>
                </c:pt>
                <c:pt idx="1448">
                  <c:v>49439</c:v>
                </c:pt>
                <c:pt idx="1449">
                  <c:v>49446</c:v>
                </c:pt>
                <c:pt idx="1450">
                  <c:v>49453</c:v>
                </c:pt>
                <c:pt idx="1451">
                  <c:v>49460</c:v>
                </c:pt>
                <c:pt idx="1452">
                  <c:v>49467</c:v>
                </c:pt>
                <c:pt idx="1453">
                  <c:v>49474</c:v>
                </c:pt>
                <c:pt idx="1454">
                  <c:v>49481</c:v>
                </c:pt>
                <c:pt idx="1455">
                  <c:v>49488</c:v>
                </c:pt>
                <c:pt idx="1456">
                  <c:v>49495</c:v>
                </c:pt>
                <c:pt idx="1457">
                  <c:v>49502</c:v>
                </c:pt>
                <c:pt idx="1458">
                  <c:v>49509</c:v>
                </c:pt>
                <c:pt idx="1459">
                  <c:v>49516</c:v>
                </c:pt>
                <c:pt idx="1460">
                  <c:v>49523</c:v>
                </c:pt>
                <c:pt idx="1461">
                  <c:v>49530</c:v>
                </c:pt>
                <c:pt idx="1462">
                  <c:v>49537</c:v>
                </c:pt>
                <c:pt idx="1463">
                  <c:v>49544</c:v>
                </c:pt>
                <c:pt idx="1464">
                  <c:v>49551</c:v>
                </c:pt>
                <c:pt idx="1465">
                  <c:v>49558</c:v>
                </c:pt>
                <c:pt idx="1466">
                  <c:v>49565</c:v>
                </c:pt>
                <c:pt idx="1467">
                  <c:v>49572</c:v>
                </c:pt>
                <c:pt idx="1468">
                  <c:v>49579</c:v>
                </c:pt>
                <c:pt idx="1469">
                  <c:v>49586</c:v>
                </c:pt>
                <c:pt idx="1470">
                  <c:v>49593</c:v>
                </c:pt>
                <c:pt idx="1471">
                  <c:v>49600</c:v>
                </c:pt>
                <c:pt idx="1472">
                  <c:v>49607</c:v>
                </c:pt>
                <c:pt idx="1473">
                  <c:v>49614</c:v>
                </c:pt>
                <c:pt idx="1474">
                  <c:v>49621</c:v>
                </c:pt>
                <c:pt idx="1475">
                  <c:v>49628</c:v>
                </c:pt>
                <c:pt idx="1476">
                  <c:v>49635</c:v>
                </c:pt>
                <c:pt idx="1477">
                  <c:v>49642</c:v>
                </c:pt>
                <c:pt idx="1478">
                  <c:v>49649</c:v>
                </c:pt>
                <c:pt idx="1479">
                  <c:v>49656</c:v>
                </c:pt>
                <c:pt idx="1480">
                  <c:v>49663</c:v>
                </c:pt>
                <c:pt idx="1481">
                  <c:v>49670</c:v>
                </c:pt>
                <c:pt idx="1482">
                  <c:v>49677</c:v>
                </c:pt>
                <c:pt idx="1483">
                  <c:v>49684</c:v>
                </c:pt>
                <c:pt idx="1484">
                  <c:v>49691</c:v>
                </c:pt>
                <c:pt idx="1485">
                  <c:v>49698</c:v>
                </c:pt>
                <c:pt idx="1486">
                  <c:v>49705</c:v>
                </c:pt>
                <c:pt idx="1487">
                  <c:v>49712</c:v>
                </c:pt>
                <c:pt idx="1488">
                  <c:v>49719</c:v>
                </c:pt>
                <c:pt idx="1489">
                  <c:v>49726</c:v>
                </c:pt>
                <c:pt idx="1490">
                  <c:v>49733</c:v>
                </c:pt>
                <c:pt idx="1491">
                  <c:v>49740</c:v>
                </c:pt>
                <c:pt idx="1492">
                  <c:v>49747</c:v>
                </c:pt>
                <c:pt idx="1493">
                  <c:v>49754</c:v>
                </c:pt>
                <c:pt idx="1494">
                  <c:v>49761</c:v>
                </c:pt>
                <c:pt idx="1495">
                  <c:v>49768</c:v>
                </c:pt>
                <c:pt idx="1496">
                  <c:v>49775</c:v>
                </c:pt>
                <c:pt idx="1497">
                  <c:v>49782</c:v>
                </c:pt>
                <c:pt idx="1498">
                  <c:v>49789</c:v>
                </c:pt>
                <c:pt idx="1499">
                  <c:v>49796</c:v>
                </c:pt>
                <c:pt idx="1500">
                  <c:v>49803</c:v>
                </c:pt>
                <c:pt idx="1501">
                  <c:v>49810</c:v>
                </c:pt>
                <c:pt idx="1502">
                  <c:v>49817</c:v>
                </c:pt>
                <c:pt idx="1503">
                  <c:v>49824</c:v>
                </c:pt>
                <c:pt idx="1504">
                  <c:v>49831</c:v>
                </c:pt>
                <c:pt idx="1505">
                  <c:v>49838</c:v>
                </c:pt>
                <c:pt idx="1506">
                  <c:v>49845</c:v>
                </c:pt>
                <c:pt idx="1507">
                  <c:v>49852</c:v>
                </c:pt>
                <c:pt idx="1508">
                  <c:v>49859</c:v>
                </c:pt>
                <c:pt idx="1509">
                  <c:v>49866</c:v>
                </c:pt>
                <c:pt idx="1510">
                  <c:v>49873</c:v>
                </c:pt>
                <c:pt idx="1511">
                  <c:v>49880</c:v>
                </c:pt>
                <c:pt idx="1512">
                  <c:v>49887</c:v>
                </c:pt>
                <c:pt idx="1513">
                  <c:v>49894</c:v>
                </c:pt>
                <c:pt idx="1514">
                  <c:v>49901</c:v>
                </c:pt>
                <c:pt idx="1515">
                  <c:v>49908</c:v>
                </c:pt>
                <c:pt idx="1516">
                  <c:v>49915</c:v>
                </c:pt>
                <c:pt idx="1517">
                  <c:v>49922</c:v>
                </c:pt>
                <c:pt idx="1518">
                  <c:v>49929</c:v>
                </c:pt>
                <c:pt idx="1519">
                  <c:v>49936</c:v>
                </c:pt>
                <c:pt idx="1520">
                  <c:v>49943</c:v>
                </c:pt>
                <c:pt idx="1521">
                  <c:v>49950</c:v>
                </c:pt>
                <c:pt idx="1522">
                  <c:v>49957</c:v>
                </c:pt>
                <c:pt idx="1523">
                  <c:v>49964</c:v>
                </c:pt>
                <c:pt idx="1524">
                  <c:v>49971</c:v>
                </c:pt>
                <c:pt idx="1525">
                  <c:v>49978</c:v>
                </c:pt>
                <c:pt idx="1526">
                  <c:v>49985</c:v>
                </c:pt>
                <c:pt idx="1527">
                  <c:v>49992</c:v>
                </c:pt>
                <c:pt idx="1528">
                  <c:v>49999</c:v>
                </c:pt>
                <c:pt idx="1529">
                  <c:v>50006</c:v>
                </c:pt>
                <c:pt idx="1530">
                  <c:v>50013</c:v>
                </c:pt>
                <c:pt idx="1531">
                  <c:v>50020</c:v>
                </c:pt>
                <c:pt idx="1532">
                  <c:v>50027</c:v>
                </c:pt>
                <c:pt idx="1533">
                  <c:v>50038</c:v>
                </c:pt>
                <c:pt idx="1534">
                  <c:v>50045</c:v>
                </c:pt>
                <c:pt idx="1535">
                  <c:v>50052</c:v>
                </c:pt>
                <c:pt idx="1536">
                  <c:v>50059</c:v>
                </c:pt>
                <c:pt idx="1537">
                  <c:v>50067</c:v>
                </c:pt>
                <c:pt idx="1538">
                  <c:v>50074</c:v>
                </c:pt>
                <c:pt idx="1539">
                  <c:v>50081</c:v>
                </c:pt>
                <c:pt idx="1540">
                  <c:v>50088</c:v>
                </c:pt>
                <c:pt idx="1541">
                  <c:v>50095</c:v>
                </c:pt>
                <c:pt idx="1542">
                  <c:v>50102</c:v>
                </c:pt>
                <c:pt idx="1543">
                  <c:v>50109</c:v>
                </c:pt>
                <c:pt idx="1544">
                  <c:v>50116</c:v>
                </c:pt>
                <c:pt idx="1545">
                  <c:v>50123</c:v>
                </c:pt>
                <c:pt idx="1546">
                  <c:v>50130</c:v>
                </c:pt>
                <c:pt idx="1547">
                  <c:v>50137</c:v>
                </c:pt>
                <c:pt idx="1548">
                  <c:v>50144</c:v>
                </c:pt>
                <c:pt idx="1549">
                  <c:v>50151</c:v>
                </c:pt>
                <c:pt idx="1550">
                  <c:v>50158</c:v>
                </c:pt>
                <c:pt idx="1551">
                  <c:v>50165</c:v>
                </c:pt>
                <c:pt idx="1552">
                  <c:v>50172</c:v>
                </c:pt>
                <c:pt idx="1553">
                  <c:v>50179</c:v>
                </c:pt>
                <c:pt idx="1554">
                  <c:v>50186</c:v>
                </c:pt>
                <c:pt idx="1555">
                  <c:v>50193</c:v>
                </c:pt>
                <c:pt idx="1556">
                  <c:v>50200</c:v>
                </c:pt>
                <c:pt idx="1557">
                  <c:v>50207</c:v>
                </c:pt>
                <c:pt idx="1558">
                  <c:v>50214</c:v>
                </c:pt>
                <c:pt idx="1559">
                  <c:v>50221</c:v>
                </c:pt>
                <c:pt idx="1560">
                  <c:v>50228</c:v>
                </c:pt>
                <c:pt idx="1561">
                  <c:v>50235</c:v>
                </c:pt>
                <c:pt idx="1562">
                  <c:v>50242</c:v>
                </c:pt>
                <c:pt idx="1563">
                  <c:v>50249</c:v>
                </c:pt>
                <c:pt idx="1564">
                  <c:v>50256</c:v>
                </c:pt>
                <c:pt idx="1565">
                  <c:v>50263</c:v>
                </c:pt>
                <c:pt idx="1566">
                  <c:v>50270</c:v>
                </c:pt>
                <c:pt idx="1567">
                  <c:v>50277</c:v>
                </c:pt>
                <c:pt idx="1568">
                  <c:v>50284</c:v>
                </c:pt>
                <c:pt idx="1569">
                  <c:v>50291</c:v>
                </c:pt>
                <c:pt idx="1570">
                  <c:v>50298</c:v>
                </c:pt>
                <c:pt idx="1571">
                  <c:v>50305</c:v>
                </c:pt>
                <c:pt idx="1572">
                  <c:v>50312</c:v>
                </c:pt>
                <c:pt idx="1573">
                  <c:v>50319</c:v>
                </c:pt>
                <c:pt idx="1574">
                  <c:v>50326</c:v>
                </c:pt>
                <c:pt idx="1575">
                  <c:v>50333</c:v>
                </c:pt>
                <c:pt idx="1576">
                  <c:v>50340</c:v>
                </c:pt>
                <c:pt idx="1577">
                  <c:v>50347</c:v>
                </c:pt>
                <c:pt idx="1578">
                  <c:v>50354</c:v>
                </c:pt>
                <c:pt idx="1579">
                  <c:v>50361</c:v>
                </c:pt>
                <c:pt idx="1580">
                  <c:v>50368</c:v>
                </c:pt>
                <c:pt idx="1581">
                  <c:v>50375</c:v>
                </c:pt>
                <c:pt idx="1582">
                  <c:v>50382</c:v>
                </c:pt>
                <c:pt idx="1583">
                  <c:v>50389</c:v>
                </c:pt>
                <c:pt idx="1584">
                  <c:v>50396</c:v>
                </c:pt>
                <c:pt idx="1585">
                  <c:v>50403</c:v>
                </c:pt>
                <c:pt idx="1586">
                  <c:v>50410</c:v>
                </c:pt>
                <c:pt idx="1587">
                  <c:v>50417</c:v>
                </c:pt>
                <c:pt idx="1588">
                  <c:v>50424</c:v>
                </c:pt>
                <c:pt idx="1589">
                  <c:v>50432</c:v>
                </c:pt>
                <c:pt idx="1590">
                  <c:v>50439</c:v>
                </c:pt>
                <c:pt idx="1591">
                  <c:v>50446</c:v>
                </c:pt>
                <c:pt idx="1592">
                  <c:v>50453</c:v>
                </c:pt>
                <c:pt idx="1593">
                  <c:v>50460</c:v>
                </c:pt>
                <c:pt idx="1594">
                  <c:v>50467</c:v>
                </c:pt>
                <c:pt idx="1595">
                  <c:v>50474</c:v>
                </c:pt>
                <c:pt idx="1596">
                  <c:v>50481</c:v>
                </c:pt>
                <c:pt idx="1597">
                  <c:v>50488</c:v>
                </c:pt>
                <c:pt idx="1598">
                  <c:v>50495</c:v>
                </c:pt>
                <c:pt idx="1599">
                  <c:v>50502</c:v>
                </c:pt>
                <c:pt idx="1600">
                  <c:v>50509</c:v>
                </c:pt>
                <c:pt idx="1601">
                  <c:v>50516</c:v>
                </c:pt>
                <c:pt idx="1602">
                  <c:v>50523</c:v>
                </c:pt>
                <c:pt idx="1603">
                  <c:v>50530</c:v>
                </c:pt>
                <c:pt idx="1604">
                  <c:v>50537</c:v>
                </c:pt>
                <c:pt idx="1605">
                  <c:v>50544</c:v>
                </c:pt>
                <c:pt idx="1606">
                  <c:v>50551</c:v>
                </c:pt>
                <c:pt idx="1607">
                  <c:v>50558</c:v>
                </c:pt>
                <c:pt idx="1608">
                  <c:v>50565</c:v>
                </c:pt>
                <c:pt idx="1609">
                  <c:v>50572</c:v>
                </c:pt>
                <c:pt idx="1610">
                  <c:v>50579</c:v>
                </c:pt>
                <c:pt idx="1611">
                  <c:v>50586</c:v>
                </c:pt>
                <c:pt idx="1612">
                  <c:v>50593</c:v>
                </c:pt>
                <c:pt idx="1613">
                  <c:v>50600</c:v>
                </c:pt>
                <c:pt idx="1614">
                  <c:v>50607</c:v>
                </c:pt>
                <c:pt idx="1615">
                  <c:v>50614</c:v>
                </c:pt>
                <c:pt idx="1616">
                  <c:v>50621</c:v>
                </c:pt>
                <c:pt idx="1617">
                  <c:v>50628</c:v>
                </c:pt>
                <c:pt idx="1618">
                  <c:v>50635</c:v>
                </c:pt>
                <c:pt idx="1619">
                  <c:v>50642</c:v>
                </c:pt>
                <c:pt idx="1620">
                  <c:v>50649</c:v>
                </c:pt>
                <c:pt idx="1621">
                  <c:v>50656</c:v>
                </c:pt>
                <c:pt idx="1622">
                  <c:v>50663</c:v>
                </c:pt>
                <c:pt idx="1623">
                  <c:v>50670</c:v>
                </c:pt>
                <c:pt idx="1624">
                  <c:v>50677</c:v>
                </c:pt>
                <c:pt idx="1625">
                  <c:v>50684</c:v>
                </c:pt>
                <c:pt idx="1626">
                  <c:v>50691</c:v>
                </c:pt>
                <c:pt idx="1627">
                  <c:v>50698</c:v>
                </c:pt>
                <c:pt idx="1628">
                  <c:v>50705</c:v>
                </c:pt>
                <c:pt idx="1629">
                  <c:v>50712</c:v>
                </c:pt>
                <c:pt idx="1630">
                  <c:v>50719</c:v>
                </c:pt>
                <c:pt idx="1631">
                  <c:v>50726</c:v>
                </c:pt>
                <c:pt idx="1632">
                  <c:v>50733</c:v>
                </c:pt>
                <c:pt idx="1633">
                  <c:v>50740</c:v>
                </c:pt>
                <c:pt idx="1634">
                  <c:v>50747</c:v>
                </c:pt>
                <c:pt idx="1635">
                  <c:v>50754</c:v>
                </c:pt>
                <c:pt idx="1636">
                  <c:v>50761</c:v>
                </c:pt>
                <c:pt idx="1637">
                  <c:v>50768</c:v>
                </c:pt>
                <c:pt idx="1638">
                  <c:v>50775</c:v>
                </c:pt>
                <c:pt idx="1639">
                  <c:v>50782</c:v>
                </c:pt>
                <c:pt idx="1640">
                  <c:v>50789</c:v>
                </c:pt>
                <c:pt idx="1641">
                  <c:v>50797</c:v>
                </c:pt>
                <c:pt idx="1642">
                  <c:v>50804</c:v>
                </c:pt>
                <c:pt idx="1643">
                  <c:v>50811</c:v>
                </c:pt>
                <c:pt idx="1644">
                  <c:v>50818</c:v>
                </c:pt>
                <c:pt idx="1645">
                  <c:v>50825</c:v>
                </c:pt>
                <c:pt idx="1646">
                  <c:v>50832</c:v>
                </c:pt>
                <c:pt idx="1647">
                  <c:v>50839</c:v>
                </c:pt>
                <c:pt idx="1648">
                  <c:v>50846</c:v>
                </c:pt>
                <c:pt idx="1649">
                  <c:v>50853</c:v>
                </c:pt>
                <c:pt idx="1650">
                  <c:v>50860</c:v>
                </c:pt>
                <c:pt idx="1651">
                  <c:v>50867</c:v>
                </c:pt>
                <c:pt idx="1652">
                  <c:v>50874</c:v>
                </c:pt>
                <c:pt idx="1653">
                  <c:v>50881</c:v>
                </c:pt>
                <c:pt idx="1654">
                  <c:v>50888</c:v>
                </c:pt>
                <c:pt idx="1655">
                  <c:v>50895</c:v>
                </c:pt>
                <c:pt idx="1656">
                  <c:v>50902</c:v>
                </c:pt>
                <c:pt idx="1657">
                  <c:v>50909</c:v>
                </c:pt>
                <c:pt idx="1658">
                  <c:v>50916</c:v>
                </c:pt>
                <c:pt idx="1659">
                  <c:v>50923</c:v>
                </c:pt>
                <c:pt idx="1660">
                  <c:v>50930</c:v>
                </c:pt>
                <c:pt idx="1661">
                  <c:v>50937</c:v>
                </c:pt>
                <c:pt idx="1662">
                  <c:v>50944</c:v>
                </c:pt>
                <c:pt idx="1663">
                  <c:v>50951</c:v>
                </c:pt>
                <c:pt idx="1664">
                  <c:v>50958</c:v>
                </c:pt>
                <c:pt idx="1665">
                  <c:v>50965</c:v>
                </c:pt>
                <c:pt idx="1666">
                  <c:v>50972</c:v>
                </c:pt>
                <c:pt idx="1667">
                  <c:v>50979</c:v>
                </c:pt>
                <c:pt idx="1668">
                  <c:v>50986</c:v>
                </c:pt>
                <c:pt idx="1669">
                  <c:v>50993</c:v>
                </c:pt>
                <c:pt idx="1670">
                  <c:v>51000</c:v>
                </c:pt>
                <c:pt idx="1671">
                  <c:v>51007</c:v>
                </c:pt>
                <c:pt idx="1672">
                  <c:v>51014</c:v>
                </c:pt>
                <c:pt idx="1673">
                  <c:v>51021</c:v>
                </c:pt>
                <c:pt idx="1674">
                  <c:v>51028</c:v>
                </c:pt>
                <c:pt idx="1675">
                  <c:v>51035</c:v>
                </c:pt>
                <c:pt idx="1676">
                  <c:v>51042</c:v>
                </c:pt>
                <c:pt idx="1677">
                  <c:v>51049</c:v>
                </c:pt>
                <c:pt idx="1678">
                  <c:v>51056</c:v>
                </c:pt>
                <c:pt idx="1679">
                  <c:v>51063</c:v>
                </c:pt>
                <c:pt idx="1680">
                  <c:v>51070</c:v>
                </c:pt>
                <c:pt idx="1681">
                  <c:v>51077</c:v>
                </c:pt>
                <c:pt idx="1682">
                  <c:v>51084</c:v>
                </c:pt>
                <c:pt idx="1683">
                  <c:v>51091</c:v>
                </c:pt>
                <c:pt idx="1684">
                  <c:v>51098</c:v>
                </c:pt>
                <c:pt idx="1685">
                  <c:v>51105</c:v>
                </c:pt>
                <c:pt idx="1686">
                  <c:v>51112</c:v>
                </c:pt>
                <c:pt idx="1687">
                  <c:v>51119</c:v>
                </c:pt>
                <c:pt idx="1688">
                  <c:v>51126</c:v>
                </c:pt>
                <c:pt idx="1689">
                  <c:v>51133</c:v>
                </c:pt>
                <c:pt idx="1690">
                  <c:v>51140</c:v>
                </c:pt>
                <c:pt idx="1691">
                  <c:v>51147</c:v>
                </c:pt>
                <c:pt idx="1692">
                  <c:v>51154</c:v>
                </c:pt>
                <c:pt idx="1693">
                  <c:v>51162</c:v>
                </c:pt>
                <c:pt idx="1694">
                  <c:v>51169</c:v>
                </c:pt>
                <c:pt idx="1695">
                  <c:v>51176</c:v>
                </c:pt>
                <c:pt idx="1696">
                  <c:v>51183</c:v>
                </c:pt>
                <c:pt idx="1697">
                  <c:v>51190</c:v>
                </c:pt>
                <c:pt idx="1698">
                  <c:v>51197</c:v>
                </c:pt>
                <c:pt idx="1699">
                  <c:v>51204</c:v>
                </c:pt>
                <c:pt idx="1700">
                  <c:v>51211</c:v>
                </c:pt>
                <c:pt idx="1701">
                  <c:v>51218</c:v>
                </c:pt>
                <c:pt idx="1702">
                  <c:v>51229</c:v>
                </c:pt>
                <c:pt idx="1703">
                  <c:v>51236</c:v>
                </c:pt>
                <c:pt idx="1704">
                  <c:v>51243</c:v>
                </c:pt>
                <c:pt idx="1705">
                  <c:v>51250</c:v>
                </c:pt>
                <c:pt idx="1706">
                  <c:v>51257</c:v>
                </c:pt>
                <c:pt idx="1707">
                  <c:v>51264</c:v>
                </c:pt>
                <c:pt idx="1708">
                  <c:v>51271</c:v>
                </c:pt>
                <c:pt idx="1709">
                  <c:v>51278</c:v>
                </c:pt>
                <c:pt idx="1710">
                  <c:v>51285</c:v>
                </c:pt>
                <c:pt idx="1711">
                  <c:v>51292</c:v>
                </c:pt>
                <c:pt idx="1712">
                  <c:v>51299</c:v>
                </c:pt>
                <c:pt idx="1713">
                  <c:v>51306</c:v>
                </c:pt>
                <c:pt idx="1714">
                  <c:v>51313</c:v>
                </c:pt>
                <c:pt idx="1715">
                  <c:v>51320</c:v>
                </c:pt>
                <c:pt idx="1716">
                  <c:v>51327</c:v>
                </c:pt>
                <c:pt idx="1717">
                  <c:v>51334</c:v>
                </c:pt>
                <c:pt idx="1718">
                  <c:v>51341</c:v>
                </c:pt>
                <c:pt idx="1719">
                  <c:v>51348</c:v>
                </c:pt>
                <c:pt idx="1720">
                  <c:v>51355</c:v>
                </c:pt>
                <c:pt idx="1721">
                  <c:v>51362</c:v>
                </c:pt>
                <c:pt idx="1722">
                  <c:v>51369</c:v>
                </c:pt>
                <c:pt idx="1723">
                  <c:v>51376</c:v>
                </c:pt>
                <c:pt idx="1724">
                  <c:v>51383</c:v>
                </c:pt>
                <c:pt idx="1725">
                  <c:v>51390</c:v>
                </c:pt>
                <c:pt idx="1726">
                  <c:v>51397</c:v>
                </c:pt>
                <c:pt idx="1727">
                  <c:v>51404</c:v>
                </c:pt>
                <c:pt idx="1728">
                  <c:v>51411</c:v>
                </c:pt>
                <c:pt idx="1729">
                  <c:v>51418</c:v>
                </c:pt>
                <c:pt idx="1730">
                  <c:v>51425</c:v>
                </c:pt>
                <c:pt idx="1731">
                  <c:v>51432</c:v>
                </c:pt>
                <c:pt idx="1732">
                  <c:v>51439</c:v>
                </c:pt>
                <c:pt idx="1733">
                  <c:v>51446</c:v>
                </c:pt>
                <c:pt idx="1734">
                  <c:v>51453</c:v>
                </c:pt>
                <c:pt idx="1735">
                  <c:v>51460</c:v>
                </c:pt>
                <c:pt idx="1736">
                  <c:v>51467</c:v>
                </c:pt>
                <c:pt idx="1737">
                  <c:v>51474</c:v>
                </c:pt>
                <c:pt idx="1738">
                  <c:v>51481</c:v>
                </c:pt>
                <c:pt idx="1739">
                  <c:v>51488</c:v>
                </c:pt>
                <c:pt idx="1740">
                  <c:v>51497</c:v>
                </c:pt>
                <c:pt idx="1741">
                  <c:v>51504</c:v>
                </c:pt>
                <c:pt idx="1742">
                  <c:v>51511</c:v>
                </c:pt>
                <c:pt idx="1743">
                  <c:v>51518</c:v>
                </c:pt>
                <c:pt idx="1744">
                  <c:v>51525</c:v>
                </c:pt>
                <c:pt idx="1745">
                  <c:v>51532</c:v>
                </c:pt>
                <c:pt idx="1746">
                  <c:v>51539</c:v>
                </c:pt>
                <c:pt idx="1747">
                  <c:v>51546</c:v>
                </c:pt>
                <c:pt idx="1748">
                  <c:v>51553</c:v>
                </c:pt>
                <c:pt idx="1749">
                  <c:v>51560</c:v>
                </c:pt>
                <c:pt idx="1750">
                  <c:v>51567</c:v>
                </c:pt>
                <c:pt idx="1751">
                  <c:v>51574</c:v>
                </c:pt>
                <c:pt idx="1752">
                  <c:v>51581</c:v>
                </c:pt>
                <c:pt idx="1753">
                  <c:v>51588</c:v>
                </c:pt>
                <c:pt idx="1754">
                  <c:v>51595</c:v>
                </c:pt>
                <c:pt idx="1755">
                  <c:v>51602</c:v>
                </c:pt>
                <c:pt idx="1756">
                  <c:v>51609</c:v>
                </c:pt>
                <c:pt idx="1757">
                  <c:v>51617</c:v>
                </c:pt>
                <c:pt idx="1758">
                  <c:v>51624</c:v>
                </c:pt>
                <c:pt idx="1759">
                  <c:v>51631</c:v>
                </c:pt>
                <c:pt idx="1760">
                  <c:v>51638</c:v>
                </c:pt>
                <c:pt idx="1761">
                  <c:v>51645</c:v>
                </c:pt>
                <c:pt idx="1762">
                  <c:v>51652</c:v>
                </c:pt>
                <c:pt idx="1763">
                  <c:v>51659</c:v>
                </c:pt>
                <c:pt idx="1764">
                  <c:v>51666</c:v>
                </c:pt>
                <c:pt idx="1765">
                  <c:v>51673</c:v>
                </c:pt>
                <c:pt idx="1766">
                  <c:v>51680</c:v>
                </c:pt>
                <c:pt idx="1767">
                  <c:v>51687</c:v>
                </c:pt>
                <c:pt idx="1768">
                  <c:v>51694</c:v>
                </c:pt>
                <c:pt idx="1769">
                  <c:v>51701</c:v>
                </c:pt>
                <c:pt idx="1770">
                  <c:v>51708</c:v>
                </c:pt>
                <c:pt idx="1771">
                  <c:v>51715</c:v>
                </c:pt>
                <c:pt idx="1772">
                  <c:v>51722</c:v>
                </c:pt>
                <c:pt idx="1773">
                  <c:v>51729</c:v>
                </c:pt>
                <c:pt idx="1774">
                  <c:v>51736</c:v>
                </c:pt>
                <c:pt idx="1775">
                  <c:v>51743</c:v>
                </c:pt>
                <c:pt idx="1776">
                  <c:v>51750</c:v>
                </c:pt>
                <c:pt idx="1777">
                  <c:v>51757</c:v>
                </c:pt>
                <c:pt idx="1778">
                  <c:v>51764</c:v>
                </c:pt>
                <c:pt idx="1779">
                  <c:v>51771</c:v>
                </c:pt>
                <c:pt idx="1780">
                  <c:v>51778</c:v>
                </c:pt>
                <c:pt idx="1781">
                  <c:v>51785</c:v>
                </c:pt>
                <c:pt idx="1782">
                  <c:v>51792</c:v>
                </c:pt>
                <c:pt idx="1783">
                  <c:v>51799</c:v>
                </c:pt>
                <c:pt idx="1784">
                  <c:v>51806</c:v>
                </c:pt>
                <c:pt idx="1785">
                  <c:v>51813</c:v>
                </c:pt>
                <c:pt idx="1786">
                  <c:v>51820</c:v>
                </c:pt>
                <c:pt idx="1787">
                  <c:v>51827</c:v>
                </c:pt>
                <c:pt idx="1788">
                  <c:v>51834</c:v>
                </c:pt>
                <c:pt idx="1789">
                  <c:v>51841</c:v>
                </c:pt>
                <c:pt idx="1790">
                  <c:v>51848</c:v>
                </c:pt>
                <c:pt idx="1791">
                  <c:v>51855</c:v>
                </c:pt>
                <c:pt idx="1792">
                  <c:v>51862</c:v>
                </c:pt>
                <c:pt idx="1793">
                  <c:v>51869</c:v>
                </c:pt>
                <c:pt idx="1794">
                  <c:v>51876</c:v>
                </c:pt>
                <c:pt idx="1795">
                  <c:v>51883</c:v>
                </c:pt>
                <c:pt idx="1796">
                  <c:v>51890</c:v>
                </c:pt>
                <c:pt idx="1797">
                  <c:v>51897</c:v>
                </c:pt>
                <c:pt idx="1798">
                  <c:v>51904</c:v>
                </c:pt>
                <c:pt idx="1799">
                  <c:v>51911</c:v>
                </c:pt>
                <c:pt idx="1800">
                  <c:v>51918</c:v>
                </c:pt>
                <c:pt idx="1801">
                  <c:v>51925</c:v>
                </c:pt>
                <c:pt idx="1802">
                  <c:v>51932</c:v>
                </c:pt>
                <c:pt idx="1803">
                  <c:v>51939</c:v>
                </c:pt>
                <c:pt idx="1804">
                  <c:v>51946</c:v>
                </c:pt>
                <c:pt idx="1805">
                  <c:v>51953</c:v>
                </c:pt>
                <c:pt idx="1806">
                  <c:v>51964</c:v>
                </c:pt>
                <c:pt idx="1807">
                  <c:v>51971</c:v>
                </c:pt>
                <c:pt idx="1808">
                  <c:v>51978</c:v>
                </c:pt>
                <c:pt idx="1809">
                  <c:v>51985</c:v>
                </c:pt>
                <c:pt idx="1810">
                  <c:v>51992</c:v>
                </c:pt>
                <c:pt idx="1811">
                  <c:v>51999</c:v>
                </c:pt>
                <c:pt idx="1812">
                  <c:v>52006</c:v>
                </c:pt>
                <c:pt idx="1813">
                  <c:v>52013</c:v>
                </c:pt>
                <c:pt idx="1814">
                  <c:v>52020</c:v>
                </c:pt>
                <c:pt idx="1815">
                  <c:v>52027</c:v>
                </c:pt>
                <c:pt idx="1816">
                  <c:v>52034</c:v>
                </c:pt>
                <c:pt idx="1817">
                  <c:v>52041</c:v>
                </c:pt>
                <c:pt idx="1818">
                  <c:v>52048</c:v>
                </c:pt>
                <c:pt idx="1819">
                  <c:v>52055</c:v>
                </c:pt>
                <c:pt idx="1820">
                  <c:v>52062</c:v>
                </c:pt>
                <c:pt idx="1821">
                  <c:v>52069</c:v>
                </c:pt>
                <c:pt idx="1822">
                  <c:v>52076</c:v>
                </c:pt>
                <c:pt idx="1823">
                  <c:v>52083</c:v>
                </c:pt>
                <c:pt idx="1824">
                  <c:v>52090</c:v>
                </c:pt>
                <c:pt idx="1825">
                  <c:v>52097</c:v>
                </c:pt>
                <c:pt idx="1826">
                  <c:v>52104</c:v>
                </c:pt>
                <c:pt idx="1827">
                  <c:v>52111</c:v>
                </c:pt>
                <c:pt idx="1828">
                  <c:v>52118</c:v>
                </c:pt>
                <c:pt idx="1829">
                  <c:v>52125</c:v>
                </c:pt>
                <c:pt idx="1830">
                  <c:v>52132</c:v>
                </c:pt>
                <c:pt idx="1831">
                  <c:v>52139</c:v>
                </c:pt>
                <c:pt idx="1832">
                  <c:v>52146</c:v>
                </c:pt>
                <c:pt idx="1833">
                  <c:v>52153</c:v>
                </c:pt>
                <c:pt idx="1834">
                  <c:v>52160</c:v>
                </c:pt>
                <c:pt idx="1835">
                  <c:v>52167</c:v>
                </c:pt>
                <c:pt idx="1836">
                  <c:v>52174</c:v>
                </c:pt>
                <c:pt idx="1837">
                  <c:v>52181</c:v>
                </c:pt>
                <c:pt idx="1838">
                  <c:v>52188</c:v>
                </c:pt>
                <c:pt idx="1839">
                  <c:v>52195</c:v>
                </c:pt>
                <c:pt idx="1840">
                  <c:v>52202</c:v>
                </c:pt>
                <c:pt idx="1841">
                  <c:v>52209</c:v>
                </c:pt>
                <c:pt idx="1842">
                  <c:v>52216</c:v>
                </c:pt>
                <c:pt idx="1843">
                  <c:v>52223</c:v>
                </c:pt>
                <c:pt idx="1844">
                  <c:v>52230</c:v>
                </c:pt>
                <c:pt idx="1845">
                  <c:v>52237</c:v>
                </c:pt>
                <c:pt idx="1846">
                  <c:v>52244</c:v>
                </c:pt>
                <c:pt idx="1847">
                  <c:v>52251</c:v>
                </c:pt>
                <c:pt idx="1848">
                  <c:v>52258</c:v>
                </c:pt>
                <c:pt idx="1849">
                  <c:v>52265</c:v>
                </c:pt>
                <c:pt idx="1850">
                  <c:v>52272</c:v>
                </c:pt>
                <c:pt idx="1851">
                  <c:v>52279</c:v>
                </c:pt>
                <c:pt idx="1852">
                  <c:v>52286</c:v>
                </c:pt>
                <c:pt idx="1853">
                  <c:v>52293</c:v>
                </c:pt>
                <c:pt idx="1854">
                  <c:v>52300</c:v>
                </c:pt>
                <c:pt idx="1855">
                  <c:v>52307</c:v>
                </c:pt>
                <c:pt idx="1856">
                  <c:v>52314</c:v>
                </c:pt>
                <c:pt idx="1857">
                  <c:v>52321</c:v>
                </c:pt>
                <c:pt idx="1858">
                  <c:v>52328</c:v>
                </c:pt>
                <c:pt idx="1859">
                  <c:v>52335</c:v>
                </c:pt>
                <c:pt idx="1860">
                  <c:v>52342</c:v>
                </c:pt>
                <c:pt idx="1861">
                  <c:v>52349</c:v>
                </c:pt>
                <c:pt idx="1862">
                  <c:v>52356</c:v>
                </c:pt>
                <c:pt idx="1863">
                  <c:v>52363</c:v>
                </c:pt>
                <c:pt idx="1864">
                  <c:v>52370</c:v>
                </c:pt>
                <c:pt idx="1865">
                  <c:v>52377</c:v>
                </c:pt>
                <c:pt idx="1866">
                  <c:v>52384</c:v>
                </c:pt>
                <c:pt idx="1867">
                  <c:v>52391</c:v>
                </c:pt>
                <c:pt idx="1868">
                  <c:v>52398</c:v>
                </c:pt>
                <c:pt idx="1869">
                  <c:v>52405</c:v>
                </c:pt>
                <c:pt idx="1870">
                  <c:v>52412</c:v>
                </c:pt>
                <c:pt idx="1871">
                  <c:v>52419</c:v>
                </c:pt>
                <c:pt idx="1872">
                  <c:v>52426</c:v>
                </c:pt>
                <c:pt idx="1873">
                  <c:v>52433</c:v>
                </c:pt>
                <c:pt idx="1874">
                  <c:v>52440</c:v>
                </c:pt>
                <c:pt idx="1875">
                  <c:v>52447</c:v>
                </c:pt>
                <c:pt idx="1876">
                  <c:v>52454</c:v>
                </c:pt>
                <c:pt idx="1877">
                  <c:v>52461</c:v>
                </c:pt>
                <c:pt idx="1878">
                  <c:v>52468</c:v>
                </c:pt>
                <c:pt idx="1879">
                  <c:v>52475</c:v>
                </c:pt>
                <c:pt idx="1880">
                  <c:v>52482</c:v>
                </c:pt>
                <c:pt idx="1881">
                  <c:v>52489</c:v>
                </c:pt>
                <c:pt idx="1882">
                  <c:v>52496</c:v>
                </c:pt>
                <c:pt idx="1883">
                  <c:v>52503</c:v>
                </c:pt>
                <c:pt idx="1884">
                  <c:v>52510</c:v>
                </c:pt>
                <c:pt idx="1885">
                  <c:v>52517</c:v>
                </c:pt>
                <c:pt idx="1886">
                  <c:v>52524</c:v>
                </c:pt>
                <c:pt idx="1887">
                  <c:v>52531</c:v>
                </c:pt>
                <c:pt idx="1888">
                  <c:v>52538</c:v>
                </c:pt>
                <c:pt idx="1889">
                  <c:v>52545</c:v>
                </c:pt>
                <c:pt idx="1890">
                  <c:v>52552</c:v>
                </c:pt>
                <c:pt idx="1891">
                  <c:v>52559</c:v>
                </c:pt>
                <c:pt idx="1892">
                  <c:v>52566</c:v>
                </c:pt>
                <c:pt idx="1893">
                  <c:v>52573</c:v>
                </c:pt>
                <c:pt idx="1894">
                  <c:v>52580</c:v>
                </c:pt>
                <c:pt idx="1895">
                  <c:v>52587</c:v>
                </c:pt>
                <c:pt idx="1896">
                  <c:v>52594</c:v>
                </c:pt>
                <c:pt idx="1897">
                  <c:v>52601</c:v>
                </c:pt>
                <c:pt idx="1898">
                  <c:v>52608</c:v>
                </c:pt>
                <c:pt idx="1899">
                  <c:v>52615</c:v>
                </c:pt>
                <c:pt idx="1900">
                  <c:v>52623</c:v>
                </c:pt>
                <c:pt idx="1901">
                  <c:v>52630</c:v>
                </c:pt>
                <c:pt idx="1902">
                  <c:v>52637</c:v>
                </c:pt>
                <c:pt idx="1903">
                  <c:v>52644</c:v>
                </c:pt>
                <c:pt idx="1904">
                  <c:v>52651</c:v>
                </c:pt>
                <c:pt idx="1905">
                  <c:v>52658</c:v>
                </c:pt>
                <c:pt idx="1906">
                  <c:v>52665</c:v>
                </c:pt>
                <c:pt idx="1907">
                  <c:v>52672</c:v>
                </c:pt>
                <c:pt idx="1908">
                  <c:v>52679</c:v>
                </c:pt>
                <c:pt idx="1909">
                  <c:v>52686</c:v>
                </c:pt>
                <c:pt idx="1910">
                  <c:v>52693</c:v>
                </c:pt>
                <c:pt idx="1911">
                  <c:v>52700</c:v>
                </c:pt>
                <c:pt idx="1912">
                  <c:v>52707</c:v>
                </c:pt>
                <c:pt idx="1913">
                  <c:v>52714</c:v>
                </c:pt>
                <c:pt idx="1914">
                  <c:v>52721</c:v>
                </c:pt>
                <c:pt idx="1915">
                  <c:v>52728</c:v>
                </c:pt>
                <c:pt idx="1916">
                  <c:v>52735</c:v>
                </c:pt>
                <c:pt idx="1917">
                  <c:v>52742</c:v>
                </c:pt>
                <c:pt idx="1918">
                  <c:v>52749</c:v>
                </c:pt>
                <c:pt idx="1919">
                  <c:v>52756</c:v>
                </c:pt>
                <c:pt idx="1920">
                  <c:v>52763</c:v>
                </c:pt>
                <c:pt idx="1921">
                  <c:v>52770</c:v>
                </c:pt>
                <c:pt idx="1922">
                  <c:v>52777</c:v>
                </c:pt>
                <c:pt idx="1923">
                  <c:v>52784</c:v>
                </c:pt>
                <c:pt idx="1924">
                  <c:v>52791</c:v>
                </c:pt>
                <c:pt idx="1925">
                  <c:v>52798</c:v>
                </c:pt>
                <c:pt idx="1926">
                  <c:v>52805</c:v>
                </c:pt>
                <c:pt idx="1927">
                  <c:v>52812</c:v>
                </c:pt>
                <c:pt idx="1928">
                  <c:v>52819</c:v>
                </c:pt>
                <c:pt idx="1929">
                  <c:v>52826</c:v>
                </c:pt>
                <c:pt idx="1930">
                  <c:v>52833</c:v>
                </c:pt>
                <c:pt idx="1931">
                  <c:v>52840</c:v>
                </c:pt>
                <c:pt idx="1932">
                  <c:v>52847</c:v>
                </c:pt>
                <c:pt idx="1933">
                  <c:v>52854</c:v>
                </c:pt>
                <c:pt idx="1934">
                  <c:v>52861</c:v>
                </c:pt>
                <c:pt idx="1935">
                  <c:v>52868</c:v>
                </c:pt>
                <c:pt idx="1936">
                  <c:v>52875</c:v>
                </c:pt>
                <c:pt idx="1937">
                  <c:v>52882</c:v>
                </c:pt>
                <c:pt idx="1938">
                  <c:v>52889</c:v>
                </c:pt>
                <c:pt idx="1939">
                  <c:v>52896</c:v>
                </c:pt>
                <c:pt idx="1940">
                  <c:v>52903</c:v>
                </c:pt>
                <c:pt idx="1941">
                  <c:v>52910</c:v>
                </c:pt>
                <c:pt idx="1942">
                  <c:v>52917</c:v>
                </c:pt>
                <c:pt idx="1943">
                  <c:v>52924</c:v>
                </c:pt>
                <c:pt idx="1944">
                  <c:v>52931</c:v>
                </c:pt>
                <c:pt idx="1945">
                  <c:v>52938</c:v>
                </c:pt>
                <c:pt idx="1946">
                  <c:v>52945</c:v>
                </c:pt>
                <c:pt idx="1947">
                  <c:v>52952</c:v>
                </c:pt>
                <c:pt idx="1948">
                  <c:v>52959</c:v>
                </c:pt>
                <c:pt idx="1949">
                  <c:v>52966</c:v>
                </c:pt>
                <c:pt idx="1950">
                  <c:v>52973</c:v>
                </c:pt>
                <c:pt idx="1951">
                  <c:v>52980</c:v>
                </c:pt>
                <c:pt idx="1952">
                  <c:v>52987</c:v>
                </c:pt>
                <c:pt idx="1953">
                  <c:v>52994</c:v>
                </c:pt>
                <c:pt idx="1954">
                  <c:v>53001</c:v>
                </c:pt>
                <c:pt idx="1955">
                  <c:v>53008</c:v>
                </c:pt>
                <c:pt idx="1956">
                  <c:v>53015</c:v>
                </c:pt>
                <c:pt idx="1957">
                  <c:v>53022</c:v>
                </c:pt>
                <c:pt idx="1958">
                  <c:v>53029</c:v>
                </c:pt>
                <c:pt idx="1959">
                  <c:v>53036</c:v>
                </c:pt>
                <c:pt idx="1960">
                  <c:v>53043</c:v>
                </c:pt>
                <c:pt idx="1961">
                  <c:v>53050</c:v>
                </c:pt>
                <c:pt idx="1962">
                  <c:v>53057</c:v>
                </c:pt>
                <c:pt idx="1963">
                  <c:v>53064</c:v>
                </c:pt>
                <c:pt idx="1964">
                  <c:v>53071</c:v>
                </c:pt>
                <c:pt idx="1965">
                  <c:v>53078</c:v>
                </c:pt>
                <c:pt idx="1966">
                  <c:v>53085</c:v>
                </c:pt>
                <c:pt idx="1967">
                  <c:v>53092</c:v>
                </c:pt>
                <c:pt idx="1968">
                  <c:v>53099</c:v>
                </c:pt>
                <c:pt idx="1969">
                  <c:v>53106</c:v>
                </c:pt>
                <c:pt idx="1970">
                  <c:v>53113</c:v>
                </c:pt>
                <c:pt idx="1971">
                  <c:v>53120</c:v>
                </c:pt>
                <c:pt idx="1972">
                  <c:v>53127</c:v>
                </c:pt>
                <c:pt idx="1973">
                  <c:v>53134</c:v>
                </c:pt>
                <c:pt idx="1974">
                  <c:v>53141</c:v>
                </c:pt>
                <c:pt idx="1975">
                  <c:v>53148</c:v>
                </c:pt>
                <c:pt idx="1976">
                  <c:v>53155</c:v>
                </c:pt>
                <c:pt idx="1977">
                  <c:v>53162</c:v>
                </c:pt>
                <c:pt idx="1978">
                  <c:v>53169</c:v>
                </c:pt>
                <c:pt idx="1979">
                  <c:v>53176</c:v>
                </c:pt>
                <c:pt idx="1980">
                  <c:v>53183</c:v>
                </c:pt>
                <c:pt idx="1981">
                  <c:v>53190</c:v>
                </c:pt>
                <c:pt idx="1982">
                  <c:v>53197</c:v>
                </c:pt>
                <c:pt idx="1983">
                  <c:v>53204</c:v>
                </c:pt>
                <c:pt idx="1984">
                  <c:v>53211</c:v>
                </c:pt>
                <c:pt idx="1985">
                  <c:v>53218</c:v>
                </c:pt>
                <c:pt idx="1986">
                  <c:v>53225</c:v>
                </c:pt>
                <c:pt idx="1987">
                  <c:v>53232</c:v>
                </c:pt>
                <c:pt idx="1988">
                  <c:v>53239</c:v>
                </c:pt>
                <c:pt idx="1989">
                  <c:v>53246</c:v>
                </c:pt>
                <c:pt idx="1990">
                  <c:v>53253</c:v>
                </c:pt>
                <c:pt idx="1991">
                  <c:v>53260</c:v>
                </c:pt>
                <c:pt idx="1992">
                  <c:v>53267</c:v>
                </c:pt>
                <c:pt idx="1993">
                  <c:v>53274</c:v>
                </c:pt>
                <c:pt idx="1994">
                  <c:v>53281</c:v>
                </c:pt>
                <c:pt idx="1995">
                  <c:v>53288</c:v>
                </c:pt>
                <c:pt idx="1996">
                  <c:v>53295</c:v>
                </c:pt>
                <c:pt idx="1997">
                  <c:v>53302</c:v>
                </c:pt>
                <c:pt idx="1998">
                  <c:v>53309</c:v>
                </c:pt>
                <c:pt idx="1999">
                  <c:v>53316</c:v>
                </c:pt>
                <c:pt idx="2000">
                  <c:v>53323</c:v>
                </c:pt>
                <c:pt idx="2001">
                  <c:v>53330</c:v>
                </c:pt>
                <c:pt idx="2002">
                  <c:v>53337</c:v>
                </c:pt>
                <c:pt idx="2003">
                  <c:v>53344</c:v>
                </c:pt>
                <c:pt idx="2004">
                  <c:v>53351</c:v>
                </c:pt>
                <c:pt idx="2005">
                  <c:v>53358</c:v>
                </c:pt>
                <c:pt idx="2006">
                  <c:v>53365</c:v>
                </c:pt>
                <c:pt idx="2007">
                  <c:v>53372</c:v>
                </c:pt>
                <c:pt idx="2008">
                  <c:v>53379</c:v>
                </c:pt>
                <c:pt idx="2009">
                  <c:v>53386</c:v>
                </c:pt>
                <c:pt idx="2010">
                  <c:v>53393</c:v>
                </c:pt>
                <c:pt idx="2011">
                  <c:v>53400</c:v>
                </c:pt>
                <c:pt idx="2012">
                  <c:v>53407</c:v>
                </c:pt>
                <c:pt idx="2013">
                  <c:v>53414</c:v>
                </c:pt>
                <c:pt idx="2014">
                  <c:v>53421</c:v>
                </c:pt>
                <c:pt idx="2015">
                  <c:v>53428</c:v>
                </c:pt>
                <c:pt idx="2016">
                  <c:v>53435</c:v>
                </c:pt>
                <c:pt idx="2017">
                  <c:v>53443</c:v>
                </c:pt>
                <c:pt idx="2018">
                  <c:v>53450</c:v>
                </c:pt>
                <c:pt idx="2019">
                  <c:v>53457</c:v>
                </c:pt>
                <c:pt idx="2020">
                  <c:v>53464</c:v>
                </c:pt>
                <c:pt idx="2021">
                  <c:v>53471</c:v>
                </c:pt>
                <c:pt idx="2022">
                  <c:v>53478</c:v>
                </c:pt>
                <c:pt idx="2023">
                  <c:v>53485</c:v>
                </c:pt>
                <c:pt idx="2024">
                  <c:v>53492</c:v>
                </c:pt>
                <c:pt idx="2025">
                  <c:v>53499</c:v>
                </c:pt>
                <c:pt idx="2026">
                  <c:v>53506</c:v>
                </c:pt>
                <c:pt idx="2027">
                  <c:v>53513</c:v>
                </c:pt>
                <c:pt idx="2028">
                  <c:v>53520</c:v>
                </c:pt>
                <c:pt idx="2029">
                  <c:v>53527</c:v>
                </c:pt>
                <c:pt idx="2030">
                  <c:v>53534</c:v>
                </c:pt>
                <c:pt idx="2031">
                  <c:v>53541</c:v>
                </c:pt>
                <c:pt idx="2032">
                  <c:v>53548</c:v>
                </c:pt>
                <c:pt idx="2033">
                  <c:v>53555</c:v>
                </c:pt>
                <c:pt idx="2034">
                  <c:v>53562</c:v>
                </c:pt>
                <c:pt idx="2035">
                  <c:v>53569</c:v>
                </c:pt>
                <c:pt idx="2036">
                  <c:v>53576</c:v>
                </c:pt>
                <c:pt idx="2037">
                  <c:v>53583</c:v>
                </c:pt>
                <c:pt idx="2038">
                  <c:v>53590</c:v>
                </c:pt>
                <c:pt idx="2039">
                  <c:v>53597</c:v>
                </c:pt>
                <c:pt idx="2040">
                  <c:v>53604</c:v>
                </c:pt>
                <c:pt idx="2041">
                  <c:v>53611</c:v>
                </c:pt>
                <c:pt idx="2042">
                  <c:v>53618</c:v>
                </c:pt>
                <c:pt idx="2043">
                  <c:v>53625</c:v>
                </c:pt>
                <c:pt idx="2044">
                  <c:v>53632</c:v>
                </c:pt>
                <c:pt idx="2045">
                  <c:v>53639</c:v>
                </c:pt>
                <c:pt idx="2046">
                  <c:v>53646</c:v>
                </c:pt>
                <c:pt idx="2047">
                  <c:v>53653</c:v>
                </c:pt>
                <c:pt idx="2048">
                  <c:v>53660</c:v>
                </c:pt>
                <c:pt idx="2049">
                  <c:v>53667</c:v>
                </c:pt>
                <c:pt idx="2050">
                  <c:v>53674</c:v>
                </c:pt>
                <c:pt idx="2051">
                  <c:v>53681</c:v>
                </c:pt>
                <c:pt idx="2052">
                  <c:v>53688</c:v>
                </c:pt>
                <c:pt idx="2053">
                  <c:v>53695</c:v>
                </c:pt>
                <c:pt idx="2054">
                  <c:v>53702</c:v>
                </c:pt>
                <c:pt idx="2055">
                  <c:v>53709</c:v>
                </c:pt>
                <c:pt idx="2056">
                  <c:v>53716</c:v>
                </c:pt>
                <c:pt idx="2057">
                  <c:v>53723</c:v>
                </c:pt>
                <c:pt idx="2058">
                  <c:v>53730</c:v>
                </c:pt>
                <c:pt idx="2059">
                  <c:v>53737</c:v>
                </c:pt>
                <c:pt idx="2060">
                  <c:v>53744</c:v>
                </c:pt>
                <c:pt idx="2061">
                  <c:v>53751</c:v>
                </c:pt>
                <c:pt idx="2062">
                  <c:v>53758</c:v>
                </c:pt>
                <c:pt idx="2063">
                  <c:v>53765</c:v>
                </c:pt>
                <c:pt idx="2064">
                  <c:v>53772</c:v>
                </c:pt>
                <c:pt idx="2065">
                  <c:v>53779</c:v>
                </c:pt>
                <c:pt idx="2066">
                  <c:v>53786</c:v>
                </c:pt>
                <c:pt idx="2067">
                  <c:v>53793</c:v>
                </c:pt>
                <c:pt idx="2068">
                  <c:v>53800</c:v>
                </c:pt>
                <c:pt idx="2069">
                  <c:v>53808</c:v>
                </c:pt>
                <c:pt idx="2070">
                  <c:v>53815</c:v>
                </c:pt>
                <c:pt idx="2071">
                  <c:v>53822</c:v>
                </c:pt>
                <c:pt idx="2072">
                  <c:v>53829</c:v>
                </c:pt>
                <c:pt idx="2073">
                  <c:v>53836</c:v>
                </c:pt>
                <c:pt idx="2074">
                  <c:v>53843</c:v>
                </c:pt>
                <c:pt idx="2075">
                  <c:v>53850</c:v>
                </c:pt>
                <c:pt idx="2076">
                  <c:v>53857</c:v>
                </c:pt>
                <c:pt idx="2077">
                  <c:v>53864</c:v>
                </c:pt>
                <c:pt idx="2078">
                  <c:v>53871</c:v>
                </c:pt>
                <c:pt idx="2079">
                  <c:v>53878</c:v>
                </c:pt>
                <c:pt idx="2080">
                  <c:v>53885</c:v>
                </c:pt>
                <c:pt idx="2081">
                  <c:v>53892</c:v>
                </c:pt>
                <c:pt idx="2082">
                  <c:v>53899</c:v>
                </c:pt>
                <c:pt idx="2083">
                  <c:v>53906</c:v>
                </c:pt>
                <c:pt idx="2084">
                  <c:v>53913</c:v>
                </c:pt>
                <c:pt idx="2085">
                  <c:v>53920</c:v>
                </c:pt>
                <c:pt idx="2086">
                  <c:v>53927</c:v>
                </c:pt>
                <c:pt idx="2087">
                  <c:v>53934</c:v>
                </c:pt>
                <c:pt idx="2088">
                  <c:v>53941</c:v>
                </c:pt>
                <c:pt idx="2089">
                  <c:v>53948</c:v>
                </c:pt>
                <c:pt idx="2090">
                  <c:v>53955</c:v>
                </c:pt>
                <c:pt idx="2091">
                  <c:v>53962</c:v>
                </c:pt>
                <c:pt idx="2092">
                  <c:v>53969</c:v>
                </c:pt>
                <c:pt idx="2093">
                  <c:v>53976</c:v>
                </c:pt>
                <c:pt idx="2094">
                  <c:v>53983</c:v>
                </c:pt>
                <c:pt idx="2095">
                  <c:v>53990</c:v>
                </c:pt>
                <c:pt idx="2096">
                  <c:v>53997</c:v>
                </c:pt>
                <c:pt idx="2097">
                  <c:v>54004</c:v>
                </c:pt>
                <c:pt idx="2098">
                  <c:v>54011</c:v>
                </c:pt>
                <c:pt idx="2099">
                  <c:v>54018</c:v>
                </c:pt>
                <c:pt idx="2100">
                  <c:v>54025</c:v>
                </c:pt>
                <c:pt idx="2101">
                  <c:v>54032</c:v>
                </c:pt>
                <c:pt idx="2102">
                  <c:v>54039</c:v>
                </c:pt>
                <c:pt idx="2103">
                  <c:v>54046</c:v>
                </c:pt>
                <c:pt idx="2104">
                  <c:v>54053</c:v>
                </c:pt>
                <c:pt idx="2105">
                  <c:v>54060</c:v>
                </c:pt>
                <c:pt idx="2106">
                  <c:v>54067</c:v>
                </c:pt>
                <c:pt idx="2107">
                  <c:v>54074</c:v>
                </c:pt>
                <c:pt idx="2108">
                  <c:v>54081</c:v>
                </c:pt>
                <c:pt idx="2109">
                  <c:v>54088</c:v>
                </c:pt>
                <c:pt idx="2110">
                  <c:v>54095</c:v>
                </c:pt>
                <c:pt idx="2111">
                  <c:v>54102</c:v>
                </c:pt>
                <c:pt idx="2112">
                  <c:v>54109</c:v>
                </c:pt>
                <c:pt idx="2113">
                  <c:v>54116</c:v>
                </c:pt>
                <c:pt idx="2114">
                  <c:v>54123</c:v>
                </c:pt>
                <c:pt idx="2115">
                  <c:v>54130</c:v>
                </c:pt>
                <c:pt idx="2116">
                  <c:v>54137</c:v>
                </c:pt>
                <c:pt idx="2117">
                  <c:v>54144</c:v>
                </c:pt>
                <c:pt idx="2118">
                  <c:v>54155</c:v>
                </c:pt>
                <c:pt idx="2119">
                  <c:v>54162</c:v>
                </c:pt>
                <c:pt idx="2120">
                  <c:v>54169</c:v>
                </c:pt>
                <c:pt idx="2121">
                  <c:v>54176</c:v>
                </c:pt>
                <c:pt idx="2122">
                  <c:v>54183</c:v>
                </c:pt>
                <c:pt idx="2123">
                  <c:v>54190</c:v>
                </c:pt>
                <c:pt idx="2124">
                  <c:v>54197</c:v>
                </c:pt>
                <c:pt idx="2125">
                  <c:v>54204</c:v>
                </c:pt>
                <c:pt idx="2126">
                  <c:v>54211</c:v>
                </c:pt>
                <c:pt idx="2127">
                  <c:v>54218</c:v>
                </c:pt>
                <c:pt idx="2128">
                  <c:v>54225</c:v>
                </c:pt>
                <c:pt idx="2129">
                  <c:v>54232</c:v>
                </c:pt>
                <c:pt idx="2130">
                  <c:v>54239</c:v>
                </c:pt>
                <c:pt idx="2131">
                  <c:v>54246</c:v>
                </c:pt>
                <c:pt idx="2132">
                  <c:v>54253</c:v>
                </c:pt>
                <c:pt idx="2133">
                  <c:v>54260</c:v>
                </c:pt>
                <c:pt idx="2134">
                  <c:v>54267</c:v>
                </c:pt>
                <c:pt idx="2135">
                  <c:v>54274</c:v>
                </c:pt>
                <c:pt idx="2136">
                  <c:v>54281</c:v>
                </c:pt>
                <c:pt idx="2137">
                  <c:v>54288</c:v>
                </c:pt>
                <c:pt idx="2138">
                  <c:v>54295</c:v>
                </c:pt>
                <c:pt idx="2139">
                  <c:v>54302</c:v>
                </c:pt>
                <c:pt idx="2140">
                  <c:v>54309</c:v>
                </c:pt>
                <c:pt idx="2141">
                  <c:v>54316</c:v>
                </c:pt>
                <c:pt idx="2142">
                  <c:v>54323</c:v>
                </c:pt>
                <c:pt idx="2143">
                  <c:v>54330</c:v>
                </c:pt>
                <c:pt idx="2144">
                  <c:v>54337</c:v>
                </c:pt>
                <c:pt idx="2145">
                  <c:v>54344</c:v>
                </c:pt>
                <c:pt idx="2146">
                  <c:v>54351</c:v>
                </c:pt>
                <c:pt idx="2147">
                  <c:v>54358</c:v>
                </c:pt>
                <c:pt idx="2148">
                  <c:v>54365</c:v>
                </c:pt>
                <c:pt idx="2149">
                  <c:v>54372</c:v>
                </c:pt>
                <c:pt idx="2150">
                  <c:v>54379</c:v>
                </c:pt>
                <c:pt idx="2151">
                  <c:v>54386</c:v>
                </c:pt>
                <c:pt idx="2152">
                  <c:v>54393</c:v>
                </c:pt>
                <c:pt idx="2153">
                  <c:v>54400</c:v>
                </c:pt>
                <c:pt idx="2154">
                  <c:v>54407</c:v>
                </c:pt>
                <c:pt idx="2155">
                  <c:v>54414</c:v>
                </c:pt>
                <c:pt idx="2156">
                  <c:v>54421</c:v>
                </c:pt>
                <c:pt idx="2157">
                  <c:v>54428</c:v>
                </c:pt>
                <c:pt idx="2158">
                  <c:v>54435</c:v>
                </c:pt>
                <c:pt idx="2159">
                  <c:v>54442</c:v>
                </c:pt>
                <c:pt idx="2160">
                  <c:v>54450</c:v>
                </c:pt>
                <c:pt idx="2161">
                  <c:v>54457</c:v>
                </c:pt>
                <c:pt idx="2162">
                  <c:v>54464</c:v>
                </c:pt>
                <c:pt idx="2163">
                  <c:v>54471</c:v>
                </c:pt>
                <c:pt idx="2164">
                  <c:v>54478</c:v>
                </c:pt>
                <c:pt idx="2165">
                  <c:v>54485</c:v>
                </c:pt>
                <c:pt idx="2166">
                  <c:v>54492</c:v>
                </c:pt>
                <c:pt idx="2167">
                  <c:v>54499</c:v>
                </c:pt>
                <c:pt idx="2168">
                  <c:v>54506</c:v>
                </c:pt>
                <c:pt idx="2169">
                  <c:v>54513</c:v>
                </c:pt>
                <c:pt idx="2170">
                  <c:v>54520</c:v>
                </c:pt>
                <c:pt idx="2171">
                  <c:v>54527</c:v>
                </c:pt>
                <c:pt idx="2172">
                  <c:v>54534</c:v>
                </c:pt>
                <c:pt idx="2173">
                  <c:v>54541</c:v>
                </c:pt>
                <c:pt idx="2174">
                  <c:v>54548</c:v>
                </c:pt>
                <c:pt idx="2175">
                  <c:v>54555</c:v>
                </c:pt>
                <c:pt idx="2176">
                  <c:v>54562</c:v>
                </c:pt>
                <c:pt idx="2177">
                  <c:v>54569</c:v>
                </c:pt>
                <c:pt idx="2178">
                  <c:v>54576</c:v>
                </c:pt>
                <c:pt idx="2179">
                  <c:v>54583</c:v>
                </c:pt>
                <c:pt idx="2180">
                  <c:v>54590</c:v>
                </c:pt>
                <c:pt idx="2181">
                  <c:v>54597</c:v>
                </c:pt>
                <c:pt idx="2182">
                  <c:v>54604</c:v>
                </c:pt>
                <c:pt idx="2183">
                  <c:v>54611</c:v>
                </c:pt>
                <c:pt idx="2184">
                  <c:v>54618</c:v>
                </c:pt>
                <c:pt idx="2185">
                  <c:v>54625</c:v>
                </c:pt>
                <c:pt idx="2186">
                  <c:v>54632</c:v>
                </c:pt>
                <c:pt idx="2187">
                  <c:v>54639</c:v>
                </c:pt>
                <c:pt idx="2188">
                  <c:v>54646</c:v>
                </c:pt>
                <c:pt idx="2189">
                  <c:v>54653</c:v>
                </c:pt>
                <c:pt idx="2190">
                  <c:v>54660</c:v>
                </c:pt>
                <c:pt idx="2191">
                  <c:v>54667</c:v>
                </c:pt>
                <c:pt idx="2192">
                  <c:v>54674</c:v>
                </c:pt>
                <c:pt idx="2193">
                  <c:v>54681</c:v>
                </c:pt>
                <c:pt idx="2194">
                  <c:v>54688</c:v>
                </c:pt>
                <c:pt idx="2195">
                  <c:v>54695</c:v>
                </c:pt>
                <c:pt idx="2196">
                  <c:v>54702</c:v>
                </c:pt>
                <c:pt idx="2197">
                  <c:v>54709</c:v>
                </c:pt>
                <c:pt idx="2198">
                  <c:v>54716</c:v>
                </c:pt>
                <c:pt idx="2199">
                  <c:v>54723</c:v>
                </c:pt>
                <c:pt idx="2200">
                  <c:v>54730</c:v>
                </c:pt>
                <c:pt idx="2201">
                  <c:v>54737</c:v>
                </c:pt>
                <c:pt idx="2202">
                  <c:v>54744</c:v>
                </c:pt>
                <c:pt idx="2203">
                  <c:v>54751</c:v>
                </c:pt>
                <c:pt idx="2204">
                  <c:v>54758</c:v>
                </c:pt>
                <c:pt idx="2205">
                  <c:v>54765</c:v>
                </c:pt>
                <c:pt idx="2206">
                  <c:v>54772</c:v>
                </c:pt>
                <c:pt idx="2207">
                  <c:v>54779</c:v>
                </c:pt>
                <c:pt idx="2208">
                  <c:v>54786</c:v>
                </c:pt>
                <c:pt idx="2209">
                  <c:v>54793</c:v>
                </c:pt>
                <c:pt idx="2210">
                  <c:v>54800</c:v>
                </c:pt>
                <c:pt idx="2211">
                  <c:v>54807</c:v>
                </c:pt>
                <c:pt idx="2212">
                  <c:v>54815</c:v>
                </c:pt>
                <c:pt idx="2213">
                  <c:v>54822</c:v>
                </c:pt>
                <c:pt idx="2214">
                  <c:v>54829</c:v>
                </c:pt>
                <c:pt idx="2215">
                  <c:v>54836</c:v>
                </c:pt>
                <c:pt idx="2216">
                  <c:v>54843</c:v>
                </c:pt>
                <c:pt idx="2217">
                  <c:v>54850</c:v>
                </c:pt>
                <c:pt idx="2218">
                  <c:v>54857</c:v>
                </c:pt>
                <c:pt idx="2219">
                  <c:v>54864</c:v>
                </c:pt>
                <c:pt idx="2220">
                  <c:v>54871</c:v>
                </c:pt>
                <c:pt idx="2221">
                  <c:v>54878</c:v>
                </c:pt>
                <c:pt idx="2222">
                  <c:v>54885</c:v>
                </c:pt>
                <c:pt idx="2223">
                  <c:v>54892</c:v>
                </c:pt>
                <c:pt idx="2224">
                  <c:v>54899</c:v>
                </c:pt>
                <c:pt idx="2225">
                  <c:v>54906</c:v>
                </c:pt>
                <c:pt idx="2226">
                  <c:v>54913</c:v>
                </c:pt>
                <c:pt idx="2227">
                  <c:v>54920</c:v>
                </c:pt>
                <c:pt idx="2228">
                  <c:v>54927</c:v>
                </c:pt>
                <c:pt idx="2229">
                  <c:v>54934</c:v>
                </c:pt>
                <c:pt idx="2230">
                  <c:v>54941</c:v>
                </c:pt>
                <c:pt idx="2231">
                  <c:v>54948</c:v>
                </c:pt>
                <c:pt idx="2232">
                  <c:v>54955</c:v>
                </c:pt>
                <c:pt idx="2233">
                  <c:v>54962</c:v>
                </c:pt>
                <c:pt idx="2234">
                  <c:v>54969</c:v>
                </c:pt>
                <c:pt idx="2235">
                  <c:v>54976</c:v>
                </c:pt>
                <c:pt idx="2236">
                  <c:v>54983</c:v>
                </c:pt>
                <c:pt idx="2237">
                  <c:v>54990</c:v>
                </c:pt>
                <c:pt idx="2238">
                  <c:v>54997</c:v>
                </c:pt>
                <c:pt idx="2239">
                  <c:v>55004</c:v>
                </c:pt>
                <c:pt idx="2240">
                  <c:v>55011</c:v>
                </c:pt>
                <c:pt idx="2241">
                  <c:v>55018</c:v>
                </c:pt>
                <c:pt idx="2242">
                  <c:v>55025</c:v>
                </c:pt>
                <c:pt idx="2243">
                  <c:v>55032</c:v>
                </c:pt>
                <c:pt idx="2244">
                  <c:v>55039</c:v>
                </c:pt>
                <c:pt idx="2245">
                  <c:v>55046</c:v>
                </c:pt>
                <c:pt idx="2246">
                  <c:v>55053</c:v>
                </c:pt>
                <c:pt idx="2247">
                  <c:v>55060</c:v>
                </c:pt>
                <c:pt idx="2248">
                  <c:v>55067</c:v>
                </c:pt>
                <c:pt idx="2249">
                  <c:v>55074</c:v>
                </c:pt>
                <c:pt idx="2250">
                  <c:v>55081</c:v>
                </c:pt>
                <c:pt idx="2251">
                  <c:v>55088</c:v>
                </c:pt>
                <c:pt idx="2252">
                  <c:v>55095</c:v>
                </c:pt>
                <c:pt idx="2253">
                  <c:v>55102</c:v>
                </c:pt>
                <c:pt idx="2254">
                  <c:v>55109</c:v>
                </c:pt>
                <c:pt idx="2255">
                  <c:v>55116</c:v>
                </c:pt>
                <c:pt idx="2256">
                  <c:v>55123</c:v>
                </c:pt>
                <c:pt idx="2257">
                  <c:v>55130</c:v>
                </c:pt>
                <c:pt idx="2258">
                  <c:v>55137</c:v>
                </c:pt>
                <c:pt idx="2259">
                  <c:v>55144</c:v>
                </c:pt>
                <c:pt idx="2260">
                  <c:v>55151</c:v>
                </c:pt>
                <c:pt idx="2261">
                  <c:v>55158</c:v>
                </c:pt>
                <c:pt idx="2262">
                  <c:v>55165</c:v>
                </c:pt>
                <c:pt idx="2263">
                  <c:v>55172</c:v>
                </c:pt>
                <c:pt idx="2264">
                  <c:v>55180</c:v>
                </c:pt>
                <c:pt idx="2265">
                  <c:v>55187</c:v>
                </c:pt>
                <c:pt idx="2266">
                  <c:v>55194</c:v>
                </c:pt>
                <c:pt idx="2267">
                  <c:v>55201</c:v>
                </c:pt>
                <c:pt idx="2268">
                  <c:v>55208</c:v>
                </c:pt>
                <c:pt idx="2269">
                  <c:v>55215</c:v>
                </c:pt>
                <c:pt idx="2270">
                  <c:v>55222</c:v>
                </c:pt>
                <c:pt idx="2271">
                  <c:v>55229</c:v>
                </c:pt>
                <c:pt idx="2272">
                  <c:v>55236</c:v>
                </c:pt>
                <c:pt idx="2273">
                  <c:v>55247</c:v>
                </c:pt>
                <c:pt idx="2274">
                  <c:v>55254</c:v>
                </c:pt>
                <c:pt idx="2275">
                  <c:v>55261</c:v>
                </c:pt>
                <c:pt idx="2276">
                  <c:v>55269</c:v>
                </c:pt>
                <c:pt idx="2277">
                  <c:v>55276</c:v>
                </c:pt>
                <c:pt idx="2278">
                  <c:v>55283</c:v>
                </c:pt>
                <c:pt idx="2279">
                  <c:v>55290</c:v>
                </c:pt>
                <c:pt idx="2280">
                  <c:v>55297</c:v>
                </c:pt>
                <c:pt idx="2281">
                  <c:v>55304</c:v>
                </c:pt>
                <c:pt idx="2282">
                  <c:v>55311</c:v>
                </c:pt>
                <c:pt idx="2283">
                  <c:v>55318</c:v>
                </c:pt>
                <c:pt idx="2284">
                  <c:v>55325</c:v>
                </c:pt>
                <c:pt idx="2285">
                  <c:v>55332</c:v>
                </c:pt>
                <c:pt idx="2286">
                  <c:v>55339</c:v>
                </c:pt>
                <c:pt idx="2287">
                  <c:v>55346</c:v>
                </c:pt>
                <c:pt idx="2288">
                  <c:v>55353</c:v>
                </c:pt>
                <c:pt idx="2289">
                  <c:v>55360</c:v>
                </c:pt>
                <c:pt idx="2290">
                  <c:v>55367</c:v>
                </c:pt>
                <c:pt idx="2291">
                  <c:v>55374</c:v>
                </c:pt>
                <c:pt idx="2292">
                  <c:v>55381</c:v>
                </c:pt>
                <c:pt idx="2293">
                  <c:v>55388</c:v>
                </c:pt>
                <c:pt idx="2294">
                  <c:v>55395</c:v>
                </c:pt>
                <c:pt idx="2295">
                  <c:v>55402</c:v>
                </c:pt>
                <c:pt idx="2296">
                  <c:v>55409</c:v>
                </c:pt>
                <c:pt idx="2297">
                  <c:v>55416</c:v>
                </c:pt>
                <c:pt idx="2298">
                  <c:v>55423</c:v>
                </c:pt>
                <c:pt idx="2299">
                  <c:v>55430</c:v>
                </c:pt>
                <c:pt idx="2300">
                  <c:v>55437</c:v>
                </c:pt>
                <c:pt idx="2301">
                  <c:v>55444</c:v>
                </c:pt>
                <c:pt idx="2302">
                  <c:v>55451</c:v>
                </c:pt>
                <c:pt idx="2303">
                  <c:v>55458</c:v>
                </c:pt>
                <c:pt idx="2304">
                  <c:v>55465</c:v>
                </c:pt>
                <c:pt idx="2305">
                  <c:v>55472</c:v>
                </c:pt>
                <c:pt idx="2306">
                  <c:v>55479</c:v>
                </c:pt>
                <c:pt idx="2307">
                  <c:v>55486</c:v>
                </c:pt>
                <c:pt idx="2308">
                  <c:v>55493</c:v>
                </c:pt>
                <c:pt idx="2309">
                  <c:v>55500</c:v>
                </c:pt>
                <c:pt idx="2310">
                  <c:v>55507</c:v>
                </c:pt>
                <c:pt idx="2311">
                  <c:v>55514</c:v>
                </c:pt>
                <c:pt idx="2312">
                  <c:v>55521</c:v>
                </c:pt>
                <c:pt idx="2313">
                  <c:v>55528</c:v>
                </c:pt>
                <c:pt idx="2314">
                  <c:v>55535</c:v>
                </c:pt>
                <c:pt idx="2315">
                  <c:v>55542</c:v>
                </c:pt>
                <c:pt idx="2316">
                  <c:v>55549</c:v>
                </c:pt>
                <c:pt idx="2317">
                  <c:v>55556</c:v>
                </c:pt>
                <c:pt idx="2318">
                  <c:v>55563</c:v>
                </c:pt>
                <c:pt idx="2319">
                  <c:v>55570</c:v>
                </c:pt>
                <c:pt idx="2320">
                  <c:v>55577</c:v>
                </c:pt>
                <c:pt idx="2321">
                  <c:v>55584</c:v>
                </c:pt>
                <c:pt idx="2322">
                  <c:v>55591</c:v>
                </c:pt>
                <c:pt idx="2323">
                  <c:v>55598</c:v>
                </c:pt>
                <c:pt idx="2324">
                  <c:v>55605</c:v>
                </c:pt>
                <c:pt idx="2325">
                  <c:v>55612</c:v>
                </c:pt>
                <c:pt idx="2326">
                  <c:v>55619</c:v>
                </c:pt>
                <c:pt idx="2327">
                  <c:v>55626</c:v>
                </c:pt>
                <c:pt idx="2328">
                  <c:v>55633</c:v>
                </c:pt>
                <c:pt idx="2329">
                  <c:v>55640</c:v>
                </c:pt>
                <c:pt idx="2330">
                  <c:v>55647</c:v>
                </c:pt>
                <c:pt idx="2331">
                  <c:v>55654</c:v>
                </c:pt>
                <c:pt idx="2332">
                  <c:v>55661</c:v>
                </c:pt>
                <c:pt idx="2333">
                  <c:v>55668</c:v>
                </c:pt>
                <c:pt idx="2334">
                  <c:v>55675</c:v>
                </c:pt>
                <c:pt idx="2335">
                  <c:v>55682</c:v>
                </c:pt>
                <c:pt idx="2336">
                  <c:v>55689</c:v>
                </c:pt>
                <c:pt idx="2337">
                  <c:v>55696</c:v>
                </c:pt>
                <c:pt idx="2338">
                  <c:v>55703</c:v>
                </c:pt>
                <c:pt idx="2339">
                  <c:v>55710</c:v>
                </c:pt>
                <c:pt idx="2340">
                  <c:v>55717</c:v>
                </c:pt>
                <c:pt idx="2341">
                  <c:v>55724</c:v>
                </c:pt>
                <c:pt idx="2342">
                  <c:v>55731</c:v>
                </c:pt>
                <c:pt idx="2343">
                  <c:v>55738</c:v>
                </c:pt>
                <c:pt idx="2344">
                  <c:v>55745</c:v>
                </c:pt>
                <c:pt idx="2345">
                  <c:v>55752</c:v>
                </c:pt>
                <c:pt idx="2346">
                  <c:v>55759</c:v>
                </c:pt>
                <c:pt idx="2347">
                  <c:v>55766</c:v>
                </c:pt>
                <c:pt idx="2348">
                  <c:v>55773</c:v>
                </c:pt>
                <c:pt idx="2349">
                  <c:v>55780</c:v>
                </c:pt>
                <c:pt idx="2350">
                  <c:v>55787</c:v>
                </c:pt>
                <c:pt idx="2351">
                  <c:v>55794</c:v>
                </c:pt>
                <c:pt idx="2352">
                  <c:v>55801</c:v>
                </c:pt>
                <c:pt idx="2353">
                  <c:v>55808</c:v>
                </c:pt>
                <c:pt idx="2354">
                  <c:v>55815</c:v>
                </c:pt>
                <c:pt idx="2355">
                  <c:v>55822</c:v>
                </c:pt>
                <c:pt idx="2356">
                  <c:v>55829</c:v>
                </c:pt>
                <c:pt idx="2357">
                  <c:v>55836</c:v>
                </c:pt>
                <c:pt idx="2358">
                  <c:v>55843</c:v>
                </c:pt>
                <c:pt idx="2359">
                  <c:v>55850</c:v>
                </c:pt>
                <c:pt idx="2360">
                  <c:v>55857</c:v>
                </c:pt>
                <c:pt idx="2361">
                  <c:v>55864</c:v>
                </c:pt>
                <c:pt idx="2362">
                  <c:v>55871</c:v>
                </c:pt>
                <c:pt idx="2363">
                  <c:v>55880</c:v>
                </c:pt>
                <c:pt idx="2364">
                  <c:v>55887</c:v>
                </c:pt>
                <c:pt idx="2365">
                  <c:v>55894</c:v>
                </c:pt>
                <c:pt idx="2366">
                  <c:v>55901</c:v>
                </c:pt>
                <c:pt idx="2367">
                  <c:v>55908</c:v>
                </c:pt>
                <c:pt idx="2368">
                  <c:v>55915</c:v>
                </c:pt>
                <c:pt idx="2369">
                  <c:v>55922</c:v>
                </c:pt>
                <c:pt idx="2370">
                  <c:v>55929</c:v>
                </c:pt>
                <c:pt idx="2371">
                  <c:v>55936</c:v>
                </c:pt>
                <c:pt idx="2372">
                  <c:v>55943</c:v>
                </c:pt>
                <c:pt idx="2373">
                  <c:v>55950</c:v>
                </c:pt>
                <c:pt idx="2374">
                  <c:v>55957</c:v>
                </c:pt>
                <c:pt idx="2375">
                  <c:v>55964</c:v>
                </c:pt>
                <c:pt idx="2376">
                  <c:v>55971</c:v>
                </c:pt>
                <c:pt idx="2377">
                  <c:v>55982</c:v>
                </c:pt>
                <c:pt idx="2378">
                  <c:v>55989</c:v>
                </c:pt>
                <c:pt idx="2379">
                  <c:v>55996</c:v>
                </c:pt>
                <c:pt idx="2380">
                  <c:v>56003</c:v>
                </c:pt>
                <c:pt idx="2381">
                  <c:v>56010</c:v>
                </c:pt>
                <c:pt idx="2382">
                  <c:v>56017</c:v>
                </c:pt>
                <c:pt idx="2383">
                  <c:v>56024</c:v>
                </c:pt>
                <c:pt idx="2384">
                  <c:v>56031</c:v>
                </c:pt>
                <c:pt idx="2385">
                  <c:v>56038</c:v>
                </c:pt>
                <c:pt idx="2386">
                  <c:v>56045</c:v>
                </c:pt>
                <c:pt idx="2387">
                  <c:v>56052</c:v>
                </c:pt>
                <c:pt idx="2388">
                  <c:v>56059</c:v>
                </c:pt>
                <c:pt idx="2389">
                  <c:v>56066</c:v>
                </c:pt>
                <c:pt idx="2390">
                  <c:v>56073</c:v>
                </c:pt>
                <c:pt idx="2391">
                  <c:v>56080</c:v>
                </c:pt>
                <c:pt idx="2392">
                  <c:v>56087</c:v>
                </c:pt>
                <c:pt idx="2393">
                  <c:v>56094</c:v>
                </c:pt>
                <c:pt idx="2394">
                  <c:v>56101</c:v>
                </c:pt>
                <c:pt idx="2395">
                  <c:v>56108</c:v>
                </c:pt>
                <c:pt idx="2396">
                  <c:v>56115</c:v>
                </c:pt>
                <c:pt idx="2397">
                  <c:v>56122</c:v>
                </c:pt>
                <c:pt idx="2398">
                  <c:v>56129</c:v>
                </c:pt>
                <c:pt idx="2399">
                  <c:v>56136</c:v>
                </c:pt>
                <c:pt idx="2400">
                  <c:v>56143</c:v>
                </c:pt>
                <c:pt idx="2401">
                  <c:v>56150</c:v>
                </c:pt>
                <c:pt idx="2402">
                  <c:v>56157</c:v>
                </c:pt>
                <c:pt idx="2403">
                  <c:v>56164</c:v>
                </c:pt>
                <c:pt idx="2404">
                  <c:v>56171</c:v>
                </c:pt>
                <c:pt idx="2405">
                  <c:v>56178</c:v>
                </c:pt>
                <c:pt idx="2406">
                  <c:v>56185</c:v>
                </c:pt>
                <c:pt idx="2407">
                  <c:v>56192</c:v>
                </c:pt>
                <c:pt idx="2408">
                  <c:v>56199</c:v>
                </c:pt>
                <c:pt idx="2409">
                  <c:v>56206</c:v>
                </c:pt>
                <c:pt idx="2410">
                  <c:v>56213</c:v>
                </c:pt>
                <c:pt idx="2411">
                  <c:v>56220</c:v>
                </c:pt>
                <c:pt idx="2412">
                  <c:v>56227</c:v>
                </c:pt>
                <c:pt idx="2413">
                  <c:v>56234</c:v>
                </c:pt>
                <c:pt idx="2414">
                  <c:v>56241</c:v>
                </c:pt>
                <c:pt idx="2415">
                  <c:v>56248</c:v>
                </c:pt>
                <c:pt idx="2416">
                  <c:v>56255</c:v>
                </c:pt>
                <c:pt idx="2417">
                  <c:v>56262</c:v>
                </c:pt>
                <c:pt idx="2418">
                  <c:v>56269</c:v>
                </c:pt>
                <c:pt idx="2419">
                  <c:v>56276</c:v>
                </c:pt>
                <c:pt idx="2420">
                  <c:v>56283</c:v>
                </c:pt>
                <c:pt idx="2421">
                  <c:v>56290</c:v>
                </c:pt>
                <c:pt idx="2422">
                  <c:v>56297</c:v>
                </c:pt>
                <c:pt idx="2423">
                  <c:v>56304</c:v>
                </c:pt>
                <c:pt idx="2424">
                  <c:v>56311</c:v>
                </c:pt>
                <c:pt idx="2425">
                  <c:v>56318</c:v>
                </c:pt>
                <c:pt idx="2426">
                  <c:v>56325</c:v>
                </c:pt>
                <c:pt idx="2427">
                  <c:v>56332</c:v>
                </c:pt>
                <c:pt idx="2428">
                  <c:v>56339</c:v>
                </c:pt>
                <c:pt idx="2429">
                  <c:v>56346</c:v>
                </c:pt>
                <c:pt idx="2430">
                  <c:v>56353</c:v>
                </c:pt>
                <c:pt idx="2431">
                  <c:v>56360</c:v>
                </c:pt>
                <c:pt idx="2432">
                  <c:v>56367</c:v>
                </c:pt>
                <c:pt idx="2433">
                  <c:v>56374</c:v>
                </c:pt>
                <c:pt idx="2434">
                  <c:v>56381</c:v>
                </c:pt>
                <c:pt idx="2435">
                  <c:v>56388</c:v>
                </c:pt>
                <c:pt idx="2436">
                  <c:v>56395</c:v>
                </c:pt>
                <c:pt idx="2437">
                  <c:v>56402</c:v>
                </c:pt>
                <c:pt idx="2438">
                  <c:v>56409</c:v>
                </c:pt>
                <c:pt idx="2439">
                  <c:v>56416</c:v>
                </c:pt>
                <c:pt idx="2440">
                  <c:v>56423</c:v>
                </c:pt>
                <c:pt idx="2441">
                  <c:v>56430</c:v>
                </c:pt>
                <c:pt idx="2442">
                  <c:v>56437</c:v>
                </c:pt>
                <c:pt idx="2443">
                  <c:v>56444</c:v>
                </c:pt>
                <c:pt idx="2444">
                  <c:v>56451</c:v>
                </c:pt>
                <c:pt idx="2445">
                  <c:v>56458</c:v>
                </c:pt>
                <c:pt idx="2446">
                  <c:v>56465</c:v>
                </c:pt>
                <c:pt idx="2447">
                  <c:v>56472</c:v>
                </c:pt>
                <c:pt idx="2448">
                  <c:v>56479</c:v>
                </c:pt>
                <c:pt idx="2449">
                  <c:v>56486</c:v>
                </c:pt>
                <c:pt idx="2450">
                  <c:v>56493</c:v>
                </c:pt>
                <c:pt idx="2451">
                  <c:v>56500</c:v>
                </c:pt>
                <c:pt idx="2452">
                  <c:v>56507</c:v>
                </c:pt>
                <c:pt idx="2453">
                  <c:v>56514</c:v>
                </c:pt>
                <c:pt idx="2454">
                  <c:v>56521</c:v>
                </c:pt>
                <c:pt idx="2455">
                  <c:v>56528</c:v>
                </c:pt>
                <c:pt idx="2456">
                  <c:v>56535</c:v>
                </c:pt>
                <c:pt idx="2457">
                  <c:v>56542</c:v>
                </c:pt>
                <c:pt idx="2458">
                  <c:v>56549</c:v>
                </c:pt>
                <c:pt idx="2459">
                  <c:v>56556</c:v>
                </c:pt>
                <c:pt idx="2460">
                  <c:v>56563</c:v>
                </c:pt>
                <c:pt idx="2461">
                  <c:v>56570</c:v>
                </c:pt>
                <c:pt idx="2462">
                  <c:v>56577</c:v>
                </c:pt>
                <c:pt idx="2463">
                  <c:v>56584</c:v>
                </c:pt>
                <c:pt idx="2464">
                  <c:v>56591</c:v>
                </c:pt>
                <c:pt idx="2465">
                  <c:v>56598</c:v>
                </c:pt>
                <c:pt idx="2466">
                  <c:v>56605</c:v>
                </c:pt>
                <c:pt idx="2467">
                  <c:v>56612</c:v>
                </c:pt>
                <c:pt idx="2468">
                  <c:v>56619</c:v>
                </c:pt>
                <c:pt idx="2469">
                  <c:v>56626</c:v>
                </c:pt>
                <c:pt idx="2470">
                  <c:v>56633</c:v>
                </c:pt>
                <c:pt idx="2471">
                  <c:v>56641</c:v>
                </c:pt>
                <c:pt idx="2472">
                  <c:v>56648</c:v>
                </c:pt>
                <c:pt idx="2473">
                  <c:v>56655</c:v>
                </c:pt>
                <c:pt idx="2474">
                  <c:v>56662</c:v>
                </c:pt>
                <c:pt idx="2475">
                  <c:v>56669</c:v>
                </c:pt>
                <c:pt idx="2476">
                  <c:v>56676</c:v>
                </c:pt>
                <c:pt idx="2477">
                  <c:v>56683</c:v>
                </c:pt>
                <c:pt idx="2478">
                  <c:v>56690</c:v>
                </c:pt>
                <c:pt idx="2479">
                  <c:v>56697</c:v>
                </c:pt>
                <c:pt idx="2480">
                  <c:v>56704</c:v>
                </c:pt>
                <c:pt idx="2481">
                  <c:v>56711</c:v>
                </c:pt>
                <c:pt idx="2482">
                  <c:v>56718</c:v>
                </c:pt>
                <c:pt idx="2483">
                  <c:v>56725</c:v>
                </c:pt>
                <c:pt idx="2484">
                  <c:v>56732</c:v>
                </c:pt>
                <c:pt idx="2485">
                  <c:v>56739</c:v>
                </c:pt>
                <c:pt idx="2486">
                  <c:v>56746</c:v>
                </c:pt>
                <c:pt idx="2487">
                  <c:v>56753</c:v>
                </c:pt>
                <c:pt idx="2488">
                  <c:v>56760</c:v>
                </c:pt>
                <c:pt idx="2489">
                  <c:v>56767</c:v>
                </c:pt>
                <c:pt idx="2490">
                  <c:v>56774</c:v>
                </c:pt>
                <c:pt idx="2491">
                  <c:v>56781</c:v>
                </c:pt>
                <c:pt idx="2492">
                  <c:v>56788</c:v>
                </c:pt>
                <c:pt idx="2493">
                  <c:v>56795</c:v>
                </c:pt>
                <c:pt idx="2494">
                  <c:v>56802</c:v>
                </c:pt>
                <c:pt idx="2495">
                  <c:v>56809</c:v>
                </c:pt>
                <c:pt idx="2496">
                  <c:v>56816</c:v>
                </c:pt>
                <c:pt idx="2497">
                  <c:v>56823</c:v>
                </c:pt>
                <c:pt idx="2498">
                  <c:v>56830</c:v>
                </c:pt>
                <c:pt idx="2499">
                  <c:v>56837</c:v>
                </c:pt>
                <c:pt idx="2500">
                  <c:v>56844</c:v>
                </c:pt>
                <c:pt idx="2501">
                  <c:v>56851</c:v>
                </c:pt>
                <c:pt idx="2502">
                  <c:v>56858</c:v>
                </c:pt>
                <c:pt idx="2503">
                  <c:v>56865</c:v>
                </c:pt>
                <c:pt idx="2504">
                  <c:v>56872</c:v>
                </c:pt>
                <c:pt idx="2505">
                  <c:v>56879</c:v>
                </c:pt>
                <c:pt idx="2506">
                  <c:v>56886</c:v>
                </c:pt>
                <c:pt idx="2507">
                  <c:v>56893</c:v>
                </c:pt>
                <c:pt idx="2508">
                  <c:v>56900</c:v>
                </c:pt>
                <c:pt idx="2509">
                  <c:v>56907</c:v>
                </c:pt>
                <c:pt idx="2510">
                  <c:v>56914</c:v>
                </c:pt>
                <c:pt idx="2511">
                  <c:v>56921</c:v>
                </c:pt>
                <c:pt idx="2512">
                  <c:v>56928</c:v>
                </c:pt>
                <c:pt idx="2513">
                  <c:v>56935</c:v>
                </c:pt>
                <c:pt idx="2514">
                  <c:v>56942</c:v>
                </c:pt>
                <c:pt idx="2515">
                  <c:v>56949</c:v>
                </c:pt>
                <c:pt idx="2516">
                  <c:v>56956</c:v>
                </c:pt>
                <c:pt idx="2517">
                  <c:v>56963</c:v>
                </c:pt>
                <c:pt idx="2518">
                  <c:v>56970</c:v>
                </c:pt>
                <c:pt idx="2519">
                  <c:v>56977</c:v>
                </c:pt>
                <c:pt idx="2520">
                  <c:v>56984</c:v>
                </c:pt>
                <c:pt idx="2521">
                  <c:v>56991</c:v>
                </c:pt>
                <c:pt idx="2522">
                  <c:v>56998</c:v>
                </c:pt>
                <c:pt idx="2523">
                  <c:v>57006</c:v>
                </c:pt>
                <c:pt idx="2524">
                  <c:v>57013</c:v>
                </c:pt>
                <c:pt idx="2525">
                  <c:v>57020</c:v>
                </c:pt>
                <c:pt idx="2526">
                  <c:v>57027</c:v>
                </c:pt>
                <c:pt idx="2527">
                  <c:v>57034</c:v>
                </c:pt>
                <c:pt idx="2528">
                  <c:v>57041</c:v>
                </c:pt>
                <c:pt idx="2529">
                  <c:v>57048</c:v>
                </c:pt>
                <c:pt idx="2530">
                  <c:v>57055</c:v>
                </c:pt>
                <c:pt idx="2531">
                  <c:v>57062</c:v>
                </c:pt>
                <c:pt idx="2532">
                  <c:v>57069</c:v>
                </c:pt>
                <c:pt idx="2533">
                  <c:v>57076</c:v>
                </c:pt>
                <c:pt idx="2534">
                  <c:v>57083</c:v>
                </c:pt>
                <c:pt idx="2535">
                  <c:v>57090</c:v>
                </c:pt>
                <c:pt idx="2536">
                  <c:v>57097</c:v>
                </c:pt>
                <c:pt idx="2537">
                  <c:v>57104</c:v>
                </c:pt>
                <c:pt idx="2538">
                  <c:v>57111</c:v>
                </c:pt>
                <c:pt idx="2539">
                  <c:v>57118</c:v>
                </c:pt>
                <c:pt idx="2540">
                  <c:v>57125</c:v>
                </c:pt>
                <c:pt idx="2541">
                  <c:v>57132</c:v>
                </c:pt>
                <c:pt idx="2542">
                  <c:v>57139</c:v>
                </c:pt>
                <c:pt idx="2543">
                  <c:v>57146</c:v>
                </c:pt>
                <c:pt idx="2544">
                  <c:v>57153</c:v>
                </c:pt>
                <c:pt idx="2545">
                  <c:v>57160</c:v>
                </c:pt>
                <c:pt idx="2546">
                  <c:v>57167</c:v>
                </c:pt>
                <c:pt idx="2547">
                  <c:v>57174</c:v>
                </c:pt>
                <c:pt idx="2548">
                  <c:v>57181</c:v>
                </c:pt>
                <c:pt idx="2549">
                  <c:v>57188</c:v>
                </c:pt>
                <c:pt idx="2550">
                  <c:v>57195</c:v>
                </c:pt>
                <c:pt idx="2551">
                  <c:v>57202</c:v>
                </c:pt>
                <c:pt idx="2552">
                  <c:v>57209</c:v>
                </c:pt>
                <c:pt idx="2553">
                  <c:v>57216</c:v>
                </c:pt>
                <c:pt idx="2554">
                  <c:v>57223</c:v>
                </c:pt>
                <c:pt idx="2555">
                  <c:v>57230</c:v>
                </c:pt>
                <c:pt idx="2556">
                  <c:v>57237</c:v>
                </c:pt>
                <c:pt idx="2557">
                  <c:v>57244</c:v>
                </c:pt>
                <c:pt idx="2558">
                  <c:v>57251</c:v>
                </c:pt>
                <c:pt idx="2559">
                  <c:v>57258</c:v>
                </c:pt>
                <c:pt idx="2560">
                  <c:v>57265</c:v>
                </c:pt>
                <c:pt idx="2561">
                  <c:v>57272</c:v>
                </c:pt>
                <c:pt idx="2562">
                  <c:v>57279</c:v>
                </c:pt>
                <c:pt idx="2563">
                  <c:v>57286</c:v>
                </c:pt>
                <c:pt idx="2564">
                  <c:v>57293</c:v>
                </c:pt>
                <c:pt idx="2565">
                  <c:v>57300</c:v>
                </c:pt>
                <c:pt idx="2566">
                  <c:v>57307</c:v>
                </c:pt>
                <c:pt idx="2567">
                  <c:v>57314</c:v>
                </c:pt>
                <c:pt idx="2568">
                  <c:v>57321</c:v>
                </c:pt>
                <c:pt idx="2569">
                  <c:v>57328</c:v>
                </c:pt>
                <c:pt idx="2570">
                  <c:v>57335</c:v>
                </c:pt>
                <c:pt idx="2571">
                  <c:v>57342</c:v>
                </c:pt>
                <c:pt idx="2572">
                  <c:v>57349</c:v>
                </c:pt>
                <c:pt idx="2573">
                  <c:v>57356</c:v>
                </c:pt>
                <c:pt idx="2574">
                  <c:v>57363</c:v>
                </c:pt>
                <c:pt idx="2575">
                  <c:v>57370</c:v>
                </c:pt>
                <c:pt idx="2576">
                  <c:v>57377</c:v>
                </c:pt>
                <c:pt idx="2577">
                  <c:v>57384</c:v>
                </c:pt>
                <c:pt idx="2578">
                  <c:v>57391</c:v>
                </c:pt>
                <c:pt idx="2579">
                  <c:v>57398</c:v>
                </c:pt>
                <c:pt idx="2580">
                  <c:v>57405</c:v>
                </c:pt>
                <c:pt idx="2581">
                  <c:v>57412</c:v>
                </c:pt>
                <c:pt idx="2582">
                  <c:v>57419</c:v>
                </c:pt>
                <c:pt idx="2583">
                  <c:v>57426</c:v>
                </c:pt>
                <c:pt idx="2584">
                  <c:v>57433</c:v>
                </c:pt>
                <c:pt idx="2585">
                  <c:v>57440</c:v>
                </c:pt>
                <c:pt idx="2586">
                  <c:v>57447</c:v>
                </c:pt>
                <c:pt idx="2587">
                  <c:v>57454</c:v>
                </c:pt>
                <c:pt idx="2588">
                  <c:v>57461</c:v>
                </c:pt>
                <c:pt idx="2589">
                  <c:v>57468</c:v>
                </c:pt>
                <c:pt idx="2590">
                  <c:v>57475</c:v>
                </c:pt>
                <c:pt idx="2591">
                  <c:v>57482</c:v>
                </c:pt>
                <c:pt idx="2592">
                  <c:v>57489</c:v>
                </c:pt>
                <c:pt idx="2593">
                  <c:v>57496</c:v>
                </c:pt>
                <c:pt idx="2594">
                  <c:v>57503</c:v>
                </c:pt>
                <c:pt idx="2595">
                  <c:v>57510</c:v>
                </c:pt>
                <c:pt idx="2596">
                  <c:v>57517</c:v>
                </c:pt>
                <c:pt idx="2597">
                  <c:v>57524</c:v>
                </c:pt>
                <c:pt idx="2598">
                  <c:v>57531</c:v>
                </c:pt>
                <c:pt idx="2599">
                  <c:v>57538</c:v>
                </c:pt>
                <c:pt idx="2600">
                  <c:v>57545</c:v>
                </c:pt>
                <c:pt idx="2601">
                  <c:v>57552</c:v>
                </c:pt>
                <c:pt idx="2602">
                  <c:v>57559</c:v>
                </c:pt>
                <c:pt idx="2603">
                  <c:v>57566</c:v>
                </c:pt>
                <c:pt idx="2604">
                  <c:v>57573</c:v>
                </c:pt>
                <c:pt idx="2605">
                  <c:v>57580</c:v>
                </c:pt>
                <c:pt idx="2606">
                  <c:v>57587</c:v>
                </c:pt>
                <c:pt idx="2607">
                  <c:v>57594</c:v>
                </c:pt>
                <c:pt idx="2608">
                  <c:v>57601</c:v>
                </c:pt>
                <c:pt idx="2609">
                  <c:v>57608</c:v>
                </c:pt>
                <c:pt idx="2610">
                  <c:v>57615</c:v>
                </c:pt>
                <c:pt idx="2611">
                  <c:v>57622</c:v>
                </c:pt>
                <c:pt idx="2612">
                  <c:v>57629</c:v>
                </c:pt>
                <c:pt idx="2613">
                  <c:v>57636</c:v>
                </c:pt>
                <c:pt idx="2614">
                  <c:v>57643</c:v>
                </c:pt>
                <c:pt idx="2615">
                  <c:v>57650</c:v>
                </c:pt>
                <c:pt idx="2616">
                  <c:v>57657</c:v>
                </c:pt>
                <c:pt idx="2617">
                  <c:v>57664</c:v>
                </c:pt>
                <c:pt idx="2618">
                  <c:v>57671</c:v>
                </c:pt>
                <c:pt idx="2619">
                  <c:v>57678</c:v>
                </c:pt>
                <c:pt idx="2620">
                  <c:v>57685</c:v>
                </c:pt>
                <c:pt idx="2621">
                  <c:v>57692</c:v>
                </c:pt>
                <c:pt idx="2622">
                  <c:v>57699</c:v>
                </c:pt>
                <c:pt idx="2623">
                  <c:v>57706</c:v>
                </c:pt>
                <c:pt idx="2624">
                  <c:v>57713</c:v>
                </c:pt>
                <c:pt idx="2625">
                  <c:v>57720</c:v>
                </c:pt>
                <c:pt idx="2626">
                  <c:v>57727</c:v>
                </c:pt>
                <c:pt idx="2627">
                  <c:v>57734</c:v>
                </c:pt>
                <c:pt idx="2628">
                  <c:v>57741</c:v>
                </c:pt>
                <c:pt idx="2629">
                  <c:v>57748</c:v>
                </c:pt>
                <c:pt idx="2630">
                  <c:v>57755</c:v>
                </c:pt>
                <c:pt idx="2631">
                  <c:v>57762</c:v>
                </c:pt>
                <c:pt idx="2632">
                  <c:v>57769</c:v>
                </c:pt>
                <c:pt idx="2633">
                  <c:v>57776</c:v>
                </c:pt>
                <c:pt idx="2634">
                  <c:v>57783</c:v>
                </c:pt>
                <c:pt idx="2635">
                  <c:v>57790</c:v>
                </c:pt>
                <c:pt idx="2636">
                  <c:v>57797</c:v>
                </c:pt>
                <c:pt idx="2637">
                  <c:v>57804</c:v>
                </c:pt>
                <c:pt idx="2638">
                  <c:v>57811</c:v>
                </c:pt>
                <c:pt idx="2639">
                  <c:v>57818</c:v>
                </c:pt>
                <c:pt idx="2640">
                  <c:v>57826</c:v>
                </c:pt>
                <c:pt idx="2641">
                  <c:v>57833</c:v>
                </c:pt>
                <c:pt idx="2642">
                  <c:v>57840</c:v>
                </c:pt>
                <c:pt idx="2643">
                  <c:v>57847</c:v>
                </c:pt>
                <c:pt idx="2644">
                  <c:v>57854</c:v>
                </c:pt>
                <c:pt idx="2645">
                  <c:v>57861</c:v>
                </c:pt>
                <c:pt idx="2646">
                  <c:v>57868</c:v>
                </c:pt>
                <c:pt idx="2647">
                  <c:v>57875</c:v>
                </c:pt>
                <c:pt idx="2648">
                  <c:v>57882</c:v>
                </c:pt>
                <c:pt idx="2649">
                  <c:v>57889</c:v>
                </c:pt>
                <c:pt idx="2650">
                  <c:v>57896</c:v>
                </c:pt>
                <c:pt idx="2651">
                  <c:v>57903</c:v>
                </c:pt>
                <c:pt idx="2652">
                  <c:v>57910</c:v>
                </c:pt>
                <c:pt idx="2653">
                  <c:v>57917</c:v>
                </c:pt>
                <c:pt idx="2654">
                  <c:v>57924</c:v>
                </c:pt>
                <c:pt idx="2655">
                  <c:v>57931</c:v>
                </c:pt>
                <c:pt idx="2656">
                  <c:v>57938</c:v>
                </c:pt>
                <c:pt idx="2657">
                  <c:v>57945</c:v>
                </c:pt>
                <c:pt idx="2658">
                  <c:v>57952</c:v>
                </c:pt>
                <c:pt idx="2659">
                  <c:v>57959</c:v>
                </c:pt>
                <c:pt idx="2660">
                  <c:v>57966</c:v>
                </c:pt>
                <c:pt idx="2661">
                  <c:v>57973</c:v>
                </c:pt>
                <c:pt idx="2662">
                  <c:v>57980</c:v>
                </c:pt>
                <c:pt idx="2663">
                  <c:v>57987</c:v>
                </c:pt>
                <c:pt idx="2664">
                  <c:v>57994</c:v>
                </c:pt>
                <c:pt idx="2665">
                  <c:v>58001</c:v>
                </c:pt>
                <c:pt idx="2666">
                  <c:v>58008</c:v>
                </c:pt>
                <c:pt idx="2667">
                  <c:v>58015</c:v>
                </c:pt>
                <c:pt idx="2668">
                  <c:v>58022</c:v>
                </c:pt>
                <c:pt idx="2669">
                  <c:v>58029</c:v>
                </c:pt>
                <c:pt idx="2670">
                  <c:v>58036</c:v>
                </c:pt>
                <c:pt idx="2671">
                  <c:v>58043</c:v>
                </c:pt>
                <c:pt idx="2672">
                  <c:v>58050</c:v>
                </c:pt>
                <c:pt idx="2673">
                  <c:v>58057</c:v>
                </c:pt>
                <c:pt idx="2674">
                  <c:v>58064</c:v>
                </c:pt>
                <c:pt idx="2675">
                  <c:v>58071</c:v>
                </c:pt>
                <c:pt idx="2676">
                  <c:v>58078</c:v>
                </c:pt>
                <c:pt idx="2677">
                  <c:v>58085</c:v>
                </c:pt>
                <c:pt idx="2678">
                  <c:v>58092</c:v>
                </c:pt>
                <c:pt idx="2679">
                  <c:v>58099</c:v>
                </c:pt>
                <c:pt idx="2680">
                  <c:v>58106</c:v>
                </c:pt>
                <c:pt idx="2681">
                  <c:v>58113</c:v>
                </c:pt>
                <c:pt idx="2682">
                  <c:v>58120</c:v>
                </c:pt>
                <c:pt idx="2683">
                  <c:v>58127</c:v>
                </c:pt>
                <c:pt idx="2684">
                  <c:v>58134</c:v>
                </c:pt>
                <c:pt idx="2685">
                  <c:v>58141</c:v>
                </c:pt>
                <c:pt idx="2686">
                  <c:v>58148</c:v>
                </c:pt>
                <c:pt idx="2687">
                  <c:v>58155</c:v>
                </c:pt>
                <c:pt idx="2688">
                  <c:v>58166</c:v>
                </c:pt>
                <c:pt idx="2689">
                  <c:v>58173</c:v>
                </c:pt>
                <c:pt idx="2690">
                  <c:v>58180</c:v>
                </c:pt>
                <c:pt idx="2691">
                  <c:v>58187</c:v>
                </c:pt>
                <c:pt idx="2692">
                  <c:v>58194</c:v>
                </c:pt>
                <c:pt idx="2693">
                  <c:v>58201</c:v>
                </c:pt>
                <c:pt idx="2694">
                  <c:v>58208</c:v>
                </c:pt>
                <c:pt idx="2695">
                  <c:v>58215</c:v>
                </c:pt>
                <c:pt idx="2696">
                  <c:v>58222</c:v>
                </c:pt>
                <c:pt idx="2697">
                  <c:v>58229</c:v>
                </c:pt>
                <c:pt idx="2698">
                  <c:v>58236</c:v>
                </c:pt>
                <c:pt idx="2699">
                  <c:v>58243</c:v>
                </c:pt>
                <c:pt idx="2700">
                  <c:v>58250</c:v>
                </c:pt>
                <c:pt idx="2701">
                  <c:v>58257</c:v>
                </c:pt>
                <c:pt idx="2702">
                  <c:v>58264</c:v>
                </c:pt>
                <c:pt idx="2703">
                  <c:v>58271</c:v>
                </c:pt>
                <c:pt idx="2704">
                  <c:v>58278</c:v>
                </c:pt>
                <c:pt idx="2705">
                  <c:v>58285</c:v>
                </c:pt>
                <c:pt idx="2706">
                  <c:v>58292</c:v>
                </c:pt>
                <c:pt idx="2707">
                  <c:v>58299</c:v>
                </c:pt>
                <c:pt idx="2708">
                  <c:v>58306</c:v>
                </c:pt>
                <c:pt idx="2709">
                  <c:v>58313</c:v>
                </c:pt>
                <c:pt idx="2710">
                  <c:v>58320</c:v>
                </c:pt>
                <c:pt idx="2711">
                  <c:v>58327</c:v>
                </c:pt>
                <c:pt idx="2712">
                  <c:v>58334</c:v>
                </c:pt>
                <c:pt idx="2713">
                  <c:v>58341</c:v>
                </c:pt>
                <c:pt idx="2714">
                  <c:v>58348</c:v>
                </c:pt>
                <c:pt idx="2715">
                  <c:v>58355</c:v>
                </c:pt>
                <c:pt idx="2716">
                  <c:v>58362</c:v>
                </c:pt>
                <c:pt idx="2717">
                  <c:v>58369</c:v>
                </c:pt>
                <c:pt idx="2718">
                  <c:v>58376</c:v>
                </c:pt>
                <c:pt idx="2719">
                  <c:v>58383</c:v>
                </c:pt>
                <c:pt idx="2720">
                  <c:v>58390</c:v>
                </c:pt>
                <c:pt idx="2721">
                  <c:v>58397</c:v>
                </c:pt>
                <c:pt idx="2722">
                  <c:v>58404</c:v>
                </c:pt>
                <c:pt idx="2723">
                  <c:v>58411</c:v>
                </c:pt>
                <c:pt idx="2724">
                  <c:v>58418</c:v>
                </c:pt>
                <c:pt idx="2725">
                  <c:v>58425</c:v>
                </c:pt>
                <c:pt idx="2726">
                  <c:v>58432</c:v>
                </c:pt>
                <c:pt idx="2727">
                  <c:v>58439</c:v>
                </c:pt>
                <c:pt idx="2728">
                  <c:v>58446</c:v>
                </c:pt>
                <c:pt idx="2729">
                  <c:v>58453</c:v>
                </c:pt>
                <c:pt idx="2730">
                  <c:v>58460</c:v>
                </c:pt>
                <c:pt idx="2731">
                  <c:v>58467</c:v>
                </c:pt>
                <c:pt idx="2732">
                  <c:v>58474</c:v>
                </c:pt>
                <c:pt idx="2733">
                  <c:v>58481</c:v>
                </c:pt>
                <c:pt idx="2734">
                  <c:v>58488</c:v>
                </c:pt>
                <c:pt idx="2735">
                  <c:v>58495</c:v>
                </c:pt>
                <c:pt idx="2736">
                  <c:v>58502</c:v>
                </c:pt>
                <c:pt idx="2737">
                  <c:v>58509</c:v>
                </c:pt>
                <c:pt idx="2738">
                  <c:v>58516</c:v>
                </c:pt>
                <c:pt idx="2739">
                  <c:v>58523</c:v>
                </c:pt>
                <c:pt idx="2740">
                  <c:v>58530</c:v>
                </c:pt>
                <c:pt idx="2741">
                  <c:v>58537</c:v>
                </c:pt>
                <c:pt idx="2742">
                  <c:v>58544</c:v>
                </c:pt>
                <c:pt idx="2743">
                  <c:v>58551</c:v>
                </c:pt>
                <c:pt idx="2744">
                  <c:v>58558</c:v>
                </c:pt>
                <c:pt idx="2745">
                  <c:v>58565</c:v>
                </c:pt>
                <c:pt idx="2746">
                  <c:v>58572</c:v>
                </c:pt>
                <c:pt idx="2747">
                  <c:v>58579</c:v>
                </c:pt>
                <c:pt idx="2748">
                  <c:v>58586</c:v>
                </c:pt>
                <c:pt idx="2749">
                  <c:v>58593</c:v>
                </c:pt>
                <c:pt idx="2750">
                  <c:v>58600</c:v>
                </c:pt>
                <c:pt idx="2751">
                  <c:v>58607</c:v>
                </c:pt>
                <c:pt idx="2752">
                  <c:v>58614</c:v>
                </c:pt>
                <c:pt idx="2753">
                  <c:v>58621</c:v>
                </c:pt>
                <c:pt idx="2754">
                  <c:v>58628</c:v>
                </c:pt>
                <c:pt idx="2755">
                  <c:v>58635</c:v>
                </c:pt>
                <c:pt idx="2756">
                  <c:v>58642</c:v>
                </c:pt>
                <c:pt idx="2757">
                  <c:v>58649</c:v>
                </c:pt>
                <c:pt idx="2758">
                  <c:v>58656</c:v>
                </c:pt>
                <c:pt idx="2759">
                  <c:v>58663</c:v>
                </c:pt>
                <c:pt idx="2760">
                  <c:v>58670</c:v>
                </c:pt>
                <c:pt idx="2761">
                  <c:v>58677</c:v>
                </c:pt>
                <c:pt idx="2762">
                  <c:v>58684</c:v>
                </c:pt>
                <c:pt idx="2763">
                  <c:v>58691</c:v>
                </c:pt>
                <c:pt idx="2764">
                  <c:v>58698</c:v>
                </c:pt>
                <c:pt idx="2765">
                  <c:v>58705</c:v>
                </c:pt>
                <c:pt idx="2766">
                  <c:v>58712</c:v>
                </c:pt>
                <c:pt idx="2767">
                  <c:v>58719</c:v>
                </c:pt>
                <c:pt idx="2768">
                  <c:v>58726</c:v>
                </c:pt>
                <c:pt idx="2769">
                  <c:v>58733</c:v>
                </c:pt>
                <c:pt idx="2770">
                  <c:v>58740</c:v>
                </c:pt>
                <c:pt idx="2771">
                  <c:v>58747</c:v>
                </c:pt>
                <c:pt idx="2772">
                  <c:v>58754</c:v>
                </c:pt>
                <c:pt idx="2773">
                  <c:v>58761</c:v>
                </c:pt>
                <c:pt idx="2774">
                  <c:v>58768</c:v>
                </c:pt>
                <c:pt idx="2775">
                  <c:v>58775</c:v>
                </c:pt>
                <c:pt idx="2776">
                  <c:v>58782</c:v>
                </c:pt>
                <c:pt idx="2777">
                  <c:v>58789</c:v>
                </c:pt>
                <c:pt idx="2778">
                  <c:v>58796</c:v>
                </c:pt>
                <c:pt idx="2779">
                  <c:v>58804</c:v>
                </c:pt>
                <c:pt idx="2780">
                  <c:v>58811</c:v>
                </c:pt>
                <c:pt idx="2781">
                  <c:v>58818</c:v>
                </c:pt>
                <c:pt idx="2782">
                  <c:v>58825</c:v>
                </c:pt>
                <c:pt idx="2783">
                  <c:v>58833</c:v>
                </c:pt>
                <c:pt idx="2784">
                  <c:v>58840</c:v>
                </c:pt>
                <c:pt idx="2785">
                  <c:v>58847</c:v>
                </c:pt>
                <c:pt idx="2786">
                  <c:v>58854</c:v>
                </c:pt>
                <c:pt idx="2787">
                  <c:v>58861</c:v>
                </c:pt>
                <c:pt idx="2788">
                  <c:v>58868</c:v>
                </c:pt>
                <c:pt idx="2789">
                  <c:v>58875</c:v>
                </c:pt>
                <c:pt idx="2790">
                  <c:v>58882</c:v>
                </c:pt>
                <c:pt idx="2791">
                  <c:v>58889</c:v>
                </c:pt>
                <c:pt idx="2792">
                  <c:v>58896</c:v>
                </c:pt>
                <c:pt idx="2793">
                  <c:v>58903</c:v>
                </c:pt>
                <c:pt idx="2794">
                  <c:v>58910</c:v>
                </c:pt>
                <c:pt idx="2795">
                  <c:v>58917</c:v>
                </c:pt>
                <c:pt idx="2796">
                  <c:v>58924</c:v>
                </c:pt>
                <c:pt idx="2797">
                  <c:v>58931</c:v>
                </c:pt>
                <c:pt idx="2798">
                  <c:v>58938</c:v>
                </c:pt>
                <c:pt idx="2799">
                  <c:v>58945</c:v>
                </c:pt>
                <c:pt idx="2800">
                  <c:v>58952</c:v>
                </c:pt>
                <c:pt idx="2801">
                  <c:v>58959</c:v>
                </c:pt>
                <c:pt idx="2802">
                  <c:v>58966</c:v>
                </c:pt>
                <c:pt idx="2803">
                  <c:v>58973</c:v>
                </c:pt>
                <c:pt idx="2804">
                  <c:v>58980</c:v>
                </c:pt>
                <c:pt idx="2805">
                  <c:v>58987</c:v>
                </c:pt>
                <c:pt idx="2806">
                  <c:v>58994</c:v>
                </c:pt>
                <c:pt idx="2807">
                  <c:v>59001</c:v>
                </c:pt>
                <c:pt idx="2808">
                  <c:v>59008</c:v>
                </c:pt>
                <c:pt idx="2809">
                  <c:v>59015</c:v>
                </c:pt>
                <c:pt idx="2810">
                  <c:v>59022</c:v>
                </c:pt>
                <c:pt idx="2811">
                  <c:v>59029</c:v>
                </c:pt>
                <c:pt idx="2812">
                  <c:v>59036</c:v>
                </c:pt>
                <c:pt idx="2813">
                  <c:v>59043</c:v>
                </c:pt>
                <c:pt idx="2814">
                  <c:v>59050</c:v>
                </c:pt>
                <c:pt idx="2815">
                  <c:v>59057</c:v>
                </c:pt>
                <c:pt idx="2816">
                  <c:v>59064</c:v>
                </c:pt>
                <c:pt idx="2817">
                  <c:v>59071</c:v>
                </c:pt>
                <c:pt idx="2818">
                  <c:v>59078</c:v>
                </c:pt>
                <c:pt idx="2819">
                  <c:v>59085</c:v>
                </c:pt>
                <c:pt idx="2820">
                  <c:v>59092</c:v>
                </c:pt>
                <c:pt idx="2821">
                  <c:v>59099</c:v>
                </c:pt>
                <c:pt idx="2822">
                  <c:v>59106</c:v>
                </c:pt>
                <c:pt idx="2823">
                  <c:v>59113</c:v>
                </c:pt>
                <c:pt idx="2824">
                  <c:v>59120</c:v>
                </c:pt>
                <c:pt idx="2825">
                  <c:v>59127</c:v>
                </c:pt>
                <c:pt idx="2826">
                  <c:v>59134</c:v>
                </c:pt>
                <c:pt idx="2827">
                  <c:v>59141</c:v>
                </c:pt>
                <c:pt idx="2828">
                  <c:v>59148</c:v>
                </c:pt>
                <c:pt idx="2829">
                  <c:v>59155</c:v>
                </c:pt>
                <c:pt idx="2830">
                  <c:v>59162</c:v>
                </c:pt>
                <c:pt idx="2831">
                  <c:v>59169</c:v>
                </c:pt>
                <c:pt idx="2832">
                  <c:v>59176</c:v>
                </c:pt>
                <c:pt idx="2833">
                  <c:v>59183</c:v>
                </c:pt>
                <c:pt idx="2834">
                  <c:v>59190</c:v>
                </c:pt>
                <c:pt idx="2835">
                  <c:v>59198</c:v>
                </c:pt>
                <c:pt idx="2836">
                  <c:v>59205</c:v>
                </c:pt>
                <c:pt idx="2837">
                  <c:v>59212</c:v>
                </c:pt>
                <c:pt idx="2838">
                  <c:v>59219</c:v>
                </c:pt>
                <c:pt idx="2839">
                  <c:v>59226</c:v>
                </c:pt>
                <c:pt idx="2840">
                  <c:v>59233</c:v>
                </c:pt>
                <c:pt idx="2841">
                  <c:v>59240</c:v>
                </c:pt>
                <c:pt idx="2842">
                  <c:v>59247</c:v>
                </c:pt>
                <c:pt idx="2843">
                  <c:v>59258</c:v>
                </c:pt>
                <c:pt idx="2844">
                  <c:v>59265</c:v>
                </c:pt>
                <c:pt idx="2845">
                  <c:v>59272</c:v>
                </c:pt>
                <c:pt idx="2846">
                  <c:v>59279</c:v>
                </c:pt>
                <c:pt idx="2847">
                  <c:v>59287</c:v>
                </c:pt>
                <c:pt idx="2848">
                  <c:v>59294</c:v>
                </c:pt>
                <c:pt idx="2849">
                  <c:v>59301</c:v>
                </c:pt>
                <c:pt idx="2850">
                  <c:v>59308</c:v>
                </c:pt>
                <c:pt idx="2851">
                  <c:v>59315</c:v>
                </c:pt>
                <c:pt idx="2852">
                  <c:v>59322</c:v>
                </c:pt>
                <c:pt idx="2853">
                  <c:v>59329</c:v>
                </c:pt>
                <c:pt idx="2854">
                  <c:v>59336</c:v>
                </c:pt>
                <c:pt idx="2855">
                  <c:v>59343</c:v>
                </c:pt>
                <c:pt idx="2856">
                  <c:v>59350</c:v>
                </c:pt>
                <c:pt idx="2857">
                  <c:v>59357</c:v>
                </c:pt>
                <c:pt idx="2858">
                  <c:v>59364</c:v>
                </c:pt>
                <c:pt idx="2859">
                  <c:v>59371</c:v>
                </c:pt>
                <c:pt idx="2860">
                  <c:v>59378</c:v>
                </c:pt>
                <c:pt idx="2861">
                  <c:v>59385</c:v>
                </c:pt>
                <c:pt idx="2862">
                  <c:v>59392</c:v>
                </c:pt>
                <c:pt idx="2863">
                  <c:v>59399</c:v>
                </c:pt>
                <c:pt idx="2864">
                  <c:v>59406</c:v>
                </c:pt>
                <c:pt idx="2865">
                  <c:v>59413</c:v>
                </c:pt>
                <c:pt idx="2866">
                  <c:v>59420</c:v>
                </c:pt>
                <c:pt idx="2867">
                  <c:v>59427</c:v>
                </c:pt>
                <c:pt idx="2868">
                  <c:v>59434</c:v>
                </c:pt>
                <c:pt idx="2869">
                  <c:v>59441</c:v>
                </c:pt>
                <c:pt idx="2870">
                  <c:v>59448</c:v>
                </c:pt>
                <c:pt idx="2871">
                  <c:v>59455</c:v>
                </c:pt>
                <c:pt idx="2872">
                  <c:v>59462</c:v>
                </c:pt>
                <c:pt idx="2873">
                  <c:v>59469</c:v>
                </c:pt>
                <c:pt idx="2874">
                  <c:v>59476</c:v>
                </c:pt>
                <c:pt idx="2875">
                  <c:v>59483</c:v>
                </c:pt>
                <c:pt idx="2876">
                  <c:v>59490</c:v>
                </c:pt>
                <c:pt idx="2877">
                  <c:v>59497</c:v>
                </c:pt>
                <c:pt idx="2878">
                  <c:v>59504</c:v>
                </c:pt>
                <c:pt idx="2879">
                  <c:v>59511</c:v>
                </c:pt>
                <c:pt idx="2880">
                  <c:v>59518</c:v>
                </c:pt>
                <c:pt idx="2881">
                  <c:v>59525</c:v>
                </c:pt>
                <c:pt idx="2882">
                  <c:v>59532</c:v>
                </c:pt>
                <c:pt idx="2883">
                  <c:v>59539</c:v>
                </c:pt>
                <c:pt idx="2884">
                  <c:v>59546</c:v>
                </c:pt>
                <c:pt idx="2885">
                  <c:v>59553</c:v>
                </c:pt>
                <c:pt idx="2886">
                  <c:v>59560</c:v>
                </c:pt>
                <c:pt idx="2887">
                  <c:v>59567</c:v>
                </c:pt>
                <c:pt idx="2888">
                  <c:v>59574</c:v>
                </c:pt>
                <c:pt idx="2889">
                  <c:v>59581</c:v>
                </c:pt>
                <c:pt idx="2890">
                  <c:v>59588</c:v>
                </c:pt>
                <c:pt idx="2891">
                  <c:v>59595</c:v>
                </c:pt>
                <c:pt idx="2892">
                  <c:v>59602</c:v>
                </c:pt>
                <c:pt idx="2893">
                  <c:v>59609</c:v>
                </c:pt>
                <c:pt idx="2894">
                  <c:v>59616</c:v>
                </c:pt>
                <c:pt idx="2895">
                  <c:v>59623</c:v>
                </c:pt>
                <c:pt idx="2896">
                  <c:v>59630</c:v>
                </c:pt>
                <c:pt idx="2897">
                  <c:v>59637</c:v>
                </c:pt>
                <c:pt idx="2898">
                  <c:v>59644</c:v>
                </c:pt>
                <c:pt idx="2899">
                  <c:v>59652</c:v>
                </c:pt>
                <c:pt idx="2900">
                  <c:v>59659</c:v>
                </c:pt>
                <c:pt idx="2901">
                  <c:v>59666</c:v>
                </c:pt>
                <c:pt idx="2902">
                  <c:v>59673</c:v>
                </c:pt>
                <c:pt idx="2903">
                  <c:v>59680</c:v>
                </c:pt>
                <c:pt idx="2904">
                  <c:v>59687</c:v>
                </c:pt>
                <c:pt idx="2905">
                  <c:v>59694</c:v>
                </c:pt>
                <c:pt idx="2906">
                  <c:v>59701</c:v>
                </c:pt>
                <c:pt idx="2907">
                  <c:v>59708</c:v>
                </c:pt>
                <c:pt idx="2908">
                  <c:v>59715</c:v>
                </c:pt>
                <c:pt idx="2909">
                  <c:v>59722</c:v>
                </c:pt>
                <c:pt idx="2910">
                  <c:v>59729</c:v>
                </c:pt>
                <c:pt idx="2911">
                  <c:v>59736</c:v>
                </c:pt>
                <c:pt idx="2912">
                  <c:v>59743</c:v>
                </c:pt>
                <c:pt idx="2913">
                  <c:v>59750</c:v>
                </c:pt>
                <c:pt idx="2914">
                  <c:v>59757</c:v>
                </c:pt>
                <c:pt idx="2915">
                  <c:v>59764</c:v>
                </c:pt>
                <c:pt idx="2916">
                  <c:v>59771</c:v>
                </c:pt>
                <c:pt idx="2917">
                  <c:v>59778</c:v>
                </c:pt>
                <c:pt idx="2918">
                  <c:v>59785</c:v>
                </c:pt>
                <c:pt idx="2919">
                  <c:v>59792</c:v>
                </c:pt>
                <c:pt idx="2920">
                  <c:v>59799</c:v>
                </c:pt>
                <c:pt idx="2921">
                  <c:v>59806</c:v>
                </c:pt>
                <c:pt idx="2922">
                  <c:v>59813</c:v>
                </c:pt>
                <c:pt idx="2923">
                  <c:v>59820</c:v>
                </c:pt>
                <c:pt idx="2924">
                  <c:v>59827</c:v>
                </c:pt>
                <c:pt idx="2925">
                  <c:v>59834</c:v>
                </c:pt>
                <c:pt idx="2926">
                  <c:v>59841</c:v>
                </c:pt>
                <c:pt idx="2927">
                  <c:v>59848</c:v>
                </c:pt>
                <c:pt idx="2928">
                  <c:v>59855</c:v>
                </c:pt>
                <c:pt idx="2929">
                  <c:v>59862</c:v>
                </c:pt>
                <c:pt idx="2930">
                  <c:v>59869</c:v>
                </c:pt>
                <c:pt idx="2931">
                  <c:v>59876</c:v>
                </c:pt>
                <c:pt idx="2932">
                  <c:v>59883</c:v>
                </c:pt>
                <c:pt idx="2933">
                  <c:v>59890</c:v>
                </c:pt>
                <c:pt idx="2934">
                  <c:v>59897</c:v>
                </c:pt>
                <c:pt idx="2935">
                  <c:v>59904</c:v>
                </c:pt>
                <c:pt idx="2936">
                  <c:v>59911</c:v>
                </c:pt>
                <c:pt idx="2937">
                  <c:v>59918</c:v>
                </c:pt>
                <c:pt idx="2938">
                  <c:v>59925</c:v>
                </c:pt>
                <c:pt idx="2939">
                  <c:v>59932</c:v>
                </c:pt>
                <c:pt idx="2940">
                  <c:v>59939</c:v>
                </c:pt>
                <c:pt idx="2941">
                  <c:v>59946</c:v>
                </c:pt>
                <c:pt idx="2942">
                  <c:v>59953</c:v>
                </c:pt>
                <c:pt idx="2943">
                  <c:v>59960</c:v>
                </c:pt>
                <c:pt idx="2944">
                  <c:v>59967</c:v>
                </c:pt>
                <c:pt idx="2945">
                  <c:v>59974</c:v>
                </c:pt>
                <c:pt idx="2946">
                  <c:v>59981</c:v>
                </c:pt>
                <c:pt idx="2947">
                  <c:v>59988</c:v>
                </c:pt>
                <c:pt idx="2948">
                  <c:v>59995</c:v>
                </c:pt>
                <c:pt idx="2949">
                  <c:v>60002</c:v>
                </c:pt>
                <c:pt idx="2950">
                  <c:v>60009</c:v>
                </c:pt>
                <c:pt idx="2951">
                  <c:v>60016</c:v>
                </c:pt>
                <c:pt idx="2952">
                  <c:v>60023</c:v>
                </c:pt>
                <c:pt idx="2953">
                  <c:v>60030</c:v>
                </c:pt>
                <c:pt idx="2954">
                  <c:v>60037</c:v>
                </c:pt>
                <c:pt idx="2955">
                  <c:v>60044</c:v>
                </c:pt>
                <c:pt idx="2956">
                  <c:v>60051</c:v>
                </c:pt>
                <c:pt idx="2957">
                  <c:v>60058</c:v>
                </c:pt>
                <c:pt idx="2958">
                  <c:v>60065</c:v>
                </c:pt>
                <c:pt idx="2959">
                  <c:v>60072</c:v>
                </c:pt>
                <c:pt idx="2960">
                  <c:v>60079</c:v>
                </c:pt>
                <c:pt idx="2961">
                  <c:v>60086</c:v>
                </c:pt>
                <c:pt idx="2962">
                  <c:v>60093</c:v>
                </c:pt>
                <c:pt idx="2963">
                  <c:v>60100</c:v>
                </c:pt>
                <c:pt idx="2964">
                  <c:v>60107</c:v>
                </c:pt>
                <c:pt idx="2965">
                  <c:v>60114</c:v>
                </c:pt>
                <c:pt idx="2966">
                  <c:v>60121</c:v>
                </c:pt>
                <c:pt idx="2967">
                  <c:v>60128</c:v>
                </c:pt>
                <c:pt idx="2968">
                  <c:v>60135</c:v>
                </c:pt>
                <c:pt idx="2969">
                  <c:v>60142</c:v>
                </c:pt>
                <c:pt idx="2970">
                  <c:v>60149</c:v>
                </c:pt>
                <c:pt idx="2971">
                  <c:v>60156</c:v>
                </c:pt>
                <c:pt idx="2972">
                  <c:v>60163</c:v>
                </c:pt>
                <c:pt idx="2973">
                  <c:v>60170</c:v>
                </c:pt>
                <c:pt idx="2974">
                  <c:v>60177</c:v>
                </c:pt>
                <c:pt idx="2975">
                  <c:v>60184</c:v>
                </c:pt>
                <c:pt idx="2976">
                  <c:v>60191</c:v>
                </c:pt>
                <c:pt idx="2977">
                  <c:v>60198</c:v>
                </c:pt>
                <c:pt idx="2978">
                  <c:v>60205</c:v>
                </c:pt>
                <c:pt idx="2979">
                  <c:v>60212</c:v>
                </c:pt>
                <c:pt idx="2980">
                  <c:v>60219</c:v>
                </c:pt>
                <c:pt idx="2981">
                  <c:v>60226</c:v>
                </c:pt>
                <c:pt idx="2982">
                  <c:v>60233</c:v>
                </c:pt>
                <c:pt idx="2983">
                  <c:v>60240</c:v>
                </c:pt>
                <c:pt idx="2984">
                  <c:v>60247</c:v>
                </c:pt>
                <c:pt idx="2985">
                  <c:v>60254</c:v>
                </c:pt>
                <c:pt idx="2986">
                  <c:v>60265</c:v>
                </c:pt>
                <c:pt idx="2987">
                  <c:v>60272</c:v>
                </c:pt>
                <c:pt idx="2988">
                  <c:v>60279</c:v>
                </c:pt>
                <c:pt idx="2989">
                  <c:v>60286</c:v>
                </c:pt>
                <c:pt idx="2990">
                  <c:v>60294</c:v>
                </c:pt>
                <c:pt idx="2991">
                  <c:v>60301</c:v>
                </c:pt>
                <c:pt idx="2992">
                  <c:v>60308</c:v>
                </c:pt>
                <c:pt idx="2993">
                  <c:v>60315</c:v>
                </c:pt>
                <c:pt idx="2994">
                  <c:v>60322</c:v>
                </c:pt>
                <c:pt idx="2995">
                  <c:v>60329</c:v>
                </c:pt>
                <c:pt idx="2996">
                  <c:v>60336</c:v>
                </c:pt>
                <c:pt idx="2997">
                  <c:v>60343</c:v>
                </c:pt>
                <c:pt idx="2998">
                  <c:v>60350</c:v>
                </c:pt>
                <c:pt idx="2999">
                  <c:v>60357</c:v>
                </c:pt>
                <c:pt idx="3000">
                  <c:v>60364</c:v>
                </c:pt>
                <c:pt idx="3001">
                  <c:v>60371</c:v>
                </c:pt>
                <c:pt idx="3002">
                  <c:v>60378</c:v>
                </c:pt>
                <c:pt idx="3003">
                  <c:v>60385</c:v>
                </c:pt>
                <c:pt idx="3004">
                  <c:v>60392</c:v>
                </c:pt>
                <c:pt idx="3005">
                  <c:v>60399</c:v>
                </c:pt>
                <c:pt idx="3006">
                  <c:v>60406</c:v>
                </c:pt>
                <c:pt idx="3007">
                  <c:v>60413</c:v>
                </c:pt>
                <c:pt idx="3008">
                  <c:v>60420</c:v>
                </c:pt>
                <c:pt idx="3009">
                  <c:v>60427</c:v>
                </c:pt>
                <c:pt idx="3010">
                  <c:v>60434</c:v>
                </c:pt>
                <c:pt idx="3011">
                  <c:v>60441</c:v>
                </c:pt>
                <c:pt idx="3012">
                  <c:v>60448</c:v>
                </c:pt>
                <c:pt idx="3013">
                  <c:v>60455</c:v>
                </c:pt>
                <c:pt idx="3014">
                  <c:v>60462</c:v>
                </c:pt>
                <c:pt idx="3015">
                  <c:v>60469</c:v>
                </c:pt>
                <c:pt idx="3016">
                  <c:v>60476</c:v>
                </c:pt>
                <c:pt idx="3017">
                  <c:v>60483</c:v>
                </c:pt>
                <c:pt idx="3018">
                  <c:v>60490</c:v>
                </c:pt>
                <c:pt idx="3019">
                  <c:v>60497</c:v>
                </c:pt>
                <c:pt idx="3020">
                  <c:v>60504</c:v>
                </c:pt>
                <c:pt idx="3021">
                  <c:v>60511</c:v>
                </c:pt>
                <c:pt idx="3022">
                  <c:v>60518</c:v>
                </c:pt>
                <c:pt idx="3023">
                  <c:v>60525</c:v>
                </c:pt>
                <c:pt idx="3024">
                  <c:v>60532</c:v>
                </c:pt>
                <c:pt idx="3025">
                  <c:v>60539</c:v>
                </c:pt>
                <c:pt idx="3026">
                  <c:v>60546</c:v>
                </c:pt>
                <c:pt idx="3027">
                  <c:v>60553</c:v>
                </c:pt>
                <c:pt idx="3028">
                  <c:v>60560</c:v>
                </c:pt>
                <c:pt idx="3029">
                  <c:v>60567</c:v>
                </c:pt>
                <c:pt idx="3030">
                  <c:v>60574</c:v>
                </c:pt>
                <c:pt idx="3031">
                  <c:v>60581</c:v>
                </c:pt>
                <c:pt idx="3032">
                  <c:v>60588</c:v>
                </c:pt>
                <c:pt idx="3033">
                  <c:v>60595</c:v>
                </c:pt>
                <c:pt idx="3034">
                  <c:v>60602</c:v>
                </c:pt>
                <c:pt idx="3035">
                  <c:v>60609</c:v>
                </c:pt>
                <c:pt idx="3036">
                  <c:v>60616</c:v>
                </c:pt>
                <c:pt idx="3037">
                  <c:v>60623</c:v>
                </c:pt>
                <c:pt idx="3038">
                  <c:v>60630</c:v>
                </c:pt>
                <c:pt idx="3039">
                  <c:v>60637</c:v>
                </c:pt>
                <c:pt idx="3040">
                  <c:v>60644</c:v>
                </c:pt>
                <c:pt idx="3041">
                  <c:v>60651</c:v>
                </c:pt>
                <c:pt idx="3042">
                  <c:v>60659</c:v>
                </c:pt>
                <c:pt idx="3043">
                  <c:v>60666</c:v>
                </c:pt>
                <c:pt idx="3044">
                  <c:v>60673</c:v>
                </c:pt>
                <c:pt idx="3045">
                  <c:v>60680</c:v>
                </c:pt>
                <c:pt idx="3046">
                  <c:v>60687</c:v>
                </c:pt>
                <c:pt idx="3047">
                  <c:v>60694</c:v>
                </c:pt>
                <c:pt idx="3048">
                  <c:v>60701</c:v>
                </c:pt>
                <c:pt idx="3049">
                  <c:v>60708</c:v>
                </c:pt>
                <c:pt idx="3050">
                  <c:v>60715</c:v>
                </c:pt>
                <c:pt idx="3051">
                  <c:v>60722</c:v>
                </c:pt>
                <c:pt idx="3052">
                  <c:v>60729</c:v>
                </c:pt>
                <c:pt idx="3053">
                  <c:v>60736</c:v>
                </c:pt>
                <c:pt idx="3054">
                  <c:v>60743</c:v>
                </c:pt>
                <c:pt idx="3055">
                  <c:v>60750</c:v>
                </c:pt>
                <c:pt idx="3056">
                  <c:v>60757</c:v>
                </c:pt>
                <c:pt idx="3057">
                  <c:v>60764</c:v>
                </c:pt>
                <c:pt idx="3058">
                  <c:v>60771</c:v>
                </c:pt>
                <c:pt idx="3059">
                  <c:v>60778</c:v>
                </c:pt>
                <c:pt idx="3060">
                  <c:v>60785</c:v>
                </c:pt>
                <c:pt idx="3061">
                  <c:v>60792</c:v>
                </c:pt>
                <c:pt idx="3062">
                  <c:v>60799</c:v>
                </c:pt>
                <c:pt idx="3063">
                  <c:v>60806</c:v>
                </c:pt>
                <c:pt idx="3064">
                  <c:v>60813</c:v>
                </c:pt>
                <c:pt idx="3065">
                  <c:v>60820</c:v>
                </c:pt>
                <c:pt idx="3066">
                  <c:v>60827</c:v>
                </c:pt>
                <c:pt idx="3067">
                  <c:v>60834</c:v>
                </c:pt>
                <c:pt idx="3068">
                  <c:v>60841</c:v>
                </c:pt>
                <c:pt idx="3069">
                  <c:v>60848</c:v>
                </c:pt>
                <c:pt idx="3070">
                  <c:v>60855</c:v>
                </c:pt>
                <c:pt idx="3071">
                  <c:v>60862</c:v>
                </c:pt>
                <c:pt idx="3072">
                  <c:v>60869</c:v>
                </c:pt>
                <c:pt idx="3073">
                  <c:v>60876</c:v>
                </c:pt>
                <c:pt idx="3074">
                  <c:v>60883</c:v>
                </c:pt>
                <c:pt idx="3075">
                  <c:v>60890</c:v>
                </c:pt>
                <c:pt idx="3076">
                  <c:v>60897</c:v>
                </c:pt>
                <c:pt idx="3077">
                  <c:v>60904</c:v>
                </c:pt>
                <c:pt idx="3078">
                  <c:v>60911</c:v>
                </c:pt>
                <c:pt idx="3079">
                  <c:v>60918</c:v>
                </c:pt>
                <c:pt idx="3080">
                  <c:v>60925</c:v>
                </c:pt>
                <c:pt idx="3081">
                  <c:v>60932</c:v>
                </c:pt>
                <c:pt idx="3082">
                  <c:v>60939</c:v>
                </c:pt>
                <c:pt idx="3083">
                  <c:v>60946</c:v>
                </c:pt>
                <c:pt idx="3084">
                  <c:v>60953</c:v>
                </c:pt>
                <c:pt idx="3085">
                  <c:v>60960</c:v>
                </c:pt>
                <c:pt idx="3086">
                  <c:v>60967</c:v>
                </c:pt>
                <c:pt idx="3087">
                  <c:v>60974</c:v>
                </c:pt>
                <c:pt idx="3088">
                  <c:v>60981</c:v>
                </c:pt>
                <c:pt idx="3089">
                  <c:v>60988</c:v>
                </c:pt>
                <c:pt idx="3090">
                  <c:v>60995</c:v>
                </c:pt>
                <c:pt idx="3091">
                  <c:v>61002</c:v>
                </c:pt>
                <c:pt idx="3092">
                  <c:v>61009</c:v>
                </c:pt>
                <c:pt idx="3093">
                  <c:v>61016</c:v>
                </c:pt>
                <c:pt idx="3094">
                  <c:v>61024</c:v>
                </c:pt>
                <c:pt idx="3095">
                  <c:v>61031</c:v>
                </c:pt>
                <c:pt idx="3096">
                  <c:v>61038</c:v>
                </c:pt>
                <c:pt idx="3097">
                  <c:v>61045</c:v>
                </c:pt>
                <c:pt idx="3098">
                  <c:v>61052</c:v>
                </c:pt>
                <c:pt idx="3099">
                  <c:v>61059</c:v>
                </c:pt>
                <c:pt idx="3100">
                  <c:v>61066</c:v>
                </c:pt>
                <c:pt idx="3101">
                  <c:v>61073</c:v>
                </c:pt>
                <c:pt idx="3102">
                  <c:v>61080</c:v>
                </c:pt>
                <c:pt idx="3103">
                  <c:v>61087</c:v>
                </c:pt>
                <c:pt idx="3104">
                  <c:v>61094</c:v>
                </c:pt>
                <c:pt idx="3105">
                  <c:v>61101</c:v>
                </c:pt>
                <c:pt idx="3106">
                  <c:v>61108</c:v>
                </c:pt>
                <c:pt idx="3107">
                  <c:v>61115</c:v>
                </c:pt>
                <c:pt idx="3108">
                  <c:v>61122</c:v>
                </c:pt>
                <c:pt idx="3109">
                  <c:v>61129</c:v>
                </c:pt>
                <c:pt idx="3110">
                  <c:v>61136</c:v>
                </c:pt>
                <c:pt idx="3111">
                  <c:v>61143</c:v>
                </c:pt>
                <c:pt idx="3112">
                  <c:v>61150</c:v>
                </c:pt>
                <c:pt idx="3113">
                  <c:v>61157</c:v>
                </c:pt>
                <c:pt idx="3114">
                  <c:v>61164</c:v>
                </c:pt>
                <c:pt idx="3115">
                  <c:v>61171</c:v>
                </c:pt>
                <c:pt idx="3116">
                  <c:v>61178</c:v>
                </c:pt>
                <c:pt idx="3117">
                  <c:v>61185</c:v>
                </c:pt>
                <c:pt idx="3118">
                  <c:v>61192</c:v>
                </c:pt>
                <c:pt idx="3119">
                  <c:v>61199</c:v>
                </c:pt>
                <c:pt idx="3120">
                  <c:v>61206</c:v>
                </c:pt>
                <c:pt idx="3121">
                  <c:v>61213</c:v>
                </c:pt>
                <c:pt idx="3122">
                  <c:v>61220</c:v>
                </c:pt>
                <c:pt idx="3123">
                  <c:v>61227</c:v>
                </c:pt>
                <c:pt idx="3124">
                  <c:v>61234</c:v>
                </c:pt>
                <c:pt idx="3125">
                  <c:v>61241</c:v>
                </c:pt>
                <c:pt idx="3126">
                  <c:v>61248</c:v>
                </c:pt>
                <c:pt idx="3127">
                  <c:v>61255</c:v>
                </c:pt>
                <c:pt idx="3128">
                  <c:v>61262</c:v>
                </c:pt>
                <c:pt idx="3129">
                  <c:v>61269</c:v>
                </c:pt>
                <c:pt idx="3130">
                  <c:v>61276</c:v>
                </c:pt>
                <c:pt idx="3131">
                  <c:v>61283</c:v>
                </c:pt>
                <c:pt idx="3132">
                  <c:v>61290</c:v>
                </c:pt>
                <c:pt idx="3133">
                  <c:v>61297</c:v>
                </c:pt>
                <c:pt idx="3134">
                  <c:v>61304</c:v>
                </c:pt>
                <c:pt idx="3135">
                  <c:v>61311</c:v>
                </c:pt>
                <c:pt idx="3136">
                  <c:v>61318</c:v>
                </c:pt>
                <c:pt idx="3137">
                  <c:v>61325</c:v>
                </c:pt>
                <c:pt idx="3138">
                  <c:v>61332</c:v>
                </c:pt>
                <c:pt idx="3139">
                  <c:v>61339</c:v>
                </c:pt>
                <c:pt idx="3140">
                  <c:v>61346</c:v>
                </c:pt>
                <c:pt idx="3141">
                  <c:v>61353</c:v>
                </c:pt>
                <c:pt idx="3142">
                  <c:v>61360</c:v>
                </c:pt>
                <c:pt idx="3143">
                  <c:v>61367</c:v>
                </c:pt>
                <c:pt idx="3144">
                  <c:v>61374</c:v>
                </c:pt>
                <c:pt idx="3145">
                  <c:v>61381</c:v>
                </c:pt>
                <c:pt idx="3146">
                  <c:v>61389</c:v>
                </c:pt>
                <c:pt idx="3147">
                  <c:v>61396</c:v>
                </c:pt>
                <c:pt idx="3148">
                  <c:v>61403</c:v>
                </c:pt>
                <c:pt idx="3149">
                  <c:v>61410</c:v>
                </c:pt>
                <c:pt idx="3150">
                  <c:v>61417</c:v>
                </c:pt>
                <c:pt idx="3151">
                  <c:v>61424</c:v>
                </c:pt>
                <c:pt idx="3152">
                  <c:v>61431</c:v>
                </c:pt>
                <c:pt idx="3153">
                  <c:v>61438</c:v>
                </c:pt>
                <c:pt idx="3154">
                  <c:v>61445</c:v>
                </c:pt>
                <c:pt idx="3155">
                  <c:v>61452</c:v>
                </c:pt>
                <c:pt idx="3156">
                  <c:v>61459</c:v>
                </c:pt>
                <c:pt idx="3157">
                  <c:v>61466</c:v>
                </c:pt>
                <c:pt idx="3158">
                  <c:v>61477</c:v>
                </c:pt>
                <c:pt idx="3159">
                  <c:v>61484</c:v>
                </c:pt>
                <c:pt idx="3160">
                  <c:v>61491</c:v>
                </c:pt>
                <c:pt idx="3161">
                  <c:v>61498</c:v>
                </c:pt>
                <c:pt idx="3162">
                  <c:v>61505</c:v>
                </c:pt>
                <c:pt idx="3163">
                  <c:v>61512</c:v>
                </c:pt>
                <c:pt idx="3164">
                  <c:v>61519</c:v>
                </c:pt>
                <c:pt idx="3165">
                  <c:v>61526</c:v>
                </c:pt>
                <c:pt idx="3166">
                  <c:v>61533</c:v>
                </c:pt>
                <c:pt idx="3167">
                  <c:v>61540</c:v>
                </c:pt>
                <c:pt idx="3168">
                  <c:v>61547</c:v>
                </c:pt>
                <c:pt idx="3169">
                  <c:v>61554</c:v>
                </c:pt>
                <c:pt idx="3170">
                  <c:v>61561</c:v>
                </c:pt>
                <c:pt idx="3171">
                  <c:v>61568</c:v>
                </c:pt>
                <c:pt idx="3172">
                  <c:v>61575</c:v>
                </c:pt>
                <c:pt idx="3173">
                  <c:v>61582</c:v>
                </c:pt>
                <c:pt idx="3174">
                  <c:v>61589</c:v>
                </c:pt>
                <c:pt idx="3175">
                  <c:v>61596</c:v>
                </c:pt>
                <c:pt idx="3176">
                  <c:v>61603</c:v>
                </c:pt>
                <c:pt idx="3177">
                  <c:v>61610</c:v>
                </c:pt>
                <c:pt idx="3178">
                  <c:v>61617</c:v>
                </c:pt>
                <c:pt idx="3179">
                  <c:v>61624</c:v>
                </c:pt>
                <c:pt idx="3180">
                  <c:v>61631</c:v>
                </c:pt>
                <c:pt idx="3181">
                  <c:v>61638</c:v>
                </c:pt>
                <c:pt idx="3182">
                  <c:v>61645</c:v>
                </c:pt>
                <c:pt idx="3183">
                  <c:v>61652</c:v>
                </c:pt>
                <c:pt idx="3184">
                  <c:v>61659</c:v>
                </c:pt>
                <c:pt idx="3185">
                  <c:v>61666</c:v>
                </c:pt>
                <c:pt idx="3186">
                  <c:v>61673</c:v>
                </c:pt>
                <c:pt idx="3187">
                  <c:v>61680</c:v>
                </c:pt>
                <c:pt idx="3188">
                  <c:v>61687</c:v>
                </c:pt>
                <c:pt idx="3189">
                  <c:v>61694</c:v>
                </c:pt>
                <c:pt idx="3190">
                  <c:v>61701</c:v>
                </c:pt>
                <c:pt idx="3191">
                  <c:v>61708</c:v>
                </c:pt>
                <c:pt idx="3192">
                  <c:v>61715</c:v>
                </c:pt>
                <c:pt idx="3193">
                  <c:v>61724</c:v>
                </c:pt>
                <c:pt idx="3194">
                  <c:v>61731</c:v>
                </c:pt>
                <c:pt idx="3195">
                  <c:v>61738</c:v>
                </c:pt>
                <c:pt idx="3196">
                  <c:v>61745</c:v>
                </c:pt>
                <c:pt idx="3197">
                  <c:v>61752</c:v>
                </c:pt>
                <c:pt idx="3198">
                  <c:v>61759</c:v>
                </c:pt>
                <c:pt idx="3199">
                  <c:v>61766</c:v>
                </c:pt>
                <c:pt idx="3200">
                  <c:v>61773</c:v>
                </c:pt>
                <c:pt idx="3201">
                  <c:v>61780</c:v>
                </c:pt>
                <c:pt idx="3202">
                  <c:v>61787</c:v>
                </c:pt>
                <c:pt idx="3203">
                  <c:v>61794</c:v>
                </c:pt>
                <c:pt idx="3204">
                  <c:v>61801</c:v>
                </c:pt>
                <c:pt idx="3205">
                  <c:v>61808</c:v>
                </c:pt>
                <c:pt idx="3206">
                  <c:v>61815</c:v>
                </c:pt>
                <c:pt idx="3207">
                  <c:v>61822</c:v>
                </c:pt>
                <c:pt idx="3208">
                  <c:v>61829</c:v>
                </c:pt>
                <c:pt idx="3209">
                  <c:v>61836</c:v>
                </c:pt>
                <c:pt idx="3210">
                  <c:v>61844</c:v>
                </c:pt>
                <c:pt idx="3211">
                  <c:v>61851</c:v>
                </c:pt>
                <c:pt idx="3212">
                  <c:v>61858</c:v>
                </c:pt>
                <c:pt idx="3213">
                  <c:v>61865</c:v>
                </c:pt>
                <c:pt idx="3214">
                  <c:v>61872</c:v>
                </c:pt>
                <c:pt idx="3215">
                  <c:v>61879</c:v>
                </c:pt>
                <c:pt idx="3216">
                  <c:v>61886</c:v>
                </c:pt>
                <c:pt idx="3217">
                  <c:v>61893</c:v>
                </c:pt>
                <c:pt idx="3218">
                  <c:v>61900</c:v>
                </c:pt>
                <c:pt idx="3219">
                  <c:v>61907</c:v>
                </c:pt>
                <c:pt idx="3220">
                  <c:v>61914</c:v>
                </c:pt>
                <c:pt idx="3221">
                  <c:v>61921</c:v>
                </c:pt>
                <c:pt idx="3222">
                  <c:v>61928</c:v>
                </c:pt>
                <c:pt idx="3223">
                  <c:v>61935</c:v>
                </c:pt>
                <c:pt idx="3224">
                  <c:v>61942</c:v>
                </c:pt>
                <c:pt idx="3225">
                  <c:v>61949</c:v>
                </c:pt>
                <c:pt idx="3226">
                  <c:v>61956</c:v>
                </c:pt>
                <c:pt idx="3227">
                  <c:v>61963</c:v>
                </c:pt>
                <c:pt idx="3228">
                  <c:v>61970</c:v>
                </c:pt>
                <c:pt idx="3229">
                  <c:v>61977</c:v>
                </c:pt>
                <c:pt idx="3230">
                  <c:v>61984</c:v>
                </c:pt>
                <c:pt idx="3231">
                  <c:v>61991</c:v>
                </c:pt>
                <c:pt idx="3232">
                  <c:v>61998</c:v>
                </c:pt>
                <c:pt idx="3233">
                  <c:v>62005</c:v>
                </c:pt>
                <c:pt idx="3234">
                  <c:v>62012</c:v>
                </c:pt>
                <c:pt idx="3235">
                  <c:v>62019</c:v>
                </c:pt>
                <c:pt idx="3236">
                  <c:v>62026</c:v>
                </c:pt>
                <c:pt idx="3237">
                  <c:v>62033</c:v>
                </c:pt>
                <c:pt idx="3238">
                  <c:v>62040</c:v>
                </c:pt>
                <c:pt idx="3239">
                  <c:v>62047</c:v>
                </c:pt>
                <c:pt idx="3240">
                  <c:v>62054</c:v>
                </c:pt>
                <c:pt idx="3241">
                  <c:v>62061</c:v>
                </c:pt>
                <c:pt idx="3242">
                  <c:v>62068</c:v>
                </c:pt>
                <c:pt idx="3243">
                  <c:v>62075</c:v>
                </c:pt>
                <c:pt idx="3244">
                  <c:v>62082</c:v>
                </c:pt>
                <c:pt idx="3245">
                  <c:v>62089</c:v>
                </c:pt>
                <c:pt idx="3246">
                  <c:v>62096</c:v>
                </c:pt>
                <c:pt idx="3247">
                  <c:v>62103</c:v>
                </c:pt>
                <c:pt idx="3248">
                  <c:v>62110</c:v>
                </c:pt>
                <c:pt idx="3249">
                  <c:v>62117</c:v>
                </c:pt>
                <c:pt idx="3250">
                  <c:v>62124</c:v>
                </c:pt>
                <c:pt idx="3251">
                  <c:v>62131</c:v>
                </c:pt>
                <c:pt idx="3252">
                  <c:v>62138</c:v>
                </c:pt>
                <c:pt idx="3253">
                  <c:v>62145</c:v>
                </c:pt>
                <c:pt idx="3254">
                  <c:v>62152</c:v>
                </c:pt>
                <c:pt idx="3255">
                  <c:v>62159</c:v>
                </c:pt>
                <c:pt idx="3256">
                  <c:v>62166</c:v>
                </c:pt>
                <c:pt idx="3257">
                  <c:v>62173</c:v>
                </c:pt>
                <c:pt idx="3258">
                  <c:v>62184</c:v>
                </c:pt>
                <c:pt idx="3259">
                  <c:v>62191</c:v>
                </c:pt>
                <c:pt idx="3260">
                  <c:v>62198</c:v>
                </c:pt>
                <c:pt idx="3261">
                  <c:v>62205</c:v>
                </c:pt>
                <c:pt idx="3262">
                  <c:v>62212</c:v>
                </c:pt>
                <c:pt idx="3263">
                  <c:v>62219</c:v>
                </c:pt>
                <c:pt idx="3264">
                  <c:v>62226</c:v>
                </c:pt>
                <c:pt idx="3265">
                  <c:v>62233</c:v>
                </c:pt>
                <c:pt idx="3266">
                  <c:v>62240</c:v>
                </c:pt>
                <c:pt idx="3267">
                  <c:v>62247</c:v>
                </c:pt>
                <c:pt idx="3268">
                  <c:v>62254</c:v>
                </c:pt>
                <c:pt idx="3269">
                  <c:v>62261</c:v>
                </c:pt>
                <c:pt idx="3270">
                  <c:v>62268</c:v>
                </c:pt>
                <c:pt idx="3271">
                  <c:v>62275</c:v>
                </c:pt>
                <c:pt idx="3272">
                  <c:v>62282</c:v>
                </c:pt>
                <c:pt idx="3273">
                  <c:v>62289</c:v>
                </c:pt>
                <c:pt idx="3274">
                  <c:v>62296</c:v>
                </c:pt>
                <c:pt idx="3275">
                  <c:v>62303</c:v>
                </c:pt>
                <c:pt idx="3276">
                  <c:v>62310</c:v>
                </c:pt>
                <c:pt idx="3277">
                  <c:v>62317</c:v>
                </c:pt>
                <c:pt idx="3278">
                  <c:v>62324</c:v>
                </c:pt>
                <c:pt idx="3279">
                  <c:v>62331</c:v>
                </c:pt>
                <c:pt idx="3280">
                  <c:v>62338</c:v>
                </c:pt>
                <c:pt idx="3281">
                  <c:v>62345</c:v>
                </c:pt>
                <c:pt idx="3282">
                  <c:v>62352</c:v>
                </c:pt>
                <c:pt idx="3283">
                  <c:v>62359</c:v>
                </c:pt>
                <c:pt idx="3284">
                  <c:v>62366</c:v>
                </c:pt>
                <c:pt idx="3285">
                  <c:v>62373</c:v>
                </c:pt>
                <c:pt idx="3286">
                  <c:v>62380</c:v>
                </c:pt>
                <c:pt idx="3287">
                  <c:v>62387</c:v>
                </c:pt>
                <c:pt idx="3288">
                  <c:v>62394</c:v>
                </c:pt>
                <c:pt idx="3289">
                  <c:v>62401</c:v>
                </c:pt>
                <c:pt idx="3290">
                  <c:v>62408</c:v>
                </c:pt>
                <c:pt idx="3291">
                  <c:v>62415</c:v>
                </c:pt>
                <c:pt idx="3292">
                  <c:v>62422</c:v>
                </c:pt>
                <c:pt idx="3293">
                  <c:v>62429</c:v>
                </c:pt>
                <c:pt idx="3294">
                  <c:v>62436</c:v>
                </c:pt>
                <c:pt idx="3295">
                  <c:v>62443</c:v>
                </c:pt>
                <c:pt idx="3296">
                  <c:v>62450</c:v>
                </c:pt>
                <c:pt idx="3297">
                  <c:v>62457</c:v>
                </c:pt>
                <c:pt idx="3298">
                  <c:v>62464</c:v>
                </c:pt>
                <c:pt idx="3299">
                  <c:v>62471</c:v>
                </c:pt>
                <c:pt idx="3300">
                  <c:v>62478</c:v>
                </c:pt>
                <c:pt idx="3301">
                  <c:v>62485</c:v>
                </c:pt>
                <c:pt idx="3302">
                  <c:v>62492</c:v>
                </c:pt>
                <c:pt idx="3303">
                  <c:v>62499</c:v>
                </c:pt>
                <c:pt idx="3304">
                  <c:v>62506</c:v>
                </c:pt>
                <c:pt idx="3305">
                  <c:v>62513</c:v>
                </c:pt>
                <c:pt idx="3306">
                  <c:v>62520</c:v>
                </c:pt>
                <c:pt idx="3307">
                  <c:v>62527</c:v>
                </c:pt>
                <c:pt idx="3308">
                  <c:v>62534</c:v>
                </c:pt>
                <c:pt idx="3309">
                  <c:v>62541</c:v>
                </c:pt>
                <c:pt idx="3310">
                  <c:v>62548</c:v>
                </c:pt>
                <c:pt idx="3311">
                  <c:v>62555</c:v>
                </c:pt>
                <c:pt idx="3312">
                  <c:v>62562</c:v>
                </c:pt>
                <c:pt idx="3313">
                  <c:v>62569</c:v>
                </c:pt>
                <c:pt idx="3314">
                  <c:v>62576</c:v>
                </c:pt>
                <c:pt idx="3315">
                  <c:v>62583</c:v>
                </c:pt>
                <c:pt idx="3316">
                  <c:v>62590</c:v>
                </c:pt>
                <c:pt idx="3317">
                  <c:v>62597</c:v>
                </c:pt>
                <c:pt idx="3318">
                  <c:v>62604</c:v>
                </c:pt>
                <c:pt idx="3319">
                  <c:v>62611</c:v>
                </c:pt>
                <c:pt idx="3320">
                  <c:v>62618</c:v>
                </c:pt>
                <c:pt idx="3321">
                  <c:v>62625</c:v>
                </c:pt>
                <c:pt idx="3322">
                  <c:v>62632</c:v>
                </c:pt>
                <c:pt idx="3323">
                  <c:v>62639</c:v>
                </c:pt>
                <c:pt idx="3324">
                  <c:v>62646</c:v>
                </c:pt>
                <c:pt idx="3325">
                  <c:v>62653</c:v>
                </c:pt>
                <c:pt idx="3326">
                  <c:v>62660</c:v>
                </c:pt>
                <c:pt idx="3327">
                  <c:v>62667</c:v>
                </c:pt>
                <c:pt idx="3328">
                  <c:v>62674</c:v>
                </c:pt>
                <c:pt idx="3329">
                  <c:v>62681</c:v>
                </c:pt>
                <c:pt idx="3330">
                  <c:v>62688</c:v>
                </c:pt>
                <c:pt idx="3331">
                  <c:v>62695</c:v>
                </c:pt>
                <c:pt idx="3332">
                  <c:v>62702</c:v>
                </c:pt>
                <c:pt idx="3333">
                  <c:v>62709</c:v>
                </c:pt>
                <c:pt idx="3334">
                  <c:v>62716</c:v>
                </c:pt>
                <c:pt idx="3335">
                  <c:v>62723</c:v>
                </c:pt>
                <c:pt idx="3336">
                  <c:v>62730</c:v>
                </c:pt>
                <c:pt idx="3337">
                  <c:v>62737</c:v>
                </c:pt>
                <c:pt idx="3338">
                  <c:v>62744</c:v>
                </c:pt>
                <c:pt idx="3339">
                  <c:v>62751</c:v>
                </c:pt>
                <c:pt idx="3340">
                  <c:v>62758</c:v>
                </c:pt>
                <c:pt idx="3341">
                  <c:v>62765</c:v>
                </c:pt>
                <c:pt idx="3342">
                  <c:v>62772</c:v>
                </c:pt>
                <c:pt idx="3343">
                  <c:v>62779</c:v>
                </c:pt>
                <c:pt idx="3344">
                  <c:v>62786</c:v>
                </c:pt>
                <c:pt idx="3345">
                  <c:v>62793</c:v>
                </c:pt>
                <c:pt idx="3346">
                  <c:v>62800</c:v>
                </c:pt>
                <c:pt idx="3347">
                  <c:v>62807</c:v>
                </c:pt>
                <c:pt idx="3348">
                  <c:v>62814</c:v>
                </c:pt>
                <c:pt idx="3349">
                  <c:v>62821</c:v>
                </c:pt>
                <c:pt idx="3350">
                  <c:v>62828</c:v>
                </c:pt>
                <c:pt idx="3351">
                  <c:v>62835</c:v>
                </c:pt>
                <c:pt idx="3352">
                  <c:v>62842</c:v>
                </c:pt>
                <c:pt idx="3353">
                  <c:v>62850</c:v>
                </c:pt>
                <c:pt idx="3354">
                  <c:v>62857</c:v>
                </c:pt>
                <c:pt idx="3355">
                  <c:v>62864</c:v>
                </c:pt>
                <c:pt idx="3356">
                  <c:v>62871</c:v>
                </c:pt>
                <c:pt idx="3357">
                  <c:v>62878</c:v>
                </c:pt>
                <c:pt idx="3358">
                  <c:v>62885</c:v>
                </c:pt>
                <c:pt idx="3359">
                  <c:v>62892</c:v>
                </c:pt>
                <c:pt idx="3360">
                  <c:v>62899</c:v>
                </c:pt>
                <c:pt idx="3361">
                  <c:v>62906</c:v>
                </c:pt>
                <c:pt idx="3362">
                  <c:v>62913</c:v>
                </c:pt>
                <c:pt idx="3363">
                  <c:v>62920</c:v>
                </c:pt>
                <c:pt idx="3364">
                  <c:v>62927</c:v>
                </c:pt>
                <c:pt idx="3365">
                  <c:v>62934</c:v>
                </c:pt>
                <c:pt idx="3366">
                  <c:v>62941</c:v>
                </c:pt>
                <c:pt idx="3367">
                  <c:v>62948</c:v>
                </c:pt>
                <c:pt idx="3368">
                  <c:v>62955</c:v>
                </c:pt>
                <c:pt idx="3369">
                  <c:v>62962</c:v>
                </c:pt>
                <c:pt idx="3370">
                  <c:v>62969</c:v>
                </c:pt>
                <c:pt idx="3371">
                  <c:v>62976</c:v>
                </c:pt>
                <c:pt idx="3372">
                  <c:v>62983</c:v>
                </c:pt>
                <c:pt idx="3373">
                  <c:v>62990</c:v>
                </c:pt>
                <c:pt idx="3374">
                  <c:v>62997</c:v>
                </c:pt>
                <c:pt idx="3375">
                  <c:v>63004</c:v>
                </c:pt>
                <c:pt idx="3376">
                  <c:v>63011</c:v>
                </c:pt>
                <c:pt idx="3377">
                  <c:v>63018</c:v>
                </c:pt>
                <c:pt idx="3378">
                  <c:v>63025</c:v>
                </c:pt>
                <c:pt idx="3379">
                  <c:v>63032</c:v>
                </c:pt>
                <c:pt idx="3380">
                  <c:v>63039</c:v>
                </c:pt>
                <c:pt idx="3381">
                  <c:v>63046</c:v>
                </c:pt>
                <c:pt idx="3382">
                  <c:v>63053</c:v>
                </c:pt>
                <c:pt idx="3383">
                  <c:v>63060</c:v>
                </c:pt>
                <c:pt idx="3384">
                  <c:v>63067</c:v>
                </c:pt>
                <c:pt idx="3385">
                  <c:v>63074</c:v>
                </c:pt>
                <c:pt idx="3386">
                  <c:v>63081</c:v>
                </c:pt>
                <c:pt idx="3387">
                  <c:v>63088</c:v>
                </c:pt>
                <c:pt idx="3388">
                  <c:v>63095</c:v>
                </c:pt>
                <c:pt idx="3389">
                  <c:v>63102</c:v>
                </c:pt>
                <c:pt idx="3390">
                  <c:v>63109</c:v>
                </c:pt>
                <c:pt idx="3391">
                  <c:v>63116</c:v>
                </c:pt>
                <c:pt idx="3392">
                  <c:v>63123</c:v>
                </c:pt>
                <c:pt idx="3393">
                  <c:v>63130</c:v>
                </c:pt>
                <c:pt idx="3394">
                  <c:v>63137</c:v>
                </c:pt>
                <c:pt idx="3395">
                  <c:v>63144</c:v>
                </c:pt>
                <c:pt idx="3396">
                  <c:v>63151</c:v>
                </c:pt>
                <c:pt idx="3397">
                  <c:v>63158</c:v>
                </c:pt>
                <c:pt idx="3398">
                  <c:v>63165</c:v>
                </c:pt>
                <c:pt idx="3399">
                  <c:v>63172</c:v>
                </c:pt>
                <c:pt idx="3400">
                  <c:v>63179</c:v>
                </c:pt>
                <c:pt idx="3401">
                  <c:v>63186</c:v>
                </c:pt>
                <c:pt idx="3402">
                  <c:v>63193</c:v>
                </c:pt>
                <c:pt idx="3403">
                  <c:v>63200</c:v>
                </c:pt>
                <c:pt idx="3404">
                  <c:v>63207</c:v>
                </c:pt>
                <c:pt idx="3405">
                  <c:v>63214</c:v>
                </c:pt>
                <c:pt idx="3406">
                  <c:v>63221</c:v>
                </c:pt>
                <c:pt idx="3407">
                  <c:v>63228</c:v>
                </c:pt>
                <c:pt idx="3408">
                  <c:v>63235</c:v>
                </c:pt>
                <c:pt idx="3409">
                  <c:v>63242</c:v>
                </c:pt>
                <c:pt idx="3410">
                  <c:v>63249</c:v>
                </c:pt>
                <c:pt idx="3411">
                  <c:v>63256</c:v>
                </c:pt>
                <c:pt idx="3412">
                  <c:v>63263</c:v>
                </c:pt>
                <c:pt idx="3413">
                  <c:v>63270</c:v>
                </c:pt>
                <c:pt idx="3414">
                  <c:v>63277</c:v>
                </c:pt>
                <c:pt idx="3415">
                  <c:v>63284</c:v>
                </c:pt>
                <c:pt idx="3416">
                  <c:v>63291</c:v>
                </c:pt>
                <c:pt idx="3417">
                  <c:v>63298</c:v>
                </c:pt>
                <c:pt idx="3418">
                  <c:v>63305</c:v>
                </c:pt>
                <c:pt idx="3419">
                  <c:v>63312</c:v>
                </c:pt>
                <c:pt idx="3420">
                  <c:v>63319</c:v>
                </c:pt>
                <c:pt idx="3421">
                  <c:v>63326</c:v>
                </c:pt>
                <c:pt idx="3422">
                  <c:v>63333</c:v>
                </c:pt>
                <c:pt idx="3423">
                  <c:v>63340</c:v>
                </c:pt>
                <c:pt idx="3424">
                  <c:v>63347</c:v>
                </c:pt>
                <c:pt idx="3425">
                  <c:v>63354</c:v>
                </c:pt>
                <c:pt idx="3426">
                  <c:v>63361</c:v>
                </c:pt>
                <c:pt idx="3427">
                  <c:v>63368</c:v>
                </c:pt>
                <c:pt idx="3428">
                  <c:v>63375</c:v>
                </c:pt>
                <c:pt idx="3429">
                  <c:v>63382</c:v>
                </c:pt>
                <c:pt idx="3430">
                  <c:v>63389</c:v>
                </c:pt>
                <c:pt idx="3431">
                  <c:v>63396</c:v>
                </c:pt>
                <c:pt idx="3432">
                  <c:v>63403</c:v>
                </c:pt>
                <c:pt idx="3433">
                  <c:v>63410</c:v>
                </c:pt>
                <c:pt idx="3434">
                  <c:v>63417</c:v>
                </c:pt>
                <c:pt idx="3435">
                  <c:v>63424</c:v>
                </c:pt>
                <c:pt idx="3436">
                  <c:v>63431</c:v>
                </c:pt>
                <c:pt idx="3437">
                  <c:v>63438</c:v>
                </c:pt>
                <c:pt idx="3438">
                  <c:v>63445</c:v>
                </c:pt>
                <c:pt idx="3439">
                  <c:v>63452</c:v>
                </c:pt>
                <c:pt idx="3440">
                  <c:v>63459</c:v>
                </c:pt>
                <c:pt idx="3441">
                  <c:v>63466</c:v>
                </c:pt>
                <c:pt idx="3442">
                  <c:v>63473</c:v>
                </c:pt>
                <c:pt idx="3443">
                  <c:v>63480</c:v>
                </c:pt>
                <c:pt idx="3444">
                  <c:v>63487</c:v>
                </c:pt>
                <c:pt idx="3445">
                  <c:v>63494</c:v>
                </c:pt>
                <c:pt idx="3446">
                  <c:v>63501</c:v>
                </c:pt>
                <c:pt idx="3447">
                  <c:v>63508</c:v>
                </c:pt>
                <c:pt idx="3448">
                  <c:v>63515</c:v>
                </c:pt>
                <c:pt idx="3449">
                  <c:v>63522</c:v>
                </c:pt>
                <c:pt idx="3450">
                  <c:v>63529</c:v>
                </c:pt>
                <c:pt idx="3451">
                  <c:v>63536</c:v>
                </c:pt>
                <c:pt idx="3452">
                  <c:v>63543</c:v>
                </c:pt>
                <c:pt idx="3453">
                  <c:v>63550</c:v>
                </c:pt>
                <c:pt idx="3454">
                  <c:v>63557</c:v>
                </c:pt>
                <c:pt idx="3455">
                  <c:v>63564</c:v>
                </c:pt>
                <c:pt idx="3456">
                  <c:v>63571</c:v>
                </c:pt>
                <c:pt idx="3457">
                  <c:v>63578</c:v>
                </c:pt>
                <c:pt idx="3458">
                  <c:v>63585</c:v>
                </c:pt>
                <c:pt idx="3459">
                  <c:v>63592</c:v>
                </c:pt>
                <c:pt idx="3460">
                  <c:v>63599</c:v>
                </c:pt>
                <c:pt idx="3461">
                  <c:v>63606</c:v>
                </c:pt>
                <c:pt idx="3462">
                  <c:v>63613</c:v>
                </c:pt>
                <c:pt idx="3463">
                  <c:v>63620</c:v>
                </c:pt>
                <c:pt idx="3464">
                  <c:v>63627</c:v>
                </c:pt>
                <c:pt idx="3465">
                  <c:v>63634</c:v>
                </c:pt>
                <c:pt idx="3466">
                  <c:v>63641</c:v>
                </c:pt>
                <c:pt idx="3467">
                  <c:v>63648</c:v>
                </c:pt>
                <c:pt idx="3468">
                  <c:v>63655</c:v>
                </c:pt>
                <c:pt idx="3469">
                  <c:v>63662</c:v>
                </c:pt>
                <c:pt idx="3470">
                  <c:v>63670</c:v>
                </c:pt>
                <c:pt idx="3471">
                  <c:v>63677</c:v>
                </c:pt>
                <c:pt idx="3472">
                  <c:v>63684</c:v>
                </c:pt>
                <c:pt idx="3473">
                  <c:v>63691</c:v>
                </c:pt>
                <c:pt idx="3474">
                  <c:v>63698</c:v>
                </c:pt>
                <c:pt idx="3475">
                  <c:v>63705</c:v>
                </c:pt>
                <c:pt idx="3476">
                  <c:v>63712</c:v>
                </c:pt>
                <c:pt idx="3477">
                  <c:v>63719</c:v>
                </c:pt>
                <c:pt idx="3478">
                  <c:v>63726</c:v>
                </c:pt>
                <c:pt idx="3479">
                  <c:v>63733</c:v>
                </c:pt>
                <c:pt idx="3480">
                  <c:v>63740</c:v>
                </c:pt>
                <c:pt idx="3481">
                  <c:v>63747</c:v>
                </c:pt>
                <c:pt idx="3482">
                  <c:v>63754</c:v>
                </c:pt>
                <c:pt idx="3483">
                  <c:v>63761</c:v>
                </c:pt>
                <c:pt idx="3484">
                  <c:v>63768</c:v>
                </c:pt>
                <c:pt idx="3485">
                  <c:v>63775</c:v>
                </c:pt>
                <c:pt idx="3486">
                  <c:v>63782</c:v>
                </c:pt>
                <c:pt idx="3487">
                  <c:v>63789</c:v>
                </c:pt>
                <c:pt idx="3488">
                  <c:v>63796</c:v>
                </c:pt>
                <c:pt idx="3489">
                  <c:v>63803</c:v>
                </c:pt>
                <c:pt idx="3490">
                  <c:v>63810</c:v>
                </c:pt>
                <c:pt idx="3491">
                  <c:v>63817</c:v>
                </c:pt>
                <c:pt idx="3492">
                  <c:v>63824</c:v>
                </c:pt>
                <c:pt idx="3493">
                  <c:v>63831</c:v>
                </c:pt>
                <c:pt idx="3494">
                  <c:v>63838</c:v>
                </c:pt>
                <c:pt idx="3495">
                  <c:v>63845</c:v>
                </c:pt>
                <c:pt idx="3496">
                  <c:v>63852</c:v>
                </c:pt>
                <c:pt idx="3497">
                  <c:v>63859</c:v>
                </c:pt>
                <c:pt idx="3498">
                  <c:v>63866</c:v>
                </c:pt>
                <c:pt idx="3499">
                  <c:v>63873</c:v>
                </c:pt>
                <c:pt idx="3500">
                  <c:v>63880</c:v>
                </c:pt>
                <c:pt idx="3501">
                  <c:v>63887</c:v>
                </c:pt>
                <c:pt idx="3502">
                  <c:v>63894</c:v>
                </c:pt>
                <c:pt idx="3503">
                  <c:v>63901</c:v>
                </c:pt>
                <c:pt idx="3504">
                  <c:v>63908</c:v>
                </c:pt>
                <c:pt idx="3505">
                  <c:v>63915</c:v>
                </c:pt>
                <c:pt idx="3506">
                  <c:v>63922</c:v>
                </c:pt>
                <c:pt idx="3507">
                  <c:v>63929</c:v>
                </c:pt>
                <c:pt idx="3508">
                  <c:v>63936</c:v>
                </c:pt>
                <c:pt idx="3509">
                  <c:v>63943</c:v>
                </c:pt>
                <c:pt idx="3510">
                  <c:v>63950</c:v>
                </c:pt>
                <c:pt idx="3511">
                  <c:v>63957</c:v>
                </c:pt>
                <c:pt idx="3512">
                  <c:v>63964</c:v>
                </c:pt>
                <c:pt idx="3513">
                  <c:v>63971</c:v>
                </c:pt>
                <c:pt idx="3514">
                  <c:v>63978</c:v>
                </c:pt>
                <c:pt idx="3515">
                  <c:v>63985</c:v>
                </c:pt>
                <c:pt idx="3516">
                  <c:v>63992</c:v>
                </c:pt>
                <c:pt idx="3517">
                  <c:v>63999</c:v>
                </c:pt>
                <c:pt idx="3518">
                  <c:v>64006</c:v>
                </c:pt>
                <c:pt idx="3519">
                  <c:v>64013</c:v>
                </c:pt>
                <c:pt idx="3520">
                  <c:v>64020</c:v>
                </c:pt>
                <c:pt idx="3521">
                  <c:v>64027</c:v>
                </c:pt>
                <c:pt idx="3522">
                  <c:v>64035</c:v>
                </c:pt>
                <c:pt idx="3523">
                  <c:v>64042</c:v>
                </c:pt>
                <c:pt idx="3524">
                  <c:v>64049</c:v>
                </c:pt>
                <c:pt idx="3525">
                  <c:v>64056</c:v>
                </c:pt>
                <c:pt idx="3526">
                  <c:v>64063</c:v>
                </c:pt>
                <c:pt idx="3527">
                  <c:v>64070</c:v>
                </c:pt>
                <c:pt idx="3528">
                  <c:v>64077</c:v>
                </c:pt>
                <c:pt idx="3529">
                  <c:v>64084</c:v>
                </c:pt>
                <c:pt idx="3530">
                  <c:v>64091</c:v>
                </c:pt>
                <c:pt idx="3531">
                  <c:v>64098</c:v>
                </c:pt>
                <c:pt idx="3532">
                  <c:v>64105</c:v>
                </c:pt>
                <c:pt idx="3533">
                  <c:v>64112</c:v>
                </c:pt>
              </c:numCache>
            </c:numRef>
          </c:cat>
          <c:val>
            <c:numRef>
              <c:f>Monitor!$AB$19:$AB$3552</c:f>
              <c:numCache>
                <c:formatCode>0.0000%</c:formatCode>
                <c:ptCount val="3534"/>
                <c:pt idx="0">
                  <c:v>2.2026000000011647E-2</c:v>
                </c:pt>
                <c:pt idx="1">
                  <c:v>2.2025204343791849E-2</c:v>
                </c:pt>
                <c:pt idx="2">
                  <c:v>2.2023504511679004E-2</c:v>
                </c:pt>
                <c:pt idx="3">
                  <c:v>2.2020873373592709E-2</c:v>
                </c:pt>
                <c:pt idx="4">
                  <c:v>2.2013834307027896E-2</c:v>
                </c:pt>
                <c:pt idx="5">
                  <c:v>2.2001224017759169E-2</c:v>
                </c:pt>
                <c:pt idx="6">
                  <c:v>2.1995065876098119E-2</c:v>
                </c:pt>
                <c:pt idx="7">
                  <c:v>2.1989105953945653E-2</c:v>
                </c:pt>
                <c:pt idx="8">
                  <c:v>2.1983344251220727E-2</c:v>
                </c:pt>
                <c:pt idx="9">
                  <c:v>2.197380431606592E-2</c:v>
                </c:pt>
                <c:pt idx="10">
                  <c:v>2.1962331571646621E-2</c:v>
                </c:pt>
                <c:pt idx="11">
                  <c:v>2.1957872586496618E-2</c:v>
                </c:pt>
                <c:pt idx="12">
                  <c:v>2.1953923441130341E-2</c:v>
                </c:pt>
                <c:pt idx="13">
                  <c:v>2.1950484135466741E-2</c:v>
                </c:pt>
                <c:pt idx="14">
                  <c:v>2.1946624458683749E-2</c:v>
                </c:pt>
                <c:pt idx="15">
                  <c:v>2.1941811772597797E-2</c:v>
                </c:pt>
                <c:pt idx="16">
                  <c:v>2.1940840439649278E-2</c:v>
                </c:pt>
                <c:pt idx="17">
                  <c:v>2.1940297720443036E-2</c:v>
                </c:pt>
                <c:pt idx="18">
                  <c:v>2.1940183615060116E-2</c:v>
                </c:pt>
                <c:pt idx="19">
                  <c:v>2.1944020074427251E-2</c:v>
                </c:pt>
                <c:pt idx="20">
                  <c:v>2.1946042294684887E-2</c:v>
                </c:pt>
                <c:pt idx="21">
                  <c:v>2.1948499871998761E-2</c:v>
                </c:pt>
                <c:pt idx="22">
                  <c:v>2.1951182662987012E-2</c:v>
                </c:pt>
                <c:pt idx="23">
                  <c:v>2.1955636309051178E-2</c:v>
                </c:pt>
                <c:pt idx="24">
                  <c:v>2.1954809561451905E-2</c:v>
                </c:pt>
                <c:pt idx="25">
                  <c:v>2.1953736819587677E-2</c:v>
                </c:pt>
                <c:pt idx="26">
                  <c:v>2.1951872291139374E-2</c:v>
                </c:pt>
                <c:pt idx="27">
                  <c:v>2.1949215976025949E-2</c:v>
                </c:pt>
                <c:pt idx="28">
                  <c:v>2.1942583040181672E-2</c:v>
                </c:pt>
                <c:pt idx="29">
                  <c:v>2.1930672850379862E-2</c:v>
                </c:pt>
                <c:pt idx="30">
                  <c:v>2.192405760275129E-2</c:v>
                </c:pt>
                <c:pt idx="31">
                  <c:v>2.1916650568781781E-2</c:v>
                </c:pt>
                <c:pt idx="32">
                  <c:v>2.1908451748309243E-2</c:v>
                </c:pt>
                <c:pt idx="33">
                  <c:v>2.1890727576257728E-2</c:v>
                </c:pt>
                <c:pt idx="34">
                  <c:v>2.1867738604468556E-2</c:v>
                </c:pt>
                <c:pt idx="35">
                  <c:v>2.1855580853182843E-2</c:v>
                </c:pt>
                <c:pt idx="36">
                  <c:v>2.1842631315961425E-2</c:v>
                </c:pt>
                <c:pt idx="37">
                  <c:v>2.1828889992885347E-2</c:v>
                </c:pt>
                <c:pt idx="38">
                  <c:v>2.1800069966879668E-2</c:v>
                </c:pt>
                <c:pt idx="39">
                  <c:v>2.1766006843736418E-2</c:v>
                </c:pt>
                <c:pt idx="40">
                  <c:v>2.1748306592764832E-2</c:v>
                </c:pt>
                <c:pt idx="41">
                  <c:v>2.1729814556424865E-2</c:v>
                </c:pt>
                <c:pt idx="42">
                  <c:v>2.1710530735040701E-2</c:v>
                </c:pt>
                <c:pt idx="43">
                  <c:v>2.1670610298794028E-2</c:v>
                </c:pt>
                <c:pt idx="44">
                  <c:v>2.1625730557309764E-2</c:v>
                </c:pt>
                <c:pt idx="45">
                  <c:v>2.1604005552248173E-2</c:v>
                </c:pt>
                <c:pt idx="46">
                  <c:v>2.1583006502551294E-2</c:v>
                </c:pt>
                <c:pt idx="47">
                  <c:v>2.1562733408138079E-2</c:v>
                </c:pt>
                <c:pt idx="48">
                  <c:v>2.1525876433370342E-2</c:v>
                </c:pt>
                <c:pt idx="49">
                  <c:v>2.1488900581214665E-2</c:v>
                </c:pt>
                <c:pt idx="50">
                  <c:v>2.1472257261598848E-2</c:v>
                </c:pt>
                <c:pt idx="51">
                  <c:v>2.1456339896618326E-2</c:v>
                </c:pt>
                <c:pt idx="52">
                  <c:v>2.1441148486192052E-2</c:v>
                </c:pt>
                <c:pt idx="53">
                  <c:v>2.1414441769270768E-2</c:v>
                </c:pt>
                <c:pt idx="54">
                  <c:v>2.1387642388084327E-2</c:v>
                </c:pt>
                <c:pt idx="55">
                  <c:v>2.1376080749051507E-2</c:v>
                </c:pt>
                <c:pt idx="56">
                  <c:v>2.1365245064167704E-2</c:v>
                </c:pt>
                <c:pt idx="57">
                  <c:v>2.1355135333270825E-2</c:v>
                </c:pt>
                <c:pt idx="58">
                  <c:v>2.1335361195382041E-2</c:v>
                </c:pt>
                <c:pt idx="59">
                  <c:v>2.1315475986564136E-2</c:v>
                </c:pt>
                <c:pt idx="60">
                  <c:v>2.1309721978535201E-2</c:v>
                </c:pt>
                <c:pt idx="61">
                  <c:v>2.1304693924087958E-2</c:v>
                </c:pt>
                <c:pt idx="62">
                  <c:v>2.1298300327852553E-2</c:v>
                </c:pt>
                <c:pt idx="63">
                  <c:v>2.129184124268324E-2</c:v>
                </c:pt>
                <c:pt idx="64">
                  <c:v>2.1290283693313761E-2</c:v>
                </c:pt>
                <c:pt idx="65">
                  <c:v>2.1288655782318866E-2</c:v>
                </c:pt>
                <c:pt idx="66">
                  <c:v>2.1286798246786809E-2</c:v>
                </c:pt>
                <c:pt idx="67">
                  <c:v>2.1283558707994404E-2</c:v>
                </c:pt>
                <c:pt idx="68">
                  <c:v>2.1277071858962771E-2</c:v>
                </c:pt>
                <c:pt idx="69">
                  <c:v>2.1274066200663855E-2</c:v>
                </c:pt>
                <c:pt idx="70">
                  <c:v>2.127083091774673E-2</c:v>
                </c:pt>
                <c:pt idx="71">
                  <c:v>2.126736601037349E-2</c:v>
                </c:pt>
                <c:pt idx="72">
                  <c:v>2.1260909088383444E-2</c:v>
                </c:pt>
                <c:pt idx="73">
                  <c:v>2.1251210135589949E-2</c:v>
                </c:pt>
                <c:pt idx="74">
                  <c:v>2.1246597105611942E-2</c:v>
                </c:pt>
                <c:pt idx="75">
                  <c:v>2.1241754451258865E-2</c:v>
                </c:pt>
                <c:pt idx="76">
                  <c:v>2.123668217228758E-2</c:v>
                </c:pt>
                <c:pt idx="77">
                  <c:v>2.1227006561552374E-2</c:v>
                </c:pt>
                <c:pt idx="78">
                  <c:v>2.1214096812003369E-2</c:v>
                </c:pt>
                <c:pt idx="79">
                  <c:v>2.1207876410832549E-2</c:v>
                </c:pt>
                <c:pt idx="80">
                  <c:v>2.1201426385286659E-2</c:v>
                </c:pt>
                <c:pt idx="81">
                  <c:v>2.1194746735284653E-2</c:v>
                </c:pt>
                <c:pt idx="82">
                  <c:v>2.1181851136875544E-2</c:v>
                </c:pt>
                <c:pt idx="83">
                  <c:v>2.1165731891606976E-2</c:v>
                </c:pt>
                <c:pt idx="84">
                  <c:v>2.115790411972962E-2</c:v>
                </c:pt>
                <c:pt idx="85">
                  <c:v>2.1149846723639287E-2</c:v>
                </c:pt>
                <c:pt idx="86">
                  <c:v>2.1141559703254931E-2</c:v>
                </c:pt>
                <c:pt idx="87">
                  <c:v>2.1125442826915124E-2</c:v>
                </c:pt>
                <c:pt idx="88">
                  <c:v>2.110619051167828E-2</c:v>
                </c:pt>
                <c:pt idx="89">
                  <c:v>2.1097206167310922E-2</c:v>
                </c:pt>
                <c:pt idx="90">
                  <c:v>2.1088442996055612E-2</c:v>
                </c:pt>
                <c:pt idx="91">
                  <c:v>2.1079900997831302E-2</c:v>
                </c:pt>
                <c:pt idx="92">
                  <c:v>2.1064769811572535E-2</c:v>
                </c:pt>
                <c:pt idx="93">
                  <c:v>2.1047944735406166E-2</c:v>
                </c:pt>
                <c:pt idx="94">
                  <c:v>2.1040508602417907E-2</c:v>
                </c:pt>
                <c:pt idx="95">
                  <c:v>2.1033293642379602E-2</c:v>
                </c:pt>
                <c:pt idx="96">
                  <c:v>2.1026299855291253E-2</c:v>
                </c:pt>
                <c:pt idx="97">
                  <c:v>2.1014259268669438E-2</c:v>
                </c:pt>
                <c:pt idx="98">
                  <c:v>2.10005364364374E-2</c:v>
                </c:pt>
                <c:pt idx="99">
                  <c:v>2.0994648514098824E-2</c:v>
                </c:pt>
                <c:pt idx="100">
                  <c:v>2.0988981764548109E-2</c:v>
                </c:pt>
                <c:pt idx="101">
                  <c:v>2.0983536188028395E-2</c:v>
                </c:pt>
                <c:pt idx="102">
                  <c:v>2.0972835511720855E-2</c:v>
                </c:pt>
                <c:pt idx="103">
                  <c:v>2.0959625898220313E-2</c:v>
                </c:pt>
                <c:pt idx="104">
                  <c:v>2.0955507358751957E-2</c:v>
                </c:pt>
                <c:pt idx="105">
                  <c:v>2.0951609992314602E-2</c:v>
                </c:pt>
                <c:pt idx="106">
                  <c:v>2.0945754372213948E-2</c:v>
                </c:pt>
                <c:pt idx="107">
                  <c:v>2.0938232254200662E-2</c:v>
                </c:pt>
                <c:pt idx="108">
                  <c:v>2.0935440751702616E-2</c:v>
                </c:pt>
                <c:pt idx="109">
                  <c:v>2.093287042207348E-2</c:v>
                </c:pt>
                <c:pt idx="110">
                  <c:v>2.0930521265151159E-2</c:v>
                </c:pt>
                <c:pt idx="111">
                  <c:v>2.0927760000291066E-2</c:v>
                </c:pt>
                <c:pt idx="112">
                  <c:v>2.0923336365421541E-2</c:v>
                </c:pt>
                <c:pt idx="113">
                  <c:v>2.092209307243853E-2</c:v>
                </c:pt>
                <c:pt idx="114">
                  <c:v>2.0921070952243381E-2</c:v>
                </c:pt>
                <c:pt idx="115">
                  <c:v>2.0920270004917141E-2</c:v>
                </c:pt>
                <c:pt idx="116">
                  <c:v>2.0920604338520537E-2</c:v>
                </c:pt>
                <c:pt idx="117">
                  <c:v>2.0919277942842429E-2</c:v>
                </c:pt>
                <c:pt idx="118">
                  <c:v>2.0919582859293406E-2</c:v>
                </c:pt>
                <c:pt idx="119">
                  <c:v>2.0920108948451199E-2</c:v>
                </c:pt>
                <c:pt idx="120">
                  <c:v>2.0920856210396854E-2</c:v>
                </c:pt>
                <c:pt idx="121">
                  <c:v>2.0924287385038303E-2</c:v>
                </c:pt>
                <c:pt idx="122">
                  <c:v>2.0926056986058095E-2</c:v>
                </c:pt>
                <c:pt idx="123">
                  <c:v>2.0927910111780967E-2</c:v>
                </c:pt>
                <c:pt idx="124">
                  <c:v>2.0929984410453795E-2</c:v>
                </c:pt>
                <c:pt idx="125">
                  <c:v>2.0932279881833438E-2</c:v>
                </c:pt>
                <c:pt idx="126">
                  <c:v>2.093880914081692E-2</c:v>
                </c:pt>
                <c:pt idx="127">
                  <c:v>2.0943673495554815E-2</c:v>
                </c:pt>
                <c:pt idx="128">
                  <c:v>2.0947074830954815E-2</c:v>
                </c:pt>
                <c:pt idx="129">
                  <c:v>2.0950697339223723E-2</c:v>
                </c:pt>
                <c:pt idx="130">
                  <c:v>2.0954541020280493E-2</c:v>
                </c:pt>
                <c:pt idx="131">
                  <c:v>2.0964169609719589E-2</c:v>
                </c:pt>
                <c:pt idx="132">
                  <c:v>2.0972127473034563E-2</c:v>
                </c:pt>
                <c:pt idx="133">
                  <c:v>2.0977077018354828E-2</c:v>
                </c:pt>
                <c:pt idx="134">
                  <c:v>2.0982247736544002E-2</c:v>
                </c:pt>
                <c:pt idx="135">
                  <c:v>2.0987639627602084E-2</c:v>
                </c:pt>
                <c:pt idx="136">
                  <c:v>2.1000368798500167E-2</c:v>
                </c:pt>
                <c:pt idx="137">
                  <c:v>2.1011418920928726E-2</c:v>
                </c:pt>
                <c:pt idx="138">
                  <c:v>2.1017916676655535E-2</c:v>
                </c:pt>
                <c:pt idx="139">
                  <c:v>2.1024635605251252E-2</c:v>
                </c:pt>
                <c:pt idx="140">
                  <c:v>2.1031575706796923E-2</c:v>
                </c:pt>
                <c:pt idx="141">
                  <c:v>2.1047406716857196E-2</c:v>
                </c:pt>
                <c:pt idx="142">
                  <c:v>2.1061547842965433E-2</c:v>
                </c:pt>
                <c:pt idx="143">
                  <c:v>2.1069593809504017E-2</c:v>
                </c:pt>
                <c:pt idx="144">
                  <c:v>2.1077860949154648E-2</c:v>
                </c:pt>
                <c:pt idx="145">
                  <c:v>2.1086349261755233E-2</c:v>
                </c:pt>
                <c:pt idx="146">
                  <c:v>2.1105283377406879E-2</c:v>
                </c:pt>
                <c:pt idx="147">
                  <c:v>2.1122514243359092E-2</c:v>
                </c:pt>
                <c:pt idx="148">
                  <c:v>2.1132108421519913E-2</c:v>
                </c:pt>
                <c:pt idx="149">
                  <c:v>2.1141923772873827E-2</c:v>
                </c:pt>
                <c:pt idx="150">
                  <c:v>2.1151960297420835E-2</c:v>
                </c:pt>
                <c:pt idx="151">
                  <c:v>2.1173092288574818E-2</c:v>
                </c:pt>
                <c:pt idx="152">
                  <c:v>2.1190591808953885E-2</c:v>
                </c:pt>
                <c:pt idx="153">
                  <c:v>2.1199317127867934E-2</c:v>
                </c:pt>
                <c:pt idx="154">
                  <c:v>2.1207659352034947E-2</c:v>
                </c:pt>
                <c:pt idx="155">
                  <c:v>2.1215618481454923E-2</c:v>
                </c:pt>
                <c:pt idx="156">
                  <c:v>2.1231494641479703E-2</c:v>
                </c:pt>
                <c:pt idx="157">
                  <c:v>2.1243624050610865E-2</c:v>
                </c:pt>
                <c:pt idx="158">
                  <c:v>2.1249667705809383E-2</c:v>
                </c:pt>
                <c:pt idx="159">
                  <c:v>2.1255328265936679E-2</c:v>
                </c:pt>
                <c:pt idx="160">
                  <c:v>2.1272107314261435E-2</c:v>
                </c:pt>
                <c:pt idx="161">
                  <c:v>2.1281246632636197E-2</c:v>
                </c:pt>
                <c:pt idx="162">
                  <c:v>2.1284225527913314E-2</c:v>
                </c:pt>
                <c:pt idx="163">
                  <c:v>2.129162005003904E-2</c:v>
                </c:pt>
                <c:pt idx="164">
                  <c:v>2.129337357863581E-2</c:v>
                </c:pt>
                <c:pt idx="165">
                  <c:v>2.1294053903647692E-2</c:v>
                </c:pt>
                <c:pt idx="166">
                  <c:v>2.1294351133588352E-2</c:v>
                </c:pt>
                <c:pt idx="167">
                  <c:v>2.129426526845779E-2</c:v>
                </c:pt>
                <c:pt idx="168">
                  <c:v>2.1294058726873958E-2</c:v>
                </c:pt>
                <c:pt idx="169">
                  <c:v>2.1290090857304378E-2</c:v>
                </c:pt>
                <c:pt idx="170">
                  <c:v>2.1288089516898756E-2</c:v>
                </c:pt>
                <c:pt idx="171">
                  <c:v>2.1285705081421913E-2</c:v>
                </c:pt>
                <c:pt idx="172">
                  <c:v>2.1282937550873848E-2</c:v>
                </c:pt>
                <c:pt idx="173">
                  <c:v>2.1277365732020513E-2</c:v>
                </c:pt>
                <c:pt idx="174">
                  <c:v>2.1268036478779839E-2</c:v>
                </c:pt>
                <c:pt idx="175">
                  <c:v>2.1263353473199853E-2</c:v>
                </c:pt>
                <c:pt idx="176">
                  <c:v>2.1258287372791784E-2</c:v>
                </c:pt>
                <c:pt idx="177">
                  <c:v>2.1252838177312494E-2</c:v>
                </c:pt>
                <c:pt idx="178">
                  <c:v>2.1241898897829868E-2</c:v>
                </c:pt>
                <c:pt idx="179">
                  <c:v>2.1224145149977836E-2</c:v>
                </c:pt>
                <c:pt idx="180">
                  <c:v>2.121209801175028E-2</c:v>
                </c:pt>
                <c:pt idx="181">
                  <c:v>2.1203967152231273E-2</c:v>
                </c:pt>
                <c:pt idx="182">
                  <c:v>2.1187658240754418E-2</c:v>
                </c:pt>
                <c:pt idx="183">
                  <c:v>2.1167612766522792E-2</c:v>
                </c:pt>
                <c:pt idx="184">
                  <c:v>2.115756643334965E-2</c:v>
                </c:pt>
                <c:pt idx="185">
                  <c:v>2.1147137005672612E-2</c:v>
                </c:pt>
                <c:pt idx="186">
                  <c:v>2.113632448316749E-2</c:v>
                </c:pt>
                <c:pt idx="187">
                  <c:v>2.1114643785810443E-2</c:v>
                </c:pt>
                <c:pt idx="188">
                  <c:v>2.1089243448432216E-2</c:v>
                </c:pt>
                <c:pt idx="189">
                  <c:v>2.1076515453488653E-2</c:v>
                </c:pt>
                <c:pt idx="190">
                  <c:v>2.1063404364284333E-2</c:v>
                </c:pt>
                <c:pt idx="191">
                  <c:v>2.1049910180738207E-2</c:v>
                </c:pt>
                <c:pt idx="192">
                  <c:v>2.1022855566875297E-2</c:v>
                </c:pt>
                <c:pt idx="193">
                  <c:v>2.0992102504027166E-2</c:v>
                </c:pt>
                <c:pt idx="194">
                  <c:v>2.0976692849420386E-2</c:v>
                </c:pt>
                <c:pt idx="195">
                  <c:v>2.0960900100795987E-2</c:v>
                </c:pt>
                <c:pt idx="196">
                  <c:v>2.0944724258153968E-2</c:v>
                </c:pt>
                <c:pt idx="197">
                  <c:v>2.0912293626363192E-2</c:v>
                </c:pt>
                <c:pt idx="198">
                  <c:v>2.0876189948463297E-2</c:v>
                </c:pt>
                <c:pt idx="199">
                  <c:v>2.0858098636462596E-2</c:v>
                </c:pt>
                <c:pt idx="200">
                  <c:v>2.0839624230849507E-2</c:v>
                </c:pt>
                <c:pt idx="201">
                  <c:v>2.0820766731542983E-2</c:v>
                </c:pt>
                <c:pt idx="202">
                  <c:v>2.0782958015495383E-2</c:v>
                </c:pt>
                <c:pt idx="203">
                  <c:v>2.0741505799408699E-2</c:v>
                </c:pt>
                <c:pt idx="204">
                  <c:v>2.0720732832931743E-2</c:v>
                </c:pt>
                <c:pt idx="205">
                  <c:v>2.0699576773166584E-2</c:v>
                </c:pt>
                <c:pt idx="206">
                  <c:v>2.0678037620275314E-2</c:v>
                </c:pt>
                <c:pt idx="207">
                  <c:v>2.0634848794111042E-2</c:v>
                </c:pt>
                <c:pt idx="208">
                  <c:v>2.0588050077935405E-2</c:v>
                </c:pt>
                <c:pt idx="209">
                  <c:v>2.0564595460061952E-2</c:v>
                </c:pt>
                <c:pt idx="210">
                  <c:v>2.054075774946762E-2</c:v>
                </c:pt>
                <c:pt idx="211">
                  <c:v>2.0516536946152408E-2</c:v>
                </c:pt>
                <c:pt idx="212">
                  <c:v>2.0469589015777261E-2</c:v>
                </c:pt>
                <c:pt idx="213">
                  <c:v>2.0422494330146757E-2</c:v>
                </c:pt>
                <c:pt idx="214">
                  <c:v>2.0400685537981245E-2</c:v>
                </c:pt>
                <c:pt idx="215">
                  <c:v>2.0379575521418669E-2</c:v>
                </c:pt>
                <c:pt idx="216">
                  <c:v>2.0359164280296937E-2</c:v>
                </c:pt>
                <c:pt idx="217">
                  <c:v>2.0321802384066039E-2</c:v>
                </c:pt>
                <c:pt idx="218">
                  <c:v>2.028450706867857E-2</c:v>
                </c:pt>
                <c:pt idx="219">
                  <c:v>2.0267589703302225E-2</c:v>
                </c:pt>
                <c:pt idx="220">
                  <c:v>2.0251371112880445E-2</c:v>
                </c:pt>
                <c:pt idx="221">
                  <c:v>2.0209844407508282E-2</c:v>
                </c:pt>
                <c:pt idx="222">
                  <c:v>2.0168733837263586E-2</c:v>
                </c:pt>
                <c:pt idx="223">
                  <c:v>2.0157406668362965E-2</c:v>
                </c:pt>
                <c:pt idx="224">
                  <c:v>2.0146778273687493E-2</c:v>
                </c:pt>
                <c:pt idx="225">
                  <c:v>2.0128960698066654E-2</c:v>
                </c:pt>
                <c:pt idx="226">
                  <c:v>2.0111252436102456E-2</c:v>
                </c:pt>
                <c:pt idx="227">
                  <c:v>2.0104117911661223E-2</c:v>
                </c:pt>
                <c:pt idx="228">
                  <c:v>2.0097682161283048E-2</c:v>
                </c:pt>
                <c:pt idx="229">
                  <c:v>2.0091945184643745E-2</c:v>
                </c:pt>
                <c:pt idx="230">
                  <c:v>2.0083905480983526E-2</c:v>
                </c:pt>
                <c:pt idx="231">
                  <c:v>2.007598501636676E-2</c:v>
                </c:pt>
                <c:pt idx="232">
                  <c:v>2.0073741908664955E-2</c:v>
                </c:pt>
                <c:pt idx="233">
                  <c:v>2.0072197574783068E-2</c:v>
                </c:pt>
                <c:pt idx="234">
                  <c:v>2.0071352014559007E-2</c:v>
                </c:pt>
                <c:pt idx="235">
                  <c:v>2.0073093954131965E-2</c:v>
                </c:pt>
                <c:pt idx="236">
                  <c:v>2.007495751113253E-2</c:v>
                </c:pt>
                <c:pt idx="237">
                  <c:v>2.0077605819521782E-2</c:v>
                </c:pt>
                <c:pt idx="238">
                  <c:v>2.0080952901811999E-2</c:v>
                </c:pt>
                <c:pt idx="239">
                  <c:v>2.0084998757760042E-2</c:v>
                </c:pt>
                <c:pt idx="240">
                  <c:v>2.0100267412768436E-2</c:v>
                </c:pt>
                <c:pt idx="241">
                  <c:v>2.0115709645447399E-2</c:v>
                </c:pt>
                <c:pt idx="242">
                  <c:v>2.0123948144720183E-2</c:v>
                </c:pt>
                <c:pt idx="243">
                  <c:v>2.0132885418056023E-2</c:v>
                </c:pt>
                <c:pt idx="244">
                  <c:v>2.0154201963613248E-2</c:v>
                </c:pt>
                <c:pt idx="245">
                  <c:v>2.0175622252678327E-2</c:v>
                </c:pt>
                <c:pt idx="246">
                  <c:v>2.0188053396977823E-2</c:v>
                </c:pt>
                <c:pt idx="247">
                  <c:v>2.0201183315664561E-2</c:v>
                </c:pt>
                <c:pt idx="248">
                  <c:v>2.0215012008900635E-2</c:v>
                </c:pt>
                <c:pt idx="249">
                  <c:v>2.0246121568430201E-2</c:v>
                </c:pt>
                <c:pt idx="250">
                  <c:v>2.0277314527905599E-2</c:v>
                </c:pt>
                <c:pt idx="251">
                  <c:v>2.0294637094617762E-2</c:v>
                </c:pt>
                <c:pt idx="252">
                  <c:v>2.0312658436527631E-2</c:v>
                </c:pt>
                <c:pt idx="253">
                  <c:v>2.03312558937363E-2</c:v>
                </c:pt>
                <c:pt idx="254">
                  <c:v>2.0369708859610352E-2</c:v>
                </c:pt>
                <c:pt idx="255">
                  <c:v>2.0405764532933635E-2</c:v>
                </c:pt>
                <c:pt idx="256">
                  <c:v>2.0424298735627344E-2</c:v>
                </c:pt>
                <c:pt idx="257">
                  <c:v>2.0442795755422072E-2</c:v>
                </c:pt>
                <c:pt idx="258">
                  <c:v>2.0461255592398864E-2</c:v>
                </c:pt>
                <c:pt idx="259">
                  <c:v>2.0499202495570062E-2</c:v>
                </c:pt>
                <c:pt idx="260">
                  <c:v>2.0534723111397257E-2</c:v>
                </c:pt>
                <c:pt idx="261">
                  <c:v>2.0552997033960185E-2</c:v>
                </c:pt>
                <c:pt idx="262">
                  <c:v>2.0571233773624131E-2</c:v>
                </c:pt>
                <c:pt idx="263">
                  <c:v>2.0589433330308049E-2</c:v>
                </c:pt>
                <c:pt idx="264">
                  <c:v>2.0626874056230985E-2</c:v>
                </c:pt>
                <c:pt idx="265">
                  <c:v>2.06618597280539E-2</c:v>
                </c:pt>
                <c:pt idx="266">
                  <c:v>2.0679873370242907E-2</c:v>
                </c:pt>
                <c:pt idx="267">
                  <c:v>2.0697849829451886E-2</c:v>
                </c:pt>
                <c:pt idx="268">
                  <c:v>2.0715789105680837E-2</c:v>
                </c:pt>
                <c:pt idx="269">
                  <c:v>2.0752723535838829E-2</c:v>
                </c:pt>
                <c:pt idx="270">
                  <c:v>2.0787174381120543E-2</c:v>
                </c:pt>
                <c:pt idx="271">
                  <c:v>2.0804927742530399E-2</c:v>
                </c:pt>
                <c:pt idx="272">
                  <c:v>2.0822643920960227E-2</c:v>
                </c:pt>
                <c:pt idx="273">
                  <c:v>2.0840322916491072E-2</c:v>
                </c:pt>
                <c:pt idx="274">
                  <c:v>2.0886126977637809E-2</c:v>
                </c:pt>
                <c:pt idx="275">
                  <c:v>2.0928160148958597E-2</c:v>
                </c:pt>
                <c:pt idx="276">
                  <c:v>2.094561604644718E-2</c:v>
                </c:pt>
                <c:pt idx="277">
                  <c:v>2.0963034760874688E-2</c:v>
                </c:pt>
                <c:pt idx="278">
                  <c:v>2.0998956229364433E-2</c:v>
                </c:pt>
                <c:pt idx="279">
                  <c:v>2.1032337788460254E-2</c:v>
                </c:pt>
                <c:pt idx="280">
                  <c:v>2.1049570587663435E-2</c:v>
                </c:pt>
                <c:pt idx="281">
                  <c:v>2.1066766203967635E-2</c:v>
                </c:pt>
                <c:pt idx="282">
                  <c:v>2.1083924637129714E-2</c:v>
                </c:pt>
                <c:pt idx="283">
                  <c:v>2.1119339432232879E-2</c:v>
                </c:pt>
                <c:pt idx="284">
                  <c:v>2.1152186539167284E-2</c:v>
                </c:pt>
                <c:pt idx="285">
                  <c:v>2.1169159056942943E-2</c:v>
                </c:pt>
                <c:pt idx="286">
                  <c:v>2.1186094391738575E-2</c:v>
                </c:pt>
                <c:pt idx="287">
                  <c:v>2.1202992543311039E-2</c:v>
                </c:pt>
                <c:pt idx="288">
                  <c:v>2.1237900531922614E-2</c:v>
                </c:pt>
                <c:pt idx="289">
                  <c:v>2.1270213318828057E-2</c:v>
                </c:pt>
                <c:pt idx="290">
                  <c:v>2.1286925554933056E-2</c:v>
                </c:pt>
                <c:pt idx="291">
                  <c:v>2.1303600607895934E-2</c:v>
                </c:pt>
                <c:pt idx="292">
                  <c:v>2.1320238477716691E-2</c:v>
                </c:pt>
                <c:pt idx="293">
                  <c:v>2.1354639523111601E-2</c:v>
                </c:pt>
                <c:pt idx="294">
                  <c:v>2.1386418125659556E-2</c:v>
                </c:pt>
                <c:pt idx="295">
                  <c:v>2.1402870079769709E-2</c:v>
                </c:pt>
                <c:pt idx="296">
                  <c:v>2.1419284850737741E-2</c:v>
                </c:pt>
                <c:pt idx="297">
                  <c:v>2.1435662438482606E-2</c:v>
                </c:pt>
                <c:pt idx="298">
                  <c:v>2.1469556400585864E-2</c:v>
                </c:pt>
                <c:pt idx="299">
                  <c:v>2.1500800957959809E-2</c:v>
                </c:pt>
                <c:pt idx="300">
                  <c:v>2.1516992629831977E-2</c:v>
                </c:pt>
                <c:pt idx="301">
                  <c:v>2.1533147118562024E-2</c:v>
                </c:pt>
                <c:pt idx="302">
                  <c:v>2.1549264424068904E-2</c:v>
                </c:pt>
                <c:pt idx="303">
                  <c:v>2.1582651159104408E-2</c:v>
                </c:pt>
                <c:pt idx="304">
                  <c:v>2.1613361813945797E-2</c:v>
                </c:pt>
                <c:pt idx="305">
                  <c:v>2.1629293203417888E-2</c:v>
                </c:pt>
                <c:pt idx="306">
                  <c:v>2.1645187409585764E-2</c:v>
                </c:pt>
                <c:pt idx="307">
                  <c:v>2.166104443261152E-2</c:v>
                </c:pt>
                <c:pt idx="308">
                  <c:v>2.1702436403850389E-2</c:v>
                </c:pt>
                <c:pt idx="309">
                  <c:v>2.1739771798744423E-2</c:v>
                </c:pt>
                <c:pt idx="310">
                  <c:v>2.1755405722269083E-2</c:v>
                </c:pt>
                <c:pt idx="311">
                  <c:v>2.1771002462408484E-2</c:v>
                </c:pt>
                <c:pt idx="312">
                  <c:v>2.1803374299228889E-2</c:v>
                </c:pt>
                <c:pt idx="313">
                  <c:v>2.1833017590491277E-2</c:v>
                </c:pt>
                <c:pt idx="314">
                  <c:v>2.1848428414271703E-2</c:v>
                </c:pt>
                <c:pt idx="315">
                  <c:v>2.1863802054747916E-2</c:v>
                </c:pt>
                <c:pt idx="316">
                  <c:v>2.1879138512000962E-2</c:v>
                </c:pt>
                <c:pt idx="317">
                  <c:v>2.1911002670893152E-2</c:v>
                </c:pt>
                <c:pt idx="318">
                  <c:v>2.1940112507727871E-2</c:v>
                </c:pt>
                <c:pt idx="319">
                  <c:v>2.1955263048297757E-2</c:v>
                </c:pt>
                <c:pt idx="320">
                  <c:v>2.1970376405644476E-2</c:v>
                </c:pt>
                <c:pt idx="321">
                  <c:v>2.1985452579605935E-2</c:v>
                </c:pt>
                <c:pt idx="322">
                  <c:v>2.2016808903826405E-2</c:v>
                </c:pt>
                <c:pt idx="323">
                  <c:v>2.2045385442085452E-2</c:v>
                </c:pt>
                <c:pt idx="324">
                  <c:v>2.2060275699363752E-2</c:v>
                </c:pt>
                <c:pt idx="325">
                  <c:v>2.2075128773175745E-2</c:v>
                </c:pt>
                <c:pt idx="326">
                  <c:v>2.2089944663683525E-2</c:v>
                </c:pt>
                <c:pt idx="327">
                  <c:v>2.2120792993273929E-2</c:v>
                </c:pt>
                <c:pt idx="328">
                  <c:v>2.214883639202414E-2</c:v>
                </c:pt>
                <c:pt idx="329">
                  <c:v>2.2163466365605622E-2</c:v>
                </c:pt>
                <c:pt idx="330">
                  <c:v>2.217805915588289E-2</c:v>
                </c:pt>
                <c:pt idx="331">
                  <c:v>2.2192614762693852E-2</c:v>
                </c:pt>
                <c:pt idx="332">
                  <c:v>2.2222954934535043E-2</c:v>
                </c:pt>
                <c:pt idx="333">
                  <c:v>2.2250465356004057E-2</c:v>
                </c:pt>
                <c:pt idx="334">
                  <c:v>2.2264835045726628E-2</c:v>
                </c:pt>
                <c:pt idx="335">
                  <c:v>2.2279167552063939E-2</c:v>
                </c:pt>
                <c:pt idx="336">
                  <c:v>2.2293462875097037E-2</c:v>
                </c:pt>
                <c:pt idx="337">
                  <c:v>2.2323294723071156E-2</c:v>
                </c:pt>
                <c:pt idx="338">
                  <c:v>2.2350272332485321E-2</c:v>
                </c:pt>
                <c:pt idx="339">
                  <c:v>2.2364381738186889E-2</c:v>
                </c:pt>
                <c:pt idx="340">
                  <c:v>2.2378453960422151E-2</c:v>
                </c:pt>
                <c:pt idx="341">
                  <c:v>2.2392488999272153E-2</c:v>
                </c:pt>
                <c:pt idx="342">
                  <c:v>2.2421812354343672E-2</c:v>
                </c:pt>
                <c:pt idx="343">
                  <c:v>2.2448257319928056E-2</c:v>
                </c:pt>
                <c:pt idx="344">
                  <c:v>2.2462106441365481E-2</c:v>
                </c:pt>
                <c:pt idx="345">
                  <c:v>2.2475918379336601E-2</c:v>
                </c:pt>
                <c:pt idx="346">
                  <c:v>2.2489693133922461E-2</c:v>
                </c:pt>
                <c:pt idx="347">
                  <c:v>2.2518507823922066E-2</c:v>
                </c:pt>
                <c:pt idx="348">
                  <c:v>2.2544420316954472E-2</c:v>
                </c:pt>
                <c:pt idx="349">
                  <c:v>2.2558009153965664E-2</c:v>
                </c:pt>
                <c:pt idx="350">
                  <c:v>2.2571560807429503E-2</c:v>
                </c:pt>
                <c:pt idx="351">
                  <c:v>2.2585075277427036E-2</c:v>
                </c:pt>
                <c:pt idx="352">
                  <c:v>2.2620778105460482E-2</c:v>
                </c:pt>
                <c:pt idx="353">
                  <c:v>2.265208987436651E-2</c:v>
                </c:pt>
                <c:pt idx="354">
                  <c:v>2.2665381243160976E-2</c:v>
                </c:pt>
                <c:pt idx="355">
                  <c:v>2.2678635428408089E-2</c:v>
                </c:pt>
                <c:pt idx="356">
                  <c:v>2.2706432260760637E-2</c:v>
                </c:pt>
                <c:pt idx="357">
                  <c:v>2.2731280333841974E-2</c:v>
                </c:pt>
                <c:pt idx="358">
                  <c:v>2.2744348601352327E-2</c:v>
                </c:pt>
                <c:pt idx="359">
                  <c:v>2.275737968523428E-2</c:v>
                </c:pt>
                <c:pt idx="360">
                  <c:v>2.2770373585568882E-2</c:v>
                </c:pt>
                <c:pt idx="361">
                  <c:v>2.2797661219564985E-2</c:v>
                </c:pt>
                <c:pt idx="362">
                  <c:v>2.2821977351028533E-2</c:v>
                </c:pt>
                <c:pt idx="363">
                  <c:v>2.2834785333383234E-2</c:v>
                </c:pt>
                <c:pt idx="364">
                  <c:v>2.2847556132190583E-2</c:v>
                </c:pt>
                <c:pt idx="365">
                  <c:v>2.2860289747369533E-2</c:v>
                </c:pt>
                <c:pt idx="366">
                  <c:v>2.288706799979057E-2</c:v>
                </c:pt>
                <c:pt idx="367">
                  <c:v>2.2910852372044488E-2</c:v>
                </c:pt>
                <c:pt idx="368">
                  <c:v>2.2923400069162492E-2</c:v>
                </c:pt>
                <c:pt idx="369">
                  <c:v>2.2935910582733143E-2</c:v>
                </c:pt>
                <c:pt idx="370">
                  <c:v>2.294838391259435E-2</c:v>
                </c:pt>
                <c:pt idx="371">
                  <c:v>2.2974652597439103E-2</c:v>
                </c:pt>
                <c:pt idx="372">
                  <c:v>2.2997905395755192E-2</c:v>
                </c:pt>
                <c:pt idx="373">
                  <c:v>2.3010192807393359E-2</c:v>
                </c:pt>
                <c:pt idx="374">
                  <c:v>2.3022443035403128E-2</c:v>
                </c:pt>
                <c:pt idx="375">
                  <c:v>2.3034656079865545E-2</c:v>
                </c:pt>
                <c:pt idx="376">
                  <c:v>2.3060415008539319E-2</c:v>
                </c:pt>
                <c:pt idx="377">
                  <c:v>2.3083136420701811E-2</c:v>
                </c:pt>
                <c:pt idx="378">
                  <c:v>2.3095163546779096E-2</c:v>
                </c:pt>
                <c:pt idx="379">
                  <c:v>2.3107153489146937E-2</c:v>
                </c:pt>
                <c:pt idx="380">
                  <c:v>2.3119106247886378E-2</c:v>
                </c:pt>
                <c:pt idx="381">
                  <c:v>2.314435522930906E-2</c:v>
                </c:pt>
                <c:pt idx="382">
                  <c:v>2.3166545445749698E-2</c:v>
                </c:pt>
                <c:pt idx="383">
                  <c:v>2.3178312286022962E-2</c:v>
                </c:pt>
                <c:pt idx="384">
                  <c:v>2.3190041942586781E-2</c:v>
                </c:pt>
                <c:pt idx="385">
                  <c:v>2.3201734415441155E-2</c:v>
                </c:pt>
                <c:pt idx="386">
                  <c:v>2.3226473255912133E-2</c:v>
                </c:pt>
                <c:pt idx="387">
                  <c:v>2.3248132469602112E-2</c:v>
                </c:pt>
                <c:pt idx="388">
                  <c:v>2.3259639023828216E-2</c:v>
                </c:pt>
                <c:pt idx="389">
                  <c:v>2.3271108394344875E-2</c:v>
                </c:pt>
                <c:pt idx="390">
                  <c:v>2.3282540581152089E-2</c:v>
                </c:pt>
                <c:pt idx="391">
                  <c:v>2.3306769084701456E-2</c:v>
                </c:pt>
                <c:pt idx="392">
                  <c:v>2.3327897490962313E-2</c:v>
                </c:pt>
                <c:pt idx="393">
                  <c:v>2.333914375906021E-2</c:v>
                </c:pt>
                <c:pt idx="394">
                  <c:v>2.3350352843448663E-2</c:v>
                </c:pt>
                <c:pt idx="395">
                  <c:v>2.3361524743965578E-2</c:v>
                </c:pt>
                <c:pt idx="396">
                  <c:v>2.3385242712029946E-2</c:v>
                </c:pt>
                <c:pt idx="397">
                  <c:v>2.3405840508695652E-2</c:v>
                </c:pt>
                <c:pt idx="398">
                  <c:v>2.3416826490503251E-2</c:v>
                </c:pt>
                <c:pt idx="399">
                  <c:v>2.3427775288520358E-2</c:v>
                </c:pt>
                <c:pt idx="400">
                  <c:v>2.3438686902665928E-2</c:v>
                </c:pt>
                <c:pt idx="401">
                  <c:v>2.3461894134412613E-2</c:v>
                </c:pt>
                <c:pt idx="402">
                  <c:v>2.3481961521667483E-2</c:v>
                </c:pt>
                <c:pt idx="403">
                  <c:v>2.3492687216941643E-2</c:v>
                </c:pt>
                <c:pt idx="404">
                  <c:v>2.3503375728425313E-2</c:v>
                </c:pt>
                <c:pt idx="405">
                  <c:v>2.3514027056118492E-2</c:v>
                </c:pt>
                <c:pt idx="406">
                  <c:v>2.3536723348391485E-2</c:v>
                </c:pt>
                <c:pt idx="407">
                  <c:v>2.355626052866211E-2</c:v>
                </c:pt>
                <c:pt idx="408">
                  <c:v>2.3566725937321786E-2</c:v>
                </c:pt>
                <c:pt idx="409">
                  <c:v>2.3577154162109926E-2</c:v>
                </c:pt>
                <c:pt idx="410">
                  <c:v>2.3587545203107574E-2</c:v>
                </c:pt>
                <c:pt idx="411">
                  <c:v>2.3621514848005454E-2</c:v>
                </c:pt>
                <c:pt idx="412">
                  <c:v>2.3649110588439548E-2</c:v>
                </c:pt>
                <c:pt idx="413">
                  <c:v>2.3659241342579573E-2</c:v>
                </c:pt>
                <c:pt idx="414">
                  <c:v>2.3680915137738182E-2</c:v>
                </c:pt>
                <c:pt idx="415">
                  <c:v>2.3699392520505347E-2</c:v>
                </c:pt>
                <c:pt idx="416">
                  <c:v>2.3709337355368731E-2</c:v>
                </c:pt>
                <c:pt idx="417">
                  <c:v>2.3719245006360579E-2</c:v>
                </c:pt>
                <c:pt idx="418">
                  <c:v>2.3729115473480888E-2</c:v>
                </c:pt>
                <c:pt idx="419">
                  <c:v>2.3750277706622306E-2</c:v>
                </c:pt>
                <c:pt idx="420">
                  <c:v>2.3768225503165707E-2</c:v>
                </c:pt>
                <c:pt idx="421">
                  <c:v>2.377791005092833E-2</c:v>
                </c:pt>
                <c:pt idx="422">
                  <c:v>2.3787557414738369E-2</c:v>
                </c:pt>
                <c:pt idx="423">
                  <c:v>2.3797167594676871E-2</c:v>
                </c:pt>
                <c:pt idx="424">
                  <c:v>2.3817818054162242E-2</c:v>
                </c:pt>
                <c:pt idx="425">
                  <c:v>2.3835236475634458E-2</c:v>
                </c:pt>
                <c:pt idx="426">
                  <c:v>2.384466073605318E-2</c:v>
                </c:pt>
                <c:pt idx="427">
                  <c:v>2.3854047812681412E-2</c:v>
                </c:pt>
                <c:pt idx="428">
                  <c:v>2.3863397705276013E-2</c:v>
                </c:pt>
                <c:pt idx="429">
                  <c:v>2.3883536177305247E-2</c:v>
                </c:pt>
                <c:pt idx="430">
                  <c:v>2.3900425436776951E-2</c:v>
                </c:pt>
                <c:pt idx="431">
                  <c:v>2.3909589409932819E-2</c:v>
                </c:pt>
                <c:pt idx="432">
                  <c:v>2.392404500490386E-2</c:v>
                </c:pt>
                <c:pt idx="433">
                  <c:v>2.3947432073106643E-2</c:v>
                </c:pt>
                <c:pt idx="434">
                  <c:v>2.3963792385782723E-2</c:v>
                </c:pt>
                <c:pt idx="435">
                  <c:v>2.3972696071270505E-2</c:v>
                </c:pt>
                <c:pt idx="436">
                  <c:v>2.3981562572967796E-2</c:v>
                </c:pt>
                <c:pt idx="437">
                  <c:v>2.3990391890550411E-2</c:v>
                </c:pt>
                <c:pt idx="438">
                  <c:v>2.4009505738675777E-2</c:v>
                </c:pt>
                <c:pt idx="439">
                  <c:v>2.4025337321598172E-2</c:v>
                </c:pt>
                <c:pt idx="440">
                  <c:v>2.4033980719498915E-2</c:v>
                </c:pt>
                <c:pt idx="441">
                  <c:v>2.4042586933447074E-2</c:v>
                </c:pt>
                <c:pt idx="442">
                  <c:v>2.4051155963361603E-2</c:v>
                </c:pt>
                <c:pt idx="443">
                  <c:v>2.4069757171257072E-2</c:v>
                </c:pt>
                <c:pt idx="444">
                  <c:v>2.4085060243412837E-2</c:v>
                </c:pt>
                <c:pt idx="445">
                  <c:v>2.4093443353483401E-2</c:v>
                </c:pt>
                <c:pt idx="446">
                  <c:v>2.4101789279601382E-2</c:v>
                </c:pt>
                <c:pt idx="447">
                  <c:v>2.4110098021685733E-2</c:v>
                </c:pt>
                <c:pt idx="448">
                  <c:v>2.4128186368067944E-2</c:v>
                </c:pt>
                <c:pt idx="449">
                  <c:v>2.4142961150254161E-2</c:v>
                </c:pt>
                <c:pt idx="450">
                  <c:v>2.4151083972332454E-2</c:v>
                </c:pt>
                <c:pt idx="451">
                  <c:v>2.4159169610539211E-2</c:v>
                </c:pt>
                <c:pt idx="452">
                  <c:v>2.4167218064712337E-2</c:v>
                </c:pt>
                <c:pt idx="453">
                  <c:v>2.4184793326595958E-2</c:v>
                </c:pt>
                <c:pt idx="454">
                  <c:v>2.4199040041149589E-2</c:v>
                </c:pt>
                <c:pt idx="455">
                  <c:v>2.4206902575316658E-2</c:v>
                </c:pt>
                <c:pt idx="456">
                  <c:v>2.4214727925369051E-2</c:v>
                </c:pt>
                <c:pt idx="457">
                  <c:v>2.4222516091387813E-2</c:v>
                </c:pt>
                <c:pt idx="458">
                  <c:v>2.4239578044247628E-2</c:v>
                </c:pt>
                <c:pt idx="459">
                  <c:v>2.4253296915450751E-2</c:v>
                </c:pt>
                <c:pt idx="460">
                  <c:v>2.4260899161463456E-2</c:v>
                </c:pt>
                <c:pt idx="461">
                  <c:v>2.4268464223280439E-2</c:v>
                </c:pt>
                <c:pt idx="462">
                  <c:v>2.4275992101225885E-2</c:v>
                </c:pt>
                <c:pt idx="463">
                  <c:v>2.4292540518510524E-2</c:v>
                </c:pt>
                <c:pt idx="464">
                  <c:v>2.4305731772266137E-2</c:v>
                </c:pt>
                <c:pt idx="465">
                  <c:v>2.4313073729962387E-2</c:v>
                </c:pt>
                <c:pt idx="466">
                  <c:v>2.432037850354396E-2</c:v>
                </c:pt>
                <c:pt idx="467">
                  <c:v>2.4327646093091904E-2</c:v>
                </c:pt>
                <c:pt idx="468">
                  <c:v>2.4343680747061319E-2</c:v>
                </c:pt>
                <c:pt idx="469">
                  <c:v>2.4356344610785285E-2</c:v>
                </c:pt>
                <c:pt idx="470">
                  <c:v>2.4363426280084033E-2</c:v>
                </c:pt>
                <c:pt idx="471">
                  <c:v>2.4370470765268104E-2</c:v>
                </c:pt>
                <c:pt idx="472">
                  <c:v>2.4377478066418545E-2</c:v>
                </c:pt>
                <c:pt idx="473">
                  <c:v>2.4392998727630715E-2</c:v>
                </c:pt>
                <c:pt idx="474">
                  <c:v>2.4405135430359826E-2</c:v>
                </c:pt>
                <c:pt idx="475">
                  <c:v>2.4411956811098978E-2</c:v>
                </c:pt>
                <c:pt idx="476">
                  <c:v>2.4418741007804501E-2</c:v>
                </c:pt>
                <c:pt idx="477">
                  <c:v>2.4425488020476394E-2</c:v>
                </c:pt>
                <c:pt idx="478">
                  <c:v>2.4440494457922405E-2</c:v>
                </c:pt>
                <c:pt idx="479">
                  <c:v>2.4452104230098248E-2</c:v>
                </c:pt>
                <c:pt idx="480">
                  <c:v>2.4458665322277806E-2</c:v>
                </c:pt>
                <c:pt idx="481">
                  <c:v>2.4465189230342688E-2</c:v>
                </c:pt>
                <c:pt idx="482">
                  <c:v>2.4471675954373939E-2</c:v>
                </c:pt>
                <c:pt idx="483">
                  <c:v>2.4486167935856194E-2</c:v>
                </c:pt>
                <c:pt idx="484">
                  <c:v>2.4497251009352183E-2</c:v>
                </c:pt>
                <c:pt idx="485">
                  <c:v>2.45035518128911E-2</c:v>
                </c:pt>
                <c:pt idx="486">
                  <c:v>2.4509815432234294E-2</c:v>
                </c:pt>
                <c:pt idx="487">
                  <c:v>2.4531642879276117E-2</c:v>
                </c:pt>
                <c:pt idx="488">
                  <c:v>2.4546616282209444E-2</c:v>
                </c:pt>
                <c:pt idx="489">
                  <c:v>2.455261961283095E-2</c:v>
                </c:pt>
                <c:pt idx="490">
                  <c:v>2.4558585759256735E-2</c:v>
                </c:pt>
                <c:pt idx="491">
                  <c:v>2.4572048126464411E-2</c:v>
                </c:pt>
                <c:pt idx="492">
                  <c:v>2.458579659032567E-2</c:v>
                </c:pt>
                <c:pt idx="493">
                  <c:v>2.459360177140324E-2</c:v>
                </c:pt>
                <c:pt idx="494">
                  <c:v>2.4599307628945244E-2</c:v>
                </c:pt>
                <c:pt idx="495">
                  <c:v>2.461225483532966E-2</c:v>
                </c:pt>
                <c:pt idx="496">
                  <c:v>2.4621759217804406E-2</c:v>
                </c:pt>
                <c:pt idx="497">
                  <c:v>2.4627279154691983E-2</c:v>
                </c:pt>
                <c:pt idx="498">
                  <c:v>2.4632761907383838E-2</c:v>
                </c:pt>
                <c:pt idx="499">
                  <c:v>2.4638207475961016E-2</c:v>
                </c:pt>
                <c:pt idx="500">
                  <c:v>2.4650639284083585E-2</c:v>
                </c:pt>
                <c:pt idx="501">
                  <c:v>2.4659617908717735E-2</c:v>
                </c:pt>
                <c:pt idx="502">
                  <c:v>2.4664877556559439E-2</c:v>
                </c:pt>
                <c:pt idx="503">
                  <c:v>2.4670100020205421E-2</c:v>
                </c:pt>
                <c:pt idx="504">
                  <c:v>2.4675285299736727E-2</c:v>
                </c:pt>
                <c:pt idx="505">
                  <c:v>2.4687268753809482E-2</c:v>
                </c:pt>
                <c:pt idx="506">
                  <c:v>2.4695931145689576E-2</c:v>
                </c:pt>
                <c:pt idx="507">
                  <c:v>2.4701109900833185E-2</c:v>
                </c:pt>
                <c:pt idx="508">
                  <c:v>2.47062963209288E-2</c:v>
                </c:pt>
                <c:pt idx="509">
                  <c:v>2.4711490406057468E-2</c:v>
                </c:pt>
                <c:pt idx="510">
                  <c:v>2.472357860917929E-2</c:v>
                </c:pt>
                <c:pt idx="511">
                  <c:v>2.4732343395930112E-2</c:v>
                </c:pt>
                <c:pt idx="512">
                  <c:v>2.4737575805818812E-2</c:v>
                </c:pt>
                <c:pt idx="513">
                  <c:v>2.4742815880659519E-2</c:v>
                </c:pt>
                <c:pt idx="514">
                  <c:v>2.4748063620452232E-2</c:v>
                </c:pt>
                <c:pt idx="515">
                  <c:v>2.4760264105685808E-2</c:v>
                </c:pt>
                <c:pt idx="516">
                  <c:v>2.4769131229224195E-2</c:v>
                </c:pt>
                <c:pt idx="517">
                  <c:v>2.477441729377694E-2</c:v>
                </c:pt>
                <c:pt idx="518">
                  <c:v>2.4811634364950708E-2</c:v>
                </c:pt>
                <c:pt idx="519">
                  <c:v>2.4849227019259068E-2</c:v>
                </c:pt>
                <c:pt idx="520">
                  <c:v>2.488719525694516E-2</c:v>
                </c:pt>
                <c:pt idx="521">
                  <c:v>2.4925539078090031E-2</c:v>
                </c:pt>
                <c:pt idx="522">
                  <c:v>2.4964258482855772E-2</c:v>
                </c:pt>
                <c:pt idx="523">
                  <c:v>2.5003353471323431E-2</c:v>
                </c:pt>
                <c:pt idx="524">
                  <c:v>2.5042824043574052E-2</c:v>
                </c:pt>
                <c:pt idx="525">
                  <c:v>2.508267019976973E-2</c:v>
                </c:pt>
                <c:pt idx="526">
                  <c:v>2.5122891940072556E-2</c:v>
                </c:pt>
                <c:pt idx="527">
                  <c:v>2.5163489264644623E-2</c:v>
                </c:pt>
                <c:pt idx="528">
                  <c:v>2.5204462173404885E-2</c:v>
                </c:pt>
                <c:pt idx="529">
                  <c:v>2.5245810666677526E-2</c:v>
                </c:pt>
                <c:pt idx="530">
                  <c:v>2.5287534744462548E-2</c:v>
                </c:pt>
                <c:pt idx="531">
                  <c:v>2.5329634407084134E-2</c:v>
                </c:pt>
                <c:pt idx="532">
                  <c:v>2.5372109654380193E-2</c:v>
                </c:pt>
                <c:pt idx="533">
                  <c:v>2.5414960486755955E-2</c:v>
                </c:pt>
                <c:pt idx="534">
                  <c:v>2.5458186904130375E-2</c:v>
                </c:pt>
                <c:pt idx="535">
                  <c:v>2.5501788906827638E-2</c:v>
                </c:pt>
                <c:pt idx="536">
                  <c:v>2.5545766494847744E-2</c:v>
                </c:pt>
                <c:pt idx="537">
                  <c:v>2.5590119668352784E-2</c:v>
                </c:pt>
                <c:pt idx="538">
                  <c:v>2.5634848427504853E-2</c:v>
                </c:pt>
                <c:pt idx="539">
                  <c:v>2.5679952772466041E-2</c:v>
                </c:pt>
                <c:pt idx="540">
                  <c:v>2.5725432703398443E-2</c:v>
                </c:pt>
                <c:pt idx="541">
                  <c:v>2.5771288220221011E-2</c:v>
                </c:pt>
                <c:pt idx="542">
                  <c:v>2.5817519323338978E-2</c:v>
                </c:pt>
                <c:pt idx="543">
                  <c:v>2.5864126012833388E-2</c:v>
                </c:pt>
                <c:pt idx="544">
                  <c:v>2.5911108288704243E-2</c:v>
                </c:pt>
                <c:pt idx="545">
                  <c:v>2.5958466151275728E-2</c:v>
                </c:pt>
                <c:pt idx="546">
                  <c:v>2.6006199600628888E-2</c:v>
                </c:pt>
                <c:pt idx="547">
                  <c:v>2.6061212016482704E-2</c:v>
                </c:pt>
                <c:pt idx="548">
                  <c:v>2.6109750295116863E-2</c:v>
                </c:pt>
                <c:pt idx="549">
                  <c:v>2.6158664161018974E-2</c:v>
                </c:pt>
                <c:pt idx="550">
                  <c:v>2.6207953614189039E-2</c:v>
                </c:pt>
                <c:pt idx="551">
                  <c:v>2.6257618655113335E-2</c:v>
                </c:pt>
                <c:pt idx="552">
                  <c:v>2.6307659283548723E-2</c:v>
                </c:pt>
                <c:pt idx="553">
                  <c:v>2.6358075499900435E-2</c:v>
                </c:pt>
                <c:pt idx="554">
                  <c:v>2.6408867304249517E-2</c:v>
                </c:pt>
                <c:pt idx="555">
                  <c:v>2.6460034696839108E-2</c:v>
                </c:pt>
                <c:pt idx="556">
                  <c:v>2.6511577677669207E-2</c:v>
                </c:pt>
                <c:pt idx="557">
                  <c:v>2.6563496246982954E-2</c:v>
                </c:pt>
                <c:pt idx="558">
                  <c:v>2.6615790405023487E-2</c:v>
                </c:pt>
                <c:pt idx="559">
                  <c:v>2.6668460151709761E-2</c:v>
                </c:pt>
                <c:pt idx="560">
                  <c:v>2.6721505487528052E-2</c:v>
                </c:pt>
                <c:pt idx="561">
                  <c:v>2.6774926412397315E-2</c:v>
                </c:pt>
                <c:pt idx="562">
                  <c:v>2.6828722926560689E-2</c:v>
                </c:pt>
                <c:pt idx="563">
                  <c:v>2.6882895030180265E-2</c:v>
                </c:pt>
                <c:pt idx="564">
                  <c:v>2.6945265911479943E-2</c:v>
                </c:pt>
                <c:pt idx="565">
                  <c:v>2.700024285021585E-2</c:v>
                </c:pt>
                <c:pt idx="566">
                  <c:v>2.7055595378975283E-2</c:v>
                </c:pt>
                <c:pt idx="567">
                  <c:v>2.7111287641424786E-2</c:v>
                </c:pt>
                <c:pt idx="568">
                  <c:v>2.7167106437380184E-2</c:v>
                </c:pt>
                <c:pt idx="569">
                  <c:v>2.7223015910589066E-2</c:v>
                </c:pt>
                <c:pt idx="570">
                  <c:v>2.7279016060889338E-2</c:v>
                </c:pt>
                <c:pt idx="571">
                  <c:v>2.7335106888524141E-2</c:v>
                </c:pt>
                <c:pt idx="572">
                  <c:v>2.7391288393412427E-2</c:v>
                </c:pt>
                <c:pt idx="573">
                  <c:v>2.7447560575554197E-2</c:v>
                </c:pt>
                <c:pt idx="574">
                  <c:v>2.7503923435111544E-2</c:v>
                </c:pt>
                <c:pt idx="575">
                  <c:v>2.7560376972084466E-2</c:v>
                </c:pt>
                <c:pt idx="576">
                  <c:v>2.7616921186391918E-2</c:v>
                </c:pt>
                <c:pt idx="577">
                  <c:v>2.767355607827704E-2</c:v>
                </c:pt>
                <c:pt idx="578">
                  <c:v>2.773028164773983E-2</c:v>
                </c:pt>
                <c:pt idx="579">
                  <c:v>2.7787097894699242E-2</c:v>
                </c:pt>
                <c:pt idx="580">
                  <c:v>2.7844004819236323E-2</c:v>
                </c:pt>
                <c:pt idx="581">
                  <c:v>2.7901002421513166E-2</c:v>
                </c:pt>
                <c:pt idx="582">
                  <c:v>2.7958090701448723E-2</c:v>
                </c:pt>
                <c:pt idx="583">
                  <c:v>2.8015269659124042E-2</c:v>
                </c:pt>
                <c:pt idx="584">
                  <c:v>2.8072539294620169E-2</c:v>
                </c:pt>
                <c:pt idx="585">
                  <c:v>2.8129899607856057E-2</c:v>
                </c:pt>
                <c:pt idx="586">
                  <c:v>2.8187350598993799E-2</c:v>
                </c:pt>
                <c:pt idx="587">
                  <c:v>2.8244892268033395E-2</c:v>
                </c:pt>
                <c:pt idx="588">
                  <c:v>2.8302524615055891E-2</c:v>
                </c:pt>
                <c:pt idx="589">
                  <c:v>2.8360247640142333E-2</c:v>
                </c:pt>
                <c:pt idx="590">
                  <c:v>2.8418061343211676E-2</c:v>
                </c:pt>
                <c:pt idx="591">
                  <c:v>2.8475965724344965E-2</c:v>
                </c:pt>
                <c:pt idx="592">
                  <c:v>2.85339607835422E-2</c:v>
                </c:pt>
                <c:pt idx="593">
                  <c:v>2.8592046521046521E-2</c:v>
                </c:pt>
                <c:pt idx="594">
                  <c:v>2.8650222936695835E-2</c:v>
                </c:pt>
                <c:pt idx="595">
                  <c:v>2.8708490030571188E-2</c:v>
                </c:pt>
                <c:pt idx="596">
                  <c:v>2.8766847802753626E-2</c:v>
                </c:pt>
                <c:pt idx="597">
                  <c:v>2.8825296253324195E-2</c:v>
                </c:pt>
                <c:pt idx="598">
                  <c:v>2.8883835382282896E-2</c:v>
                </c:pt>
                <c:pt idx="599">
                  <c:v>2.8942465189629729E-2</c:v>
                </c:pt>
                <c:pt idx="600">
                  <c:v>2.900118567544574E-2</c:v>
                </c:pt>
                <c:pt idx="601">
                  <c:v>2.9059996839811975E-2</c:v>
                </c:pt>
                <c:pt idx="602">
                  <c:v>2.9118898682728434E-2</c:v>
                </c:pt>
                <c:pt idx="603">
                  <c:v>2.9177891204195117E-2</c:v>
                </c:pt>
                <c:pt idx="604">
                  <c:v>2.9236974404455163E-2</c:v>
                </c:pt>
                <c:pt idx="605">
                  <c:v>2.9296148283265433E-2</c:v>
                </c:pt>
                <c:pt idx="606">
                  <c:v>2.9355412840869066E-2</c:v>
                </c:pt>
                <c:pt idx="607">
                  <c:v>2.9414768077185016E-2</c:v>
                </c:pt>
                <c:pt idx="608">
                  <c:v>2.9474213992456422E-2</c:v>
                </c:pt>
                <c:pt idx="609">
                  <c:v>2.9533750586602237E-2</c:v>
                </c:pt>
                <c:pt idx="610">
                  <c:v>2.9593377859541414E-2</c:v>
                </c:pt>
                <c:pt idx="611">
                  <c:v>2.9653095811517094E-2</c:v>
                </c:pt>
                <c:pt idx="612">
                  <c:v>2.9712904442448229E-2</c:v>
                </c:pt>
                <c:pt idx="613">
                  <c:v>2.9772803752496912E-2</c:v>
                </c:pt>
                <c:pt idx="614">
                  <c:v>2.9832793741582098E-2</c:v>
                </c:pt>
                <c:pt idx="615">
                  <c:v>2.9914961203936441E-2</c:v>
                </c:pt>
                <c:pt idx="616">
                  <c:v>2.9972715776498408E-2</c:v>
                </c:pt>
                <c:pt idx="617">
                  <c:v>3.0033013622393637E-2</c:v>
                </c:pt>
                <c:pt idx="618">
                  <c:v>3.0093402182418409E-2</c:v>
                </c:pt>
                <c:pt idx="619">
                  <c:v>3.0153713637767202E-2</c:v>
                </c:pt>
                <c:pt idx="620">
                  <c:v>3.0213601523126913E-2</c:v>
                </c:pt>
                <c:pt idx="621">
                  <c:v>3.0273049597255117E-2</c:v>
                </c:pt>
                <c:pt idx="622">
                  <c:v>3.0337513886819489E-2</c:v>
                </c:pt>
                <c:pt idx="623">
                  <c:v>3.0390626309439638E-2</c:v>
                </c:pt>
                <c:pt idx="624">
                  <c:v>3.0448754946172205E-2</c:v>
                </c:pt>
                <c:pt idx="625">
                  <c:v>3.050644376918784E-2</c:v>
                </c:pt>
                <c:pt idx="626">
                  <c:v>3.0563692777838179E-2</c:v>
                </c:pt>
                <c:pt idx="627">
                  <c:v>3.0620501971501866E-2</c:v>
                </c:pt>
                <c:pt idx="628">
                  <c:v>3.0676871349557547E-2</c:v>
                </c:pt>
                <c:pt idx="629">
                  <c:v>3.0732800911410882E-2</c:v>
                </c:pt>
                <c:pt idx="630">
                  <c:v>3.0793533540446616E-2</c:v>
                </c:pt>
                <c:pt idx="631">
                  <c:v>3.0843340584079119E-2</c:v>
                </c:pt>
                <c:pt idx="632">
                  <c:v>3.089795069367833E-2</c:v>
                </c:pt>
                <c:pt idx="633">
                  <c:v>3.095212098467082E-2</c:v>
                </c:pt>
                <c:pt idx="634">
                  <c:v>3.1005851456489267E-2</c:v>
                </c:pt>
                <c:pt idx="635">
                  <c:v>3.1059142108512315E-2</c:v>
                </c:pt>
                <c:pt idx="636">
                  <c:v>3.1111992940172643E-2</c:v>
                </c:pt>
                <c:pt idx="637">
                  <c:v>3.1164403950929939E-2</c:v>
                </c:pt>
                <c:pt idx="638">
                  <c:v>3.1216375140162848E-2</c:v>
                </c:pt>
                <c:pt idx="639">
                  <c:v>3.1272907398786354E-2</c:v>
                </c:pt>
                <c:pt idx="640">
                  <c:v>3.1318998051921287E-2</c:v>
                </c:pt>
                <c:pt idx="641">
                  <c:v>3.1369649773312178E-2</c:v>
                </c:pt>
                <c:pt idx="642">
                  <c:v>3.1419861670990423E-2</c:v>
                </c:pt>
                <c:pt idx="643">
                  <c:v>3.1469633744415734E-2</c:v>
                </c:pt>
                <c:pt idx="644">
                  <c:v>3.1518965993020773E-2</c:v>
                </c:pt>
                <c:pt idx="645">
                  <c:v>3.1567858416265235E-2</c:v>
                </c:pt>
                <c:pt idx="646">
                  <c:v>3.1616311013689856E-2</c:v>
                </c:pt>
                <c:pt idx="647">
                  <c:v>3.1664323784673286E-2</c:v>
                </c:pt>
                <c:pt idx="648">
                  <c:v>3.171189672875626E-2</c:v>
                </c:pt>
                <c:pt idx="649">
                  <c:v>3.1759029845425488E-2</c:v>
                </c:pt>
                <c:pt idx="650">
                  <c:v>3.1805723134113638E-2</c:v>
                </c:pt>
                <c:pt idx="651">
                  <c:v>3.1851976594361453E-2</c:v>
                </c:pt>
                <c:pt idx="652">
                  <c:v>3.1897790225682662E-2</c:v>
                </c:pt>
                <c:pt idx="653">
                  <c:v>3.1943164027536941E-2</c:v>
                </c:pt>
                <c:pt idx="654">
                  <c:v>3.1988097999438025E-2</c:v>
                </c:pt>
                <c:pt idx="655">
                  <c:v>3.2037156639061204E-2</c:v>
                </c:pt>
                <c:pt idx="656">
                  <c:v>3.2076646451516533E-2</c:v>
                </c:pt>
                <c:pt idx="657">
                  <c:v>3.21202609307214E-2</c:v>
                </c:pt>
                <c:pt idx="658">
                  <c:v>3.2163435578027963E-2</c:v>
                </c:pt>
                <c:pt idx="659">
                  <c:v>3.2206170393057995E-2</c:v>
                </c:pt>
                <c:pt idx="660">
                  <c:v>3.2248465375271193E-2</c:v>
                </c:pt>
                <c:pt idx="661">
                  <c:v>3.2290320524235305E-2</c:v>
                </c:pt>
                <c:pt idx="662">
                  <c:v>3.2331735839491081E-2</c:v>
                </c:pt>
                <c:pt idx="663">
                  <c:v>3.2372711320606262E-2</c:v>
                </c:pt>
                <c:pt idx="664">
                  <c:v>3.2413246967121598E-2</c:v>
                </c:pt>
                <c:pt idx="665">
                  <c:v>3.245334277860483E-2</c:v>
                </c:pt>
                <c:pt idx="666">
                  <c:v>3.2506967358972849E-2</c:v>
                </c:pt>
                <c:pt idx="667">
                  <c:v>3.2545988042994578E-2</c:v>
                </c:pt>
                <c:pt idx="668">
                  <c:v>3.2584568960657423E-2</c:v>
                </c:pt>
                <c:pt idx="669">
                  <c:v>3.2622710111880338E-2</c:v>
                </c:pt>
                <c:pt idx="670">
                  <c:v>3.2660412388982873E-2</c:v>
                </c:pt>
                <c:pt idx="671">
                  <c:v>3.2697823941729709E-2</c:v>
                </c:pt>
                <c:pt idx="672">
                  <c:v>3.2735058113668725E-2</c:v>
                </c:pt>
                <c:pt idx="673">
                  <c:v>3.2772114904718874E-2</c:v>
                </c:pt>
                <c:pt idx="674">
                  <c:v>3.2808994314799111E-2</c:v>
                </c:pt>
                <c:pt idx="675">
                  <c:v>3.2845696344071529E-2</c:v>
                </c:pt>
                <c:pt idx="676">
                  <c:v>3.2882220992211941E-2</c:v>
                </c:pt>
                <c:pt idx="677">
                  <c:v>3.2918568259301395E-2</c:v>
                </c:pt>
                <c:pt idx="678">
                  <c:v>3.2954738145258844E-2</c:v>
                </c:pt>
                <c:pt idx="679">
                  <c:v>3.2990730650003242E-2</c:v>
                </c:pt>
                <c:pt idx="680">
                  <c:v>3.3026545773534588E-2</c:v>
                </c:pt>
                <c:pt idx="681">
                  <c:v>3.3062183515771837E-2</c:v>
                </c:pt>
                <c:pt idx="682">
                  <c:v>3.3097643876714988E-2</c:v>
                </c:pt>
                <c:pt idx="683">
                  <c:v>3.3132926856282996E-2</c:v>
                </c:pt>
                <c:pt idx="684">
                  <c:v>3.3168032454313767E-2</c:v>
                </c:pt>
                <c:pt idx="685">
                  <c:v>3.3202960670969395E-2</c:v>
                </c:pt>
                <c:pt idx="686">
                  <c:v>3.323771150600674E-2</c:v>
                </c:pt>
                <c:pt idx="687">
                  <c:v>3.3272284959506848E-2</c:v>
                </c:pt>
                <c:pt idx="688">
                  <c:v>3.3306681031226582E-2</c:v>
                </c:pt>
                <c:pt idx="689">
                  <c:v>3.3340899721409079E-2</c:v>
                </c:pt>
                <c:pt idx="690">
                  <c:v>3.33749410298112E-2</c:v>
                </c:pt>
                <c:pt idx="691">
                  <c:v>3.3408804956351901E-2</c:v>
                </c:pt>
                <c:pt idx="692">
                  <c:v>3.3442491501112226E-2</c:v>
                </c:pt>
                <c:pt idx="693">
                  <c:v>3.3476000663930083E-2</c:v>
                </c:pt>
                <c:pt idx="694">
                  <c:v>3.3509332444886519E-2</c:v>
                </c:pt>
                <c:pt idx="695">
                  <c:v>3.3542486843819441E-2</c:v>
                </c:pt>
                <c:pt idx="696">
                  <c:v>3.3575463860647803E-2</c:v>
                </c:pt>
                <c:pt idx="697">
                  <c:v>3.360826349545265E-2</c:v>
                </c:pt>
                <c:pt idx="698">
                  <c:v>3.3640885748152938E-2</c:v>
                </c:pt>
                <c:pt idx="699">
                  <c:v>3.3673330618667618E-2</c:v>
                </c:pt>
                <c:pt idx="700">
                  <c:v>3.37055981068346E-2</c:v>
                </c:pt>
                <c:pt idx="701">
                  <c:v>3.3737688212897021E-2</c:v>
                </c:pt>
                <c:pt idx="702">
                  <c:v>3.3769600936530697E-2</c:v>
                </c:pt>
                <c:pt idx="703">
                  <c:v>3.3801336277816674E-2</c:v>
                </c:pt>
                <c:pt idx="704">
                  <c:v>3.3832894236673905E-2</c:v>
                </c:pt>
                <c:pt idx="705">
                  <c:v>3.3864274813102391E-2</c:v>
                </c:pt>
                <c:pt idx="706">
                  <c:v>3.3895478006940039E-2</c:v>
                </c:pt>
                <c:pt idx="707">
                  <c:v>3.3930921596895258E-2</c:v>
                </c:pt>
                <c:pt idx="708">
                  <c:v>3.3961744685296891E-2</c:v>
                </c:pt>
                <c:pt idx="709">
                  <c:v>3.3992390391107685E-2</c:v>
                </c:pt>
                <c:pt idx="710">
                  <c:v>3.4022858714084503E-2</c:v>
                </c:pt>
                <c:pt idx="711">
                  <c:v>3.4053149654389436E-2</c:v>
                </c:pt>
                <c:pt idx="712">
                  <c:v>3.4083263211941439E-2</c:v>
                </c:pt>
                <c:pt idx="713">
                  <c:v>3.4113199386578419E-2</c:v>
                </c:pt>
                <c:pt idx="714">
                  <c:v>3.4142958178462468E-2</c:v>
                </c:pt>
                <c:pt idx="715">
                  <c:v>3.4172539587350448E-2</c:v>
                </c:pt>
                <c:pt idx="716">
                  <c:v>3.4201943613242358E-2</c:v>
                </c:pt>
                <c:pt idx="717">
                  <c:v>3.4231170256219245E-2</c:v>
                </c:pt>
                <c:pt idx="718">
                  <c:v>3.4260219516119017E-2</c:v>
                </c:pt>
                <c:pt idx="719">
                  <c:v>3.4289091393022719E-2</c:v>
                </c:pt>
                <c:pt idx="720">
                  <c:v>3.4317785886687213E-2</c:v>
                </c:pt>
                <c:pt idx="721">
                  <c:v>3.4346302997193545E-2</c:v>
                </c:pt>
                <c:pt idx="722">
                  <c:v>3.4374642724541715E-2</c:v>
                </c:pt>
                <c:pt idx="723">
                  <c:v>3.4402805068650677E-2</c:v>
                </c:pt>
                <c:pt idx="724">
                  <c:v>3.4430790029439384E-2</c:v>
                </c:pt>
                <c:pt idx="725">
                  <c:v>3.4458597606907837E-2</c:v>
                </c:pt>
                <c:pt idx="726">
                  <c:v>3.4486227800893943E-2</c:v>
                </c:pt>
                <c:pt idx="727">
                  <c:v>3.451368061164084E-2</c:v>
                </c:pt>
                <c:pt idx="728">
                  <c:v>3.4540956038824344E-2</c:v>
                </c:pt>
                <c:pt idx="729">
                  <c:v>3.4568054082525501E-2</c:v>
                </c:pt>
                <c:pt idx="730">
                  <c:v>3.4594974742744311E-2</c:v>
                </c:pt>
                <c:pt idx="731">
                  <c:v>3.4621718019318681E-2</c:v>
                </c:pt>
                <c:pt idx="732">
                  <c:v>3.4648283912410704E-2</c:v>
                </c:pt>
                <c:pt idx="733">
                  <c:v>3.4674672421696195E-2</c:v>
                </c:pt>
                <c:pt idx="734">
                  <c:v>3.4700883547418293E-2</c:v>
                </c:pt>
                <c:pt idx="735">
                  <c:v>3.4726917289333858E-2</c:v>
                </c:pt>
                <c:pt idx="736">
                  <c:v>3.4752773647442892E-2</c:v>
                </c:pt>
                <c:pt idx="737">
                  <c:v>3.4778452621907485E-2</c:v>
                </c:pt>
                <c:pt idx="738">
                  <c:v>3.4803954212403454E-2</c:v>
                </c:pt>
                <c:pt idx="739">
                  <c:v>3.4829278419092891E-2</c:v>
                </c:pt>
                <c:pt idx="740">
                  <c:v>3.4854425241813702E-2</c:v>
                </c:pt>
                <c:pt idx="741">
                  <c:v>3.4879394680565889E-2</c:v>
                </c:pt>
                <c:pt idx="742">
                  <c:v>3.4904186735430498E-2</c:v>
                </c:pt>
                <c:pt idx="743">
                  <c:v>3.4928801406164389E-2</c:v>
                </c:pt>
                <c:pt idx="744">
                  <c:v>3.4953238692929656E-2</c:v>
                </c:pt>
                <c:pt idx="745">
                  <c:v>3.4977498595483159E-2</c:v>
                </c:pt>
                <c:pt idx="746">
                  <c:v>3.5001581114068037E-2</c:v>
                </c:pt>
                <c:pt idx="747">
                  <c:v>3.5025486248360105E-2</c:v>
                </c:pt>
                <c:pt idx="748">
                  <c:v>3.5049213998521456E-2</c:v>
                </c:pt>
                <c:pt idx="749">
                  <c:v>3.5072764364389997E-2</c:v>
                </c:pt>
                <c:pt idx="750">
                  <c:v>3.5096137346046774E-2</c:v>
                </c:pt>
                <c:pt idx="751">
                  <c:v>3.5119332943410742E-2</c:v>
                </c:pt>
                <c:pt idx="752">
                  <c:v>3.5142351156400853E-2</c:v>
                </c:pt>
                <c:pt idx="753">
                  <c:v>3.5165191985017108E-2</c:v>
                </c:pt>
                <c:pt idx="754">
                  <c:v>3.5187855429178461E-2</c:v>
                </c:pt>
                <c:pt idx="755">
                  <c:v>3.5210341489047003E-2</c:v>
                </c:pt>
                <c:pt idx="756">
                  <c:v>3.5232650164298551E-2</c:v>
                </c:pt>
                <c:pt idx="757">
                  <c:v>3.5254781455176243E-2</c:v>
                </c:pt>
                <c:pt idx="758">
                  <c:v>3.5276735361436939E-2</c:v>
                </c:pt>
                <c:pt idx="759">
                  <c:v>3.5301608334448176E-2</c:v>
                </c:pt>
                <c:pt idx="760">
                  <c:v>3.5323182130896358E-2</c:v>
                </c:pt>
                <c:pt idx="761">
                  <c:v>3.5344578542727545E-2</c:v>
                </c:pt>
                <c:pt idx="762">
                  <c:v>3.5365797569860691E-2</c:v>
                </c:pt>
                <c:pt idx="763">
                  <c:v>3.5386839212295795E-2</c:v>
                </c:pt>
                <c:pt idx="764">
                  <c:v>3.5407703470113905E-2</c:v>
                </c:pt>
                <c:pt idx="765">
                  <c:v>3.5428390343071881E-2</c:v>
                </c:pt>
                <c:pt idx="766">
                  <c:v>3.5448899831250769E-2</c:v>
                </c:pt>
                <c:pt idx="767">
                  <c:v>3.5469231934650569E-2</c:v>
                </c:pt>
                <c:pt idx="768">
                  <c:v>3.5489386653190236E-2</c:v>
                </c:pt>
                <c:pt idx="769">
                  <c:v>3.5509363986788722E-2</c:v>
                </c:pt>
                <c:pt idx="770">
                  <c:v>3.554170455522998E-2</c:v>
                </c:pt>
                <c:pt idx="771">
                  <c:v>3.5548786499405294E-2</c:v>
                </c:pt>
                <c:pt idx="772">
                  <c:v>3.5568231678261286E-2</c:v>
                </c:pt>
                <c:pt idx="773">
                  <c:v>3.5587499472095052E-2</c:v>
                </c:pt>
                <c:pt idx="774">
                  <c:v>3.5606590611781952E-2</c:v>
                </c:pt>
                <c:pt idx="775">
                  <c:v>3.5625626415256573E-2</c:v>
                </c:pt>
                <c:pt idx="776">
                  <c:v>3.5644699698097471E-2</c:v>
                </c:pt>
                <c:pt idx="777">
                  <c:v>3.5663810460304646E-2</c:v>
                </c:pt>
                <c:pt idx="778">
                  <c:v>3.5682958701797052E-2</c:v>
                </c:pt>
                <c:pt idx="779">
                  <c:v>3.5702144422736781E-2</c:v>
                </c:pt>
                <c:pt idx="780">
                  <c:v>3.5721367623042788E-2</c:v>
                </c:pt>
                <c:pt idx="781">
                  <c:v>3.5740628302715072E-2</c:v>
                </c:pt>
                <c:pt idx="782">
                  <c:v>3.5759926461834679E-2</c:v>
                </c:pt>
                <c:pt idx="783">
                  <c:v>3.5779262100320564E-2</c:v>
                </c:pt>
                <c:pt idx="784">
                  <c:v>3.5798635218172725E-2</c:v>
                </c:pt>
                <c:pt idx="785">
                  <c:v>3.581804581547221E-2</c:v>
                </c:pt>
                <c:pt idx="786">
                  <c:v>3.5837493892219019E-2</c:v>
                </c:pt>
                <c:pt idx="787">
                  <c:v>3.5856979448332105E-2</c:v>
                </c:pt>
                <c:pt idx="788">
                  <c:v>3.5876502483892514E-2</c:v>
                </c:pt>
                <c:pt idx="789">
                  <c:v>3.5896062998900247E-2</c:v>
                </c:pt>
                <c:pt idx="790">
                  <c:v>3.5915660993355303E-2</c:v>
                </c:pt>
                <c:pt idx="791">
                  <c:v>3.5935296467257682E-2</c:v>
                </c:pt>
                <c:pt idx="792">
                  <c:v>3.5954969420607386E-2</c:v>
                </c:pt>
                <c:pt idx="793">
                  <c:v>3.5974679853404412E-2</c:v>
                </c:pt>
                <c:pt idx="794">
                  <c:v>3.5994427765729808E-2</c:v>
                </c:pt>
                <c:pt idx="795">
                  <c:v>3.6014213157421482E-2</c:v>
                </c:pt>
                <c:pt idx="796">
                  <c:v>3.6034036028722571E-2</c:v>
                </c:pt>
                <c:pt idx="797">
                  <c:v>3.6053896379308892E-2</c:v>
                </c:pt>
                <c:pt idx="798">
                  <c:v>3.6073794209504628E-2</c:v>
                </c:pt>
                <c:pt idx="799">
                  <c:v>3.6093729519228734E-2</c:v>
                </c:pt>
                <c:pt idx="800">
                  <c:v>3.6113702308400164E-2</c:v>
                </c:pt>
                <c:pt idx="801">
                  <c:v>3.6133712577099963E-2</c:v>
                </c:pt>
                <c:pt idx="802">
                  <c:v>3.6153760325328133E-2</c:v>
                </c:pt>
                <c:pt idx="803">
                  <c:v>3.6173845553003625E-2</c:v>
                </c:pt>
                <c:pt idx="804">
                  <c:v>3.6193968260288534E-2</c:v>
                </c:pt>
                <c:pt idx="805">
                  <c:v>3.6214128447101812E-2</c:v>
                </c:pt>
                <c:pt idx="806">
                  <c:v>3.623432611344346E-2</c:v>
                </c:pt>
                <c:pt idx="807">
                  <c:v>3.6254561259313478E-2</c:v>
                </c:pt>
                <c:pt idx="808">
                  <c:v>3.6274833884711866E-2</c:v>
                </c:pt>
                <c:pt idx="809">
                  <c:v>3.6295143989719669E-2</c:v>
                </c:pt>
                <c:pt idx="810">
                  <c:v>3.6315491574255843E-2</c:v>
                </c:pt>
                <c:pt idx="811">
                  <c:v>3.63453266117253E-2</c:v>
                </c:pt>
                <c:pt idx="812">
                  <c:v>3.6365763934134529E-2</c:v>
                </c:pt>
                <c:pt idx="813">
                  <c:v>3.6386238745905748E-2</c:v>
                </c:pt>
                <c:pt idx="814">
                  <c:v>3.640675104703895E-2</c:v>
                </c:pt>
                <c:pt idx="815">
                  <c:v>3.6427300837561148E-2</c:v>
                </c:pt>
                <c:pt idx="816">
                  <c:v>3.6447888117445336E-2</c:v>
                </c:pt>
                <c:pt idx="817">
                  <c:v>3.646851288677256E-2</c:v>
                </c:pt>
                <c:pt idx="818">
                  <c:v>3.6489175145569826E-2</c:v>
                </c:pt>
                <c:pt idx="819">
                  <c:v>3.6509874893810121E-2</c:v>
                </c:pt>
                <c:pt idx="820">
                  <c:v>3.6530612131493452E-2</c:v>
                </c:pt>
                <c:pt idx="821">
                  <c:v>3.6556640075601221E-2</c:v>
                </c:pt>
                <c:pt idx="822">
                  <c:v>3.6577464186576814E-2</c:v>
                </c:pt>
                <c:pt idx="823">
                  <c:v>3.6601309063931664E-2</c:v>
                </c:pt>
                <c:pt idx="824">
                  <c:v>3.6622213488448629E-2</c:v>
                </c:pt>
                <c:pt idx="825">
                  <c:v>3.6643155392656057E-2</c:v>
                </c:pt>
                <c:pt idx="826">
                  <c:v>3.6664134776553947E-2</c:v>
                </c:pt>
                <c:pt idx="827">
                  <c:v>3.6685151640061253E-2</c:v>
                </c:pt>
                <c:pt idx="828">
                  <c:v>3.6706205983259022E-2</c:v>
                </c:pt>
                <c:pt idx="829">
                  <c:v>3.6727297806228298E-2</c:v>
                </c:pt>
                <c:pt idx="830">
                  <c:v>3.6748427108888038E-2</c:v>
                </c:pt>
                <c:pt idx="831">
                  <c:v>3.6769593891157193E-2</c:v>
                </c:pt>
                <c:pt idx="832">
                  <c:v>3.679079815311681E-2</c:v>
                </c:pt>
                <c:pt idx="833">
                  <c:v>3.6812039894928983E-2</c:v>
                </c:pt>
                <c:pt idx="834">
                  <c:v>3.6833319116350571E-2</c:v>
                </c:pt>
                <c:pt idx="835">
                  <c:v>3.6854635817543668E-2</c:v>
                </c:pt>
                <c:pt idx="836">
                  <c:v>3.6875989998508274E-2</c:v>
                </c:pt>
                <c:pt idx="837">
                  <c:v>3.6897381659163342E-2</c:v>
                </c:pt>
                <c:pt idx="838">
                  <c:v>3.6918810799589918E-2</c:v>
                </c:pt>
                <c:pt idx="839">
                  <c:v>3.6940277419706957E-2</c:v>
                </c:pt>
                <c:pt idx="840">
                  <c:v>3.6961781519676551E-2</c:v>
                </c:pt>
                <c:pt idx="841">
                  <c:v>3.6983323099417653E-2</c:v>
                </c:pt>
                <c:pt idx="842">
                  <c:v>3.7004902158930264E-2</c:v>
                </c:pt>
                <c:pt idx="843">
                  <c:v>3.7026518698214383E-2</c:v>
                </c:pt>
                <c:pt idx="844">
                  <c:v>3.7048172717188965E-2</c:v>
                </c:pt>
                <c:pt idx="845">
                  <c:v>3.7069864216016102E-2</c:v>
                </c:pt>
                <c:pt idx="846">
                  <c:v>3.7091593194695793E-2</c:v>
                </c:pt>
                <c:pt idx="847">
                  <c:v>3.7113359653146993E-2</c:v>
                </c:pt>
                <c:pt idx="848">
                  <c:v>3.7135163591450748E-2</c:v>
                </c:pt>
                <c:pt idx="849">
                  <c:v>3.7157005009607058E-2</c:v>
                </c:pt>
                <c:pt idx="850">
                  <c:v>3.7178883907534876E-2</c:v>
                </c:pt>
                <c:pt idx="851">
                  <c:v>3.7200800285234203E-2</c:v>
                </c:pt>
                <c:pt idx="852">
                  <c:v>3.7222754142867132E-2</c:v>
                </c:pt>
                <c:pt idx="853">
                  <c:v>3.7244745480352615E-2</c:v>
                </c:pt>
                <c:pt idx="854">
                  <c:v>3.7266774297609606E-2</c:v>
                </c:pt>
                <c:pt idx="855">
                  <c:v>3.7288840594800199E-2</c:v>
                </c:pt>
                <c:pt idx="856">
                  <c:v>3.7310944371843346E-2</c:v>
                </c:pt>
                <c:pt idx="857">
                  <c:v>3.7333085628820095E-2</c:v>
                </c:pt>
                <c:pt idx="858">
                  <c:v>3.7355264365649399E-2</c:v>
                </c:pt>
                <c:pt idx="859">
                  <c:v>3.7377480582331257E-2</c:v>
                </c:pt>
                <c:pt idx="860">
                  <c:v>3.7399734278946717E-2</c:v>
                </c:pt>
                <c:pt idx="861">
                  <c:v>3.7422025455414731E-2</c:v>
                </c:pt>
                <c:pt idx="862">
                  <c:v>3.7444354111816347E-2</c:v>
                </c:pt>
                <c:pt idx="863">
                  <c:v>3.7466720248151564E-2</c:v>
                </c:pt>
                <c:pt idx="864">
                  <c:v>3.7489123864420382E-2</c:v>
                </c:pt>
                <c:pt idx="865">
                  <c:v>3.7511564960541754E-2</c:v>
                </c:pt>
                <c:pt idx="866">
                  <c:v>3.7534043536677775E-2</c:v>
                </c:pt>
                <c:pt idx="867">
                  <c:v>3.7556559592828442E-2</c:v>
                </c:pt>
                <c:pt idx="868">
                  <c:v>3.7579113128831665E-2</c:v>
                </c:pt>
                <c:pt idx="869">
                  <c:v>3.7601704144768489E-2</c:v>
                </c:pt>
                <c:pt idx="870">
                  <c:v>3.7624332640801006E-2</c:v>
                </c:pt>
                <c:pt idx="871">
                  <c:v>3.7646998616686078E-2</c:v>
                </c:pt>
                <c:pt idx="872">
                  <c:v>3.7669702072585798E-2</c:v>
                </c:pt>
                <c:pt idx="873">
                  <c:v>3.7692443008419119E-2</c:v>
                </c:pt>
                <c:pt idx="874">
                  <c:v>3.7715221424267087E-2</c:v>
                </c:pt>
                <c:pt idx="875">
                  <c:v>3.7741619628876011E-2</c:v>
                </c:pt>
                <c:pt idx="876">
                  <c:v>3.7760890696088012E-2</c:v>
                </c:pt>
                <c:pt idx="877">
                  <c:v>3.7783781551979922E-2</c:v>
                </c:pt>
                <c:pt idx="878">
                  <c:v>3.780670988788648E-2</c:v>
                </c:pt>
                <c:pt idx="879">
                  <c:v>3.7829675703888732E-2</c:v>
                </c:pt>
                <c:pt idx="880">
                  <c:v>3.7852678999905631E-2</c:v>
                </c:pt>
                <c:pt idx="881">
                  <c:v>3.7875719775937178E-2</c:v>
                </c:pt>
                <c:pt idx="882">
                  <c:v>3.7898798032064418E-2</c:v>
                </c:pt>
                <c:pt idx="883">
                  <c:v>3.7921913768125259E-2</c:v>
                </c:pt>
                <c:pt idx="884">
                  <c:v>3.7945066984362841E-2</c:v>
                </c:pt>
                <c:pt idx="885">
                  <c:v>3.796825768061507E-2</c:v>
                </c:pt>
                <c:pt idx="886">
                  <c:v>3.7991485856962992E-2</c:v>
                </c:pt>
                <c:pt idx="887">
                  <c:v>3.8014751513406608E-2</c:v>
                </c:pt>
                <c:pt idx="888">
                  <c:v>3.8038054649945918E-2</c:v>
                </c:pt>
                <c:pt idx="889">
                  <c:v>3.8061395266661968E-2</c:v>
                </c:pt>
                <c:pt idx="890">
                  <c:v>3.8084773363473712E-2</c:v>
                </c:pt>
                <c:pt idx="891">
                  <c:v>3.8108188940300103E-2</c:v>
                </c:pt>
                <c:pt idx="892">
                  <c:v>3.8131641997303234E-2</c:v>
                </c:pt>
                <c:pt idx="893">
                  <c:v>3.8155132534321012E-2</c:v>
                </c:pt>
                <c:pt idx="894">
                  <c:v>3.8178660551596577E-2</c:v>
                </c:pt>
                <c:pt idx="895">
                  <c:v>3.8202226049048882E-2</c:v>
                </c:pt>
                <c:pt idx="896">
                  <c:v>3.822582902659688E-2</c:v>
                </c:pt>
                <c:pt idx="897">
                  <c:v>3.8249469484321619E-2</c:v>
                </c:pt>
                <c:pt idx="898">
                  <c:v>3.8273147422223097E-2</c:v>
                </c:pt>
                <c:pt idx="899">
                  <c:v>3.8296862840220269E-2</c:v>
                </c:pt>
                <c:pt idx="900">
                  <c:v>3.8320615738475228E-2</c:v>
                </c:pt>
                <c:pt idx="901">
                  <c:v>3.834440611682588E-2</c:v>
                </c:pt>
                <c:pt idx="902">
                  <c:v>3.8368233975515365E-2</c:v>
                </c:pt>
                <c:pt idx="903">
                  <c:v>3.8392099314300543E-2</c:v>
                </c:pt>
                <c:pt idx="904">
                  <c:v>3.8416002133343508E-2</c:v>
                </c:pt>
                <c:pt idx="905">
                  <c:v>3.8439942432482166E-2</c:v>
                </c:pt>
                <c:pt idx="906">
                  <c:v>3.8463920212040703E-2</c:v>
                </c:pt>
                <c:pt idx="907">
                  <c:v>3.8487935471694934E-2</c:v>
                </c:pt>
                <c:pt idx="908">
                  <c:v>3.8511988211687997E-2</c:v>
                </c:pt>
                <c:pt idx="909">
                  <c:v>3.8536078431857801E-2</c:v>
                </c:pt>
                <c:pt idx="910">
                  <c:v>3.8574634304842099E-2</c:v>
                </c:pt>
                <c:pt idx="911">
                  <c:v>3.8598820660975537E-2</c:v>
                </c:pt>
                <c:pt idx="912">
                  <c:v>3.8623044508524128E-2</c:v>
                </c:pt>
                <c:pt idx="913">
                  <c:v>3.8647305847514898E-2</c:v>
                </c:pt>
                <c:pt idx="914">
                  <c:v>3.8675390626375372E-2</c:v>
                </c:pt>
                <c:pt idx="915">
                  <c:v>3.8695940999849972E-2</c:v>
                </c:pt>
                <c:pt idx="916">
                  <c:v>3.8720314813248301E-2</c:v>
                </c:pt>
                <c:pt idx="917">
                  <c:v>3.8744726118169856E-2</c:v>
                </c:pt>
                <c:pt idx="918">
                  <c:v>3.8769174914641644E-2</c:v>
                </c:pt>
                <c:pt idx="919">
                  <c:v>3.8793661202690684E-2</c:v>
                </c:pt>
                <c:pt idx="920">
                  <c:v>3.8818184982289956E-2</c:v>
                </c:pt>
                <c:pt idx="921">
                  <c:v>3.8842746253520508E-2</c:v>
                </c:pt>
                <c:pt idx="922">
                  <c:v>3.8867345016382344E-2</c:v>
                </c:pt>
                <c:pt idx="923">
                  <c:v>3.8891981270902473E-2</c:v>
                </c:pt>
                <c:pt idx="924">
                  <c:v>3.8916655017107914E-2</c:v>
                </c:pt>
                <c:pt idx="925">
                  <c:v>3.8941366255025686E-2</c:v>
                </c:pt>
                <c:pt idx="926">
                  <c:v>3.897257139313659E-2</c:v>
                </c:pt>
                <c:pt idx="927">
                  <c:v>3.899736838501644E-2</c:v>
                </c:pt>
                <c:pt idx="928">
                  <c:v>3.9022202857397215E-2</c:v>
                </c:pt>
                <c:pt idx="929">
                  <c:v>3.9047069909005083E-2</c:v>
                </c:pt>
                <c:pt idx="930">
                  <c:v>3.9071832307009391E-2</c:v>
                </c:pt>
                <c:pt idx="931">
                  <c:v>3.9096426336066026E-2</c:v>
                </c:pt>
                <c:pt idx="932">
                  <c:v>3.9120851996256034E-2</c:v>
                </c:pt>
                <c:pt idx="933">
                  <c:v>3.9145109287417323E-2</c:v>
                </c:pt>
                <c:pt idx="934">
                  <c:v>3.9169198209711986E-2</c:v>
                </c:pt>
                <c:pt idx="935">
                  <c:v>3.9193118763058976E-2</c:v>
                </c:pt>
                <c:pt idx="936">
                  <c:v>3.9216870947215154E-2</c:v>
                </c:pt>
                <c:pt idx="937">
                  <c:v>3.924045476242366E-2</c:v>
                </c:pt>
                <c:pt idx="938">
                  <c:v>3.9263870208360308E-2</c:v>
                </c:pt>
                <c:pt idx="939">
                  <c:v>3.9287117285349282E-2</c:v>
                </c:pt>
                <c:pt idx="940">
                  <c:v>3.9310195992985353E-2</c:v>
                </c:pt>
                <c:pt idx="941">
                  <c:v>3.9333106331430612E-2</c:v>
                </c:pt>
                <c:pt idx="942">
                  <c:v>3.9355848300766105E-2</c:v>
                </c:pt>
                <c:pt idx="943">
                  <c:v>3.9378421900748695E-2</c:v>
                </c:pt>
                <c:pt idx="944">
                  <c:v>3.940082713137838E-2</c:v>
                </c:pt>
                <c:pt idx="945">
                  <c:v>3.9423063992817253E-2</c:v>
                </c:pt>
                <c:pt idx="946">
                  <c:v>3.9445132484822176E-2</c:v>
                </c:pt>
                <c:pt idx="947">
                  <c:v>3.9467032607393149E-2</c:v>
                </c:pt>
                <c:pt idx="948">
                  <c:v>3.9488764360611217E-2</c:v>
                </c:pt>
                <c:pt idx="949">
                  <c:v>3.9510327744395335E-2</c:v>
                </c:pt>
                <c:pt idx="950">
                  <c:v>3.953172275858341E-2</c:v>
                </c:pt>
                <c:pt idx="951">
                  <c:v>3.9552949403256488E-2</c:v>
                </c:pt>
                <c:pt idx="952">
                  <c:v>3.9574007678495615E-2</c:v>
                </c:pt>
                <c:pt idx="953">
                  <c:v>3.9594897584057653E-2</c:v>
                </c:pt>
                <c:pt idx="954">
                  <c:v>3.9615619120104695E-2</c:v>
                </c:pt>
                <c:pt idx="955">
                  <c:v>3.9636172286474647E-2</c:v>
                </c:pt>
                <c:pt idx="956">
                  <c:v>3.9656557083248556E-2</c:v>
                </c:pt>
                <c:pt idx="957">
                  <c:v>3.9676773510345376E-2</c:v>
                </c:pt>
                <c:pt idx="958">
                  <c:v>3.969682156768406E-2</c:v>
                </c:pt>
                <c:pt idx="959">
                  <c:v>3.9716701255264608E-2</c:v>
                </c:pt>
                <c:pt idx="960">
                  <c:v>3.9736412573087021E-2</c:v>
                </c:pt>
                <c:pt idx="961">
                  <c:v>3.9755955521070252E-2</c:v>
                </c:pt>
                <c:pt idx="962">
                  <c:v>3.9775330099295347E-2</c:v>
                </c:pt>
                <c:pt idx="963">
                  <c:v>3.9794536307600215E-2</c:v>
                </c:pt>
                <c:pt idx="964">
                  <c:v>3.9813574146146946E-2</c:v>
                </c:pt>
                <c:pt idx="965">
                  <c:v>3.983244361477345E-2</c:v>
                </c:pt>
                <c:pt idx="966">
                  <c:v>3.9851144713398678E-2</c:v>
                </c:pt>
                <c:pt idx="967">
                  <c:v>3.9869677442103679E-2</c:v>
                </c:pt>
                <c:pt idx="968">
                  <c:v>3.9888041800807406E-2</c:v>
                </c:pt>
                <c:pt idx="969">
                  <c:v>3.9906237789509857E-2</c:v>
                </c:pt>
                <c:pt idx="970">
                  <c:v>3.9924265408129989E-2</c:v>
                </c:pt>
                <c:pt idx="971">
                  <c:v>3.9942124656829892E-2</c:v>
                </c:pt>
                <c:pt idx="972">
                  <c:v>3.9959815535366427E-2</c:v>
                </c:pt>
                <c:pt idx="973">
                  <c:v>3.9977338043820643E-2</c:v>
                </c:pt>
                <c:pt idx="974">
                  <c:v>3.9994692182111491E-2</c:v>
                </c:pt>
                <c:pt idx="975">
                  <c:v>4.0011877950320018E-2</c:v>
                </c:pt>
                <c:pt idx="976">
                  <c:v>4.0028895348203086E-2</c:v>
                </c:pt>
                <c:pt idx="977">
                  <c:v>4.0045744376003833E-2</c:v>
                </c:pt>
                <c:pt idx="978">
                  <c:v>4.0062425033560167E-2</c:v>
                </c:pt>
                <c:pt idx="979">
                  <c:v>4.0078937320872088E-2</c:v>
                </c:pt>
                <c:pt idx="980">
                  <c:v>4.0095281237858549E-2</c:v>
                </c:pt>
                <c:pt idx="981">
                  <c:v>4.0111456784681643E-2</c:v>
                </c:pt>
                <c:pt idx="982">
                  <c:v>4.0127463961098231E-2</c:v>
                </c:pt>
                <c:pt idx="983">
                  <c:v>4.0143302767108313E-2</c:v>
                </c:pt>
                <c:pt idx="984">
                  <c:v>4.0158973202873982E-2</c:v>
                </c:pt>
                <c:pt idx="985">
                  <c:v>4.0174475268314191E-2</c:v>
                </c:pt>
                <c:pt idx="986">
                  <c:v>4.0189808963266849E-2</c:v>
                </c:pt>
                <c:pt idx="987">
                  <c:v>4.0204974287731954E-2</c:v>
                </c:pt>
                <c:pt idx="988">
                  <c:v>4.0219971241790553E-2</c:v>
                </c:pt>
                <c:pt idx="989">
                  <c:v>4.0234799825442646E-2</c:v>
                </c:pt>
                <c:pt idx="990">
                  <c:v>4.0249460038526141E-2</c:v>
                </c:pt>
                <c:pt idx="991">
                  <c:v>4.0263951881203131E-2</c:v>
                </c:pt>
                <c:pt idx="992">
                  <c:v>4.0278275353230475E-2</c:v>
                </c:pt>
                <c:pt idx="993">
                  <c:v>4.0292430454851313E-2</c:v>
                </c:pt>
                <c:pt idx="994">
                  <c:v>4.0306417185903554E-2</c:v>
                </c:pt>
                <c:pt idx="995">
                  <c:v>4.0320235546306149E-2</c:v>
                </c:pt>
                <c:pt idx="996">
                  <c:v>4.03338855360591E-2</c:v>
                </c:pt>
                <c:pt idx="997">
                  <c:v>4.0347367155162406E-2</c:v>
                </c:pt>
                <c:pt idx="998">
                  <c:v>4.0360680403697113E-2</c:v>
                </c:pt>
                <c:pt idx="999">
                  <c:v>4.0373825281663223E-2</c:v>
                </c:pt>
                <c:pt idx="1000">
                  <c:v>4.0386801788817595E-2</c:v>
                </c:pt>
                <c:pt idx="1001">
                  <c:v>4.0399609925322322E-2</c:v>
                </c:pt>
                <c:pt idx="1002">
                  <c:v>4.0412249691096358E-2</c:v>
                </c:pt>
                <c:pt idx="1003">
                  <c:v>4.042472108622075E-2</c:v>
                </c:pt>
                <c:pt idx="1004">
                  <c:v>4.0437024110533404E-2</c:v>
                </c:pt>
                <c:pt idx="1005">
                  <c:v>4.0449158764115367E-2</c:v>
                </c:pt>
                <c:pt idx="1006">
                  <c:v>4.0461125046804547E-2</c:v>
                </c:pt>
                <c:pt idx="1007">
                  <c:v>4.0472922958763036E-2</c:v>
                </c:pt>
                <c:pt idx="1008">
                  <c:v>4.0484552499909787E-2</c:v>
                </c:pt>
                <c:pt idx="1009">
                  <c:v>4.0496013670244801E-2</c:v>
                </c:pt>
                <c:pt idx="1010">
                  <c:v>4.0507306469687032E-2</c:v>
                </c:pt>
                <c:pt idx="1011">
                  <c:v>4.0518430898236479E-2</c:v>
                </c:pt>
                <c:pt idx="1012">
                  <c:v>4.0529386956055236E-2</c:v>
                </c:pt>
                <c:pt idx="1013">
                  <c:v>4.0540174642900162E-2</c:v>
                </c:pt>
                <c:pt idx="1014">
                  <c:v>4.0550793958852305E-2</c:v>
                </c:pt>
                <c:pt idx="1015">
                  <c:v>4.0561244903830618E-2</c:v>
                </c:pt>
                <c:pt idx="1016">
                  <c:v>4.0571527477835101E-2</c:v>
                </c:pt>
                <c:pt idx="1017">
                  <c:v>4.0581641680946801E-2</c:v>
                </c:pt>
                <c:pt idx="1018">
                  <c:v>4.0592994601735821E-2</c:v>
                </c:pt>
                <c:pt idx="1019">
                  <c:v>4.0602748009984646E-2</c:v>
                </c:pt>
                <c:pt idx="1020">
                  <c:v>4.0612333047178595E-2</c:v>
                </c:pt>
                <c:pt idx="1021">
                  <c:v>4.0621749713317667E-2</c:v>
                </c:pt>
                <c:pt idx="1022">
                  <c:v>4.0630998008401864E-2</c:v>
                </c:pt>
                <c:pt idx="1023">
                  <c:v>4.0640077932593277E-2</c:v>
                </c:pt>
                <c:pt idx="1024">
                  <c:v>4.0648989485567721E-2</c:v>
                </c:pt>
                <c:pt idx="1025">
                  <c:v>4.0657732667649382E-2</c:v>
                </c:pt>
                <c:pt idx="1026">
                  <c:v>4.0666307478595121E-2</c:v>
                </c:pt>
                <c:pt idx="1027">
                  <c:v>4.0674713918404937E-2</c:v>
                </c:pt>
                <c:pt idx="1028">
                  <c:v>4.0682951987240923E-2</c:v>
                </c:pt>
                <c:pt idx="1029">
                  <c:v>4.069102168485994E-2</c:v>
                </c:pt>
                <c:pt idx="1030">
                  <c:v>4.0698923011424082E-2</c:v>
                </c:pt>
                <c:pt idx="1031">
                  <c:v>4.0706655966771255E-2</c:v>
                </c:pt>
                <c:pt idx="1032">
                  <c:v>4.0714220551063551E-2</c:v>
                </c:pt>
                <c:pt idx="1033">
                  <c:v>4.0721616814387573E-2</c:v>
                </c:pt>
                <c:pt idx="1034">
                  <c:v>4.0728853079385896E-2</c:v>
                </c:pt>
                <c:pt idx="1035">
                  <c:v>4.0735935713621663E-2</c:v>
                </c:pt>
                <c:pt idx="1036">
                  <c:v>4.0742864716932781E-2</c:v>
                </c:pt>
                <c:pt idx="1037">
                  <c:v>4.0749640089481343E-2</c:v>
                </c:pt>
                <c:pt idx="1038">
                  <c:v>4.0756261831186302E-2</c:v>
                </c:pt>
                <c:pt idx="1039">
                  <c:v>4.0762729941966613E-2</c:v>
                </c:pt>
                <c:pt idx="1040">
                  <c:v>4.0769044421822276E-2</c:v>
                </c:pt>
                <c:pt idx="1041">
                  <c:v>4.0775205270996429E-2</c:v>
                </c:pt>
                <c:pt idx="1042">
                  <c:v>4.0781212489164886E-2</c:v>
                </c:pt>
                <c:pt idx="1043">
                  <c:v>4.0787066076489742E-2</c:v>
                </c:pt>
                <c:pt idx="1044">
                  <c:v>4.0792766032889949E-2</c:v>
                </c:pt>
                <c:pt idx="1045">
                  <c:v>4.0798312358365507E-2</c:v>
                </c:pt>
                <c:pt idx="1046">
                  <c:v>4.0803705052916417E-2</c:v>
                </c:pt>
                <c:pt idx="1047">
                  <c:v>4.0808944116623724E-2</c:v>
                </c:pt>
                <c:pt idx="1048">
                  <c:v>4.0814029549325337E-2</c:v>
                </c:pt>
                <c:pt idx="1049">
                  <c:v>4.0818961351183347E-2</c:v>
                </c:pt>
                <c:pt idx="1050">
                  <c:v>4.0823739521954616E-2</c:v>
                </c:pt>
                <c:pt idx="1051">
                  <c:v>4.0828364061882283E-2</c:v>
                </c:pt>
                <c:pt idx="1052">
                  <c:v>4.0832834970804255E-2</c:v>
                </c:pt>
                <c:pt idx="1053">
                  <c:v>4.0837152248882624E-2</c:v>
                </c:pt>
                <c:pt idx="1054">
                  <c:v>4.0841315895955299E-2</c:v>
                </c:pt>
                <c:pt idx="1055">
                  <c:v>4.0845325912022279E-2</c:v>
                </c:pt>
                <c:pt idx="1056">
                  <c:v>4.084918229716461E-2</c:v>
                </c:pt>
                <c:pt idx="1057">
                  <c:v>4.0852885051301246E-2</c:v>
                </c:pt>
                <c:pt idx="1058">
                  <c:v>4.0856434174432188E-2</c:v>
                </c:pt>
                <c:pt idx="1059">
                  <c:v>4.0859829666557435E-2</c:v>
                </c:pt>
                <c:pt idx="1060">
                  <c:v>4.0863071527758033E-2</c:v>
                </c:pt>
                <c:pt idx="1061">
                  <c:v>4.0866159757871889E-2</c:v>
                </c:pt>
                <c:pt idx="1062">
                  <c:v>4.0869094357142144E-2</c:v>
                </c:pt>
                <c:pt idx="1063">
                  <c:v>4.0871875325325657E-2</c:v>
                </c:pt>
                <c:pt idx="1064">
                  <c:v>4.0874502662503476E-2</c:v>
                </c:pt>
                <c:pt idx="1065">
                  <c:v>4.0876976368675599E-2</c:v>
                </c:pt>
                <c:pt idx="1066">
                  <c:v>4.0879296443842028E-2</c:v>
                </c:pt>
                <c:pt idx="1067">
                  <c:v>4.0881462888002762E-2</c:v>
                </c:pt>
                <c:pt idx="1068">
                  <c:v>4.0883475701076755E-2</c:v>
                </c:pt>
                <c:pt idx="1069">
                  <c:v>4.0885334883145052E-2</c:v>
                </c:pt>
                <c:pt idx="1070">
                  <c:v>4.0887271543107451E-2</c:v>
                </c:pt>
                <c:pt idx="1071">
                  <c:v>4.0888801515831519E-2</c:v>
                </c:pt>
                <c:pt idx="1072">
                  <c:v>4.0890177857549892E-2</c:v>
                </c:pt>
                <c:pt idx="1073">
                  <c:v>4.089140056826257E-2</c:v>
                </c:pt>
                <c:pt idx="1074">
                  <c:v>4.08924696480506E-2</c:v>
                </c:pt>
                <c:pt idx="1075">
                  <c:v>4.0893385096670842E-2</c:v>
                </c:pt>
                <c:pt idx="1076">
                  <c:v>4.0894146914204343E-2</c:v>
                </c:pt>
                <c:pt idx="1077">
                  <c:v>4.0894755100894242E-2</c:v>
                </c:pt>
                <c:pt idx="1078">
                  <c:v>4.0895209656416354E-2</c:v>
                </c:pt>
                <c:pt idx="1079">
                  <c:v>4.089551058093277E-2</c:v>
                </c:pt>
                <c:pt idx="1080">
                  <c:v>4.0895657874443492E-2</c:v>
                </c:pt>
                <c:pt idx="1081">
                  <c:v>4.0904783518057597E-2</c:v>
                </c:pt>
                <c:pt idx="1082">
                  <c:v>4.0895491568285758E-2</c:v>
                </c:pt>
                <c:pt idx="1083">
                  <c:v>4.0895177968617302E-2</c:v>
                </c:pt>
                <c:pt idx="1084">
                  <c:v>4.0894710737943152E-2</c:v>
                </c:pt>
                <c:pt idx="1085">
                  <c:v>4.0894089876263306E-2</c:v>
                </c:pt>
                <c:pt idx="1086">
                  <c:v>4.0893315383577766E-2</c:v>
                </c:pt>
                <c:pt idx="1087">
                  <c:v>4.0892387259805485E-2</c:v>
                </c:pt>
                <c:pt idx="1088">
                  <c:v>4.0891305505027509E-2</c:v>
                </c:pt>
                <c:pt idx="1089">
                  <c:v>4.0890070119243838E-2</c:v>
                </c:pt>
                <c:pt idx="1090">
                  <c:v>4.0888681102373425E-2</c:v>
                </c:pt>
                <c:pt idx="1091">
                  <c:v>4.0887138454497318E-2</c:v>
                </c:pt>
                <c:pt idx="1092">
                  <c:v>4.0885442175615516E-2</c:v>
                </c:pt>
                <c:pt idx="1093">
                  <c:v>4.0883592265646973E-2</c:v>
                </c:pt>
                <c:pt idx="1094">
                  <c:v>4.0881588724672735E-2</c:v>
                </c:pt>
                <c:pt idx="1095">
                  <c:v>4.0879431552773848E-2</c:v>
                </c:pt>
                <c:pt idx="1096">
                  <c:v>4.0877120749788221E-2</c:v>
                </c:pt>
                <c:pt idx="1097">
                  <c:v>4.0874656315877944E-2</c:v>
                </c:pt>
                <c:pt idx="1098">
                  <c:v>4.0872038250880927E-2</c:v>
                </c:pt>
                <c:pt idx="1099">
                  <c:v>4.0869266554878214E-2</c:v>
                </c:pt>
                <c:pt idx="1100">
                  <c:v>4.0866341227788761E-2</c:v>
                </c:pt>
                <c:pt idx="1101">
                  <c:v>4.0863262269855705E-2</c:v>
                </c:pt>
                <c:pt idx="1102">
                  <c:v>4.0860029680754861E-2</c:v>
                </c:pt>
                <c:pt idx="1103">
                  <c:v>4.0856643460810416E-2</c:v>
                </c:pt>
                <c:pt idx="1104">
                  <c:v>4.0853103609860275E-2</c:v>
                </c:pt>
                <c:pt idx="1105">
                  <c:v>4.084941012790444E-2</c:v>
                </c:pt>
                <c:pt idx="1106">
                  <c:v>4.0845563014942909E-2</c:v>
                </c:pt>
                <c:pt idx="1107">
                  <c:v>4.0841562271056731E-2</c:v>
                </c:pt>
                <c:pt idx="1108">
                  <c:v>4.0837407896245903E-2</c:v>
                </c:pt>
                <c:pt idx="1109">
                  <c:v>4.0833099890429381E-2</c:v>
                </c:pt>
                <c:pt idx="1110">
                  <c:v>4.082863825368821E-2</c:v>
                </c:pt>
                <c:pt idx="1111">
                  <c:v>4.0824022985860298E-2</c:v>
                </c:pt>
                <c:pt idx="1112">
                  <c:v>4.0819254087188783E-2</c:v>
                </c:pt>
                <c:pt idx="1113">
                  <c:v>4.081433155759262E-2</c:v>
                </c:pt>
                <c:pt idx="1114">
                  <c:v>4.0809255396990762E-2</c:v>
                </c:pt>
                <c:pt idx="1115">
                  <c:v>4.0804025605545302E-2</c:v>
                </c:pt>
                <c:pt idx="1116">
                  <c:v>4.0798642183094147E-2</c:v>
                </c:pt>
                <c:pt idx="1117">
                  <c:v>4.079310512979939E-2</c:v>
                </c:pt>
                <c:pt idx="1118">
                  <c:v>4.078741444566103E-2</c:v>
                </c:pt>
                <c:pt idx="1119">
                  <c:v>4.0781570130516975E-2</c:v>
                </c:pt>
                <c:pt idx="1120">
                  <c:v>4.0775572184448272E-2</c:v>
                </c:pt>
                <c:pt idx="1121">
                  <c:v>4.0769420607535967E-2</c:v>
                </c:pt>
                <c:pt idx="1122">
                  <c:v>4.0768571007863963E-2</c:v>
                </c:pt>
                <c:pt idx="1123">
                  <c:v>4.0756656561180549E-2</c:v>
                </c:pt>
                <c:pt idx="1124">
                  <c:v>4.0750044091737436E-2</c:v>
                </c:pt>
                <c:pt idx="1125">
                  <c:v>4.0743277991288629E-2</c:v>
                </c:pt>
                <c:pt idx="1126">
                  <c:v>4.0736358260158312E-2</c:v>
                </c:pt>
                <c:pt idx="1127">
                  <c:v>4.0729284898184392E-2</c:v>
                </c:pt>
                <c:pt idx="1128">
                  <c:v>4.0722057905285824E-2</c:v>
                </c:pt>
                <c:pt idx="1129">
                  <c:v>4.07146772816247E-2</c:v>
                </c:pt>
                <c:pt idx="1130">
                  <c:v>4.0707143027119974E-2</c:v>
                </c:pt>
                <c:pt idx="1131">
                  <c:v>4.0706303682789047E-2</c:v>
                </c:pt>
                <c:pt idx="1132">
                  <c:v>4.0691613625822853E-2</c:v>
                </c:pt>
                <c:pt idx="1133">
                  <c:v>4.0683618478949413E-2</c:v>
                </c:pt>
                <c:pt idx="1134">
                  <c:v>4.0675469701394462E-2</c:v>
                </c:pt>
                <c:pt idx="1135">
                  <c:v>4.0667167293076956E-2</c:v>
                </c:pt>
                <c:pt idx="1136">
                  <c:v>4.0658711253915847E-2</c:v>
                </c:pt>
                <c:pt idx="1137">
                  <c:v>4.0650101584073228E-2</c:v>
                </c:pt>
                <c:pt idx="1138">
                  <c:v>4.0641338283468054E-2</c:v>
                </c:pt>
                <c:pt idx="1139">
                  <c:v>4.0632421352262416E-2</c:v>
                </c:pt>
                <c:pt idx="1140">
                  <c:v>4.0623350790132129E-2</c:v>
                </c:pt>
                <c:pt idx="1141">
                  <c:v>4.0614126597563471E-2</c:v>
                </c:pt>
                <c:pt idx="1142">
                  <c:v>4.0604748774151211E-2</c:v>
                </c:pt>
                <c:pt idx="1143">
                  <c:v>4.0595217320138488E-2</c:v>
                </c:pt>
                <c:pt idx="1144">
                  <c:v>4.0585532235444255E-2</c:v>
                </c:pt>
                <c:pt idx="1145">
                  <c:v>4.0575693520149558E-2</c:v>
                </c:pt>
                <c:pt idx="1146">
                  <c:v>4.0565701174254398E-2</c:v>
                </c:pt>
                <c:pt idx="1147">
                  <c:v>4.0555555197677728E-2</c:v>
                </c:pt>
                <c:pt idx="1148">
                  <c:v>4.0545255590419549E-2</c:v>
                </c:pt>
                <c:pt idx="1149">
                  <c:v>4.0534802352641952E-2</c:v>
                </c:pt>
                <c:pt idx="1150">
                  <c:v>4.0524195484344938E-2</c:v>
                </c:pt>
                <c:pt idx="1151">
                  <c:v>4.0513434985366414E-2</c:v>
                </c:pt>
                <c:pt idx="1152">
                  <c:v>4.050252085594952E-2</c:v>
                </c:pt>
                <c:pt idx="1153">
                  <c:v>4.0491453095932162E-2</c:v>
                </c:pt>
                <c:pt idx="1154">
                  <c:v>4.048023170531434E-2</c:v>
                </c:pt>
                <c:pt idx="1155">
                  <c:v>4.0468856684339194E-2</c:v>
                </c:pt>
                <c:pt idx="1156">
                  <c:v>4.0457328032763584E-2</c:v>
                </c:pt>
                <c:pt idx="1157">
                  <c:v>4.0445645750749604E-2</c:v>
                </c:pt>
                <c:pt idx="1158">
                  <c:v>4.0433809838216206E-2</c:v>
                </c:pt>
                <c:pt idx="1159">
                  <c:v>4.0421820295325483E-2</c:v>
                </c:pt>
                <c:pt idx="1160">
                  <c:v>4.0409677121915344E-2</c:v>
                </c:pt>
                <c:pt idx="1161">
                  <c:v>4.039738031814788E-2</c:v>
                </c:pt>
                <c:pt idx="1162">
                  <c:v>4.0384929883942045E-2</c:v>
                </c:pt>
                <c:pt idx="1163">
                  <c:v>4.0372325819297838E-2</c:v>
                </c:pt>
                <c:pt idx="1164">
                  <c:v>4.0359568124377354E-2</c:v>
                </c:pt>
                <c:pt idx="1165">
                  <c:v>4.0346656799099545E-2</c:v>
                </c:pt>
                <c:pt idx="1166">
                  <c:v>4.0333591843383365E-2</c:v>
                </c:pt>
                <c:pt idx="1167">
                  <c:v>4.0320373257390907E-2</c:v>
                </c:pt>
                <c:pt idx="1168">
                  <c:v>4.0307001040960078E-2</c:v>
                </c:pt>
                <c:pt idx="1169">
                  <c:v>4.0293475194415063E-2</c:v>
                </c:pt>
                <c:pt idx="1170">
                  <c:v>4.0279795717512723E-2</c:v>
                </c:pt>
                <c:pt idx="1171">
                  <c:v>4.0265962610415151E-2</c:v>
                </c:pt>
                <c:pt idx="1172">
                  <c:v>4.0251975873041301E-2</c:v>
                </c:pt>
                <c:pt idx="1173">
                  <c:v>4.0237835505391173E-2</c:v>
                </c:pt>
                <c:pt idx="1174">
                  <c:v>4.0223541507545812E-2</c:v>
                </c:pt>
                <c:pt idx="1175">
                  <c:v>4.0209093879667313E-2</c:v>
                </c:pt>
                <c:pt idx="1176">
                  <c:v>4.0194492621431488E-2</c:v>
                </c:pt>
                <c:pt idx="1177">
                  <c:v>4.0179737733162524E-2</c:v>
                </c:pt>
                <c:pt idx="1178">
                  <c:v>4.0164829214698328E-2</c:v>
                </c:pt>
                <c:pt idx="1179">
                  <c:v>4.0149767066200992E-2</c:v>
                </c:pt>
                <c:pt idx="1180">
                  <c:v>4.0134551287589471E-2</c:v>
                </c:pt>
                <c:pt idx="1181">
                  <c:v>4.0119181878782717E-2</c:v>
                </c:pt>
                <c:pt idx="1182">
                  <c:v>4.010365884002387E-2</c:v>
                </c:pt>
                <c:pt idx="1183">
                  <c:v>4.0087982171231884E-2</c:v>
                </c:pt>
                <c:pt idx="1184">
                  <c:v>4.0072151872487805E-2</c:v>
                </c:pt>
                <c:pt idx="1185">
                  <c:v>4.0056167943467447E-2</c:v>
                </c:pt>
                <c:pt idx="1186">
                  <c:v>4.0044171906840731E-2</c:v>
                </c:pt>
                <c:pt idx="1187">
                  <c:v>4.0023443207312846E-2</c:v>
                </c:pt>
                <c:pt idx="1188">
                  <c:v>4.0006950879241485E-2</c:v>
                </c:pt>
                <c:pt idx="1189">
                  <c:v>3.9990304889042656E-2</c:v>
                </c:pt>
                <c:pt idx="1190">
                  <c:v>3.9973571531574478E-2</c:v>
                </c:pt>
                <c:pt idx="1191">
                  <c:v>3.9956887673257377E-2</c:v>
                </c:pt>
                <c:pt idx="1192">
                  <c:v>3.994025972971494E-2</c:v>
                </c:pt>
                <c:pt idx="1193">
                  <c:v>3.9924689594455776E-2</c:v>
                </c:pt>
                <c:pt idx="1194">
                  <c:v>3.9907171586927033E-2</c:v>
                </c:pt>
                <c:pt idx="1195">
                  <c:v>3.9890711387573503E-2</c:v>
                </c:pt>
                <c:pt idx="1196">
                  <c:v>3.9874307102913585E-2</c:v>
                </c:pt>
                <c:pt idx="1197">
                  <c:v>3.9857958732947292E-2</c:v>
                </c:pt>
                <c:pt idx="1198">
                  <c:v>3.9841666277593564E-2</c:v>
                </c:pt>
                <c:pt idx="1199">
                  <c:v>3.9825429736852401E-2</c:v>
                </c:pt>
                <c:pt idx="1200">
                  <c:v>3.9809249110696797E-2</c:v>
                </c:pt>
                <c:pt idx="1201">
                  <c:v>3.9794143991650488E-2</c:v>
                </c:pt>
                <c:pt idx="1202">
                  <c:v>3.9777055602115238E-2</c:v>
                </c:pt>
                <c:pt idx="1203">
                  <c:v>3.9761042719635251E-2</c:v>
                </c:pt>
                <c:pt idx="1204">
                  <c:v>3.9745085751632755E-2</c:v>
                </c:pt>
                <c:pt idx="1205">
                  <c:v>3.9729184698134766E-2</c:v>
                </c:pt>
                <c:pt idx="1206">
                  <c:v>3.9713339559087256E-2</c:v>
                </c:pt>
                <c:pt idx="1207">
                  <c:v>3.9697550334490225E-2</c:v>
                </c:pt>
                <c:pt idx="1208">
                  <c:v>3.9681817024316654E-2</c:v>
                </c:pt>
                <c:pt idx="1209">
                  <c:v>3.9666139628566542E-2</c:v>
                </c:pt>
                <c:pt idx="1210">
                  <c:v>3.9651558171281132E-2</c:v>
                </c:pt>
                <c:pt idx="1211">
                  <c:v>3.9634952580066558E-2</c:v>
                </c:pt>
                <c:pt idx="1212">
                  <c:v>3.9619442927343693E-2</c:v>
                </c:pt>
                <c:pt idx="1213">
                  <c:v>3.9603989188909214E-2</c:v>
                </c:pt>
                <c:pt idx="1214">
                  <c:v>3.9588591364817148E-2</c:v>
                </c:pt>
                <c:pt idx="1215">
                  <c:v>3.9573249454932423E-2</c:v>
                </c:pt>
                <c:pt idx="1216">
                  <c:v>3.9557963459336085E-2</c:v>
                </c:pt>
                <c:pt idx="1217">
                  <c:v>3.95427333779741E-2</c:v>
                </c:pt>
                <c:pt idx="1218">
                  <c:v>3.9527559210765416E-2</c:v>
                </c:pt>
                <c:pt idx="1219">
                  <c:v>3.9512440957791092E-2</c:v>
                </c:pt>
                <c:pt idx="1220">
                  <c:v>3.9497378618943056E-2</c:v>
                </c:pt>
                <c:pt idx="1221">
                  <c:v>3.9482372194248334E-2</c:v>
                </c:pt>
                <c:pt idx="1222">
                  <c:v>3.94674216836799E-2</c:v>
                </c:pt>
                <c:pt idx="1223">
                  <c:v>3.945252708721074E-2</c:v>
                </c:pt>
                <c:pt idx="1224">
                  <c:v>3.9437688404867874E-2</c:v>
                </c:pt>
                <c:pt idx="1225">
                  <c:v>3.9422905636516223E-2</c:v>
                </c:pt>
                <c:pt idx="1226">
                  <c:v>3.9409256473550147E-2</c:v>
                </c:pt>
                <c:pt idx="1227">
                  <c:v>3.9393507841948658E-2</c:v>
                </c:pt>
                <c:pt idx="1228">
                  <c:v>3.9378892815705731E-2</c:v>
                </c:pt>
                <c:pt idx="1229">
                  <c:v>3.9364333703426999E-2</c:v>
                </c:pt>
                <c:pt idx="1230">
                  <c:v>3.9349830505112468E-2</c:v>
                </c:pt>
                <c:pt idx="1231">
                  <c:v>3.9335383220681093E-2</c:v>
                </c:pt>
                <c:pt idx="1232">
                  <c:v>3.9320991850240926E-2</c:v>
                </c:pt>
                <c:pt idx="1233">
                  <c:v>3.9306656393629888E-2</c:v>
                </c:pt>
                <c:pt idx="1234">
                  <c:v>3.9292376850956032E-2</c:v>
                </c:pt>
                <c:pt idx="1235">
                  <c:v>3.9278153222138311E-2</c:v>
                </c:pt>
                <c:pt idx="1236">
                  <c:v>3.9263985507122699E-2</c:v>
                </c:pt>
                <c:pt idx="1237">
                  <c:v>3.9239623888271957E-2</c:v>
                </c:pt>
                <c:pt idx="1238">
                  <c:v>3.9225594979924727E-2</c:v>
                </c:pt>
                <c:pt idx="1239">
                  <c:v>3.9211621972277122E-2</c:v>
                </c:pt>
                <c:pt idx="1240">
                  <c:v>3.9197704865248095E-2</c:v>
                </c:pt>
                <c:pt idx="1241">
                  <c:v>3.9183843659161832E-2</c:v>
                </c:pt>
                <c:pt idx="1242">
                  <c:v>3.9170038353451009E-2</c:v>
                </c:pt>
                <c:pt idx="1243">
                  <c:v>3.915628894843981E-2</c:v>
                </c:pt>
                <c:pt idx="1244">
                  <c:v>3.9142595444128236E-2</c:v>
                </c:pt>
                <c:pt idx="1245">
                  <c:v>3.9128957840435241E-2</c:v>
                </c:pt>
                <c:pt idx="1246">
                  <c:v>3.9115376137441871E-2</c:v>
                </c:pt>
                <c:pt idx="1247">
                  <c:v>3.9101850335067079E-2</c:v>
                </c:pt>
                <c:pt idx="1248">
                  <c:v>3.9088380433391912E-2</c:v>
                </c:pt>
                <c:pt idx="1249">
                  <c:v>3.9074966432254277E-2</c:v>
                </c:pt>
                <c:pt idx="1250">
                  <c:v>3.906160833173522E-2</c:v>
                </c:pt>
                <c:pt idx="1251">
                  <c:v>3.9048306131753696E-2</c:v>
                </c:pt>
                <c:pt idx="1252">
                  <c:v>3.9035059832390751E-2</c:v>
                </c:pt>
                <c:pt idx="1253">
                  <c:v>3.9021869433646383E-2</c:v>
                </c:pt>
                <c:pt idx="1254">
                  <c:v>3.9008734935520595E-2</c:v>
                </c:pt>
                <c:pt idx="1255">
                  <c:v>3.8995656338013385E-2</c:v>
                </c:pt>
                <c:pt idx="1256">
                  <c:v>3.8982633641043707E-2</c:v>
                </c:pt>
                <c:pt idx="1257">
                  <c:v>3.8969666844611561E-2</c:v>
                </c:pt>
                <c:pt idx="1258">
                  <c:v>3.8956755948797994E-2</c:v>
                </c:pt>
                <c:pt idx="1259">
                  <c:v>3.8943900953603006E-2</c:v>
                </c:pt>
                <c:pt idx="1260">
                  <c:v>3.8931101858783457E-2</c:v>
                </c:pt>
                <c:pt idx="1261">
                  <c:v>3.8918358664663533E-2</c:v>
                </c:pt>
                <c:pt idx="1262">
                  <c:v>3.8905671371000095E-2</c:v>
                </c:pt>
                <c:pt idx="1263">
                  <c:v>3.8893039977955235E-2</c:v>
                </c:pt>
                <c:pt idx="1264">
                  <c:v>3.8880464485366861E-2</c:v>
                </c:pt>
                <c:pt idx="1265">
                  <c:v>3.8867944893234974E-2</c:v>
                </c:pt>
                <c:pt idx="1266">
                  <c:v>3.8855481201721664E-2</c:v>
                </c:pt>
                <c:pt idx="1267">
                  <c:v>3.8843073410826934E-2</c:v>
                </c:pt>
                <c:pt idx="1268">
                  <c:v>3.8830721520388689E-2</c:v>
                </c:pt>
                <c:pt idx="1269">
                  <c:v>3.8818425530325884E-2</c:v>
                </c:pt>
                <c:pt idx="1270">
                  <c:v>3.8806185440881658E-2</c:v>
                </c:pt>
                <c:pt idx="1271">
                  <c:v>3.8794001251812871E-2</c:v>
                </c:pt>
                <c:pt idx="1272">
                  <c:v>3.8781872963362662E-2</c:v>
                </c:pt>
                <c:pt idx="1273">
                  <c:v>3.8769800575206848E-2</c:v>
                </c:pt>
                <c:pt idx="1274">
                  <c:v>3.8757784087750657E-2</c:v>
                </c:pt>
                <c:pt idx="1275">
                  <c:v>3.8745823500669907E-2</c:v>
                </c:pt>
                <c:pt idx="1276">
                  <c:v>3.8733918813964596E-2</c:v>
                </c:pt>
                <c:pt idx="1277">
                  <c:v>3.8722070027796818E-2</c:v>
                </c:pt>
                <c:pt idx="1278">
                  <c:v>3.8710277142085525E-2</c:v>
                </c:pt>
                <c:pt idx="1279">
                  <c:v>3.8698540156911765E-2</c:v>
                </c:pt>
                <c:pt idx="1280">
                  <c:v>3.8686859072032398E-2</c:v>
                </c:pt>
                <c:pt idx="1281">
                  <c:v>3.8675233887690563E-2</c:v>
                </c:pt>
                <c:pt idx="1282">
                  <c:v>3.8663664603643122E-2</c:v>
                </c:pt>
                <c:pt idx="1283">
                  <c:v>3.8652151220133213E-2</c:v>
                </c:pt>
                <c:pt idx="1284">
                  <c:v>3.8640693736917697E-2</c:v>
                </c:pt>
                <c:pt idx="1285">
                  <c:v>3.862929215432076E-2</c:v>
                </c:pt>
                <c:pt idx="1286">
                  <c:v>3.8617946472018216E-2</c:v>
                </c:pt>
                <c:pt idx="1287">
                  <c:v>3.8606656690091112E-2</c:v>
                </c:pt>
                <c:pt idx="1288">
                  <c:v>3.8595422808620494E-2</c:v>
                </c:pt>
                <c:pt idx="1289">
                  <c:v>3.8584244827525316E-2</c:v>
                </c:pt>
                <c:pt idx="1290">
                  <c:v>3.8573122746886623E-2</c:v>
                </c:pt>
                <c:pt idx="1291">
                  <c:v>3.8562056566542324E-2</c:v>
                </c:pt>
                <c:pt idx="1292">
                  <c:v>3.8551046286573465E-2</c:v>
                </c:pt>
                <c:pt idx="1293">
                  <c:v>3.8540091906898999E-2</c:v>
                </c:pt>
                <c:pt idx="1294">
                  <c:v>3.8529193427843111E-2</c:v>
                </c:pt>
                <c:pt idx="1295">
                  <c:v>3.8518350848919525E-2</c:v>
                </c:pt>
                <c:pt idx="1296">
                  <c:v>3.850756417053347E-2</c:v>
                </c:pt>
                <c:pt idx="1297">
                  <c:v>3.8496833392441809E-2</c:v>
                </c:pt>
                <c:pt idx="1298">
                  <c:v>3.8486158514563495E-2</c:v>
                </c:pt>
                <c:pt idx="1299">
                  <c:v>3.8475539537141668E-2</c:v>
                </c:pt>
                <c:pt idx="1300">
                  <c:v>3.8464976460014233E-2</c:v>
                </c:pt>
                <c:pt idx="1301">
                  <c:v>3.8454469283343284E-2</c:v>
                </c:pt>
                <c:pt idx="1302">
                  <c:v>3.8444018006885683E-2</c:v>
                </c:pt>
                <c:pt idx="1303">
                  <c:v>3.8433622630803521E-2</c:v>
                </c:pt>
                <c:pt idx="1304">
                  <c:v>3.8423283155015753E-2</c:v>
                </c:pt>
                <c:pt idx="1305">
                  <c:v>3.8412999579603424E-2</c:v>
                </c:pt>
                <c:pt idx="1306">
                  <c:v>3.8402771904485489E-2</c:v>
                </c:pt>
                <c:pt idx="1307">
                  <c:v>3.8392600129580901E-2</c:v>
                </c:pt>
                <c:pt idx="1308">
                  <c:v>3.8382484255051752E-2</c:v>
                </c:pt>
                <c:pt idx="1309">
                  <c:v>3.8372424280735951E-2</c:v>
                </c:pt>
                <c:pt idx="1310">
                  <c:v>3.8362420206795589E-2</c:v>
                </c:pt>
                <c:pt idx="1311">
                  <c:v>3.8352472033068574E-2</c:v>
                </c:pt>
                <c:pt idx="1312">
                  <c:v>3.8342579759635953E-2</c:v>
                </c:pt>
                <c:pt idx="1313">
                  <c:v>3.8332743386659818E-2</c:v>
                </c:pt>
                <c:pt idx="1314">
                  <c:v>3.8322962913734937E-2</c:v>
                </c:pt>
                <c:pt idx="1315">
                  <c:v>3.8313238341266542E-2</c:v>
                </c:pt>
                <c:pt idx="1316">
                  <c:v>3.8303569668849402E-2</c:v>
                </c:pt>
                <c:pt idx="1317">
                  <c:v>3.8293956896888748E-2</c:v>
                </c:pt>
                <c:pt idx="1318">
                  <c:v>3.8284400025060394E-2</c:v>
                </c:pt>
                <c:pt idx="1319">
                  <c:v>3.8274899053526434E-2</c:v>
                </c:pt>
                <c:pt idx="1320">
                  <c:v>3.8265453982205822E-2</c:v>
                </c:pt>
                <c:pt idx="1321">
                  <c:v>3.8256064811179602E-2</c:v>
                </c:pt>
                <c:pt idx="1322">
                  <c:v>3.824673154036673E-2</c:v>
                </c:pt>
                <c:pt idx="1323">
                  <c:v>3.8237454169848251E-2</c:v>
                </c:pt>
                <c:pt idx="1324">
                  <c:v>3.8228232699381026E-2</c:v>
                </c:pt>
                <c:pt idx="1325">
                  <c:v>3.8219067129289241E-2</c:v>
                </c:pt>
                <c:pt idx="1326">
                  <c:v>3.8208660641275705E-2</c:v>
                </c:pt>
                <c:pt idx="1327">
                  <c:v>3.8199614857424846E-2</c:v>
                </c:pt>
                <c:pt idx="1328">
                  <c:v>3.8190624973625242E-2</c:v>
                </c:pt>
                <c:pt idx="1329">
                  <c:v>3.8181690990038986E-2</c:v>
                </c:pt>
                <c:pt idx="1330">
                  <c:v>3.8171549172514307E-2</c:v>
                </c:pt>
                <c:pt idx="1331">
                  <c:v>3.8162734975006884E-2</c:v>
                </c:pt>
                <c:pt idx="1332">
                  <c:v>3.8153976677955947E-2</c:v>
                </c:pt>
                <c:pt idx="1333">
                  <c:v>3.8145274280875219E-2</c:v>
                </c:pt>
                <c:pt idx="1334">
                  <c:v>3.813662778416993E-2</c:v>
                </c:pt>
                <c:pt idx="1335">
                  <c:v>3.8128037187515895E-2</c:v>
                </c:pt>
                <c:pt idx="1336">
                  <c:v>3.8119502491075208E-2</c:v>
                </c:pt>
                <c:pt idx="1337">
                  <c:v>3.8111023694847868E-2</c:v>
                </c:pt>
                <c:pt idx="1338">
                  <c:v>3.8102600798833874E-2</c:v>
                </c:pt>
                <c:pt idx="1339">
                  <c:v>3.8094233802871136E-2</c:v>
                </c:pt>
                <c:pt idx="1340">
                  <c:v>3.8085922707040698E-2</c:v>
                </c:pt>
                <c:pt idx="1341">
                  <c:v>3.8083264847168952E-2</c:v>
                </c:pt>
                <c:pt idx="1342">
                  <c:v>3.8069468216019864E-2</c:v>
                </c:pt>
                <c:pt idx="1343">
                  <c:v>3.8061324820748421E-2</c:v>
                </c:pt>
                <c:pt idx="1344">
                  <c:v>3.8053237325609279E-2</c:v>
                </c:pt>
                <c:pt idx="1345">
                  <c:v>3.8045205730683485E-2</c:v>
                </c:pt>
                <c:pt idx="1346">
                  <c:v>3.8037230035808944E-2</c:v>
                </c:pt>
                <c:pt idx="1347">
                  <c:v>3.8029310241147751E-2</c:v>
                </c:pt>
                <c:pt idx="1348">
                  <c:v>3.8021446346456766E-2</c:v>
                </c:pt>
                <c:pt idx="1349">
                  <c:v>3.8013638352060175E-2</c:v>
                </c:pt>
                <c:pt idx="1350">
                  <c:v>3.8005886257633792E-2</c:v>
                </c:pt>
                <c:pt idx="1351">
                  <c:v>3.7998190063501802E-2</c:v>
                </c:pt>
                <c:pt idx="1352">
                  <c:v>3.7990549769421067E-2</c:v>
                </c:pt>
                <c:pt idx="1353">
                  <c:v>3.7982965375472633E-2</c:v>
                </c:pt>
                <c:pt idx="1354">
                  <c:v>3.7975436881737545E-2</c:v>
                </c:pt>
                <c:pt idx="1355">
                  <c:v>3.7967964287972666E-2</c:v>
                </c:pt>
                <c:pt idx="1356">
                  <c:v>3.7960547594340088E-2</c:v>
                </c:pt>
                <c:pt idx="1357">
                  <c:v>3.7953186800758765E-2</c:v>
                </c:pt>
                <c:pt idx="1358">
                  <c:v>3.7945881907309742E-2</c:v>
                </c:pt>
                <c:pt idx="1359">
                  <c:v>3.7938632913911974E-2</c:v>
                </c:pt>
                <c:pt idx="1360">
                  <c:v>3.7931439820727553E-2</c:v>
                </c:pt>
                <c:pt idx="1361">
                  <c:v>3.7924302627594386E-2</c:v>
                </c:pt>
                <c:pt idx="1362">
                  <c:v>3.7917221334512474E-2</c:v>
                </c:pt>
                <c:pt idx="1363">
                  <c:v>3.7910195941643909E-2</c:v>
                </c:pt>
                <c:pt idx="1364">
                  <c:v>3.7903226448664507E-2</c:v>
                </c:pt>
                <c:pt idx="1365">
                  <c:v>3.7896312855898451E-2</c:v>
                </c:pt>
                <c:pt idx="1366">
                  <c:v>3.7889455163102603E-2</c:v>
                </c:pt>
                <c:pt idx="1367">
                  <c:v>3.788265337035801E-2</c:v>
                </c:pt>
                <c:pt idx="1368">
                  <c:v>3.7875907477745718E-2</c:v>
                </c:pt>
                <c:pt idx="1369">
                  <c:v>3.7869217485184681E-2</c:v>
                </c:pt>
                <c:pt idx="1370">
                  <c:v>3.7862583392674898E-2</c:v>
                </c:pt>
                <c:pt idx="1371">
                  <c:v>3.7856005200297416E-2</c:v>
                </c:pt>
                <c:pt idx="1372">
                  <c:v>3.7849482907890142E-2</c:v>
                </c:pt>
                <c:pt idx="1373">
                  <c:v>3.7843016515534122E-2</c:v>
                </c:pt>
                <c:pt idx="1374">
                  <c:v>3.783660602339145E-2</c:v>
                </c:pt>
                <c:pt idx="1375">
                  <c:v>3.7830251431056894E-2</c:v>
                </c:pt>
                <c:pt idx="1376">
                  <c:v>3.7823952738935684E-2</c:v>
                </c:pt>
                <c:pt idx="1377">
                  <c:v>3.7817709946703637E-2</c:v>
                </c:pt>
                <c:pt idx="1378">
                  <c:v>3.7811523054603891E-2</c:v>
                </c:pt>
                <c:pt idx="1379">
                  <c:v>3.7805392062474352E-2</c:v>
                </c:pt>
                <c:pt idx="1380">
                  <c:v>3.7799316970477115E-2</c:v>
                </c:pt>
                <c:pt idx="1381">
                  <c:v>3.7793297778450086E-2</c:v>
                </c:pt>
                <c:pt idx="1382">
                  <c:v>3.7789553128032935E-2</c:v>
                </c:pt>
                <c:pt idx="1383">
                  <c:v>3.7783660487747214E-2</c:v>
                </c:pt>
                <c:pt idx="1384">
                  <c:v>3.7777823759210426E-2</c:v>
                </c:pt>
                <c:pt idx="1385">
                  <c:v>3.7772042942476609E-2</c:v>
                </c:pt>
                <c:pt idx="1386">
                  <c:v>3.7766318037491718E-2</c:v>
                </c:pt>
                <c:pt idx="1387">
                  <c:v>3.7760649044255766E-2</c:v>
                </c:pt>
                <c:pt idx="1388">
                  <c:v>3.7755035962795766E-2</c:v>
                </c:pt>
                <c:pt idx="1389">
                  <c:v>3.7749478793084698E-2</c:v>
                </c:pt>
                <c:pt idx="1390">
                  <c:v>3.7743977535095549E-2</c:v>
                </c:pt>
                <c:pt idx="1391">
                  <c:v>3.7738532188801306E-2</c:v>
                </c:pt>
                <c:pt idx="1392">
                  <c:v>3.7726950083313282E-2</c:v>
                </c:pt>
                <c:pt idx="1393">
                  <c:v>3.7721641619999913E-2</c:v>
                </c:pt>
                <c:pt idx="1394">
                  <c:v>3.7715643253706244E-2</c:v>
                </c:pt>
                <c:pt idx="1395">
                  <c:v>3.7710454576228569E-2</c:v>
                </c:pt>
                <c:pt idx="1396">
                  <c:v>3.7705321798396918E-2</c:v>
                </c:pt>
                <c:pt idx="1397">
                  <c:v>3.770024492085966E-2</c:v>
                </c:pt>
                <c:pt idx="1398">
                  <c:v>3.7695223943130518E-2</c:v>
                </c:pt>
                <c:pt idx="1399">
                  <c:v>3.7690258865533677E-2</c:v>
                </c:pt>
                <c:pt idx="1400">
                  <c:v>3.7685349687744951E-2</c:v>
                </c:pt>
                <c:pt idx="1401">
                  <c:v>3.768049641000748E-2</c:v>
                </c:pt>
                <c:pt idx="1402">
                  <c:v>3.7675699032240217E-2</c:v>
                </c:pt>
                <c:pt idx="1403">
                  <c:v>3.7670957554443163E-2</c:v>
                </c:pt>
                <c:pt idx="1404">
                  <c:v>3.7666271976697363E-2</c:v>
                </c:pt>
                <c:pt idx="1405">
                  <c:v>3.7661642298840725E-2</c:v>
                </c:pt>
                <c:pt idx="1406">
                  <c:v>3.7657068520954295E-2</c:v>
                </c:pt>
                <c:pt idx="1407">
                  <c:v>3.7652550642957028E-2</c:v>
                </c:pt>
                <c:pt idx="1408">
                  <c:v>3.7648088665092061E-2</c:v>
                </c:pt>
                <c:pt idx="1409">
                  <c:v>3.764368258703521E-2</c:v>
                </c:pt>
                <c:pt idx="1410">
                  <c:v>3.7639332408948567E-2</c:v>
                </c:pt>
                <c:pt idx="1411">
                  <c:v>3.7635038130913179E-2</c:v>
                </c:pt>
                <c:pt idx="1412">
                  <c:v>3.7630799752766952E-2</c:v>
                </c:pt>
                <c:pt idx="1413">
                  <c:v>3.7626617274671981E-2</c:v>
                </c:pt>
                <c:pt idx="1414">
                  <c:v>3.7622490696223032E-2</c:v>
                </c:pt>
                <c:pt idx="1415">
                  <c:v>3.7618420018068477E-2</c:v>
                </c:pt>
                <c:pt idx="1416">
                  <c:v>3.7614405239640991E-2</c:v>
                </c:pt>
                <c:pt idx="1417">
                  <c:v>3.7610446361345806E-2</c:v>
                </c:pt>
                <c:pt idx="1418">
                  <c:v>3.7606543382858737E-2</c:v>
                </c:pt>
                <c:pt idx="1419">
                  <c:v>3.760269630426083E-2</c:v>
                </c:pt>
                <c:pt idx="1420">
                  <c:v>3.7598905125633131E-2</c:v>
                </c:pt>
                <c:pt idx="1421">
                  <c:v>3.7595169847056686E-2</c:v>
                </c:pt>
                <c:pt idx="1422">
                  <c:v>3.7591490468369404E-2</c:v>
                </c:pt>
                <c:pt idx="1423">
                  <c:v>3.758786698965233E-2</c:v>
                </c:pt>
                <c:pt idx="1424">
                  <c:v>3.7584299410905464E-2</c:v>
                </c:pt>
                <c:pt idx="1425">
                  <c:v>3.7580787731804621E-2</c:v>
                </c:pt>
                <c:pt idx="1426">
                  <c:v>3.7577331952917126E-2</c:v>
                </c:pt>
                <c:pt idx="1427">
                  <c:v>3.75739320737567E-2</c:v>
                </c:pt>
                <c:pt idx="1428">
                  <c:v>3.7570588094728574E-2</c:v>
                </c:pt>
                <c:pt idx="1429">
                  <c:v>3.7567300015427518E-2</c:v>
                </c:pt>
                <c:pt idx="1430">
                  <c:v>3.7564067836096671E-2</c:v>
                </c:pt>
                <c:pt idx="1431">
                  <c:v>3.7560891556736031E-2</c:v>
                </c:pt>
                <c:pt idx="1432">
                  <c:v>3.75577711773456E-2</c:v>
                </c:pt>
                <c:pt idx="1433">
                  <c:v>3.7554706697844331E-2</c:v>
                </c:pt>
                <c:pt idx="1434">
                  <c:v>3.7551698118151178E-2</c:v>
                </c:pt>
                <c:pt idx="1435">
                  <c:v>3.7548745438509279E-2</c:v>
                </c:pt>
                <c:pt idx="1436">
                  <c:v>3.7545848658756542E-2</c:v>
                </c:pt>
                <c:pt idx="1437">
                  <c:v>3.7543007778811921E-2</c:v>
                </c:pt>
                <c:pt idx="1438">
                  <c:v>3.7540222798837508E-2</c:v>
                </c:pt>
                <c:pt idx="1439">
                  <c:v>3.7537493718833304E-2</c:v>
                </c:pt>
                <c:pt idx="1440">
                  <c:v>3.7534820538637215E-2</c:v>
                </c:pt>
                <c:pt idx="1441">
                  <c:v>3.7532203258411334E-2</c:v>
                </c:pt>
                <c:pt idx="1442">
                  <c:v>3.7529641878155662E-2</c:v>
                </c:pt>
                <c:pt idx="1443">
                  <c:v>3.7527136397627059E-2</c:v>
                </c:pt>
                <c:pt idx="1444">
                  <c:v>3.7524686817149711E-2</c:v>
                </c:pt>
                <c:pt idx="1445">
                  <c:v>3.7522293136480478E-2</c:v>
                </c:pt>
                <c:pt idx="1446">
                  <c:v>3.7519625950386271E-2</c:v>
                </c:pt>
                <c:pt idx="1447">
                  <c:v>3.7517352055309594E-2</c:v>
                </c:pt>
                <c:pt idx="1448">
                  <c:v>3.7515134060041033E-2</c:v>
                </c:pt>
                <c:pt idx="1449">
                  <c:v>3.751296395558712E-2</c:v>
                </c:pt>
                <c:pt idx="1450">
                  <c:v>3.7510794119720581E-2</c:v>
                </c:pt>
                <c:pt idx="1451">
                  <c:v>3.7508616543528994E-2</c:v>
                </c:pt>
                <c:pt idx="1452">
                  <c:v>3.7506431226931314E-2</c:v>
                </c:pt>
                <c:pt idx="1453">
                  <c:v>3.7504238169846493E-2</c:v>
                </c:pt>
                <c:pt idx="1454">
                  <c:v>3.7502037372274533E-2</c:v>
                </c:pt>
                <c:pt idx="1455">
                  <c:v>3.7499828834377524E-2</c:v>
                </c:pt>
                <c:pt idx="1456">
                  <c:v>3.7497612556074422E-2</c:v>
                </c:pt>
                <c:pt idx="1457">
                  <c:v>3.7495388537122087E-2</c:v>
                </c:pt>
                <c:pt idx="1458">
                  <c:v>3.7493156777925751E-2</c:v>
                </c:pt>
                <c:pt idx="1459">
                  <c:v>3.7490917278161229E-2</c:v>
                </c:pt>
                <c:pt idx="1460">
                  <c:v>3.7488670038071659E-2</c:v>
                </c:pt>
                <c:pt idx="1461">
                  <c:v>3.7486415057494948E-2</c:v>
                </c:pt>
                <c:pt idx="1462">
                  <c:v>3.7484152336431098E-2</c:v>
                </c:pt>
                <c:pt idx="1463">
                  <c:v>3.74818818750422E-2</c:v>
                </c:pt>
                <c:pt idx="1464">
                  <c:v>3.7479603673085116E-2</c:v>
                </c:pt>
                <c:pt idx="1465">
                  <c:v>3.7477317730802984E-2</c:v>
                </c:pt>
                <c:pt idx="1466">
                  <c:v>3.7475024048033712E-2</c:v>
                </c:pt>
                <c:pt idx="1467">
                  <c:v>3.7472722624858346E-2</c:v>
                </c:pt>
                <c:pt idx="1468">
                  <c:v>3.7470413461195839E-2</c:v>
                </c:pt>
                <c:pt idx="1469">
                  <c:v>3.7468096557208286E-2</c:v>
                </c:pt>
                <c:pt idx="1470">
                  <c:v>3.7465771912733592E-2</c:v>
                </c:pt>
                <c:pt idx="1471">
                  <c:v>3.7463439527690712E-2</c:v>
                </c:pt>
                <c:pt idx="1472">
                  <c:v>3.7461099402322784E-2</c:v>
                </c:pt>
                <c:pt idx="1473">
                  <c:v>3.7458751536548762E-2</c:v>
                </c:pt>
                <c:pt idx="1474">
                  <c:v>3.74563959302876E-2</c:v>
                </c:pt>
                <c:pt idx="1475">
                  <c:v>3.7454032583620345E-2</c:v>
                </c:pt>
                <c:pt idx="1476">
                  <c:v>3.7451661496546995E-2</c:v>
                </c:pt>
                <c:pt idx="1477">
                  <c:v>3.7449282668986505E-2</c:v>
                </c:pt>
                <c:pt idx="1478">
                  <c:v>3.7446896101019922E-2</c:v>
                </c:pt>
                <c:pt idx="1479">
                  <c:v>3.7444501792566198E-2</c:v>
                </c:pt>
                <c:pt idx="1480">
                  <c:v>3.7442099743706381E-2</c:v>
                </c:pt>
                <c:pt idx="1481">
                  <c:v>3.7439689954440469E-2</c:v>
                </c:pt>
                <c:pt idx="1482">
                  <c:v>3.7437272424768464E-2</c:v>
                </c:pt>
                <c:pt idx="1483">
                  <c:v>3.7434847154528272E-2</c:v>
                </c:pt>
                <c:pt idx="1484">
                  <c:v>3.7432414144044079E-2</c:v>
                </c:pt>
                <c:pt idx="1485">
                  <c:v>3.7429973393072746E-2</c:v>
                </c:pt>
                <c:pt idx="1486">
                  <c:v>3.7427524901533227E-2</c:v>
                </c:pt>
                <c:pt idx="1487">
                  <c:v>3.742506866966866E-2</c:v>
                </c:pt>
                <c:pt idx="1488">
                  <c:v>3.7422604697397999E-2</c:v>
                </c:pt>
                <c:pt idx="1489">
                  <c:v>3.7420132984640198E-2</c:v>
                </c:pt>
                <c:pt idx="1490">
                  <c:v>3.7417653531395256E-2</c:v>
                </c:pt>
                <c:pt idx="1491">
                  <c:v>3.7415166337825267E-2</c:v>
                </c:pt>
                <c:pt idx="1492">
                  <c:v>3.7412671403768138E-2</c:v>
                </c:pt>
                <c:pt idx="1493">
                  <c:v>3.7410168729304916E-2</c:v>
                </c:pt>
                <c:pt idx="1494">
                  <c:v>3.7407658314435599E-2</c:v>
                </c:pt>
                <c:pt idx="1495">
                  <c:v>3.7405140159079142E-2</c:v>
                </c:pt>
                <c:pt idx="1496">
                  <c:v>3.7409556998072135E-2</c:v>
                </c:pt>
                <c:pt idx="1497">
                  <c:v>3.7400080627147947E-2</c:v>
                </c:pt>
                <c:pt idx="1498">
                  <c:v>3.7402741361208525E-2</c:v>
                </c:pt>
                <c:pt idx="1499">
                  <c:v>3.7394990133349237E-2</c:v>
                </c:pt>
                <c:pt idx="1500">
                  <c:v>3.7392433275881265E-2</c:v>
                </c:pt>
                <c:pt idx="1501">
                  <c:v>3.7389868678007199E-2</c:v>
                </c:pt>
                <c:pt idx="1502">
                  <c:v>3.7387296339645992E-2</c:v>
                </c:pt>
                <c:pt idx="1503">
                  <c:v>3.7384716260878692E-2</c:v>
                </c:pt>
                <c:pt idx="1504">
                  <c:v>3.7382128441624252E-2</c:v>
                </c:pt>
                <c:pt idx="1505">
                  <c:v>3.737953288212581E-2</c:v>
                </c:pt>
                <c:pt idx="1506">
                  <c:v>3.7376929581978136E-2</c:v>
                </c:pt>
                <c:pt idx="1507">
                  <c:v>3.7374318541505414E-2</c:v>
                </c:pt>
                <c:pt idx="1508">
                  <c:v>3.7371699760464505E-2</c:v>
                </c:pt>
                <c:pt idx="1509">
                  <c:v>3.7369073239179595E-2</c:v>
                </c:pt>
                <c:pt idx="1510">
                  <c:v>3.7366438977407546E-2</c:v>
                </c:pt>
                <c:pt idx="1511">
                  <c:v>3.7363796975148356E-2</c:v>
                </c:pt>
                <c:pt idx="1512">
                  <c:v>3.7361147232564118E-2</c:v>
                </c:pt>
                <c:pt idx="1513">
                  <c:v>3.735848974949274E-2</c:v>
                </c:pt>
                <c:pt idx="1514">
                  <c:v>3.7355824525934223E-2</c:v>
                </c:pt>
                <c:pt idx="1515">
                  <c:v>3.7353151561969611E-2</c:v>
                </c:pt>
                <c:pt idx="1516">
                  <c:v>3.7350470857598905E-2</c:v>
                </c:pt>
                <c:pt idx="1517">
                  <c:v>3.7347782412822106E-2</c:v>
                </c:pt>
                <c:pt idx="1518">
                  <c:v>3.7345086227639213E-2</c:v>
                </c:pt>
                <c:pt idx="1519">
                  <c:v>3.7342382302050225E-2</c:v>
                </c:pt>
                <c:pt idx="1520">
                  <c:v>3.7339670635893052E-2</c:v>
                </c:pt>
                <c:pt idx="1521">
                  <c:v>3.7336951229410831E-2</c:v>
                </c:pt>
                <c:pt idx="1522">
                  <c:v>3.733422408244147E-2</c:v>
                </c:pt>
                <c:pt idx="1523">
                  <c:v>3.7331489195228107E-2</c:v>
                </c:pt>
                <c:pt idx="1524">
                  <c:v>3.7328746567365512E-2</c:v>
                </c:pt>
                <c:pt idx="1525">
                  <c:v>3.7325996199177869E-2</c:v>
                </c:pt>
                <c:pt idx="1526">
                  <c:v>3.7323238090503086E-2</c:v>
                </c:pt>
                <c:pt idx="1527">
                  <c:v>3.7320472241422209E-2</c:v>
                </c:pt>
                <c:pt idx="1528">
                  <c:v>3.7317698652016285E-2</c:v>
                </c:pt>
                <c:pt idx="1529">
                  <c:v>3.731491732212322E-2</c:v>
                </c:pt>
                <c:pt idx="1530">
                  <c:v>3.7312128251743015E-2</c:v>
                </c:pt>
                <c:pt idx="1531">
                  <c:v>3.7309331440956717E-2</c:v>
                </c:pt>
                <c:pt idx="1532">
                  <c:v>3.7306526889845371E-2</c:v>
                </c:pt>
                <c:pt idx="1533">
                  <c:v>3.7302104099072864E-2</c:v>
                </c:pt>
                <c:pt idx="1534">
                  <c:v>3.7299279644048555E-2</c:v>
                </c:pt>
                <c:pt idx="1535">
                  <c:v>3.7296447448375014E-2</c:v>
                </c:pt>
                <c:pt idx="1536">
                  <c:v>3.7293607512457472E-2</c:v>
                </c:pt>
                <c:pt idx="1537">
                  <c:v>3.7290352393219983E-2</c:v>
                </c:pt>
                <c:pt idx="1538">
                  <c:v>3.7287495870613752E-2</c:v>
                </c:pt>
                <c:pt idx="1539">
                  <c:v>3.7284631607601426E-2</c:v>
                </c:pt>
                <c:pt idx="1540">
                  <c:v>3.7281759604101961E-2</c:v>
                </c:pt>
                <c:pt idx="1541">
                  <c:v>3.7278879860358494E-2</c:v>
                </c:pt>
                <c:pt idx="1542">
                  <c:v>3.7275992375884748E-2</c:v>
                </c:pt>
                <c:pt idx="1543">
                  <c:v>3.7273097151248047E-2</c:v>
                </c:pt>
                <c:pt idx="1544">
                  <c:v>3.727019418604316E-2</c:v>
                </c:pt>
                <c:pt idx="1545">
                  <c:v>3.7267283480432178E-2</c:v>
                </c:pt>
                <c:pt idx="1546">
                  <c:v>3.726436503449615E-2</c:v>
                </c:pt>
                <c:pt idx="1547">
                  <c:v>3.7261438848072981E-2</c:v>
                </c:pt>
                <c:pt idx="1548">
                  <c:v>3.7258504921243718E-2</c:v>
                </c:pt>
                <c:pt idx="1549">
                  <c:v>3.7255563253927315E-2</c:v>
                </c:pt>
                <c:pt idx="1550">
                  <c:v>3.7252613846285865E-2</c:v>
                </c:pt>
                <c:pt idx="1551">
                  <c:v>3.7249656698157274E-2</c:v>
                </c:pt>
                <c:pt idx="1552">
                  <c:v>3.724669180962259E-2</c:v>
                </c:pt>
                <c:pt idx="1553">
                  <c:v>3.7243719180762858E-2</c:v>
                </c:pt>
                <c:pt idx="1554">
                  <c:v>3.7240738811334939E-2</c:v>
                </c:pt>
                <c:pt idx="1555">
                  <c:v>3.7237750701500927E-2</c:v>
                </c:pt>
                <c:pt idx="1556">
                  <c:v>3.7234754851341867E-2</c:v>
                </c:pt>
                <c:pt idx="1557">
                  <c:v>3.7231751260776713E-2</c:v>
                </c:pt>
                <c:pt idx="1558">
                  <c:v>3.7228739929643373E-2</c:v>
                </c:pt>
                <c:pt idx="1559">
                  <c:v>3.7225720858184985E-2</c:v>
                </c:pt>
                <c:pt idx="1560">
                  <c:v>3.7222694046239457E-2</c:v>
                </c:pt>
                <c:pt idx="1561">
                  <c:v>3.7219659493968882E-2</c:v>
                </c:pt>
                <c:pt idx="1562">
                  <c:v>3.7216617201211166E-2</c:v>
                </c:pt>
                <c:pt idx="1563">
                  <c:v>3.7213567168047357E-2</c:v>
                </c:pt>
                <c:pt idx="1564">
                  <c:v>3.7210509394477453E-2</c:v>
                </c:pt>
                <c:pt idx="1565">
                  <c:v>3.7207443880501456E-2</c:v>
                </c:pt>
                <c:pt idx="1566">
                  <c:v>3.7204370626200411E-2</c:v>
                </c:pt>
                <c:pt idx="1567">
                  <c:v>3.7201289631250134E-2</c:v>
                </c:pt>
                <c:pt idx="1568">
                  <c:v>3.7198200896055855E-2</c:v>
                </c:pt>
                <c:pt idx="1569">
                  <c:v>3.7195104420374436E-2</c:v>
                </c:pt>
                <c:pt idx="1570">
                  <c:v>3.7192000204286924E-2</c:v>
                </c:pt>
                <c:pt idx="1571">
                  <c:v>3.7188888247793317E-2</c:v>
                </c:pt>
                <c:pt idx="1572">
                  <c:v>3.7185768550893616E-2</c:v>
                </c:pt>
                <c:pt idx="1573">
                  <c:v>3.7182641113506776E-2</c:v>
                </c:pt>
                <c:pt idx="1574">
                  <c:v>3.7179505935794888E-2</c:v>
                </c:pt>
                <c:pt idx="1575">
                  <c:v>3.7176363017595859E-2</c:v>
                </c:pt>
                <c:pt idx="1576">
                  <c:v>3.7173212358990737E-2</c:v>
                </c:pt>
                <c:pt idx="1577">
                  <c:v>3.7170053960141614E-2</c:v>
                </c:pt>
                <c:pt idx="1578">
                  <c:v>3.7166887820562211E-2</c:v>
                </c:pt>
                <c:pt idx="1579">
                  <c:v>3.7163713940819854E-2</c:v>
                </c:pt>
                <c:pt idx="1580">
                  <c:v>3.716053232050931E-2</c:v>
                </c:pt>
                <c:pt idx="1581">
                  <c:v>3.7157342959873718E-2</c:v>
                </c:pt>
                <c:pt idx="1582">
                  <c:v>3.7154145858832033E-2</c:v>
                </c:pt>
                <c:pt idx="1583">
                  <c:v>3.7150941017222161E-2</c:v>
                </c:pt>
                <c:pt idx="1584">
                  <c:v>3.7147728435368288E-2</c:v>
                </c:pt>
                <c:pt idx="1585">
                  <c:v>3.7144508113027275E-2</c:v>
                </c:pt>
                <c:pt idx="1586">
                  <c:v>3.7141280050361214E-2</c:v>
                </c:pt>
                <c:pt idx="1587">
                  <c:v>3.7138044247126967E-2</c:v>
                </c:pt>
                <c:pt idx="1588">
                  <c:v>3.7134800703567672E-2</c:v>
                </c:pt>
                <c:pt idx="1589">
                  <c:v>3.7131084318500207E-2</c:v>
                </c:pt>
                <c:pt idx="1590">
                  <c:v>3.7127824188333269E-2</c:v>
                </c:pt>
                <c:pt idx="1591">
                  <c:v>3.7124556317841284E-2</c:v>
                </c:pt>
                <c:pt idx="1592">
                  <c:v>3.7121280706781112E-2</c:v>
                </c:pt>
                <c:pt idx="1593">
                  <c:v>3.7117997355476939E-2</c:v>
                </c:pt>
                <c:pt idx="1594">
                  <c:v>3.7114706263523534E-2</c:v>
                </c:pt>
                <c:pt idx="1595">
                  <c:v>3.7111407431326127E-2</c:v>
                </c:pt>
                <c:pt idx="1596">
                  <c:v>3.7108100858722626E-2</c:v>
                </c:pt>
                <c:pt idx="1597">
                  <c:v>3.7104786545631985E-2</c:v>
                </c:pt>
                <c:pt idx="1598">
                  <c:v>3.710146449213525E-2</c:v>
                </c:pt>
                <c:pt idx="1599">
                  <c:v>3.7098134698232421E-2</c:v>
                </c:pt>
                <c:pt idx="1600">
                  <c:v>3.7094797164004545E-2</c:v>
                </c:pt>
                <c:pt idx="1601">
                  <c:v>3.7091451889208482E-2</c:v>
                </c:pt>
                <c:pt idx="1602">
                  <c:v>3.7088098874087372E-2</c:v>
                </c:pt>
                <c:pt idx="1603">
                  <c:v>3.7084738118560168E-2</c:v>
                </c:pt>
                <c:pt idx="1604">
                  <c:v>3.708136962262687E-2</c:v>
                </c:pt>
                <c:pt idx="1605">
                  <c:v>3.7077993386287478E-2</c:v>
                </c:pt>
                <c:pt idx="1606">
                  <c:v>3.7074609409541992E-2</c:v>
                </c:pt>
                <c:pt idx="1607">
                  <c:v>3.7071217692309366E-2</c:v>
                </c:pt>
                <c:pt idx="1608">
                  <c:v>3.7067818234751693E-2</c:v>
                </c:pt>
                <c:pt idx="1609">
                  <c:v>3.7064411036787925E-2</c:v>
                </c:pt>
                <c:pt idx="1610">
                  <c:v>3.7060996098337018E-2</c:v>
                </c:pt>
                <c:pt idx="1611">
                  <c:v>3.7057573419561063E-2</c:v>
                </c:pt>
                <c:pt idx="1612">
                  <c:v>3.7054143000216921E-2</c:v>
                </c:pt>
                <c:pt idx="1613">
                  <c:v>3.7050704840628779E-2</c:v>
                </c:pt>
                <c:pt idx="1614">
                  <c:v>3.7047258940553496E-2</c:v>
                </c:pt>
                <c:pt idx="1615">
                  <c:v>3.7043805300153165E-2</c:v>
                </c:pt>
                <c:pt idx="1616">
                  <c:v>3.7040343919265695E-2</c:v>
                </c:pt>
                <c:pt idx="1617">
                  <c:v>3.7036874798053177E-2</c:v>
                </c:pt>
                <c:pt idx="1618">
                  <c:v>3.7033397936353518E-2</c:v>
                </c:pt>
                <c:pt idx="1619">
                  <c:v>3.7029913334247766E-2</c:v>
                </c:pt>
                <c:pt idx="1620">
                  <c:v>3.702642099173592E-2</c:v>
                </c:pt>
                <c:pt idx="1621">
                  <c:v>3.7022920908899026E-2</c:v>
                </c:pt>
                <c:pt idx="1622">
                  <c:v>3.7019413085493946E-2</c:v>
                </c:pt>
                <c:pt idx="1623">
                  <c:v>3.7015897521844865E-2</c:v>
                </c:pt>
                <c:pt idx="1624">
                  <c:v>3.7012374217708643E-2</c:v>
                </c:pt>
                <c:pt idx="1625">
                  <c:v>3.7008843173247374E-2</c:v>
                </c:pt>
                <c:pt idx="1626">
                  <c:v>3.7005304388217919E-2</c:v>
                </c:pt>
                <c:pt idx="1627">
                  <c:v>3.7001757862944462E-2</c:v>
                </c:pt>
                <c:pt idx="1628">
                  <c:v>3.6998203597183865E-2</c:v>
                </c:pt>
                <c:pt idx="1629">
                  <c:v>3.6994641591017174E-2</c:v>
                </c:pt>
                <c:pt idx="1630">
                  <c:v>3.699107184444439E-2</c:v>
                </c:pt>
                <c:pt idx="1631">
                  <c:v>3.6987494357465511E-2</c:v>
                </c:pt>
                <c:pt idx="1632">
                  <c:v>3.6983909130080539E-2</c:v>
                </c:pt>
                <c:pt idx="1633">
                  <c:v>3.6980316162370519E-2</c:v>
                </c:pt>
                <c:pt idx="1634">
                  <c:v>3.6976715454092313E-2</c:v>
                </c:pt>
                <c:pt idx="1635">
                  <c:v>3.6973107005570105E-2</c:v>
                </c:pt>
                <c:pt idx="1636">
                  <c:v>3.6969490816641803E-2</c:v>
                </c:pt>
                <c:pt idx="1637">
                  <c:v>3.6965866887145316E-2</c:v>
                </c:pt>
                <c:pt idx="1638">
                  <c:v>3.6962235217485873E-2</c:v>
                </c:pt>
                <c:pt idx="1639">
                  <c:v>3.6958595807258243E-2</c:v>
                </c:pt>
                <c:pt idx="1640">
                  <c:v>3.6954948656705566E-2</c:v>
                </c:pt>
                <c:pt idx="1641">
                  <c:v>3.6950771006537542E-2</c:v>
                </c:pt>
                <c:pt idx="1642">
                  <c:v>3.6947107269296176E-2</c:v>
                </c:pt>
                <c:pt idx="1643">
                  <c:v>3.6943435791729762E-2</c:v>
                </c:pt>
                <c:pt idx="1644">
                  <c:v>3.6939756573757254E-2</c:v>
                </c:pt>
                <c:pt idx="1645">
                  <c:v>3.6936069615378653E-2</c:v>
                </c:pt>
                <c:pt idx="1646">
                  <c:v>3.6932374916593957E-2</c:v>
                </c:pt>
                <c:pt idx="1647">
                  <c:v>3.6928672477403168E-2</c:v>
                </c:pt>
                <c:pt idx="1648">
                  <c:v>3.6924962297806285E-2</c:v>
                </c:pt>
                <c:pt idx="1649">
                  <c:v>3.6921244377803308E-2</c:v>
                </c:pt>
                <c:pt idx="1650">
                  <c:v>3.6917518717475284E-2</c:v>
                </c:pt>
                <c:pt idx="1651">
                  <c:v>3.6920183826288477E-2</c:v>
                </c:pt>
                <c:pt idx="1652">
                  <c:v>3.6910044175519907E-2</c:v>
                </c:pt>
                <c:pt idx="1653">
                  <c:v>3.6906295293892555E-2</c:v>
                </c:pt>
                <c:pt idx="1654">
                  <c:v>3.6902538671940155E-2</c:v>
                </c:pt>
                <c:pt idx="1655">
                  <c:v>3.6898774309500615E-2</c:v>
                </c:pt>
                <c:pt idx="1656">
                  <c:v>3.6895002206736027E-2</c:v>
                </c:pt>
                <c:pt idx="1657">
                  <c:v>3.6891222363565346E-2</c:v>
                </c:pt>
                <c:pt idx="1658">
                  <c:v>3.688743477998857E-2</c:v>
                </c:pt>
                <c:pt idx="1659">
                  <c:v>3.6883639456005701E-2</c:v>
                </c:pt>
                <c:pt idx="1660">
                  <c:v>3.6879836391535692E-2</c:v>
                </c:pt>
                <c:pt idx="1661">
                  <c:v>3.6876025586902728E-2</c:v>
                </c:pt>
                <c:pt idx="1662">
                  <c:v>3.6872207041701577E-2</c:v>
                </c:pt>
                <c:pt idx="1663">
                  <c:v>3.6868380756175378E-2</c:v>
                </c:pt>
                <c:pt idx="1664">
                  <c:v>3.6864546730080994E-2</c:v>
                </c:pt>
                <c:pt idx="1665">
                  <c:v>3.6860704963742608E-2</c:v>
                </c:pt>
                <c:pt idx="1666">
                  <c:v>3.6856855456998128E-2</c:v>
                </c:pt>
                <c:pt idx="1667">
                  <c:v>3.6852998209766508E-2</c:v>
                </c:pt>
                <c:pt idx="1668">
                  <c:v>3.6849133222290886E-2</c:v>
                </c:pt>
                <c:pt idx="1669">
                  <c:v>3.6845260494328125E-2</c:v>
                </c:pt>
                <c:pt idx="1670">
                  <c:v>3.6841380025959269E-2</c:v>
                </c:pt>
                <c:pt idx="1671">
                  <c:v>3.6837491817265366E-2</c:v>
                </c:pt>
                <c:pt idx="1672">
                  <c:v>3.683359586816537E-2</c:v>
                </c:pt>
                <c:pt idx="1673">
                  <c:v>3.6829692178578233E-2</c:v>
                </c:pt>
                <c:pt idx="1674">
                  <c:v>3.6825780748585002E-2</c:v>
                </c:pt>
                <c:pt idx="1675">
                  <c:v>3.682186157834777E-2</c:v>
                </c:pt>
                <c:pt idx="1676">
                  <c:v>3.6817934667542351E-2</c:v>
                </c:pt>
                <c:pt idx="1677">
                  <c:v>3.6814000016492932E-2</c:v>
                </c:pt>
                <c:pt idx="1678">
                  <c:v>3.6810057625037418E-2</c:v>
                </c:pt>
                <c:pt idx="1679">
                  <c:v>3.680610749317581E-2</c:v>
                </c:pt>
                <c:pt idx="1680">
                  <c:v>3.6802149620746016E-2</c:v>
                </c:pt>
                <c:pt idx="1681">
                  <c:v>3.6798184008072221E-2</c:v>
                </c:pt>
                <c:pt idx="1682">
                  <c:v>3.6794210654992332E-2</c:v>
                </c:pt>
                <c:pt idx="1683">
                  <c:v>3.6790229561587395E-2</c:v>
                </c:pt>
                <c:pt idx="1684">
                  <c:v>3.6786240727695318E-2</c:v>
                </c:pt>
                <c:pt idx="1685">
                  <c:v>3.6782244153478194E-2</c:v>
                </c:pt>
                <c:pt idx="1686">
                  <c:v>3.677823983877393E-2</c:v>
                </c:pt>
                <c:pt idx="1687">
                  <c:v>3.6774227783744617E-2</c:v>
                </c:pt>
                <c:pt idx="1688">
                  <c:v>3.6770207988309211E-2</c:v>
                </c:pt>
                <c:pt idx="1689">
                  <c:v>3.6766180452467712E-2</c:v>
                </c:pt>
                <c:pt idx="1690">
                  <c:v>3.676214517638221E-2</c:v>
                </c:pt>
                <c:pt idx="1691">
                  <c:v>3.6758102159647477E-2</c:v>
                </c:pt>
                <c:pt idx="1692">
                  <c:v>3.6754051402749788E-2</c:v>
                </c:pt>
                <c:pt idx="1693">
                  <c:v>3.6752531920440187E-2</c:v>
                </c:pt>
                <c:pt idx="1694">
                  <c:v>3.6748462651896581E-2</c:v>
                </c:pt>
                <c:pt idx="1695">
                  <c:v>3.6744385641515061E-2</c:v>
                </c:pt>
                <c:pt idx="1696">
                  <c:v>3.6740300889268614E-2</c:v>
                </c:pt>
                <c:pt idx="1697">
                  <c:v>3.673620839515724E-2</c:v>
                </c:pt>
                <c:pt idx="1698">
                  <c:v>3.6732108159180939E-2</c:v>
                </c:pt>
                <c:pt idx="1699">
                  <c:v>3.6728000181339711E-2</c:v>
                </c:pt>
                <c:pt idx="1700">
                  <c:v>3.6723884461687582E-2</c:v>
                </c:pt>
                <c:pt idx="1701">
                  <c:v>3.6719761000143521E-2</c:v>
                </c:pt>
                <c:pt idx="1702">
                  <c:v>3.6710164686007962E-2</c:v>
                </c:pt>
                <c:pt idx="1703">
                  <c:v>3.6706023255909104E-2</c:v>
                </c:pt>
                <c:pt idx="1704">
                  <c:v>3.6701874085404151E-2</c:v>
                </c:pt>
                <c:pt idx="1705">
                  <c:v>3.6699264731747672E-2</c:v>
                </c:pt>
                <c:pt idx="1706">
                  <c:v>3.6693552523257011E-2</c:v>
                </c:pt>
                <c:pt idx="1707">
                  <c:v>3.6689380131614824E-2</c:v>
                </c:pt>
                <c:pt idx="1708">
                  <c:v>3.6685200565998999E-2</c:v>
                </c:pt>
                <c:pt idx="1709">
                  <c:v>3.6681029687166689E-2</c:v>
                </c:pt>
                <c:pt idx="1710">
                  <c:v>3.6676874859064013E-2</c:v>
                </c:pt>
                <c:pt idx="1711">
                  <c:v>3.6672736081772017E-2</c:v>
                </c:pt>
                <c:pt idx="1712">
                  <c:v>3.666861335512861E-2</c:v>
                </c:pt>
                <c:pt idx="1713">
                  <c:v>3.666450667913379E-2</c:v>
                </c:pt>
                <c:pt idx="1714">
                  <c:v>3.6660416053787559E-2</c:v>
                </c:pt>
                <c:pt idx="1715">
                  <c:v>3.6656341479333054E-2</c:v>
                </c:pt>
                <c:pt idx="1716">
                  <c:v>3.6652282955446092E-2</c:v>
                </c:pt>
                <c:pt idx="1717">
                  <c:v>3.6648240482288763E-2</c:v>
                </c:pt>
                <c:pt idx="1718">
                  <c:v>3.6644214059861069E-2</c:v>
                </c:pt>
                <c:pt idx="1719">
                  <c:v>3.6640203688081963E-2</c:v>
                </c:pt>
                <c:pt idx="1720">
                  <c:v>3.6636209367032491E-2</c:v>
                </c:pt>
                <c:pt idx="1721">
                  <c:v>3.6632231096712653E-2</c:v>
                </c:pt>
                <c:pt idx="1722">
                  <c:v>3.662826887712245E-2</c:v>
                </c:pt>
                <c:pt idx="1723">
                  <c:v>3.6624322708180834E-2</c:v>
                </c:pt>
                <c:pt idx="1724">
                  <c:v>3.6620392589968853E-2</c:v>
                </c:pt>
                <c:pt idx="1725">
                  <c:v>3.661647852240546E-2</c:v>
                </c:pt>
                <c:pt idx="1726">
                  <c:v>3.6612580505571701E-2</c:v>
                </c:pt>
                <c:pt idx="1727">
                  <c:v>3.6608698539467577E-2</c:v>
                </c:pt>
                <c:pt idx="1728">
                  <c:v>3.660483262401204E-2</c:v>
                </c:pt>
                <c:pt idx="1729">
                  <c:v>3.6600982759286138E-2</c:v>
                </c:pt>
                <c:pt idx="1730">
                  <c:v>3.6597148945208824E-2</c:v>
                </c:pt>
                <c:pt idx="1731">
                  <c:v>3.6593331181861144E-2</c:v>
                </c:pt>
                <c:pt idx="1732">
                  <c:v>3.6589529469243098E-2</c:v>
                </c:pt>
                <c:pt idx="1733">
                  <c:v>3.6585743807273641E-2</c:v>
                </c:pt>
                <c:pt idx="1734">
                  <c:v>3.6581974196033817E-2</c:v>
                </c:pt>
                <c:pt idx="1735">
                  <c:v>3.6578220635523628E-2</c:v>
                </c:pt>
                <c:pt idx="1736">
                  <c:v>3.6574483125662027E-2</c:v>
                </c:pt>
                <c:pt idx="1737">
                  <c:v>3.6570761666530061E-2</c:v>
                </c:pt>
                <c:pt idx="1738">
                  <c:v>3.6567056257884589E-2</c:v>
                </c:pt>
                <c:pt idx="1739">
                  <c:v>3.6563366900130845E-2</c:v>
                </c:pt>
                <c:pt idx="1740">
                  <c:v>3.6558647024814706E-2</c:v>
                </c:pt>
                <c:pt idx="1741">
                  <c:v>3.6554994354361936E-2</c:v>
                </c:pt>
                <c:pt idx="1742">
                  <c:v>3.6551357734557754E-2</c:v>
                </c:pt>
                <c:pt idx="1743">
                  <c:v>3.6547737165483207E-2</c:v>
                </c:pt>
                <c:pt idx="1744">
                  <c:v>3.6544132647057248E-2</c:v>
                </c:pt>
                <c:pt idx="1745">
                  <c:v>3.6540544179360923E-2</c:v>
                </c:pt>
                <c:pt idx="1746">
                  <c:v>3.653697176223214E-2</c:v>
                </c:pt>
                <c:pt idx="1747">
                  <c:v>3.6533415395914037E-2</c:v>
                </c:pt>
                <c:pt idx="1748">
                  <c:v>3.6529875080244523E-2</c:v>
                </c:pt>
                <c:pt idx="1749">
                  <c:v>3.6526350815304642E-2</c:v>
                </c:pt>
                <c:pt idx="1750">
                  <c:v>3.652284260101335E-2</c:v>
                </c:pt>
                <c:pt idx="1751">
                  <c:v>3.6519350437451692E-2</c:v>
                </c:pt>
                <c:pt idx="1752">
                  <c:v>3.6515874324538622E-2</c:v>
                </c:pt>
                <c:pt idx="1753">
                  <c:v>3.651241426227414E-2</c:v>
                </c:pt>
                <c:pt idx="1754">
                  <c:v>3.6508970250739292E-2</c:v>
                </c:pt>
                <c:pt idx="1755">
                  <c:v>3.6505542289853032E-2</c:v>
                </c:pt>
                <c:pt idx="1756">
                  <c:v>3.6508460017540711E-2</c:v>
                </c:pt>
                <c:pt idx="1757">
                  <c:v>3.6501417007063962E-2</c:v>
                </c:pt>
                <c:pt idx="1758">
                  <c:v>3.6498041109146825E-2</c:v>
                </c:pt>
                <c:pt idx="1759">
                  <c:v>3.6494681265228188E-2</c:v>
                </c:pt>
                <c:pt idx="1760">
                  <c:v>3.6491337475227002E-2</c:v>
                </c:pt>
                <c:pt idx="1761">
                  <c:v>3.6488009739224322E-2</c:v>
                </c:pt>
                <c:pt idx="1762">
                  <c:v>3.6484698057112082E-2</c:v>
                </c:pt>
                <c:pt idx="1763">
                  <c:v>3.6482990732615017E-2</c:v>
                </c:pt>
                <c:pt idx="1764">
                  <c:v>3.647812285480205E-2</c:v>
                </c:pt>
                <c:pt idx="1765">
                  <c:v>3.647485933452322E-2</c:v>
                </c:pt>
                <c:pt idx="1766">
                  <c:v>3.6471611868269901E-2</c:v>
                </c:pt>
                <c:pt idx="1767">
                  <c:v>3.6468380455907022E-2</c:v>
                </c:pt>
                <c:pt idx="1768">
                  <c:v>3.6465165097515635E-2</c:v>
                </c:pt>
                <c:pt idx="1769">
                  <c:v>3.6461965793041694E-2</c:v>
                </c:pt>
                <c:pt idx="1770">
                  <c:v>3.6458782542539245E-2</c:v>
                </c:pt>
                <c:pt idx="1771">
                  <c:v>3.6457210247987648E-2</c:v>
                </c:pt>
                <c:pt idx="1772">
                  <c:v>3.6452464203313724E-2</c:v>
                </c:pt>
                <c:pt idx="1773">
                  <c:v>3.6449329114617665E-2</c:v>
                </c:pt>
                <c:pt idx="1774">
                  <c:v>3.6446210079839066E-2</c:v>
                </c:pt>
                <c:pt idx="1775">
                  <c:v>3.6443107099004932E-2</c:v>
                </c:pt>
                <c:pt idx="1776">
                  <c:v>3.6440020172088257E-2</c:v>
                </c:pt>
                <c:pt idx="1777">
                  <c:v>3.6436949299143061E-2</c:v>
                </c:pt>
                <c:pt idx="1778">
                  <c:v>3.6433894480088311E-2</c:v>
                </c:pt>
                <c:pt idx="1779">
                  <c:v>3.6430855715005046E-2</c:v>
                </c:pt>
                <c:pt idx="1780">
                  <c:v>3.642943545376004E-2</c:v>
                </c:pt>
                <c:pt idx="1781">
                  <c:v>3.6424826346536841E-2</c:v>
                </c:pt>
                <c:pt idx="1782">
                  <c:v>3.6421835743232954E-2</c:v>
                </c:pt>
                <c:pt idx="1783">
                  <c:v>3.6418861193819506E-2</c:v>
                </c:pt>
                <c:pt idx="1784">
                  <c:v>3.6415902698377543E-2</c:v>
                </c:pt>
                <c:pt idx="1785">
                  <c:v>3.6412960256799007E-2</c:v>
                </c:pt>
                <c:pt idx="1786">
                  <c:v>3.6410033869191956E-2</c:v>
                </c:pt>
                <c:pt idx="1787">
                  <c:v>3.6407123535448324E-2</c:v>
                </c:pt>
                <c:pt idx="1788">
                  <c:v>3.6404229255703198E-2</c:v>
                </c:pt>
                <c:pt idx="1789">
                  <c:v>3.6401351029821491E-2</c:v>
                </c:pt>
                <c:pt idx="1790">
                  <c:v>3.6398488857857243E-2</c:v>
                </c:pt>
                <c:pt idx="1791">
                  <c:v>3.6395642739783428E-2</c:v>
                </c:pt>
                <c:pt idx="1792">
                  <c:v>3.6392812675654092E-2</c:v>
                </c:pt>
                <c:pt idx="1793">
                  <c:v>3.6389998665469221E-2</c:v>
                </c:pt>
                <c:pt idx="1794">
                  <c:v>3.638720070914777E-2</c:v>
                </c:pt>
                <c:pt idx="1795">
                  <c:v>3.6384418806770798E-2</c:v>
                </c:pt>
                <c:pt idx="1796">
                  <c:v>3.6383269151965825E-2</c:v>
                </c:pt>
                <c:pt idx="1797">
                  <c:v>3.6378903163742191E-2</c:v>
                </c:pt>
                <c:pt idx="1798">
                  <c:v>3.6376169423063549E-2</c:v>
                </c:pt>
                <c:pt idx="1799">
                  <c:v>3.6373451736329374E-2</c:v>
                </c:pt>
                <c:pt idx="1800">
                  <c:v>3.6370750103458624E-2</c:v>
                </c:pt>
                <c:pt idx="1801">
                  <c:v>3.6368064524505327E-2</c:v>
                </c:pt>
                <c:pt idx="1802">
                  <c:v>3.6365394999469489E-2</c:v>
                </c:pt>
                <c:pt idx="1803">
                  <c:v>3.6362741528351103E-2</c:v>
                </c:pt>
                <c:pt idx="1804">
                  <c:v>3.6360104111123157E-2</c:v>
                </c:pt>
                <c:pt idx="1805">
                  <c:v>3.6357482747758636E-2</c:v>
                </c:pt>
                <c:pt idx="1806">
                  <c:v>3.6350145471619744E-2</c:v>
                </c:pt>
                <c:pt idx="1807">
                  <c:v>3.6347563610482636E-2</c:v>
                </c:pt>
                <c:pt idx="1808">
                  <c:v>3.6344997800318302E-2</c:v>
                </c:pt>
                <c:pt idx="1809">
                  <c:v>3.634244804047837E-2</c:v>
                </c:pt>
                <c:pt idx="1810">
                  <c:v>3.6339914331530165E-2</c:v>
                </c:pt>
                <c:pt idx="1811">
                  <c:v>3.6337396673068456E-2</c:v>
                </c:pt>
                <c:pt idx="1812">
                  <c:v>3.6334895065255335E-2</c:v>
                </c:pt>
                <c:pt idx="1813">
                  <c:v>3.6332409508252894E-2</c:v>
                </c:pt>
                <c:pt idx="1814">
                  <c:v>3.6329940001899041E-2</c:v>
                </c:pt>
                <c:pt idx="1815">
                  <c:v>3.6327486546193777E-2</c:v>
                </c:pt>
                <c:pt idx="1816">
                  <c:v>3.6325049141056054E-2</c:v>
                </c:pt>
                <c:pt idx="1817">
                  <c:v>3.6322627786810058E-2</c:v>
                </c:pt>
                <c:pt idx="1818">
                  <c:v>3.6320222482888465E-2</c:v>
                </c:pt>
                <c:pt idx="1819">
                  <c:v>3.6317833229858598E-2</c:v>
                </c:pt>
                <c:pt idx="1820">
                  <c:v>3.6315460027396274E-2</c:v>
                </c:pt>
                <c:pt idx="1821">
                  <c:v>3.6313102875663583E-2</c:v>
                </c:pt>
                <c:pt idx="1822">
                  <c:v>3.6310761774498435E-2</c:v>
                </c:pt>
                <c:pt idx="1823">
                  <c:v>3.6308436724143967E-2</c:v>
                </c:pt>
                <c:pt idx="1824">
                  <c:v>3.6306127724275994E-2</c:v>
                </c:pt>
                <c:pt idx="1825">
                  <c:v>3.6303834775137656E-2</c:v>
                </c:pt>
                <c:pt idx="1826">
                  <c:v>3.6301557876647905E-2</c:v>
                </c:pt>
                <c:pt idx="1827">
                  <c:v>3.6299297028806743E-2</c:v>
                </c:pt>
                <c:pt idx="1828">
                  <c:v>3.6297052231776261E-2</c:v>
                </c:pt>
                <c:pt idx="1829">
                  <c:v>3.6294823485232275E-2</c:v>
                </c:pt>
                <c:pt idx="1830">
                  <c:v>3.6292610789417923E-2</c:v>
                </c:pt>
                <c:pt idx="1831">
                  <c:v>3.6290414144171113E-2</c:v>
                </c:pt>
                <c:pt idx="1832">
                  <c:v>3.6288233549653937E-2</c:v>
                </c:pt>
                <c:pt idx="1833">
                  <c:v>3.6286069005785349E-2</c:v>
                </c:pt>
                <c:pt idx="1834">
                  <c:v>3.6283920512565349E-2</c:v>
                </c:pt>
                <c:pt idx="1835">
                  <c:v>3.6281788070074983E-2</c:v>
                </c:pt>
                <c:pt idx="1836">
                  <c:v>3.6279671678071113E-2</c:v>
                </c:pt>
                <c:pt idx="1837">
                  <c:v>3.6277571336877923E-2</c:v>
                </c:pt>
                <c:pt idx="1838">
                  <c:v>3.6275487046252275E-2</c:v>
                </c:pt>
                <c:pt idx="1839">
                  <c:v>3.6273418806356261E-2</c:v>
                </c:pt>
                <c:pt idx="1840">
                  <c:v>3.6271366616946743E-2</c:v>
                </c:pt>
                <c:pt idx="1841">
                  <c:v>3.6269330478347905E-2</c:v>
                </c:pt>
                <c:pt idx="1842">
                  <c:v>3.6267310390397656E-2</c:v>
                </c:pt>
                <c:pt idx="1843">
                  <c:v>3.6265306353014948E-2</c:v>
                </c:pt>
                <c:pt idx="1844">
                  <c:v>3.6263318366361874E-2</c:v>
                </c:pt>
                <c:pt idx="1845">
                  <c:v>3.6261346430357388E-2</c:v>
                </c:pt>
                <c:pt idx="1846">
                  <c:v>3.6259390545001491E-2</c:v>
                </c:pt>
                <c:pt idx="1847">
                  <c:v>3.6257450710213135E-2</c:v>
                </c:pt>
                <c:pt idx="1848">
                  <c:v>3.625552692623546E-2</c:v>
                </c:pt>
                <c:pt idx="1849">
                  <c:v>3.625361919274428E-2</c:v>
                </c:pt>
                <c:pt idx="1850">
                  <c:v>3.6251727509982734E-2</c:v>
                </c:pt>
                <c:pt idx="1851">
                  <c:v>3.6249851877950823E-2</c:v>
                </c:pt>
                <c:pt idx="1852">
                  <c:v>3.6247992296405407E-2</c:v>
                </c:pt>
                <c:pt idx="1853">
                  <c:v>3.6246148765508579E-2</c:v>
                </c:pt>
                <c:pt idx="1854">
                  <c:v>3.6244321285422432E-2</c:v>
                </c:pt>
                <c:pt idx="1855">
                  <c:v>3.6242509855984872E-2</c:v>
                </c:pt>
                <c:pt idx="1856">
                  <c:v>3.6240714477033809E-2</c:v>
                </c:pt>
                <c:pt idx="1857">
                  <c:v>3.6238935148812379E-2</c:v>
                </c:pt>
                <c:pt idx="1858">
                  <c:v>3.6237171871320584E-2</c:v>
                </c:pt>
                <c:pt idx="1859">
                  <c:v>3.623542464439633E-2</c:v>
                </c:pt>
                <c:pt idx="1860">
                  <c:v>3.6233693468201711E-2</c:v>
                </c:pt>
                <c:pt idx="1861">
                  <c:v>3.6231978342493587E-2</c:v>
                </c:pt>
                <c:pt idx="1862">
                  <c:v>3.6230279267515098E-2</c:v>
                </c:pt>
                <c:pt idx="1863">
                  <c:v>3.6228596243266242E-2</c:v>
                </c:pt>
                <c:pt idx="1864">
                  <c:v>3.6226929269665975E-2</c:v>
                </c:pt>
                <c:pt idx="1865">
                  <c:v>3.6225278346552203E-2</c:v>
                </c:pt>
                <c:pt idx="1866">
                  <c:v>3.6223643474330158E-2</c:v>
                </c:pt>
                <c:pt idx="1867">
                  <c:v>3.6222024652432516E-2</c:v>
                </c:pt>
                <c:pt idx="1868">
                  <c:v>3.6220421881345555E-2</c:v>
                </c:pt>
                <c:pt idx="1869">
                  <c:v>3.6218835160988228E-2</c:v>
                </c:pt>
                <c:pt idx="1870">
                  <c:v>3.6217264491198442E-2</c:v>
                </c:pt>
                <c:pt idx="1871">
                  <c:v>3.6215709872057245E-2</c:v>
                </c:pt>
                <c:pt idx="1872">
                  <c:v>3.6214171303645681E-2</c:v>
                </c:pt>
                <c:pt idx="1873">
                  <c:v>3.6212648785720614E-2</c:v>
                </c:pt>
                <c:pt idx="1874">
                  <c:v>3.6211142318444134E-2</c:v>
                </c:pt>
                <c:pt idx="1875">
                  <c:v>3.6209651902059381E-2</c:v>
                </c:pt>
                <c:pt idx="1876">
                  <c:v>3.6208177536080077E-2</c:v>
                </c:pt>
                <c:pt idx="1877">
                  <c:v>3.6206719220749362E-2</c:v>
                </c:pt>
                <c:pt idx="1878">
                  <c:v>3.620527695614828E-2</c:v>
                </c:pt>
                <c:pt idx="1879">
                  <c:v>3.6203850742195787E-2</c:v>
                </c:pt>
                <c:pt idx="1880">
                  <c:v>3.6202440578891881E-2</c:v>
                </c:pt>
                <c:pt idx="1881">
                  <c:v>3.6201046466236564E-2</c:v>
                </c:pt>
                <c:pt idx="1882">
                  <c:v>3.6199668404229834E-2</c:v>
                </c:pt>
                <c:pt idx="1883">
                  <c:v>3.6198306392790647E-2</c:v>
                </c:pt>
                <c:pt idx="1884">
                  <c:v>3.619696043216214E-2</c:v>
                </c:pt>
                <c:pt idx="1885">
                  <c:v>3.6195630521939082E-2</c:v>
                </c:pt>
                <c:pt idx="1886">
                  <c:v>3.6194316662445658E-2</c:v>
                </c:pt>
                <c:pt idx="1887">
                  <c:v>3.6193018853681869E-2</c:v>
                </c:pt>
                <c:pt idx="1888">
                  <c:v>3.6191737095566667E-2</c:v>
                </c:pt>
                <c:pt idx="1889">
                  <c:v>3.6190471388019008E-2</c:v>
                </c:pt>
                <c:pt idx="1890">
                  <c:v>3.6189221731119936E-2</c:v>
                </c:pt>
                <c:pt idx="1891">
                  <c:v>3.6187988124869452E-2</c:v>
                </c:pt>
                <c:pt idx="1892">
                  <c:v>3.618677056918651E-2</c:v>
                </c:pt>
                <c:pt idx="1893">
                  <c:v>3.6185569064314249E-2</c:v>
                </c:pt>
                <c:pt idx="1894">
                  <c:v>3.618438361000953E-2</c:v>
                </c:pt>
                <c:pt idx="1895">
                  <c:v>3.6183214206434444E-2</c:v>
                </c:pt>
                <c:pt idx="1896">
                  <c:v>3.6182060853345854E-2</c:v>
                </c:pt>
                <c:pt idx="1897">
                  <c:v>3.6180923550905852E-2</c:v>
                </c:pt>
                <c:pt idx="1898">
                  <c:v>3.6179802299195485E-2</c:v>
                </c:pt>
                <c:pt idx="1899">
                  <c:v>3.6178697098052659E-2</c:v>
                </c:pt>
                <c:pt idx="1900">
                  <c:v>3.6177453664940629E-2</c:v>
                </c:pt>
                <c:pt idx="1901">
                  <c:v>3.6176382858056355E-2</c:v>
                </c:pt>
                <c:pt idx="1902">
                  <c:v>3.6175328101901716E-2</c:v>
                </c:pt>
                <c:pt idx="1903">
                  <c:v>3.6174289396314618E-2</c:v>
                </c:pt>
                <c:pt idx="1904">
                  <c:v>3.6173266741214016E-2</c:v>
                </c:pt>
                <c:pt idx="1905">
                  <c:v>3.6172260137005141E-2</c:v>
                </c:pt>
                <c:pt idx="1906">
                  <c:v>3.6171269583282761E-2</c:v>
                </c:pt>
                <c:pt idx="1907">
                  <c:v>3.6170295080371062E-2</c:v>
                </c:pt>
                <c:pt idx="1908">
                  <c:v>3.6169336627864812E-2</c:v>
                </c:pt>
                <c:pt idx="1909">
                  <c:v>3.6168394226250289E-2</c:v>
                </c:pt>
                <c:pt idx="1910">
                  <c:v>3.6167467875122261E-2</c:v>
                </c:pt>
                <c:pt idx="1911">
                  <c:v>3.6166557574561775E-2</c:v>
                </c:pt>
                <c:pt idx="1912">
                  <c:v>3.6165663324730923E-2</c:v>
                </c:pt>
                <c:pt idx="1913">
                  <c:v>3.616478512554866E-2</c:v>
                </c:pt>
                <c:pt idx="1914">
                  <c:v>3.616392297709603E-2</c:v>
                </c:pt>
                <c:pt idx="1915">
                  <c:v>3.6163076879210942E-2</c:v>
                </c:pt>
                <c:pt idx="1916">
                  <c:v>3.6162246831893397E-2</c:v>
                </c:pt>
                <c:pt idx="1917">
                  <c:v>3.6161432835305485E-2</c:v>
                </c:pt>
                <c:pt idx="1918">
                  <c:v>3.6160634889285115E-2</c:v>
                </c:pt>
                <c:pt idx="1919">
                  <c:v>3.6159852993913333E-2</c:v>
                </c:pt>
                <c:pt idx="1920">
                  <c:v>3.6159087149352231E-2</c:v>
                </c:pt>
                <c:pt idx="1921">
                  <c:v>3.6158337355115533E-2</c:v>
                </c:pt>
                <c:pt idx="1922">
                  <c:v>3.6157603611770561E-2</c:v>
                </c:pt>
                <c:pt idx="1923">
                  <c:v>3.6156885918993131E-2</c:v>
                </c:pt>
                <c:pt idx="1924">
                  <c:v>3.6156184276864289E-2</c:v>
                </c:pt>
                <c:pt idx="1925">
                  <c:v>3.6155498685384035E-2</c:v>
                </c:pt>
                <c:pt idx="1926">
                  <c:v>3.6154829144471323E-2</c:v>
                </c:pt>
                <c:pt idx="1927">
                  <c:v>3.6154175654207199E-2</c:v>
                </c:pt>
                <c:pt idx="1928">
                  <c:v>3.6153538214591663E-2</c:v>
                </c:pt>
                <c:pt idx="1929">
                  <c:v>3.6152916825543668E-2</c:v>
                </c:pt>
                <c:pt idx="1930">
                  <c:v>3.6152311487306354E-2</c:v>
                </c:pt>
                <c:pt idx="1931">
                  <c:v>3.6151722199636582E-2</c:v>
                </c:pt>
                <c:pt idx="1932">
                  <c:v>3.6151148962534352E-2</c:v>
                </c:pt>
                <c:pt idx="1933">
                  <c:v>3.6150591776242802E-2</c:v>
                </c:pt>
                <c:pt idx="1934">
                  <c:v>3.6150050640437748E-2</c:v>
                </c:pt>
                <c:pt idx="1935">
                  <c:v>3.6149525555281281E-2</c:v>
                </c:pt>
                <c:pt idx="1936">
                  <c:v>3.6149016520854449E-2</c:v>
                </c:pt>
                <c:pt idx="1937">
                  <c:v>3.6148523536995159E-2</c:v>
                </c:pt>
                <c:pt idx="1938">
                  <c:v>3.614804660370341E-2</c:v>
                </c:pt>
                <c:pt idx="1939">
                  <c:v>3.6147585721141295E-2</c:v>
                </c:pt>
                <c:pt idx="1940">
                  <c:v>3.6147140889227769E-2</c:v>
                </c:pt>
                <c:pt idx="1941">
                  <c:v>3.6146712107881784E-2</c:v>
                </c:pt>
                <c:pt idx="1942">
                  <c:v>3.6146299377184388E-2</c:v>
                </c:pt>
                <c:pt idx="1943">
                  <c:v>3.6145902697216625E-2</c:v>
                </c:pt>
                <c:pt idx="1944">
                  <c:v>3.6145522067897451E-2</c:v>
                </c:pt>
                <c:pt idx="1945">
                  <c:v>3.6145157489064772E-2</c:v>
                </c:pt>
                <c:pt idx="1946">
                  <c:v>3.6144808961042774E-2</c:v>
                </c:pt>
                <c:pt idx="1947">
                  <c:v>3.6144476483588317E-2</c:v>
                </c:pt>
                <c:pt idx="1948">
                  <c:v>3.6144160056701402E-2</c:v>
                </c:pt>
                <c:pt idx="1949">
                  <c:v>3.6143859680463075E-2</c:v>
                </c:pt>
                <c:pt idx="1950">
                  <c:v>3.6143575354873336E-2</c:v>
                </c:pt>
                <c:pt idx="1951">
                  <c:v>3.6143307079932185E-2</c:v>
                </c:pt>
                <c:pt idx="1952">
                  <c:v>3.6144826973092403E-2</c:v>
                </c:pt>
                <c:pt idx="1953">
                  <c:v>3.6142818682076694E-2</c:v>
                </c:pt>
                <c:pt idx="1954">
                  <c:v>3.6142598559000261E-2</c:v>
                </c:pt>
                <c:pt idx="1955">
                  <c:v>3.6142394486653462E-2</c:v>
                </c:pt>
                <c:pt idx="1956">
                  <c:v>3.6142206464874205E-2</c:v>
                </c:pt>
                <c:pt idx="1957">
                  <c:v>3.6142034493743536E-2</c:v>
                </c:pt>
                <c:pt idx="1958">
                  <c:v>3.6141878573342501E-2</c:v>
                </c:pt>
                <c:pt idx="1959">
                  <c:v>3.6141738703509008E-2</c:v>
                </c:pt>
                <c:pt idx="1960">
                  <c:v>3.6141614884324103E-2</c:v>
                </c:pt>
                <c:pt idx="1961">
                  <c:v>3.6141507115706739E-2</c:v>
                </c:pt>
                <c:pt idx="1962">
                  <c:v>3.6141415397737964E-2</c:v>
                </c:pt>
                <c:pt idx="1963">
                  <c:v>3.6141339730498823E-2</c:v>
                </c:pt>
                <c:pt idx="1964">
                  <c:v>3.6141280113827223E-2</c:v>
                </c:pt>
                <c:pt idx="1965">
                  <c:v>3.6141236547885258E-2</c:v>
                </c:pt>
                <c:pt idx="1966">
                  <c:v>3.6141209032429789E-2</c:v>
                </c:pt>
                <c:pt idx="1967">
                  <c:v>3.6141197567784999E-2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044480"/>
        <c:axId val="601046400"/>
      </c:lineChart>
      <c:dateAx>
        <c:axId val="601044480"/>
        <c:scaling>
          <c:orientation val="minMax"/>
          <c:max val="42866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46400"/>
        <c:crosses val="autoZero"/>
        <c:auto val="1"/>
        <c:lblOffset val="100"/>
        <c:baseTimeUnit val="days"/>
        <c:majorUnit val="3"/>
        <c:majorTimeUnit val="months"/>
      </c:dateAx>
      <c:valAx>
        <c:axId val="601046400"/>
        <c:scaling>
          <c:orientation val="minMax"/>
          <c:max val="2.5000000000000001E-2"/>
          <c:min val="0.0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0104448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29</xdr:row>
          <xdr:rowOff>123825</xdr:rowOff>
        </xdr:from>
        <xdr:to>
          <xdr:col>10</xdr:col>
          <xdr:colOff>247650</xdr:colOff>
          <xdr:row>31</xdr:row>
          <xdr:rowOff>114300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27</xdr:row>
          <xdr:rowOff>47625</xdr:rowOff>
        </xdr:from>
        <xdr:to>
          <xdr:col>10</xdr:col>
          <xdr:colOff>247650</xdr:colOff>
          <xdr:row>29</xdr:row>
          <xdr:rowOff>38100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32</xdr:row>
          <xdr:rowOff>47625</xdr:rowOff>
        </xdr:from>
        <xdr:to>
          <xdr:col>10</xdr:col>
          <xdr:colOff>247650</xdr:colOff>
          <xdr:row>34</xdr:row>
          <xdr:rowOff>38100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53</xdr:row>
          <xdr:rowOff>66675</xdr:rowOff>
        </xdr:from>
        <xdr:to>
          <xdr:col>10</xdr:col>
          <xdr:colOff>257175</xdr:colOff>
          <xdr:row>55</xdr:row>
          <xdr:rowOff>57150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24</xdr:row>
          <xdr:rowOff>85725</xdr:rowOff>
        </xdr:from>
        <xdr:to>
          <xdr:col>10</xdr:col>
          <xdr:colOff>247650</xdr:colOff>
          <xdr:row>26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35</xdr:row>
          <xdr:rowOff>19050</xdr:rowOff>
        </xdr:from>
        <xdr:to>
          <xdr:col>10</xdr:col>
          <xdr:colOff>247650</xdr:colOff>
          <xdr:row>37</xdr:row>
          <xdr:rowOff>9525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37</xdr:row>
          <xdr:rowOff>123825</xdr:rowOff>
        </xdr:from>
        <xdr:to>
          <xdr:col>10</xdr:col>
          <xdr:colOff>247650</xdr:colOff>
          <xdr:row>39</xdr:row>
          <xdr:rowOff>114300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40</xdr:row>
          <xdr:rowOff>85725</xdr:rowOff>
        </xdr:from>
        <xdr:to>
          <xdr:col>10</xdr:col>
          <xdr:colOff>247650</xdr:colOff>
          <xdr:row>42</xdr:row>
          <xdr:rowOff>76200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43</xdr:row>
          <xdr:rowOff>66675</xdr:rowOff>
        </xdr:from>
        <xdr:to>
          <xdr:col>10</xdr:col>
          <xdr:colOff>247650</xdr:colOff>
          <xdr:row>45</xdr:row>
          <xdr:rowOff>57150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47</xdr:row>
          <xdr:rowOff>0</xdr:rowOff>
        </xdr:from>
        <xdr:to>
          <xdr:col>10</xdr:col>
          <xdr:colOff>257175</xdr:colOff>
          <xdr:row>48</xdr:row>
          <xdr:rowOff>133350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50</xdr:row>
          <xdr:rowOff>57150</xdr:rowOff>
        </xdr:from>
        <xdr:to>
          <xdr:col>10</xdr:col>
          <xdr:colOff>257175</xdr:colOff>
          <xdr:row>52</xdr:row>
          <xdr:rowOff>38100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U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BBSW"/>
      <sheetName val="Deposits"/>
      <sheetName val="FRA"/>
      <sheetName val="OIS"/>
      <sheetName val="MT_OIS"/>
      <sheetName val="Futures3M"/>
      <sheetName val="Swap3M"/>
      <sheetName val="Swap6M"/>
      <sheetName val="BasisSwap1M3M"/>
      <sheetName val="BasisSwap3M6M"/>
      <sheetName val="BBSWSwapForBasisCalc"/>
      <sheetName val="FuturesHWConvAdj"/>
    </sheetNames>
    <sheetDataSet>
      <sheetData sheetId="0"/>
      <sheetData sheetId="1">
        <row r="9">
          <cell r="J9" t="str">
            <v>AUD3M#0001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203" customWidth="1"/>
    <col min="3" max="3" width="20.28515625" style="203" bestFit="1" customWidth="1"/>
    <col min="4" max="4" width="31.7109375" style="203" bestFit="1" customWidth="1"/>
    <col min="5" max="5" width="22.140625" style="203" bestFit="1" customWidth="1"/>
    <col min="6" max="9" width="2.7109375" style="203" customWidth="1"/>
    <col min="10" max="10" width="18.5703125" style="203" bestFit="1" customWidth="1"/>
    <col min="11" max="11" width="45.7109375" style="203" customWidth="1"/>
    <col min="12" max="12" width="2.7109375" style="203" customWidth="1"/>
    <col min="13" max="16384" width="8" style="203"/>
  </cols>
  <sheetData>
    <row r="1" spans="2:12" ht="12" thickBot="1" x14ac:dyDescent="0.25">
      <c r="B1" s="203" t="str">
        <f>_xll.qlxlVersion(TRUE,Trigger)</f>
        <v>QuantLibXL 1.6.0 - MS VC++ (version unknown) - Multithreaded Dynamic Runtime library - Release Configuration - May  8 2015 11:10:23</v>
      </c>
    </row>
    <row r="2" spans="2:12" ht="12" thickBot="1" x14ac:dyDescent="0.25">
      <c r="B2" s="250" t="s">
        <v>78</v>
      </c>
      <c r="C2" s="251"/>
      <c r="D2" s="251"/>
      <c r="E2" s="251"/>
      <c r="F2" s="251"/>
      <c r="G2" s="204"/>
      <c r="I2" s="250" t="s">
        <v>91</v>
      </c>
      <c r="J2" s="251"/>
      <c r="K2" s="251"/>
      <c r="L2" s="252"/>
    </row>
    <row r="3" spans="2:12" x14ac:dyDescent="0.2">
      <c r="B3" s="205"/>
      <c r="C3" s="206"/>
      <c r="D3" s="207"/>
      <c r="E3" s="207"/>
      <c r="F3" s="207"/>
      <c r="G3" s="204"/>
      <c r="I3" s="25"/>
      <c r="J3" s="26"/>
      <c r="K3" s="26"/>
      <c r="L3" s="28"/>
    </row>
    <row r="4" spans="2:12" x14ac:dyDescent="0.2">
      <c r="B4" s="205"/>
      <c r="C4" s="208" t="s">
        <v>77</v>
      </c>
      <c r="D4" s="209" t="s">
        <v>143</v>
      </c>
      <c r="E4" s="207"/>
      <c r="F4" s="207"/>
      <c r="G4" s="204"/>
      <c r="I4" s="25"/>
      <c r="J4" s="210" t="s">
        <v>90</v>
      </c>
      <c r="K4" s="211" t="b">
        <v>0</v>
      </c>
      <c r="L4" s="212"/>
    </row>
    <row r="5" spans="2:12" x14ac:dyDescent="0.2">
      <c r="B5" s="205"/>
      <c r="C5" s="213" t="s">
        <v>76</v>
      </c>
      <c r="D5" s="214">
        <v>3</v>
      </c>
      <c r="E5" s="207"/>
      <c r="F5" s="207"/>
      <c r="G5" s="204"/>
      <c r="I5" s="25"/>
      <c r="J5" s="210" t="s">
        <v>89</v>
      </c>
      <c r="K5" s="215"/>
      <c r="L5" s="212"/>
    </row>
    <row r="6" spans="2:12" x14ac:dyDescent="0.2">
      <c r="B6" s="205"/>
      <c r="C6" s="213" t="s">
        <v>75</v>
      </c>
      <c r="D6" s="214" t="str">
        <f>_xll.qlPeriodEquivalent(D5&amp;"M")</f>
        <v>3M</v>
      </c>
      <c r="E6" s="207"/>
      <c r="F6" s="207"/>
      <c r="G6" s="204"/>
      <c r="I6" s="25"/>
      <c r="J6" s="210" t="s">
        <v>88</v>
      </c>
      <c r="K6" s="216" t="b">
        <v>1</v>
      </c>
      <c r="L6" s="212"/>
    </row>
    <row r="7" spans="2:12" ht="12" thickBot="1" x14ac:dyDescent="0.25">
      <c r="B7" s="205"/>
      <c r="C7" s="213" t="s">
        <v>74</v>
      </c>
      <c r="D7" s="214" t="str">
        <f>Months&amp;IF(UPPER(Currency)="EUR","E","BB")</f>
        <v>3BB</v>
      </c>
      <c r="E7" s="207"/>
      <c r="F7" s="207"/>
      <c r="G7" s="204"/>
      <c r="I7" s="39"/>
      <c r="J7" s="40"/>
      <c r="K7" s="40"/>
      <c r="L7" s="41"/>
    </row>
    <row r="8" spans="2:12" ht="12" thickBot="1" x14ac:dyDescent="0.25">
      <c r="B8" s="205"/>
      <c r="C8" s="213" t="s">
        <v>73</v>
      </c>
      <c r="D8" s="214"/>
      <c r="E8" s="207"/>
      <c r="F8" s="207"/>
      <c r="G8" s="204"/>
      <c r="I8" s="217"/>
      <c r="J8" s="217"/>
      <c r="K8" s="217"/>
      <c r="L8" s="217"/>
    </row>
    <row r="9" spans="2:12" ht="19.5" customHeight="1" thickBot="1" x14ac:dyDescent="0.25">
      <c r="B9" s="205"/>
      <c r="C9" s="213" t="s">
        <v>72</v>
      </c>
      <c r="D9" s="214" t="str">
        <f>Currency&amp;"_YC"&amp;IndexTenor&amp;"RH"</f>
        <v>AUD_YC3MRH</v>
      </c>
      <c r="E9" s="207"/>
      <c r="F9" s="207"/>
      <c r="G9" s="204"/>
      <c r="I9" s="250" t="s">
        <v>87</v>
      </c>
      <c r="J9" s="251"/>
      <c r="K9" s="251"/>
      <c r="L9" s="252"/>
    </row>
    <row r="10" spans="2:12" x14ac:dyDescent="0.2">
      <c r="B10" s="205"/>
      <c r="C10" s="218" t="s">
        <v>71</v>
      </c>
      <c r="D10" s="214" t="b">
        <v>1</v>
      </c>
      <c r="E10" s="207"/>
      <c r="F10" s="207"/>
      <c r="G10" s="204"/>
      <c r="I10" s="25"/>
      <c r="J10" s="26"/>
      <c r="K10" s="26"/>
      <c r="L10" s="28"/>
    </row>
    <row r="11" spans="2:12" x14ac:dyDescent="0.2">
      <c r="B11" s="205"/>
      <c r="C11" s="218" t="s">
        <v>70</v>
      </c>
      <c r="D11" s="219"/>
      <c r="E11" s="207"/>
      <c r="F11" s="207"/>
      <c r="G11" s="204"/>
      <c r="I11" s="25"/>
      <c r="J11" s="220" t="s">
        <v>86</v>
      </c>
      <c r="K11" s="216" t="s">
        <v>152</v>
      </c>
      <c r="L11" s="28"/>
    </row>
    <row r="12" spans="2:12" x14ac:dyDescent="0.2">
      <c r="B12" s="205"/>
      <c r="C12" s="221" t="s">
        <v>69</v>
      </c>
      <c r="D12" s="222" t="b">
        <v>1</v>
      </c>
      <c r="E12" s="207"/>
      <c r="F12" s="207"/>
      <c r="G12" s="204"/>
      <c r="I12" s="25"/>
      <c r="J12" s="220" t="s">
        <v>85</v>
      </c>
      <c r="K12" s="216" t="s">
        <v>84</v>
      </c>
      <c r="L12" s="28"/>
    </row>
    <row r="13" spans="2:12" x14ac:dyDescent="0.2">
      <c r="B13" s="205"/>
      <c r="C13" s="223"/>
      <c r="D13" s="223"/>
      <c r="E13" s="207"/>
      <c r="F13" s="207"/>
      <c r="G13" s="204"/>
      <c r="I13" s="25"/>
      <c r="J13" s="220" t="s">
        <v>104</v>
      </c>
      <c r="K13" s="211" t="s">
        <v>103</v>
      </c>
      <c r="L13" s="28"/>
    </row>
    <row r="14" spans="2:12" x14ac:dyDescent="0.2">
      <c r="B14" s="205"/>
      <c r="C14" s="224" t="s">
        <v>68</v>
      </c>
      <c r="D14" s="225" t="str">
        <f>_xll.qlPiecewiseYieldCurve(D16,NDays,Calendar,_xll.ohPack(Selected!D2:D126),DayCounter,IF(ISERROR(D22),NA(),D20:E20),IF(ISERROR(D22),NA(),D21:E21),Accuracy,TraitsID,InterpolatorID,Permanent,,ObjectOverwrite)</f>
        <v>_AUDYC3M#0003</v>
      </c>
      <c r="E14" s="207"/>
      <c r="F14" s="207"/>
      <c r="G14" s="204"/>
      <c r="I14" s="25"/>
      <c r="J14" s="220" t="s">
        <v>102</v>
      </c>
      <c r="K14" s="211" t="s">
        <v>151</v>
      </c>
      <c r="L14" s="28"/>
    </row>
    <row r="15" spans="2:12" x14ac:dyDescent="0.2">
      <c r="B15" s="205"/>
      <c r="C15" s="226" t="s">
        <v>47</v>
      </c>
      <c r="D15" s="227" t="str">
        <f>_xll.ohRangeRetrieveError(YieldCurve)</f>
        <v/>
      </c>
      <c r="E15" s="207"/>
      <c r="F15" s="207"/>
      <c r="G15" s="204"/>
      <c r="I15" s="25"/>
      <c r="J15" s="220" t="s">
        <v>101</v>
      </c>
      <c r="K15" s="211" t="str">
        <f>Currency&amp;"ON"</f>
        <v>AUDON</v>
      </c>
      <c r="L15" s="28"/>
    </row>
    <row r="16" spans="2:12" x14ac:dyDescent="0.2">
      <c r="B16" s="205"/>
      <c r="C16" s="224" t="s">
        <v>67</v>
      </c>
      <c r="D16" s="228" t="str">
        <f>"_"&amp;Currency&amp;"YC"&amp;IndexTenor</f>
        <v>_AUDYC3M</v>
      </c>
      <c r="E16" s="207"/>
      <c r="F16" s="207"/>
      <c r="G16" s="204"/>
      <c r="I16" s="25"/>
      <c r="J16" s="220" t="s">
        <v>100</v>
      </c>
      <c r="K16" s="211" t="str">
        <f>Currency&amp;"STD"</f>
        <v>AUDSTD</v>
      </c>
      <c r="L16" s="28"/>
    </row>
    <row r="17" spans="1:12" ht="12" thickBot="1" x14ac:dyDescent="0.25">
      <c r="B17" s="205"/>
      <c r="C17" s="229" t="s">
        <v>66</v>
      </c>
      <c r="D17" s="230">
        <v>0</v>
      </c>
      <c r="E17" s="207"/>
      <c r="F17" s="207"/>
      <c r="G17" s="204"/>
      <c r="I17" s="39"/>
      <c r="J17" s="40"/>
      <c r="K17" s="40"/>
      <c r="L17" s="41"/>
    </row>
    <row r="18" spans="1:12" x14ac:dyDescent="0.2">
      <c r="B18" s="205"/>
      <c r="C18" s="229" t="s">
        <v>65</v>
      </c>
      <c r="D18" s="231" t="s">
        <v>144</v>
      </c>
      <c r="E18" s="207"/>
      <c r="F18" s="207"/>
      <c r="G18" s="204"/>
    </row>
    <row r="19" spans="1:12" x14ac:dyDescent="0.2">
      <c r="B19" s="205"/>
      <c r="C19" s="229" t="s">
        <v>64</v>
      </c>
      <c r="D19" s="232"/>
      <c r="E19" s="207"/>
      <c r="F19" s="207"/>
      <c r="G19" s="204"/>
    </row>
    <row r="20" spans="1:12" x14ac:dyDescent="0.2">
      <c r="B20" s="205"/>
      <c r="C20" s="229" t="s">
        <v>63</v>
      </c>
      <c r="D20" s="233" t="str">
        <f>Currency&amp;"TOY_SYNTH"&amp;IndexTenor&amp;"_Quote"</f>
        <v>AUDTOY_SYNTH3M_Quote</v>
      </c>
      <c r="E20" s="234" t="str">
        <f>Currency&amp;"TOY2_SYNTH"&amp;IndexTenor&amp;"_Quote"</f>
        <v>AUDTOY2_SYNTH3M_Quote</v>
      </c>
      <c r="F20" s="207"/>
      <c r="G20" s="204"/>
    </row>
    <row r="21" spans="1:12" x14ac:dyDescent="0.2">
      <c r="B21" s="205"/>
      <c r="C21" s="229" t="s">
        <v>62</v>
      </c>
      <c r="D21" s="235">
        <f>DATE(YEAR(_xll.qlCalendarAdvance(Calendar,_xll.qlSettingsEvaluationDate(Trigger),NDays&amp;"D")),12,31)</f>
        <v>42369</v>
      </c>
      <c r="E21" s="236">
        <f>DATE(YEAR(D21+1),12,31)</f>
        <v>42735</v>
      </c>
      <c r="F21" s="207"/>
      <c r="G21" s="204"/>
    </row>
    <row r="22" spans="1:12" x14ac:dyDescent="0.2">
      <c r="B22" s="205"/>
      <c r="C22" s="229" t="s">
        <v>61</v>
      </c>
      <c r="D22" s="237" t="e">
        <f>NA()</f>
        <v>#N/A</v>
      </c>
      <c r="E22" s="238" t="e">
        <f>NA()</f>
        <v>#N/A</v>
      </c>
      <c r="F22" s="207"/>
      <c r="G22" s="204"/>
    </row>
    <row r="23" spans="1:12" x14ac:dyDescent="0.2">
      <c r="B23" s="205"/>
      <c r="C23" s="229" t="s">
        <v>60</v>
      </c>
      <c r="D23" s="239"/>
      <c r="E23" s="207"/>
      <c r="F23" s="207"/>
      <c r="G23" s="204"/>
    </row>
    <row r="24" spans="1:12" x14ac:dyDescent="0.2">
      <c r="B24" s="205"/>
      <c r="C24" s="229" t="s">
        <v>59</v>
      </c>
      <c r="D24" s="240" t="s">
        <v>58</v>
      </c>
      <c r="E24" s="207"/>
      <c r="F24" s="207"/>
      <c r="G24" s="204"/>
    </row>
    <row r="25" spans="1:12" x14ac:dyDescent="0.2">
      <c r="B25" s="205"/>
      <c r="C25" s="226" t="s">
        <v>57</v>
      </c>
      <c r="D25" s="241" t="s">
        <v>56</v>
      </c>
      <c r="E25" s="207"/>
      <c r="F25" s="207"/>
      <c r="G25" s="204"/>
    </row>
    <row r="26" spans="1:12" x14ac:dyDescent="0.2">
      <c r="B26" s="205"/>
      <c r="C26" s="223"/>
      <c r="D26" s="223"/>
      <c r="E26" s="207"/>
      <c r="F26" s="207"/>
      <c r="G26" s="204"/>
    </row>
    <row r="27" spans="1:12" x14ac:dyDescent="0.2">
      <c r="B27" s="205"/>
      <c r="C27" s="242">
        <f>_xll.qlTermStructureReferenceDate(YieldCurve)</f>
        <v>42135</v>
      </c>
      <c r="D27" s="243">
        <f>MAX(_xll.ohPack(Selected!J1:J126))</f>
        <v>1</v>
      </c>
      <c r="E27" s="207"/>
      <c r="F27" s="207"/>
      <c r="G27" s="204"/>
    </row>
    <row r="28" spans="1:12" x14ac:dyDescent="0.2">
      <c r="B28" s="205"/>
      <c r="C28" s="244">
        <f>MAX(_xll.ohPack(Selected!I2:I126))</f>
        <v>53094</v>
      </c>
      <c r="D28" s="214">
        <f>MIN(_xll.ohPack(Selected!J1:J126))</f>
        <v>0.34215183688977252</v>
      </c>
      <c r="E28" s="207"/>
      <c r="F28" s="207"/>
      <c r="G28" s="204"/>
    </row>
    <row r="29" spans="1:12" x14ac:dyDescent="0.2">
      <c r="A29" s="245"/>
      <c r="B29" s="207"/>
      <c r="C29" s="244" t="s">
        <v>47</v>
      </c>
      <c r="D29" s="246" t="str">
        <f>_xll.ohRangeRetrieveError(Selected!J1)</f>
        <v/>
      </c>
      <c r="E29" s="207"/>
      <c r="F29" s="207"/>
      <c r="G29" s="204"/>
    </row>
    <row r="30" spans="1:12" ht="11.25" customHeight="1" x14ac:dyDescent="0.2">
      <c r="A30" s="245"/>
      <c r="B30" s="207"/>
      <c r="C30" s="244" t="str">
        <f>[1]BBSW!$J$9</f>
        <v>AUD3M#0001</v>
      </c>
      <c r="D30" s="214" t="b">
        <f>_xll.qlRelinkableHandleLinkTo(C30,YieldCurve)</f>
        <v>1</v>
      </c>
      <c r="E30" s="207"/>
      <c r="F30" s="207"/>
      <c r="G30" s="204"/>
    </row>
    <row r="31" spans="1:12" x14ac:dyDescent="0.2">
      <c r="A31" s="245"/>
      <c r="B31" s="207"/>
      <c r="C31" s="247" t="s">
        <v>106</v>
      </c>
      <c r="D31" s="48" t="b">
        <v>0</v>
      </c>
      <c r="E31" s="207"/>
      <c r="F31" s="207"/>
      <c r="G31" s="204"/>
    </row>
    <row r="32" spans="1:12" ht="12" thickBot="1" x14ac:dyDescent="0.25">
      <c r="A32" s="245"/>
      <c r="B32" s="207"/>
      <c r="C32" s="248"/>
      <c r="D32" s="86"/>
      <c r="E32" s="207"/>
      <c r="F32" s="207"/>
      <c r="G32" s="204"/>
    </row>
    <row r="33" spans="2:6" x14ac:dyDescent="0.2">
      <c r="B33" s="249"/>
      <c r="C33" s="249"/>
      <c r="D33" s="249"/>
      <c r="E33" s="249"/>
      <c r="F33" s="249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3"/>
  <sheetViews>
    <sheetView topLeftCell="B1" workbookViewId="0">
      <selection activeCell="B1" sqref="B1"/>
    </sheetView>
  </sheetViews>
  <sheetFormatPr defaultRowHeight="11.25" outlineLevelCol="1" x14ac:dyDescent="0.2"/>
  <cols>
    <col min="1" max="1" width="15.42578125" style="17" hidden="1" customWidth="1" outlineLevel="1"/>
    <col min="2" max="2" width="23.42578125" style="17" bestFit="1" customWidth="1" collapsed="1"/>
    <col min="3" max="5" width="8" style="17" bestFit="1" customWidth="1"/>
    <col min="6" max="7" width="9" style="17" bestFit="1" customWidth="1"/>
    <col min="8" max="9" width="17.28515625" style="17" bestFit="1" customWidth="1"/>
    <col min="10" max="10" width="3" style="1" bestFit="1" customWidth="1"/>
    <col min="11" max="11" width="14.140625" style="1" bestFit="1" customWidth="1"/>
    <col min="12" max="12" width="6" style="1" hidden="1" customWidth="1" outlineLevel="1"/>
    <col min="13" max="13" width="7" style="1" hidden="1" customWidth="1" outlineLevel="1"/>
    <col min="14" max="14" width="9.140625" style="1" collapsed="1"/>
    <col min="15" max="16384" width="9.140625" style="1"/>
  </cols>
  <sheetData>
    <row r="1" spans="1:13" ht="33.75" customHeight="1" x14ac:dyDescent="0.2">
      <c r="A1" s="90" t="s">
        <v>46</v>
      </c>
      <c r="B1" s="90" t="s">
        <v>107</v>
      </c>
      <c r="C1" s="90" t="s">
        <v>45</v>
      </c>
      <c r="D1" s="90" t="s">
        <v>44</v>
      </c>
      <c r="E1" s="90" t="s">
        <v>43</v>
      </c>
      <c r="F1" s="90" t="s">
        <v>42</v>
      </c>
      <c r="G1" s="90" t="s">
        <v>41</v>
      </c>
      <c r="H1" s="90" t="s">
        <v>40</v>
      </c>
      <c r="I1" s="90" t="s">
        <v>39</v>
      </c>
    </row>
    <row r="2" spans="1:13" x14ac:dyDescent="0.2">
      <c r="A2" s="175" t="str">
        <f>Deposits!J3</f>
        <v>obj_0028a#0001</v>
      </c>
      <c r="B2" s="83" t="str">
        <f>_xll.qlRateHelperQuoteName(A2)</f>
        <v>AUDSND_SYNTH3M_Quote</v>
      </c>
      <c r="C2" s="82">
        <f>_xll.qlRateHelperQuoteValue($A2,Trigger)</f>
        <v>2.2026E-2</v>
      </c>
      <c r="D2" s="82"/>
      <c r="E2" s="81" t="b">
        <v>1</v>
      </c>
      <c r="F2" s="81">
        <v>10</v>
      </c>
      <c r="G2" s="81">
        <v>1</v>
      </c>
      <c r="H2" s="80">
        <f>_xll.qlRateHelperEarliestDate($A2,Trigger)</f>
        <v>42135</v>
      </c>
      <c r="I2" s="79">
        <f>_xll.qlRateHelperLatestDate($A2,Trigger)</f>
        <v>42136</v>
      </c>
      <c r="J2" s="1">
        <v>40</v>
      </c>
      <c r="K2" s="1" t="s">
        <v>38</v>
      </c>
    </row>
    <row r="3" spans="1:13" s="72" customFormat="1" x14ac:dyDescent="0.2">
      <c r="A3" s="175" t="str">
        <f>Deposits!J4</f>
        <v>obj_00279#0001</v>
      </c>
      <c r="B3" s="83" t="str">
        <f>_xll.qlRateHelperQuoteName(A3)</f>
        <v>AUDSWD_SYNTH3M_Quote</v>
      </c>
      <c r="C3" s="82">
        <f>_xll.qlRateHelperQuoteValue($A3,Trigger)</f>
        <v>2.2023000000000001E-2</v>
      </c>
      <c r="D3" s="82"/>
      <c r="E3" s="81" t="b">
        <v>1</v>
      </c>
      <c r="F3" s="81">
        <v>10</v>
      </c>
      <c r="G3" s="81">
        <v>1</v>
      </c>
      <c r="H3" s="80">
        <f>_xll.qlRateHelperEarliestDate($A3,Trigger)</f>
        <v>42135</v>
      </c>
      <c r="I3" s="79">
        <f>_xll.qlRateHelperLatestDate($A3,Trigger)</f>
        <v>42142</v>
      </c>
    </row>
    <row r="4" spans="1:13" s="72" customFormat="1" x14ac:dyDescent="0.2">
      <c r="A4" s="175" t="str">
        <f>Deposits!J5</f>
        <v>obj_0027c#0001</v>
      </c>
      <c r="B4" s="83" t="str">
        <f>_xll.qlRateHelperQuoteName(A4)</f>
        <v>AUD2WD_SYNTH3M_Quote</v>
      </c>
      <c r="C4" s="82">
        <f>_xll.qlRateHelperQuoteValue($A4,Trigger)</f>
        <v>2.2009999999999998E-2</v>
      </c>
      <c r="D4" s="82"/>
      <c r="E4" s="81" t="b">
        <v>1</v>
      </c>
      <c r="F4" s="81">
        <v>10</v>
      </c>
      <c r="G4" s="81">
        <v>1</v>
      </c>
      <c r="H4" s="80">
        <f>_xll.qlRateHelperEarliestDate($A4,Trigger)</f>
        <v>42135</v>
      </c>
      <c r="I4" s="79">
        <f>_xll.qlRateHelperLatestDate($A4,Trigger)</f>
        <v>42149</v>
      </c>
    </row>
    <row r="5" spans="1:13" s="72" customFormat="1" x14ac:dyDescent="0.2">
      <c r="A5" s="175" t="str">
        <f>Deposits!J6</f>
        <v>obj_0027a#0001</v>
      </c>
      <c r="B5" s="83" t="str">
        <f>_xll.qlRateHelperQuoteName(A5)</f>
        <v>AUD3WD_SYNTH3M_Quote</v>
      </c>
      <c r="C5" s="82">
        <f>_xll.qlRateHelperQuoteValue($A5,Trigger)</f>
        <v>2.1998E-2</v>
      </c>
      <c r="D5" s="82"/>
      <c r="E5" s="81" t="b">
        <v>1</v>
      </c>
      <c r="F5" s="81">
        <v>10</v>
      </c>
      <c r="G5" s="81">
        <v>1</v>
      </c>
      <c r="H5" s="80">
        <f>_xll.qlRateHelperEarliestDate($A5,Trigger)</f>
        <v>42135</v>
      </c>
      <c r="I5" s="79">
        <f>_xll.qlRateHelperLatestDate($A5,Trigger)</f>
        <v>42156</v>
      </c>
    </row>
    <row r="6" spans="1:13" x14ac:dyDescent="0.2">
      <c r="A6" s="175" t="str">
        <f>Deposits!J7</f>
        <v>obj_0027b#0001</v>
      </c>
      <c r="B6" s="83" t="str">
        <f>_xll.qlRateHelperQuoteName(A6)</f>
        <v>AUD1MD_SYNTH3M_Quote</v>
      </c>
      <c r="C6" s="82">
        <f>_xll.qlRateHelperQuoteValue($A6,Trigger)</f>
        <v>2.1991E-2</v>
      </c>
      <c r="D6" s="82"/>
      <c r="E6" s="81" t="b">
        <v>1</v>
      </c>
      <c r="F6" s="81">
        <v>10</v>
      </c>
      <c r="G6" s="81">
        <v>1</v>
      </c>
      <c r="H6" s="80">
        <f>_xll.qlRateHelperEarliestDate($A6,Trigger)</f>
        <v>42135</v>
      </c>
      <c r="I6" s="79">
        <f>_xll.qlRateHelperLatestDate($A6,Trigger)</f>
        <v>42166</v>
      </c>
      <c r="J6" s="1">
        <v>70</v>
      </c>
      <c r="K6" s="1" t="s">
        <v>37</v>
      </c>
    </row>
    <row r="7" spans="1:13" x14ac:dyDescent="0.2">
      <c r="A7" s="175" t="str">
        <f>Deposits!J8</f>
        <v>obj_002a8#0001</v>
      </c>
      <c r="B7" s="83" t="str">
        <f>_xll.qlRateHelperQuoteName(A7)</f>
        <v>AUD2MD_SYNTH3M_Quote</v>
      </c>
      <c r="C7" s="82">
        <f>_xll.qlRateHelperQuoteValue($A7,Trigger)</f>
        <v>2.1956E-2</v>
      </c>
      <c r="D7" s="82"/>
      <c r="E7" s="81" t="b">
        <v>1</v>
      </c>
      <c r="F7" s="81">
        <v>10</v>
      </c>
      <c r="G7" s="81">
        <v>1</v>
      </c>
      <c r="H7" s="80">
        <f>_xll.qlRateHelperEarliestDate($A7,Trigger)</f>
        <v>42135</v>
      </c>
      <c r="I7" s="79">
        <f>_xll.qlRateHelperLatestDate($A7,Trigger)</f>
        <v>42198</v>
      </c>
    </row>
    <row r="8" spans="1:13" x14ac:dyDescent="0.2">
      <c r="A8" s="175" t="str">
        <f>Deposits!J9</f>
        <v>obj_0027d#0001</v>
      </c>
      <c r="B8" s="83" t="str">
        <f>_xll.qlRateHelperQuoteName(A8)</f>
        <v>AUD3MD_SYNTH3M_Quote</v>
      </c>
      <c r="C8" s="82">
        <f>_xll.qlRateHelperQuoteValue($A8,Trigger)</f>
        <v>2.1815999999999999E-2</v>
      </c>
      <c r="D8" s="82"/>
      <c r="E8" s="81" t="b">
        <v>1</v>
      </c>
      <c r="F8" s="81">
        <v>70</v>
      </c>
      <c r="G8" s="81">
        <v>1</v>
      </c>
      <c r="H8" s="80">
        <f>_xll.qlRateHelperEarliestDate($A8,Trigger)</f>
        <v>42135</v>
      </c>
      <c r="I8" s="79">
        <f>_xll.qlRateHelperLatestDate($A8,Trigger)</f>
        <v>42227</v>
      </c>
    </row>
    <row r="9" spans="1:13" x14ac:dyDescent="0.2">
      <c r="A9" s="176" t="str">
        <f>FRAs!G3</f>
        <v>obj_00298#0001</v>
      </c>
      <c r="B9" s="88" t="str">
        <f>_xll.qlRateHelperQuoteName(A9)</f>
        <v>AUD1x4F_Quote</v>
      </c>
      <c r="C9" s="87">
        <f>_xll.qlRateHelperQuoteValue($A9,Trigger)</f>
        <v>2.1349999999999997E-2</v>
      </c>
      <c r="D9" s="87"/>
      <c r="E9" s="86" t="b">
        <v>0</v>
      </c>
      <c r="F9" s="86">
        <v>20</v>
      </c>
      <c r="G9" s="86">
        <v>1</v>
      </c>
      <c r="H9" s="85">
        <f>_xll.qlRateHelperEarliestDate($A9,Trigger)</f>
        <v>42166</v>
      </c>
      <c r="I9" s="84">
        <f>_xll.qlRateHelperLatestDate($A9,Trigger)</f>
        <v>42258</v>
      </c>
    </row>
    <row r="10" spans="1:13" x14ac:dyDescent="0.2">
      <c r="A10" s="175" t="str">
        <f>FRAs!G5</f>
        <v>obj_0029b#0001</v>
      </c>
      <c r="B10" s="83" t="str">
        <f>_xll.qlRateHelperQuoteName(A10)</f>
        <v>AUD2x5F_Quote</v>
      </c>
      <c r="C10" s="82">
        <f>_xll.qlRateHelperQuoteValue($A10,Trigger)</f>
        <v>2.1150000000000002E-2</v>
      </c>
      <c r="D10" s="82"/>
      <c r="E10" s="81" t="b">
        <v>0</v>
      </c>
      <c r="F10" s="81">
        <v>20</v>
      </c>
      <c r="G10" s="81">
        <v>1</v>
      </c>
      <c r="H10" s="80">
        <f>_xll.qlRateHelperEarliestDate($A10,Trigger)</f>
        <v>42198</v>
      </c>
      <c r="I10" s="79">
        <f>_xll.qlRateHelperLatestDate($A10,Trigger)</f>
        <v>42290</v>
      </c>
    </row>
    <row r="11" spans="1:13" x14ac:dyDescent="0.2">
      <c r="A11" s="175" t="str">
        <f>FRAs!G6</f>
        <v>obj_002a5#0001</v>
      </c>
      <c r="B11" s="83" t="str">
        <f>_xll.qlRateHelperQuoteName(A11)</f>
        <v>AUD3x6F_Quote</v>
      </c>
      <c r="C11" s="82">
        <f>_xll.qlRateHelperQuoteValue($A11,Trigger)</f>
        <v>2.0949999999999996E-2</v>
      </c>
      <c r="D11" s="82"/>
      <c r="E11" s="81" t="b">
        <v>0</v>
      </c>
      <c r="F11" s="81">
        <v>20</v>
      </c>
      <c r="G11" s="81">
        <v>1</v>
      </c>
      <c r="H11" s="80">
        <f>_xll.qlRateHelperEarliestDate($A11,Trigger)</f>
        <v>42227</v>
      </c>
      <c r="I11" s="79">
        <f>_xll.qlRateHelperLatestDate($A11,Trigger)</f>
        <v>42319</v>
      </c>
    </row>
    <row r="12" spans="1:13" x14ac:dyDescent="0.2">
      <c r="A12" s="175" t="str">
        <f>FRAs!G7</f>
        <v>obj_00295#0001</v>
      </c>
      <c r="B12" s="83" t="str">
        <f>_xll.qlRateHelperQuoteName(A12)</f>
        <v>AUD4x7F_Quote</v>
      </c>
      <c r="C12" s="82">
        <f>_xll.qlRateHelperQuoteValue($A12,Trigger)</f>
        <v>2.085E-2</v>
      </c>
      <c r="D12" s="82"/>
      <c r="E12" s="81" t="b">
        <v>0</v>
      </c>
      <c r="F12" s="81">
        <v>20</v>
      </c>
      <c r="G12" s="81">
        <v>1</v>
      </c>
      <c r="H12" s="80">
        <f>_xll.qlRateHelperEarliestDate($A12,Trigger)</f>
        <v>42258</v>
      </c>
      <c r="I12" s="79">
        <f>_xll.qlRateHelperLatestDate($A12,Trigger)</f>
        <v>42349</v>
      </c>
    </row>
    <row r="13" spans="1:13" x14ac:dyDescent="0.2">
      <c r="A13" s="175" t="str">
        <f>FRAs!G8</f>
        <v>obj_00288#0001</v>
      </c>
      <c r="B13" s="83" t="str">
        <f>_xll.qlRateHelperQuoteName(A13)</f>
        <v>AUD5x8F_Quote</v>
      </c>
      <c r="C13" s="82">
        <f>_xll.qlRateHelperQuoteValue($A13,Trigger)</f>
        <v>2.085E-2</v>
      </c>
      <c r="D13" s="82"/>
      <c r="E13" s="81" t="b">
        <v>0</v>
      </c>
      <c r="F13" s="81">
        <v>20</v>
      </c>
      <c r="G13" s="81">
        <v>1</v>
      </c>
      <c r="H13" s="80">
        <f>_xll.qlRateHelperEarliestDate($A13,Trigger)</f>
        <v>42289</v>
      </c>
      <c r="I13" s="79">
        <f>_xll.qlRateHelperLatestDate($A13,Trigger)</f>
        <v>42381</v>
      </c>
    </row>
    <row r="14" spans="1:13" x14ac:dyDescent="0.2">
      <c r="A14" s="175" t="str">
        <f>FRAs!G9</f>
        <v>obj_00283#0001</v>
      </c>
      <c r="B14" s="83" t="str">
        <f>_xll.qlRateHelperQuoteName(A14)</f>
        <v>AUD6x9F_Quote</v>
      </c>
      <c r="C14" s="82">
        <f>_xll.qlRateHelperQuoteValue($A14,Trigger)</f>
        <v>2.085E-2</v>
      </c>
      <c r="D14" s="82"/>
      <c r="E14" s="81" t="b">
        <v>0</v>
      </c>
      <c r="F14" s="81">
        <v>20</v>
      </c>
      <c r="G14" s="81">
        <v>1</v>
      </c>
      <c r="H14" s="80">
        <f>_xll.qlRateHelperEarliestDate($A14,Trigger)</f>
        <v>42319</v>
      </c>
      <c r="I14" s="79">
        <f>_xll.qlRateHelperLatestDate($A14,Trigger)</f>
        <v>42411</v>
      </c>
      <c r="L14" s="90" t="s">
        <v>141</v>
      </c>
      <c r="M14" s="90" t="s">
        <v>142</v>
      </c>
    </row>
    <row r="15" spans="1:13" ht="11.25" customHeight="1" x14ac:dyDescent="0.2">
      <c r="A15" s="176" t="str">
        <f>Futures!I5</f>
        <v>obj_002bc#0001</v>
      </c>
      <c r="B15" s="88" t="str">
        <f>_xll.qlRateHelperQuoteName(A15)</f>
        <v>AUDFUT3MM5_Quote</v>
      </c>
      <c r="C15" s="169">
        <f>_xll.qlRateHelperQuoteValue($A15,Trigger)</f>
        <v>97.844999999999999</v>
      </c>
      <c r="D15" s="87">
        <f>_xll.qlFuturesRateHelperConvexityAdjustment($A15,Trigger)</f>
        <v>0</v>
      </c>
      <c r="E15" s="86" t="b">
        <v>1</v>
      </c>
      <c r="F15" s="86">
        <v>60</v>
      </c>
      <c r="G15" s="86">
        <v>7</v>
      </c>
      <c r="H15" s="85">
        <f>_xll.qlRateHelperEarliestDate($A15,Trigger)</f>
        <v>42167</v>
      </c>
      <c r="I15" s="84">
        <f>_xll.qlRateHelperLatestDate($A15,Trigger)</f>
        <v>42261</v>
      </c>
      <c r="L15" s="1" t="b">
        <f>AND(_xll.qlASXIsASXdate(H15),IF(ISERROR(C15),FALSE,TRUE))</f>
        <v>1</v>
      </c>
      <c r="M15" s="72" t="b">
        <f>AND(NOT(_xll.qlASXIsASXdate(H15)),IF(ISERROR(C15),FALSE,TRUE))</f>
        <v>0</v>
      </c>
    </row>
    <row r="16" spans="1:13" x14ac:dyDescent="0.2">
      <c r="A16" s="175" t="str">
        <f>Futures!I6</f>
        <v>obj_002d5#0001</v>
      </c>
      <c r="B16" s="83" t="str">
        <f>_xll.qlRateHelperQuoteName(A16)</f>
        <v>AUDFUT3MN5_Quote</v>
      </c>
      <c r="C16" s="89" t="e">
        <f>_xll.qlRateHelperQuoteValue($A16,Trigger)</f>
        <v>#NUM!</v>
      </c>
      <c r="D16" s="82" t="e">
        <f>_xll.qlFuturesRateHelperConvexityAdjustment($A16,Trigger)</f>
        <v>#NUM!</v>
      </c>
      <c r="E16" s="81" t="b">
        <v>1</v>
      </c>
      <c r="F16" s="81">
        <v>60</v>
      </c>
      <c r="G16" s="81">
        <v>7</v>
      </c>
      <c r="H16" s="80">
        <f>_xll.qlRateHelperEarliestDate($A16,Trigger)</f>
        <v>42195</v>
      </c>
      <c r="I16" s="79">
        <f>_xll.qlRateHelperLatestDate($A16,Trigger)</f>
        <v>42289</v>
      </c>
      <c r="L16" s="72" t="b">
        <f>AND(_xll.qlASXIsASXdate(H16),IF(ISERROR(C16),FALSE,TRUE))</f>
        <v>0</v>
      </c>
      <c r="M16" s="72" t="b">
        <f>AND(NOT(_xll.qlASXIsASXdate(H16)),IF(ISERROR(C16),FALSE,TRUE))</f>
        <v>0</v>
      </c>
    </row>
    <row r="17" spans="1:13" x14ac:dyDescent="0.2">
      <c r="A17" s="175" t="str">
        <f>Futures!I7</f>
        <v>obj_002ca#0001</v>
      </c>
      <c r="B17" s="83" t="str">
        <f>_xll.qlRateHelperQuoteName(A17)</f>
        <v>AUDFUT3MQ5_Quote</v>
      </c>
      <c r="C17" s="89" t="e">
        <f>_xll.qlRateHelperQuoteValue($A17,Trigger)</f>
        <v>#NUM!</v>
      </c>
      <c r="D17" s="82" t="e">
        <f>_xll.qlFuturesRateHelperConvexityAdjustment($A17,Trigger)</f>
        <v>#NUM!</v>
      </c>
      <c r="E17" s="81" t="b">
        <v>1</v>
      </c>
      <c r="F17" s="81">
        <v>60</v>
      </c>
      <c r="G17" s="81">
        <v>21</v>
      </c>
      <c r="H17" s="80">
        <f>_xll.qlRateHelperEarliestDate($A17,Trigger)</f>
        <v>42230</v>
      </c>
      <c r="I17" s="79">
        <f>_xll.qlRateHelperLatestDate($A17,Trigger)</f>
        <v>42321</v>
      </c>
      <c r="L17" s="72" t="b">
        <f>AND(_xll.qlASXIsASXdate(H17),IF(ISERROR(C17),FALSE,TRUE))</f>
        <v>0</v>
      </c>
      <c r="M17" s="72" t="b">
        <f>AND(NOT(_xll.qlASXIsASXdate(H17)),IF(ISERROR(C17),FALSE,TRUE))</f>
        <v>0</v>
      </c>
    </row>
    <row r="18" spans="1:13" x14ac:dyDescent="0.2">
      <c r="A18" s="175" t="str">
        <f>Futures!I8</f>
        <v>obj_002b9#0001</v>
      </c>
      <c r="B18" s="83" t="str">
        <f>_xll.qlRateHelperQuoteName(A18)</f>
        <v>AUDFUT3MU5_Quote</v>
      </c>
      <c r="C18" s="89">
        <f>_xll.qlRateHelperQuoteValue($A18,Trigger)</f>
        <v>97.89500000000001</v>
      </c>
      <c r="D18" s="82">
        <f>_xll.qlFuturesRateHelperConvexityAdjustment($A18,Trigger)</f>
        <v>0</v>
      </c>
      <c r="E18" s="81" t="b">
        <v>1</v>
      </c>
      <c r="F18" s="81">
        <v>60</v>
      </c>
      <c r="G18" s="81">
        <v>21</v>
      </c>
      <c r="H18" s="80">
        <f>_xll.qlRateHelperEarliestDate($A18,Trigger)</f>
        <v>42258</v>
      </c>
      <c r="I18" s="79">
        <f>_xll.qlRateHelperLatestDate($A18,Trigger)</f>
        <v>42349</v>
      </c>
      <c r="L18" s="72" t="b">
        <f>AND(_xll.qlASXIsASXdate(H18),IF(ISERROR(C18),FALSE,TRUE))</f>
        <v>1</v>
      </c>
      <c r="M18" s="72" t="b">
        <f>AND(NOT(_xll.qlASXIsASXdate(H18)),IF(ISERROR(C18),FALSE,TRUE))</f>
        <v>0</v>
      </c>
    </row>
    <row r="19" spans="1:13" x14ac:dyDescent="0.2">
      <c r="A19" s="175" t="str">
        <f>Futures!I9</f>
        <v>obj_002c6#0001</v>
      </c>
      <c r="B19" s="83" t="str">
        <f>_xll.qlRateHelperQuoteName(A19)</f>
        <v>AUDFUT3MV5_Quote</v>
      </c>
      <c r="C19" s="89" t="e">
        <f>_xll.qlRateHelperQuoteValue($A19,Trigger)</f>
        <v>#NUM!</v>
      </c>
      <c r="D19" s="82" t="e">
        <f>_xll.qlFuturesRateHelperConvexityAdjustment($A19,Trigger)</f>
        <v>#NUM!</v>
      </c>
      <c r="E19" s="81" t="b">
        <v>1</v>
      </c>
      <c r="F19" s="81">
        <v>60</v>
      </c>
      <c r="G19" s="81">
        <v>21</v>
      </c>
      <c r="H19" s="80">
        <f>_xll.qlRateHelperEarliestDate($A19,Trigger)</f>
        <v>42286</v>
      </c>
      <c r="I19" s="79">
        <f>_xll.qlRateHelperLatestDate($A19,Trigger)</f>
        <v>42380</v>
      </c>
      <c r="L19" s="72" t="b">
        <f>AND(_xll.qlASXIsASXdate(H19),IF(ISERROR(C19),FALSE,TRUE))</f>
        <v>0</v>
      </c>
      <c r="M19" s="72" t="b">
        <f>AND(NOT(_xll.qlASXIsASXdate(H19)),IF(ISERROR(C19),FALSE,TRUE))</f>
        <v>0</v>
      </c>
    </row>
    <row r="20" spans="1:13" x14ac:dyDescent="0.2">
      <c r="A20" s="175" t="str">
        <f>Futures!I10</f>
        <v>obj_002cc#0001</v>
      </c>
      <c r="B20" s="83" t="str">
        <f>_xll.qlRateHelperQuoteName(A20)</f>
        <v>AUDFUT3MX5_Quote</v>
      </c>
      <c r="C20" s="89" t="e">
        <f>_xll.qlRateHelperQuoteValue($A20,Trigger)</f>
        <v>#NUM!</v>
      </c>
      <c r="D20" s="82" t="e">
        <f>_xll.qlFuturesRateHelperConvexityAdjustment($A20,Trigger)</f>
        <v>#NUM!</v>
      </c>
      <c r="E20" s="81" t="b">
        <v>1</v>
      </c>
      <c r="F20" s="81">
        <v>60</v>
      </c>
      <c r="G20" s="81">
        <v>21</v>
      </c>
      <c r="H20" s="80">
        <f>_xll.qlRateHelperEarliestDate($A20,Trigger)</f>
        <v>42321</v>
      </c>
      <c r="I20" s="79">
        <f>_xll.qlRateHelperLatestDate($A20,Trigger)</f>
        <v>42415</v>
      </c>
      <c r="L20" s="72" t="b">
        <f>AND(_xll.qlASXIsASXdate(H20),IF(ISERROR(C20),FALSE,TRUE))</f>
        <v>0</v>
      </c>
      <c r="M20" s="72" t="b">
        <f>AND(NOT(_xll.qlASXIsASXdate(H20)),IF(ISERROR(C20),FALSE,TRUE))</f>
        <v>0</v>
      </c>
    </row>
    <row r="21" spans="1:13" x14ac:dyDescent="0.2">
      <c r="A21" s="175" t="str">
        <f>Futures!I11</f>
        <v>obj_002ac#0001</v>
      </c>
      <c r="B21" s="83" t="str">
        <f>_xll.qlRateHelperQuoteName(A21)</f>
        <v>AUDFUT3MZ5_Quote</v>
      </c>
      <c r="C21" s="89">
        <f>_xll.qlRateHelperQuoteValue($A21,Trigger)</f>
        <v>97.884999999999991</v>
      </c>
      <c r="D21" s="82">
        <f>_xll.qlFuturesRateHelperConvexityAdjustment($A21,Trigger)</f>
        <v>0</v>
      </c>
      <c r="E21" s="81" t="b">
        <v>1</v>
      </c>
      <c r="F21" s="81">
        <v>60</v>
      </c>
      <c r="G21" s="81">
        <v>21</v>
      </c>
      <c r="H21" s="80">
        <f>_xll.qlRateHelperEarliestDate($A21,Trigger)</f>
        <v>42349</v>
      </c>
      <c r="I21" s="79">
        <f>_xll.qlRateHelperLatestDate($A21,Trigger)</f>
        <v>42440</v>
      </c>
      <c r="L21" s="72" t="b">
        <f>AND(_xll.qlASXIsASXdate(H21),IF(ISERROR(C21),FALSE,TRUE))</f>
        <v>1</v>
      </c>
      <c r="M21" s="72" t="b">
        <f>AND(NOT(_xll.qlASXIsASXdate(H21)),IF(ISERROR(C21),FALSE,TRUE))</f>
        <v>0</v>
      </c>
    </row>
    <row r="22" spans="1:13" x14ac:dyDescent="0.2">
      <c r="A22" s="175" t="str">
        <f>Futures!I12</f>
        <v>obj_002b5#0001</v>
      </c>
      <c r="B22" s="83" t="str">
        <f>_xll.qlRateHelperQuoteName(A22)</f>
        <v>AUDFUT3MF6_Quote</v>
      </c>
      <c r="C22" s="89" t="e">
        <f>_xll.qlRateHelperQuoteValue($A22,Trigger)</f>
        <v>#NUM!</v>
      </c>
      <c r="D22" s="82" t="e">
        <f>_xll.qlFuturesRateHelperConvexityAdjustment($A22,Trigger)</f>
        <v>#NUM!</v>
      </c>
      <c r="E22" s="81" t="b">
        <v>1</v>
      </c>
      <c r="F22" s="81">
        <v>60</v>
      </c>
      <c r="G22" s="81">
        <v>21</v>
      </c>
      <c r="H22" s="80">
        <f>_xll.qlRateHelperEarliestDate($A22,Trigger)</f>
        <v>42377</v>
      </c>
      <c r="I22" s="79">
        <f>_xll.qlRateHelperLatestDate($A22,Trigger)</f>
        <v>42468</v>
      </c>
      <c r="L22" s="72" t="b">
        <f>AND(_xll.qlASXIsASXdate(H22),IF(ISERROR(C22),FALSE,TRUE))</f>
        <v>0</v>
      </c>
      <c r="M22" s="72" t="b">
        <f>AND(NOT(_xll.qlASXIsASXdate(H22)),IF(ISERROR(C22),FALSE,TRUE))</f>
        <v>0</v>
      </c>
    </row>
    <row r="23" spans="1:13" x14ac:dyDescent="0.2">
      <c r="A23" s="175" t="str">
        <f>Futures!I13</f>
        <v>obj_002d2#0001</v>
      </c>
      <c r="B23" s="83" t="str">
        <f>_xll.qlRateHelperQuoteName(A23)</f>
        <v>AUDFUT3MG6_Quote</v>
      </c>
      <c r="C23" s="89" t="e">
        <f>_xll.qlRateHelperQuoteValue($A23,Trigger)</f>
        <v>#NUM!</v>
      </c>
      <c r="D23" s="82" t="e">
        <f>_xll.qlFuturesRateHelperConvexityAdjustment($A23,Trigger)</f>
        <v>#NUM!</v>
      </c>
      <c r="E23" s="81" t="b">
        <v>1</v>
      </c>
      <c r="F23" s="81">
        <v>60</v>
      </c>
      <c r="G23" s="81">
        <v>21</v>
      </c>
      <c r="H23" s="80">
        <f>_xll.qlRateHelperEarliestDate($A23,Trigger)</f>
        <v>42412</v>
      </c>
      <c r="I23" s="79">
        <f>_xll.qlRateHelperLatestDate($A23,Trigger)</f>
        <v>42502</v>
      </c>
      <c r="L23" s="72" t="b">
        <f>AND(_xll.qlASXIsASXdate(H23),IF(ISERROR(C23),FALSE,TRUE))</f>
        <v>0</v>
      </c>
      <c r="M23" s="72" t="b">
        <f>AND(NOT(_xll.qlASXIsASXdate(H23)),IF(ISERROR(C23),FALSE,TRUE))</f>
        <v>0</v>
      </c>
    </row>
    <row r="24" spans="1:13" x14ac:dyDescent="0.2">
      <c r="A24" s="175" t="str">
        <f>Futures!I14</f>
        <v>obj_002ad#0001</v>
      </c>
      <c r="B24" s="83" t="str">
        <f>_xll.qlRateHelperQuoteName(A24)</f>
        <v>AUDFUT3MH6_Quote</v>
      </c>
      <c r="C24" s="89">
        <f>_xll.qlRateHelperQuoteValue($A24,Trigger)</f>
        <v>97.855000000000004</v>
      </c>
      <c r="D24" s="82">
        <f>_xll.qlFuturesRateHelperConvexityAdjustment($A24,Trigger)</f>
        <v>0</v>
      </c>
      <c r="E24" s="81" t="b">
        <v>1</v>
      </c>
      <c r="F24" s="81">
        <v>60</v>
      </c>
      <c r="G24" s="81">
        <v>21</v>
      </c>
      <c r="H24" s="80">
        <f>_xll.qlRateHelperEarliestDate($A24,Trigger)</f>
        <v>42440</v>
      </c>
      <c r="I24" s="79">
        <f>_xll.qlRateHelperLatestDate($A24,Trigger)</f>
        <v>42535</v>
      </c>
      <c r="L24" s="72" t="b">
        <f>AND(_xll.qlASXIsASXdate(H24),IF(ISERROR(C24),FALSE,TRUE))</f>
        <v>1</v>
      </c>
      <c r="M24" s="72" t="b">
        <f>AND(NOT(_xll.qlASXIsASXdate(H24)),IF(ISERROR(C24),FALSE,TRUE))</f>
        <v>0</v>
      </c>
    </row>
    <row r="25" spans="1:13" x14ac:dyDescent="0.2">
      <c r="A25" s="175" t="str">
        <f>Futures!I15</f>
        <v>obj_002c9#0001</v>
      </c>
      <c r="B25" s="83" t="str">
        <f>_xll.qlRateHelperQuoteName(A25)</f>
        <v>AUDFUT3MJ6_Quote</v>
      </c>
      <c r="C25" s="89" t="e">
        <f>_xll.qlRateHelperQuoteValue($A25,Trigger)</f>
        <v>#NUM!</v>
      </c>
      <c r="D25" s="82" t="e">
        <f>_xll.qlFuturesRateHelperConvexityAdjustment($A25,Trigger)</f>
        <v>#NUM!</v>
      </c>
      <c r="E25" s="81" t="b">
        <v>1</v>
      </c>
      <c r="F25" s="81">
        <v>60</v>
      </c>
      <c r="G25" s="81">
        <v>21</v>
      </c>
      <c r="H25" s="80">
        <f>_xll.qlRateHelperEarliestDate($A25,Trigger)</f>
        <v>42468</v>
      </c>
      <c r="I25" s="79">
        <f>_xll.qlRateHelperLatestDate($A25,Trigger)</f>
        <v>42559</v>
      </c>
      <c r="L25" s="72" t="b">
        <f>AND(_xll.qlASXIsASXdate(H25),IF(ISERROR(C25),FALSE,TRUE))</f>
        <v>0</v>
      </c>
      <c r="M25" s="72" t="b">
        <f>AND(NOT(_xll.qlASXIsASXdate(H25)),IF(ISERROR(C25),FALSE,TRUE))</f>
        <v>0</v>
      </c>
    </row>
    <row r="26" spans="1:13" x14ac:dyDescent="0.2">
      <c r="A26" s="175" t="str">
        <f>Futures!I16</f>
        <v>obj_002b1#0001</v>
      </c>
      <c r="B26" s="83" t="str">
        <f>_xll.qlRateHelperQuoteName(A26)</f>
        <v>AUDFUT3MK6_Quote</v>
      </c>
      <c r="C26" s="89" t="e">
        <f>_xll.qlRateHelperQuoteValue($A26,Trigger)</f>
        <v>#NUM!</v>
      </c>
      <c r="D26" s="82" t="e">
        <f>_xll.qlFuturesRateHelperConvexityAdjustment($A26,Trigger)</f>
        <v>#NUM!</v>
      </c>
      <c r="E26" s="81" t="b">
        <v>1</v>
      </c>
      <c r="F26" s="81">
        <v>60</v>
      </c>
      <c r="G26" s="81">
        <v>21</v>
      </c>
      <c r="H26" s="80">
        <f>_xll.qlRateHelperEarliestDate($A26,Trigger)</f>
        <v>42503</v>
      </c>
      <c r="I26" s="79">
        <f>_xll.qlRateHelperLatestDate($A26,Trigger)</f>
        <v>42597</v>
      </c>
      <c r="L26" s="72" t="b">
        <f>AND(_xll.qlASXIsASXdate(H26),IF(ISERROR(C26),FALSE,TRUE))</f>
        <v>0</v>
      </c>
      <c r="M26" s="72" t="b">
        <f>AND(NOT(_xll.qlASXIsASXdate(H26)),IF(ISERROR(C26),FALSE,TRUE))</f>
        <v>0</v>
      </c>
    </row>
    <row r="27" spans="1:13" x14ac:dyDescent="0.2">
      <c r="A27" s="175" t="str">
        <f>Futures!I17</f>
        <v>obj_002c8#0001</v>
      </c>
      <c r="B27" s="83" t="str">
        <f>_xll.qlRateHelperQuoteName(A27)</f>
        <v>AUDFUT3MM6_Quote</v>
      </c>
      <c r="C27" s="89">
        <f>_xll.qlRateHelperQuoteValue($A27,Trigger)</f>
        <v>97.795000000000002</v>
      </c>
      <c r="D27" s="82">
        <f>_xll.qlFuturesRateHelperConvexityAdjustment($A27,Trigger)</f>
        <v>0</v>
      </c>
      <c r="E27" s="81" t="b">
        <v>1</v>
      </c>
      <c r="F27" s="81">
        <v>60</v>
      </c>
      <c r="G27" s="81">
        <v>21</v>
      </c>
      <c r="H27" s="80">
        <f>_xll.qlRateHelperEarliestDate($A27,Trigger)</f>
        <v>42531</v>
      </c>
      <c r="I27" s="79">
        <f>_xll.qlRateHelperLatestDate($A27,Trigger)</f>
        <v>42625</v>
      </c>
      <c r="L27" s="72" t="b">
        <f>AND(_xll.qlASXIsASXdate(H27),IF(ISERROR(C27),FALSE,TRUE))</f>
        <v>1</v>
      </c>
      <c r="M27" s="72" t="b">
        <f>AND(NOT(_xll.qlASXIsASXdate(H27)),IF(ISERROR(C27),FALSE,TRUE))</f>
        <v>0</v>
      </c>
    </row>
    <row r="28" spans="1:13" x14ac:dyDescent="0.2">
      <c r="A28" s="175" t="str">
        <f>Futures!I18</f>
        <v>obj_002ae#0001</v>
      </c>
      <c r="B28" s="83" t="str">
        <f>_xll.qlRateHelperQuoteName(A28)</f>
        <v>AUDFUT3MU6_Quote</v>
      </c>
      <c r="C28" s="89">
        <f>_xll.qlRateHelperQuoteValue($A28,Trigger)</f>
        <v>97.724999999999994</v>
      </c>
      <c r="D28" s="82">
        <f>_xll.qlFuturesRateHelperConvexityAdjustment($A28,Trigger)</f>
        <v>0</v>
      </c>
      <c r="E28" s="81" t="b">
        <v>1</v>
      </c>
      <c r="F28" s="81">
        <v>60</v>
      </c>
      <c r="G28" s="81">
        <v>21</v>
      </c>
      <c r="H28" s="80">
        <f>_xll.qlRateHelperEarliestDate($A28,Trigger)</f>
        <v>42622</v>
      </c>
      <c r="I28" s="79">
        <f>_xll.qlRateHelperLatestDate($A28,Trigger)</f>
        <v>42713</v>
      </c>
      <c r="L28" s="72" t="b">
        <f>AND(_xll.qlASXIsASXdate(H28),IF(ISERROR(C28),FALSE,TRUE))</f>
        <v>1</v>
      </c>
      <c r="M28" s="72" t="b">
        <f>AND(NOT(_xll.qlASXIsASXdate(H28)),IF(ISERROR(C28),FALSE,TRUE))</f>
        <v>0</v>
      </c>
    </row>
    <row r="29" spans="1:13" x14ac:dyDescent="0.2">
      <c r="A29" s="175" t="str">
        <f>Futures!I19</f>
        <v>obj_002bb#0001</v>
      </c>
      <c r="B29" s="83" t="str">
        <f>_xll.qlRateHelperQuoteName(A29)</f>
        <v>AUDFUT3MZ6_Quote</v>
      </c>
      <c r="C29" s="89">
        <f>_xll.qlRateHelperQuoteValue($A29,Trigger)</f>
        <v>97.64500000000001</v>
      </c>
      <c r="D29" s="82">
        <f>_xll.qlFuturesRateHelperConvexityAdjustment($A29,Trigger)</f>
        <v>0</v>
      </c>
      <c r="E29" s="81" t="b">
        <v>1</v>
      </c>
      <c r="F29" s="81">
        <v>60</v>
      </c>
      <c r="G29" s="81">
        <v>21</v>
      </c>
      <c r="H29" s="80">
        <f>_xll.qlRateHelperEarliestDate($A29,Trigger)</f>
        <v>42713</v>
      </c>
      <c r="I29" s="79">
        <f>_xll.qlRateHelperLatestDate($A29,Trigger)</f>
        <v>42803</v>
      </c>
      <c r="L29" s="72" t="b">
        <f>AND(_xll.qlASXIsASXdate(H29),IF(ISERROR(C29),FALSE,TRUE))</f>
        <v>1</v>
      </c>
      <c r="M29" s="72" t="b">
        <f>AND(NOT(_xll.qlASXIsASXdate(H29)),IF(ISERROR(C29),FALSE,TRUE))</f>
        <v>0</v>
      </c>
    </row>
    <row r="30" spans="1:13" x14ac:dyDescent="0.2">
      <c r="A30" s="175" t="str">
        <f>Futures!I20</f>
        <v>obj_002cd#0001</v>
      </c>
      <c r="B30" s="83" t="str">
        <f>_xll.qlRateHelperQuoteName(A30)</f>
        <v>AUDFUT3MH7_Quote</v>
      </c>
      <c r="C30" s="89">
        <f>_xll.qlRateHelperQuoteValue($A30,Trigger)</f>
        <v>97.56</v>
      </c>
      <c r="D30" s="82">
        <f>_xll.qlFuturesRateHelperConvexityAdjustment($A30,Trigger)</f>
        <v>0</v>
      </c>
      <c r="E30" s="81" t="b">
        <v>1</v>
      </c>
      <c r="F30" s="81">
        <v>60</v>
      </c>
      <c r="G30" s="81">
        <v>21</v>
      </c>
      <c r="H30" s="80">
        <f>_xll.qlRateHelperEarliestDate($A30,Trigger)</f>
        <v>42804</v>
      </c>
      <c r="I30" s="79">
        <f>_xll.qlRateHelperLatestDate($A30,Trigger)</f>
        <v>42899</v>
      </c>
      <c r="L30" s="72" t="b">
        <f>AND(_xll.qlASXIsASXdate(H30),IF(ISERROR(C30),FALSE,TRUE))</f>
        <v>1</v>
      </c>
      <c r="M30" s="72" t="b">
        <f>AND(NOT(_xll.qlASXIsASXdate(H30)),IF(ISERROR(C30),FALSE,TRUE))</f>
        <v>0</v>
      </c>
    </row>
    <row r="31" spans="1:13" x14ac:dyDescent="0.2">
      <c r="A31" s="175" t="str">
        <f>Futures!I21</f>
        <v>obj_002d1#0001</v>
      </c>
      <c r="B31" s="83" t="str">
        <f>_xll.qlRateHelperQuoteName(A31)</f>
        <v>AUDFUT3MM7_Quote</v>
      </c>
      <c r="C31" s="89">
        <f>_xll.qlRateHelperQuoteValue($A31,Trigger)</f>
        <v>97.47</v>
      </c>
      <c r="D31" s="82">
        <f>_xll.qlFuturesRateHelperConvexityAdjustment($A31,Trigger)</f>
        <v>0</v>
      </c>
      <c r="E31" s="81" t="b">
        <v>1</v>
      </c>
      <c r="F31" s="81">
        <v>60</v>
      </c>
      <c r="G31" s="81">
        <v>21</v>
      </c>
      <c r="H31" s="80">
        <f>_xll.qlRateHelperEarliestDate($A31,Trigger)</f>
        <v>42895</v>
      </c>
      <c r="I31" s="79">
        <f>_xll.qlRateHelperLatestDate($A31,Trigger)</f>
        <v>42989</v>
      </c>
      <c r="L31" s="72" t="b">
        <f>AND(_xll.qlASXIsASXdate(H31),IF(ISERROR(C31),FALSE,TRUE))</f>
        <v>1</v>
      </c>
      <c r="M31" s="72" t="b">
        <f>AND(NOT(_xll.qlASXIsASXdate(H31)),IF(ISERROR(C31),FALSE,TRUE))</f>
        <v>0</v>
      </c>
    </row>
    <row r="32" spans="1:13" x14ac:dyDescent="0.2">
      <c r="A32" s="175" t="str">
        <f>Futures!I22</f>
        <v>obj_002ba#0001</v>
      </c>
      <c r="B32" s="83" t="str">
        <f>_xll.qlRateHelperQuoteName(A32)</f>
        <v>AUDFUT3MU7_Quote</v>
      </c>
      <c r="C32" s="89">
        <f>_xll.qlRateHelperQuoteValue($A32,Trigger)</f>
        <v>97.38</v>
      </c>
      <c r="D32" s="82">
        <f>_xll.qlFuturesRateHelperConvexityAdjustment($A32,Trigger)</f>
        <v>0</v>
      </c>
      <c r="E32" s="81" t="b">
        <v>1</v>
      </c>
      <c r="F32" s="81">
        <v>30</v>
      </c>
      <c r="G32" s="81">
        <v>21</v>
      </c>
      <c r="H32" s="80">
        <f>_xll.qlRateHelperEarliestDate($A32,Trigger)</f>
        <v>42986</v>
      </c>
      <c r="I32" s="79">
        <f>_xll.qlRateHelperLatestDate($A32,Trigger)</f>
        <v>43077</v>
      </c>
      <c r="L32" s="72" t="b">
        <f>AND(_xll.qlASXIsASXdate(H32),IF(ISERROR(C32),FALSE,TRUE))</f>
        <v>1</v>
      </c>
      <c r="M32" s="72" t="b">
        <f>AND(NOT(_xll.qlASXIsASXdate(H32)),IF(ISERROR(C32),FALSE,TRUE))</f>
        <v>0</v>
      </c>
    </row>
    <row r="33" spans="1:13" x14ac:dyDescent="0.2">
      <c r="A33" s="175" t="str">
        <f>Futures!I23</f>
        <v>obj_002b4#0001</v>
      </c>
      <c r="B33" s="83" t="str">
        <f>_xll.qlRateHelperQuoteName(A33)</f>
        <v>AUDFUT3MZ7_Quote</v>
      </c>
      <c r="C33" s="89">
        <f>_xll.qlRateHelperQuoteValue($A33,Trigger)</f>
        <v>97.284999999999997</v>
      </c>
      <c r="D33" s="82">
        <f>_xll.qlFuturesRateHelperConvexityAdjustment($A33,Trigger)</f>
        <v>0</v>
      </c>
      <c r="E33" s="81" t="b">
        <v>1</v>
      </c>
      <c r="F33" s="81">
        <v>30</v>
      </c>
      <c r="G33" s="81">
        <v>21</v>
      </c>
      <c r="H33" s="80">
        <f>_xll.qlRateHelperEarliestDate($A33,Trigger)</f>
        <v>43077</v>
      </c>
      <c r="I33" s="79">
        <f>_xll.qlRateHelperLatestDate($A33,Trigger)</f>
        <v>43167</v>
      </c>
      <c r="L33" s="72" t="b">
        <f>AND(_xll.qlASXIsASXdate(H33),IF(ISERROR(C33),FALSE,TRUE))</f>
        <v>1</v>
      </c>
      <c r="M33" s="72" t="b">
        <f>AND(NOT(_xll.qlASXIsASXdate(H33)),IF(ISERROR(C33),FALSE,TRUE))</f>
        <v>0</v>
      </c>
    </row>
    <row r="34" spans="1:13" x14ac:dyDescent="0.2">
      <c r="A34" s="175" t="str">
        <f>Futures!I24</f>
        <v>obj_002cf#0001</v>
      </c>
      <c r="B34" s="83" t="str">
        <f>_xll.qlRateHelperQuoteName(A34)</f>
        <v>AUDFUT3MH8_Quote</v>
      </c>
      <c r="C34" s="89">
        <f>_xll.qlRateHelperQuoteValue($A34,Trigger)</f>
        <v>97.205000000000013</v>
      </c>
      <c r="D34" s="82">
        <f>_xll.qlFuturesRateHelperConvexityAdjustment($A34,Trigger)</f>
        <v>0</v>
      </c>
      <c r="E34" s="81" t="b">
        <v>1</v>
      </c>
      <c r="F34" s="81">
        <v>30</v>
      </c>
      <c r="G34" s="81">
        <v>21</v>
      </c>
      <c r="H34" s="80">
        <f>_xll.qlRateHelperEarliestDate($A34,Trigger)</f>
        <v>43168</v>
      </c>
      <c r="I34" s="79">
        <f>_xll.qlRateHelperLatestDate($A34,Trigger)</f>
        <v>43263</v>
      </c>
      <c r="L34" s="72" t="b">
        <f>AND(_xll.qlASXIsASXdate(H34),IF(ISERROR(C34),FALSE,TRUE))</f>
        <v>1</v>
      </c>
      <c r="M34" s="72" t="b">
        <f>AND(NOT(_xll.qlASXIsASXdate(H34)),IF(ISERROR(C34),FALSE,TRUE))</f>
        <v>0</v>
      </c>
    </row>
    <row r="35" spans="1:13" x14ac:dyDescent="0.2">
      <c r="A35" s="175" t="str">
        <f>Futures!I25</f>
        <v>obj_002c0#0001</v>
      </c>
      <c r="B35" s="83" t="str">
        <f>_xll.qlRateHelperQuoteName(A35)</f>
        <v>AUDFUT3MM8_Quote</v>
      </c>
      <c r="C35" s="89" t="e">
        <f>_xll.qlRateHelperQuoteValue($A35,Trigger)</f>
        <v>#NUM!</v>
      </c>
      <c r="D35" s="82" t="e">
        <f>_xll.qlFuturesRateHelperConvexityAdjustment($A35,Trigger)</f>
        <v>#NUM!</v>
      </c>
      <c r="E35" s="81" t="b">
        <v>1</v>
      </c>
      <c r="F35" s="81">
        <v>30</v>
      </c>
      <c r="G35" s="81">
        <v>21</v>
      </c>
      <c r="H35" s="80">
        <f>_xll.qlRateHelperEarliestDate($A35,Trigger)</f>
        <v>43259</v>
      </c>
      <c r="I35" s="79">
        <f>_xll.qlRateHelperLatestDate($A35,Trigger)</f>
        <v>43353</v>
      </c>
      <c r="L35" s="72" t="b">
        <f>AND(_xll.qlASXIsASXdate(H35),IF(ISERROR(C35),FALSE,TRUE))</f>
        <v>0</v>
      </c>
      <c r="M35" s="72" t="b">
        <f>AND(NOT(_xll.qlASXIsASXdate(H35)),IF(ISERROR(C35),FALSE,TRUE))</f>
        <v>0</v>
      </c>
    </row>
    <row r="36" spans="1:13" x14ac:dyDescent="0.2">
      <c r="A36" s="175" t="str">
        <f>Futures!I26</f>
        <v>obj_002c3#0001</v>
      </c>
      <c r="B36" s="83" t="str">
        <f>_xll.qlRateHelperQuoteName(A36)</f>
        <v>AUDFUT3MU8_Quote</v>
      </c>
      <c r="C36" s="89" t="e">
        <f>_xll.qlRateHelperQuoteValue($A36,Trigger)</f>
        <v>#NUM!</v>
      </c>
      <c r="D36" s="82" t="e">
        <f>_xll.qlFuturesRateHelperConvexityAdjustment($A36,Trigger)</f>
        <v>#NUM!</v>
      </c>
      <c r="E36" s="81" t="b">
        <v>1</v>
      </c>
      <c r="F36" s="81">
        <v>30</v>
      </c>
      <c r="G36" s="81">
        <v>21</v>
      </c>
      <c r="H36" s="80">
        <f>_xll.qlRateHelperEarliestDate($A36,Trigger)</f>
        <v>43357</v>
      </c>
      <c r="I36" s="79">
        <f>_xll.qlRateHelperLatestDate($A36,Trigger)</f>
        <v>43448</v>
      </c>
      <c r="L36" s="72" t="b">
        <f>AND(_xll.qlASXIsASXdate(H36),IF(ISERROR(C36),FALSE,TRUE))</f>
        <v>0</v>
      </c>
      <c r="M36" s="72" t="b">
        <f>AND(NOT(_xll.qlASXIsASXdate(H36)),IF(ISERROR(C36),FALSE,TRUE))</f>
        <v>0</v>
      </c>
    </row>
    <row r="37" spans="1:13" x14ac:dyDescent="0.2">
      <c r="A37" s="175" t="str">
        <f>Futures!I27</f>
        <v>obj_002b3#0001</v>
      </c>
      <c r="B37" s="83" t="str">
        <f>_xll.qlRateHelperQuoteName(A37)</f>
        <v>AUDFUT3MZ8_Quote</v>
      </c>
      <c r="C37" s="89" t="e">
        <f>_xll.qlRateHelperQuoteValue($A37,Trigger)</f>
        <v>#NUM!</v>
      </c>
      <c r="D37" s="82" t="e">
        <f>_xll.qlFuturesRateHelperConvexityAdjustment($A37,Trigger)</f>
        <v>#NUM!</v>
      </c>
      <c r="E37" s="81" t="b">
        <v>1</v>
      </c>
      <c r="F37" s="81">
        <v>30</v>
      </c>
      <c r="G37" s="81">
        <v>21</v>
      </c>
      <c r="H37" s="80">
        <f>_xll.qlRateHelperEarliestDate($A37,Trigger)</f>
        <v>43448</v>
      </c>
      <c r="I37" s="79">
        <f>_xll.qlRateHelperLatestDate($A37,Trigger)</f>
        <v>43538</v>
      </c>
      <c r="L37" s="72" t="b">
        <f>AND(_xll.qlASXIsASXdate(H37),IF(ISERROR(C37),FALSE,TRUE))</f>
        <v>0</v>
      </c>
      <c r="M37" s="72" t="b">
        <f>AND(NOT(_xll.qlASXIsASXdate(H37)),IF(ISERROR(C37),FALSE,TRUE))</f>
        <v>0</v>
      </c>
    </row>
    <row r="38" spans="1:13" x14ac:dyDescent="0.2">
      <c r="A38" s="175" t="str">
        <f>Futures!I28</f>
        <v>obj_002d0#0001</v>
      </c>
      <c r="B38" s="83" t="str">
        <f>_xll.qlRateHelperQuoteName(A38)</f>
        <v>AUDFUT3MH9_Quote</v>
      </c>
      <c r="C38" s="89" t="e">
        <f>_xll.qlRateHelperQuoteValue($A38,Trigger)</f>
        <v>#NUM!</v>
      </c>
      <c r="D38" s="82" t="e">
        <f>_xll.qlFuturesRateHelperConvexityAdjustment($A38,Trigger)</f>
        <v>#NUM!</v>
      </c>
      <c r="E38" s="81" t="b">
        <v>1</v>
      </c>
      <c r="F38" s="81">
        <v>30</v>
      </c>
      <c r="G38" s="81">
        <v>21</v>
      </c>
      <c r="H38" s="80">
        <f>_xll.qlRateHelperEarliestDate($A38,Trigger)</f>
        <v>43532</v>
      </c>
      <c r="I38" s="79">
        <f>_xll.qlRateHelperLatestDate($A38,Trigger)</f>
        <v>43627</v>
      </c>
      <c r="L38" s="72" t="b">
        <f>AND(_xll.qlASXIsASXdate(H38),IF(ISERROR(C38),FALSE,TRUE))</f>
        <v>0</v>
      </c>
      <c r="M38" s="72" t="b">
        <f>AND(NOT(_xll.qlASXIsASXdate(H38)),IF(ISERROR(C38),FALSE,TRUE))</f>
        <v>0</v>
      </c>
    </row>
    <row r="39" spans="1:13" x14ac:dyDescent="0.2">
      <c r="A39" s="175" t="str">
        <f>Futures!I29</f>
        <v>obj_002af#0001</v>
      </c>
      <c r="B39" s="83" t="str">
        <f>_xll.qlRateHelperQuoteName(A39)</f>
        <v>AUDFUT3MM9_Quote</v>
      </c>
      <c r="C39" s="89" t="e">
        <f>_xll.qlRateHelperQuoteValue($A39,Trigger)</f>
        <v>#NUM!</v>
      </c>
      <c r="D39" s="82" t="e">
        <f>_xll.qlFuturesRateHelperConvexityAdjustment($A39,Trigger)</f>
        <v>#NUM!</v>
      </c>
      <c r="E39" s="81" t="b">
        <v>1</v>
      </c>
      <c r="F39" s="81">
        <v>30</v>
      </c>
      <c r="G39" s="81">
        <v>21</v>
      </c>
      <c r="H39" s="80">
        <f>_xll.qlRateHelperEarliestDate($A39,Trigger)</f>
        <v>43630</v>
      </c>
      <c r="I39" s="79">
        <f>_xll.qlRateHelperLatestDate($A39,Trigger)</f>
        <v>43721</v>
      </c>
      <c r="L39" s="72" t="b">
        <f>AND(_xll.qlASXIsASXdate(H39),IF(ISERROR(C39),FALSE,TRUE))</f>
        <v>0</v>
      </c>
      <c r="M39" s="72" t="b">
        <f>AND(NOT(_xll.qlASXIsASXdate(H39)),IF(ISERROR(C39),FALSE,TRUE))</f>
        <v>0</v>
      </c>
    </row>
    <row r="40" spans="1:13" x14ac:dyDescent="0.2">
      <c r="A40" s="175" t="str">
        <f>Futures!I30</f>
        <v>obj_002b2#0001</v>
      </c>
      <c r="B40" s="83" t="str">
        <f>_xll.qlRateHelperQuoteName(A40)</f>
        <v>AUDFUT3MU9_Quote</v>
      </c>
      <c r="C40" s="89" t="e">
        <f>_xll.qlRateHelperQuoteValue($A40,Trigger)</f>
        <v>#NUM!</v>
      </c>
      <c r="D40" s="82" t="e">
        <f>_xll.qlFuturesRateHelperConvexityAdjustment($A40,Trigger)</f>
        <v>#NUM!</v>
      </c>
      <c r="E40" s="81" t="b">
        <v>1</v>
      </c>
      <c r="F40" s="81">
        <v>30</v>
      </c>
      <c r="G40" s="81">
        <v>21</v>
      </c>
      <c r="H40" s="80">
        <f>_xll.qlRateHelperEarliestDate($A40,Trigger)</f>
        <v>43721</v>
      </c>
      <c r="I40" s="79">
        <f>_xll.qlRateHelperLatestDate($A40,Trigger)</f>
        <v>43812</v>
      </c>
      <c r="L40" s="72" t="b">
        <f>AND(_xll.qlASXIsASXdate(H40),IF(ISERROR(C40),FALSE,TRUE))</f>
        <v>0</v>
      </c>
      <c r="M40" s="72" t="b">
        <f>AND(NOT(_xll.qlASXIsASXdate(H40)),IF(ISERROR(C40),FALSE,TRUE))</f>
        <v>0</v>
      </c>
    </row>
    <row r="41" spans="1:13" x14ac:dyDescent="0.2">
      <c r="A41" s="175" t="str">
        <f>Futures!I31</f>
        <v>obj_002b8#0001</v>
      </c>
      <c r="B41" s="83" t="str">
        <f>_xll.qlRateHelperQuoteName(A41)</f>
        <v>AUDFUT3MZ9_Quote</v>
      </c>
      <c r="C41" s="89" t="e">
        <f>_xll.qlRateHelperQuoteValue($A41,Trigger)</f>
        <v>#NUM!</v>
      </c>
      <c r="D41" s="82" t="e">
        <f>_xll.qlFuturesRateHelperConvexityAdjustment($A41,Trigger)</f>
        <v>#NUM!</v>
      </c>
      <c r="E41" s="81" t="b">
        <v>1</v>
      </c>
      <c r="F41" s="81">
        <v>30</v>
      </c>
      <c r="G41" s="81">
        <v>21</v>
      </c>
      <c r="H41" s="80">
        <f>_xll.qlRateHelperEarliestDate($A41,Trigger)</f>
        <v>43812</v>
      </c>
      <c r="I41" s="79">
        <f>_xll.qlRateHelperLatestDate($A41,Trigger)</f>
        <v>43903</v>
      </c>
      <c r="L41" s="72" t="b">
        <f>AND(_xll.qlASXIsASXdate(H41),IF(ISERROR(C41),FALSE,TRUE))</f>
        <v>0</v>
      </c>
      <c r="M41" s="72" t="b">
        <f>AND(NOT(_xll.qlASXIsASXdate(H41)),IF(ISERROR(C41),FALSE,TRUE))</f>
        <v>0</v>
      </c>
    </row>
    <row r="42" spans="1:13" x14ac:dyDescent="0.2">
      <c r="A42" s="175" t="str">
        <f>Futures!I32</f>
        <v>obj_002b0#0001</v>
      </c>
      <c r="B42" s="83" t="str">
        <f>_xll.qlRateHelperQuoteName(A42)</f>
        <v>AUDFUT3MH0_Quote</v>
      </c>
      <c r="C42" s="89" t="e">
        <f>_xll.qlRateHelperQuoteValue($A42,Trigger)</f>
        <v>#NUM!</v>
      </c>
      <c r="D42" s="82" t="e">
        <f>_xll.qlFuturesRateHelperConvexityAdjustment($A42,Trigger)</f>
        <v>#NUM!</v>
      </c>
      <c r="E42" s="81" t="b">
        <v>1</v>
      </c>
      <c r="F42" s="81">
        <v>30</v>
      </c>
      <c r="G42" s="81">
        <v>21</v>
      </c>
      <c r="H42" s="80">
        <f>_xll.qlRateHelperEarliestDate($A42,Trigger)</f>
        <v>43903</v>
      </c>
      <c r="I42" s="79">
        <f>_xll.qlRateHelperLatestDate($A42,Trigger)</f>
        <v>43997</v>
      </c>
      <c r="L42" s="72" t="b">
        <f>AND(_xll.qlASXIsASXdate(H42),IF(ISERROR(C42),FALSE,TRUE))</f>
        <v>0</v>
      </c>
      <c r="M42" s="72" t="b">
        <f>AND(NOT(_xll.qlASXIsASXdate(H42)),IF(ISERROR(C42),FALSE,TRUE))</f>
        <v>0</v>
      </c>
    </row>
    <row r="43" spans="1:13" x14ac:dyDescent="0.2">
      <c r="A43" s="175" t="str">
        <f>Futures!I33</f>
        <v>obj_002c7#0001</v>
      </c>
      <c r="B43" s="83" t="str">
        <f>_xll.qlRateHelperQuoteName(A43)</f>
        <v>AUDFUT3MM0_Quote</v>
      </c>
      <c r="C43" s="89" t="e">
        <f>_xll.qlRateHelperQuoteValue($A43,Trigger)</f>
        <v>#NUM!</v>
      </c>
      <c r="D43" s="82" t="e">
        <f>_xll.qlFuturesRateHelperConvexityAdjustment($A43,Trigger)</f>
        <v>#NUM!</v>
      </c>
      <c r="E43" s="81" t="b">
        <v>1</v>
      </c>
      <c r="F43" s="81">
        <v>30</v>
      </c>
      <c r="G43" s="81">
        <v>21</v>
      </c>
      <c r="H43" s="80">
        <f>_xll.qlRateHelperEarliestDate($A43,Trigger)</f>
        <v>43994</v>
      </c>
      <c r="I43" s="79">
        <f>_xll.qlRateHelperLatestDate($A43,Trigger)</f>
        <v>44088</v>
      </c>
      <c r="L43" s="72" t="b">
        <f>AND(_xll.qlASXIsASXdate(H43),IF(ISERROR(C43),FALSE,TRUE))</f>
        <v>0</v>
      </c>
      <c r="M43" s="72" t="b">
        <f>AND(NOT(_xll.qlASXIsASXdate(H43)),IF(ISERROR(C43),FALSE,TRUE))</f>
        <v>0</v>
      </c>
    </row>
    <row r="44" spans="1:13" x14ac:dyDescent="0.2">
      <c r="A44" s="175" t="str">
        <f>Futures!I34</f>
        <v>obj_002cb#0001</v>
      </c>
      <c r="B44" s="83" t="str">
        <f>_xll.qlRateHelperQuoteName(A44)</f>
        <v>AUDFUT3MU0_Quote</v>
      </c>
      <c r="C44" s="89" t="e">
        <f>_xll.qlRateHelperQuoteValue($A44,Trigger)</f>
        <v>#NUM!</v>
      </c>
      <c r="D44" s="82" t="e">
        <f>_xll.qlFuturesRateHelperConvexityAdjustment($A44,Trigger)</f>
        <v>#NUM!</v>
      </c>
      <c r="E44" s="81" t="b">
        <v>1</v>
      </c>
      <c r="F44" s="81">
        <v>30</v>
      </c>
      <c r="G44" s="81">
        <v>21</v>
      </c>
      <c r="H44" s="80">
        <f>_xll.qlRateHelperEarliestDate($A44,Trigger)</f>
        <v>44085</v>
      </c>
      <c r="I44" s="79">
        <f>_xll.qlRateHelperLatestDate($A44,Trigger)</f>
        <v>44176</v>
      </c>
      <c r="L44" s="72" t="b">
        <f>AND(_xll.qlASXIsASXdate(H44),IF(ISERROR(C44),FALSE,TRUE))</f>
        <v>0</v>
      </c>
      <c r="M44" s="72" t="b">
        <f>AND(NOT(_xll.qlASXIsASXdate(H44)),IF(ISERROR(C44),FALSE,TRUE))</f>
        <v>0</v>
      </c>
    </row>
    <row r="45" spans="1:13" x14ac:dyDescent="0.2">
      <c r="A45" s="175" t="str">
        <f>Futures!I35</f>
        <v>obj_002d3#0001</v>
      </c>
      <c r="B45" s="83" t="str">
        <f>_xll.qlRateHelperQuoteName(A45)</f>
        <v>AUDFUT3MZ0_Quote</v>
      </c>
      <c r="C45" s="89" t="e">
        <f>_xll.qlRateHelperQuoteValue($A45,Trigger)</f>
        <v>#NUM!</v>
      </c>
      <c r="D45" s="82" t="e">
        <f>_xll.qlFuturesRateHelperConvexityAdjustment($A45,Trigger)</f>
        <v>#NUM!</v>
      </c>
      <c r="E45" s="81" t="b">
        <v>1</v>
      </c>
      <c r="F45" s="81">
        <v>30</v>
      </c>
      <c r="G45" s="81">
        <v>21</v>
      </c>
      <c r="H45" s="80">
        <f>_xll.qlRateHelperEarliestDate($A45,Trigger)</f>
        <v>44176</v>
      </c>
      <c r="I45" s="79">
        <f>_xll.qlRateHelperLatestDate($A45,Trigger)</f>
        <v>44266</v>
      </c>
      <c r="L45" s="72" t="b">
        <f>AND(_xll.qlASXIsASXdate(H45),IF(ISERROR(C45),FALSE,TRUE))</f>
        <v>0</v>
      </c>
      <c r="M45" s="72" t="b">
        <f>AND(NOT(_xll.qlASXIsASXdate(H45)),IF(ISERROR(C45),FALSE,TRUE))</f>
        <v>0</v>
      </c>
    </row>
    <row r="46" spans="1:13" x14ac:dyDescent="0.2">
      <c r="A46" s="175" t="str">
        <f>Futures!I36</f>
        <v>obj_002b6#0001</v>
      </c>
      <c r="B46" s="83" t="str">
        <f>_xll.qlRateHelperQuoteName(A46)</f>
        <v>AUDFUT3MH1_Quote</v>
      </c>
      <c r="C46" s="89" t="e">
        <f>_xll.qlRateHelperQuoteValue($A46,Trigger)</f>
        <v>#NUM!</v>
      </c>
      <c r="D46" s="82" t="e">
        <f>_xll.qlFuturesRateHelperConvexityAdjustment($A46,Trigger)</f>
        <v>#NUM!</v>
      </c>
      <c r="E46" s="81" t="b">
        <v>1</v>
      </c>
      <c r="F46" s="81">
        <v>30</v>
      </c>
      <c r="G46" s="81">
        <v>21</v>
      </c>
      <c r="H46" s="80">
        <f>_xll.qlRateHelperEarliestDate($A46,Trigger)</f>
        <v>44267</v>
      </c>
      <c r="I46" s="79">
        <f>_xll.qlRateHelperLatestDate($A46,Trigger)</f>
        <v>44362</v>
      </c>
      <c r="L46" s="72" t="b">
        <f>AND(_xll.qlASXIsASXdate(H46),IF(ISERROR(C46),FALSE,TRUE))</f>
        <v>0</v>
      </c>
      <c r="M46" s="72" t="b">
        <f>AND(NOT(_xll.qlASXIsASXdate(H46)),IF(ISERROR(C46),FALSE,TRUE))</f>
        <v>0</v>
      </c>
    </row>
    <row r="47" spans="1:13" x14ac:dyDescent="0.2">
      <c r="A47" s="175" t="str">
        <f>Futures!I37</f>
        <v>obj_002c5#0001</v>
      </c>
      <c r="B47" s="83" t="str">
        <f>_xll.qlRateHelperQuoteName(A47)</f>
        <v>AUDFUT3MM1_Quote</v>
      </c>
      <c r="C47" s="89" t="e">
        <f>_xll.qlRateHelperQuoteValue($A47,Trigger)</f>
        <v>#NUM!</v>
      </c>
      <c r="D47" s="82" t="e">
        <f>_xll.qlFuturesRateHelperConvexityAdjustment($A47,Trigger)</f>
        <v>#NUM!</v>
      </c>
      <c r="E47" s="81" t="b">
        <v>1</v>
      </c>
      <c r="F47" s="81">
        <v>30</v>
      </c>
      <c r="G47" s="81">
        <v>21</v>
      </c>
      <c r="H47" s="80">
        <f>_xll.qlRateHelperEarliestDate($A47,Trigger)</f>
        <v>44358</v>
      </c>
      <c r="I47" s="79">
        <f>_xll.qlRateHelperLatestDate($A47,Trigger)</f>
        <v>44452</v>
      </c>
      <c r="L47" s="72" t="b">
        <f>AND(_xll.qlASXIsASXdate(H47),IF(ISERROR(C47),FALSE,TRUE))</f>
        <v>0</v>
      </c>
      <c r="M47" s="72" t="b">
        <f>AND(NOT(_xll.qlASXIsASXdate(H47)),IF(ISERROR(C47),FALSE,TRUE))</f>
        <v>0</v>
      </c>
    </row>
    <row r="48" spans="1:13" x14ac:dyDescent="0.2">
      <c r="A48" s="175" t="str">
        <f>Futures!I38</f>
        <v>obj_002c4#0001</v>
      </c>
      <c r="B48" s="83" t="str">
        <f>_xll.qlRateHelperQuoteName(A48)</f>
        <v>AUDFUT3MU1_Quote</v>
      </c>
      <c r="C48" s="89" t="e">
        <f>_xll.qlRateHelperQuoteValue($A48,Trigger)</f>
        <v>#NUM!</v>
      </c>
      <c r="D48" s="82" t="e">
        <f>_xll.qlFuturesRateHelperConvexityAdjustment($A48,Trigger)</f>
        <v>#NUM!</v>
      </c>
      <c r="E48" s="81" t="b">
        <v>1</v>
      </c>
      <c r="F48" s="81">
        <v>30</v>
      </c>
      <c r="G48" s="81">
        <v>21</v>
      </c>
      <c r="H48" s="80">
        <f>_xll.qlRateHelperEarliestDate($A48,Trigger)</f>
        <v>44449</v>
      </c>
      <c r="I48" s="79">
        <f>_xll.qlRateHelperLatestDate($A48,Trigger)</f>
        <v>44540</v>
      </c>
      <c r="L48" s="72" t="b">
        <f>AND(_xll.qlASXIsASXdate(H48),IF(ISERROR(C48),FALSE,TRUE))</f>
        <v>0</v>
      </c>
      <c r="M48" s="72" t="b">
        <f>AND(NOT(_xll.qlASXIsASXdate(H48)),IF(ISERROR(C48),FALSE,TRUE))</f>
        <v>0</v>
      </c>
    </row>
    <row r="49" spans="1:13" x14ac:dyDescent="0.2">
      <c r="A49" s="175" t="str">
        <f>Futures!I39</f>
        <v>obj_002b7#0001</v>
      </c>
      <c r="B49" s="83" t="str">
        <f>_xll.qlRateHelperQuoteName(A49)</f>
        <v>AUDFUT3MZ1_Quote</v>
      </c>
      <c r="C49" s="89" t="e">
        <f>_xll.qlRateHelperQuoteValue($A49,Trigger)</f>
        <v>#NUM!</v>
      </c>
      <c r="D49" s="82" t="e">
        <f>_xll.qlFuturesRateHelperConvexityAdjustment($A49,Trigger)</f>
        <v>#NUM!</v>
      </c>
      <c r="E49" s="81" t="b">
        <v>1</v>
      </c>
      <c r="F49" s="81">
        <v>30</v>
      </c>
      <c r="G49" s="81">
        <v>21</v>
      </c>
      <c r="H49" s="80">
        <f>_xll.qlRateHelperEarliestDate($A49,Trigger)</f>
        <v>44540</v>
      </c>
      <c r="I49" s="79">
        <f>_xll.qlRateHelperLatestDate($A49,Trigger)</f>
        <v>44630</v>
      </c>
      <c r="L49" s="72" t="b">
        <f>AND(_xll.qlASXIsASXdate(H49),IF(ISERROR(C49),FALSE,TRUE))</f>
        <v>0</v>
      </c>
      <c r="M49" s="72" t="b">
        <f>AND(NOT(_xll.qlASXIsASXdate(H49)),IF(ISERROR(C49),FALSE,TRUE))</f>
        <v>0</v>
      </c>
    </row>
    <row r="50" spans="1:13" x14ac:dyDescent="0.2">
      <c r="A50" s="175" t="str">
        <f>Futures!I40</f>
        <v>obj_002c1#0001</v>
      </c>
      <c r="B50" s="83" t="str">
        <f>_xll.qlRateHelperQuoteName(A50)</f>
        <v>AUDFUT3MH2_Quote</v>
      </c>
      <c r="C50" s="89" t="e">
        <f>_xll.qlRateHelperQuoteValue($A50,Trigger)</f>
        <v>#NUM!</v>
      </c>
      <c r="D50" s="82" t="e">
        <f>_xll.qlFuturesRateHelperConvexityAdjustment($A50,Trigger)</f>
        <v>#NUM!</v>
      </c>
      <c r="E50" s="81" t="b">
        <v>1</v>
      </c>
      <c r="F50" s="81">
        <v>30</v>
      </c>
      <c r="G50" s="81">
        <v>21</v>
      </c>
      <c r="H50" s="80">
        <f>_xll.qlRateHelperEarliestDate($A50,Trigger)</f>
        <v>44631</v>
      </c>
      <c r="I50" s="79">
        <f>_xll.qlRateHelperLatestDate($A50,Trigger)</f>
        <v>44726</v>
      </c>
      <c r="L50" s="72" t="b">
        <f>AND(_xll.qlASXIsASXdate(H50),IF(ISERROR(C50),FALSE,TRUE))</f>
        <v>0</v>
      </c>
      <c r="M50" s="72" t="b">
        <f>AND(NOT(_xll.qlASXIsASXdate(H50)),IF(ISERROR(C50),FALSE,TRUE))</f>
        <v>0</v>
      </c>
    </row>
    <row r="51" spans="1:13" x14ac:dyDescent="0.2">
      <c r="A51" s="175" t="str">
        <f>Futures!I41</f>
        <v>obj_002bf#0001</v>
      </c>
      <c r="B51" s="83" t="str">
        <f>_xll.qlRateHelperQuoteName(A51)</f>
        <v>AUDFUT3MM2_Quote</v>
      </c>
      <c r="C51" s="89" t="e">
        <f>_xll.qlRateHelperQuoteValue($A51,Trigger)</f>
        <v>#NUM!</v>
      </c>
      <c r="D51" s="82" t="e">
        <f>_xll.qlFuturesRateHelperConvexityAdjustment($A51,Trigger)</f>
        <v>#NUM!</v>
      </c>
      <c r="E51" s="81" t="b">
        <v>1</v>
      </c>
      <c r="F51" s="81">
        <v>30</v>
      </c>
      <c r="G51" s="81">
        <v>21</v>
      </c>
      <c r="H51" s="80">
        <f>_xll.qlRateHelperEarliestDate($A51,Trigger)</f>
        <v>44722</v>
      </c>
      <c r="I51" s="79">
        <f>_xll.qlRateHelperLatestDate($A51,Trigger)</f>
        <v>44816</v>
      </c>
      <c r="L51" s="72" t="b">
        <f>AND(_xll.qlASXIsASXdate(H51),IF(ISERROR(C51),FALSE,TRUE))</f>
        <v>0</v>
      </c>
      <c r="M51" s="72" t="b">
        <f>AND(NOT(_xll.qlASXIsASXdate(H51)),IF(ISERROR(C51),FALSE,TRUE))</f>
        <v>0</v>
      </c>
    </row>
    <row r="52" spans="1:13" x14ac:dyDescent="0.2">
      <c r="A52" s="175" t="str">
        <f>Futures!I42</f>
        <v>obj_002bd#0001</v>
      </c>
      <c r="B52" s="83" t="str">
        <f>_xll.qlRateHelperQuoteName(A52)</f>
        <v>AUDFUT3MU2_Quote</v>
      </c>
      <c r="C52" s="89" t="e">
        <f>_xll.qlRateHelperQuoteValue($A52,Trigger)</f>
        <v>#NUM!</v>
      </c>
      <c r="D52" s="82" t="e">
        <f>_xll.qlFuturesRateHelperConvexityAdjustment($A52,Trigger)</f>
        <v>#NUM!</v>
      </c>
      <c r="E52" s="81" t="b">
        <v>1</v>
      </c>
      <c r="F52" s="81">
        <v>30</v>
      </c>
      <c r="G52" s="81">
        <v>21</v>
      </c>
      <c r="H52" s="80">
        <f>_xll.qlRateHelperEarliestDate($A52,Trigger)</f>
        <v>44813</v>
      </c>
      <c r="I52" s="79">
        <f>_xll.qlRateHelperLatestDate($A52,Trigger)</f>
        <v>44904</v>
      </c>
      <c r="L52" s="72" t="b">
        <f>AND(_xll.qlASXIsASXdate(H52),IF(ISERROR(C52),FALSE,TRUE))</f>
        <v>0</v>
      </c>
      <c r="M52" s="72" t="b">
        <f>AND(NOT(_xll.qlASXIsASXdate(H52)),IF(ISERROR(C52),FALSE,TRUE))</f>
        <v>0</v>
      </c>
    </row>
    <row r="53" spans="1:13" x14ac:dyDescent="0.2">
      <c r="A53" s="175" t="str">
        <f>Futures!I43</f>
        <v>obj_002c2#0001</v>
      </c>
      <c r="B53" s="83" t="str">
        <f>_xll.qlRateHelperQuoteName(A53)</f>
        <v>AUDFUT3MZ2_Quote</v>
      </c>
      <c r="C53" s="89" t="e">
        <f>_xll.qlRateHelperQuoteValue($A53,Trigger)</f>
        <v>#NUM!</v>
      </c>
      <c r="D53" s="82" t="e">
        <f>_xll.qlFuturesRateHelperConvexityAdjustment($A53,Trigger)</f>
        <v>#NUM!</v>
      </c>
      <c r="E53" s="81" t="b">
        <v>1</v>
      </c>
      <c r="F53" s="81">
        <v>30</v>
      </c>
      <c r="G53" s="81">
        <v>21</v>
      </c>
      <c r="H53" s="80">
        <f>_xll.qlRateHelperEarliestDate($A53,Trigger)</f>
        <v>44904</v>
      </c>
      <c r="I53" s="79">
        <f>_xll.qlRateHelperLatestDate($A53,Trigger)</f>
        <v>44994</v>
      </c>
      <c r="L53" s="72" t="b">
        <f>AND(_xll.qlASXIsASXdate(H53),IF(ISERROR(C53),FALSE,TRUE))</f>
        <v>0</v>
      </c>
      <c r="M53" s="72" t="b">
        <f>AND(NOT(_xll.qlASXIsASXdate(H53)),IF(ISERROR(C53),FALSE,TRUE))</f>
        <v>0</v>
      </c>
    </row>
    <row r="54" spans="1:13" x14ac:dyDescent="0.2">
      <c r="A54" s="175" t="str">
        <f>Futures!I44</f>
        <v>obj_002be#0001</v>
      </c>
      <c r="B54" s="83" t="str">
        <f>_xll.qlRateHelperQuoteName(A54)</f>
        <v>AUDFUT3MH3_Quote</v>
      </c>
      <c r="C54" s="89" t="e">
        <f>_xll.qlRateHelperQuoteValue($A54,Trigger)</f>
        <v>#NUM!</v>
      </c>
      <c r="D54" s="82" t="e">
        <f>_xll.qlFuturesRateHelperConvexityAdjustment($A54,Trigger)</f>
        <v>#NUM!</v>
      </c>
      <c r="E54" s="81" t="b">
        <v>1</v>
      </c>
      <c r="F54" s="81">
        <v>30</v>
      </c>
      <c r="G54" s="81">
        <v>21</v>
      </c>
      <c r="H54" s="80">
        <f>_xll.qlRateHelperEarliestDate($A54,Trigger)</f>
        <v>44995</v>
      </c>
      <c r="I54" s="79">
        <f>_xll.qlRateHelperLatestDate($A54,Trigger)</f>
        <v>45090</v>
      </c>
      <c r="L54" s="72" t="b">
        <f>AND(_xll.qlASXIsASXdate(H54),IF(ISERROR(C54),FALSE,TRUE))</f>
        <v>0</v>
      </c>
      <c r="M54" s="72" t="b">
        <f>AND(NOT(_xll.qlASXIsASXdate(H54)),IF(ISERROR(C54),FALSE,TRUE))</f>
        <v>0</v>
      </c>
    </row>
    <row r="55" spans="1:13" x14ac:dyDescent="0.2">
      <c r="A55" s="175" t="str">
        <f>Futures!I45</f>
        <v>obj_002d4#0001</v>
      </c>
      <c r="B55" s="83" t="str">
        <f>_xll.qlRateHelperQuoteName(A55)</f>
        <v>AUDFUT3MM3_Quote</v>
      </c>
      <c r="C55" s="89" t="e">
        <f>_xll.qlRateHelperQuoteValue($A55,Trigger)</f>
        <v>#NUM!</v>
      </c>
      <c r="D55" s="82" t="e">
        <f>_xll.qlFuturesRateHelperConvexityAdjustment($A55,Trigger)</f>
        <v>#NUM!</v>
      </c>
      <c r="E55" s="81" t="b">
        <v>1</v>
      </c>
      <c r="F55" s="81">
        <v>30</v>
      </c>
      <c r="G55" s="81">
        <v>21</v>
      </c>
      <c r="H55" s="80">
        <f>_xll.qlRateHelperEarliestDate($A55,Trigger)</f>
        <v>45086</v>
      </c>
      <c r="I55" s="79">
        <f>_xll.qlRateHelperLatestDate($A55,Trigger)</f>
        <v>45180</v>
      </c>
      <c r="L55" s="72" t="b">
        <f>AND(_xll.qlASXIsASXdate(H55),IF(ISERROR(C55),FALSE,TRUE))</f>
        <v>0</v>
      </c>
      <c r="M55" s="72" t="b">
        <f>AND(NOT(_xll.qlASXIsASXdate(H55)),IF(ISERROR(C55),FALSE,TRUE))</f>
        <v>0</v>
      </c>
    </row>
    <row r="56" spans="1:13" x14ac:dyDescent="0.2">
      <c r="A56" s="175" t="str">
        <f>Futures!I46</f>
        <v>obj_002ce#0001</v>
      </c>
      <c r="B56" s="83" t="str">
        <f>_xll.qlRateHelperQuoteName(A56)</f>
        <v>AUDFUT3MU3_Quote</v>
      </c>
      <c r="C56" s="89" t="e">
        <f>_xll.qlRateHelperQuoteValue($A56,Trigger)</f>
        <v>#NUM!</v>
      </c>
      <c r="D56" s="82" t="e">
        <f>_xll.qlFuturesRateHelperConvexityAdjustment($A56,Trigger)</f>
        <v>#NUM!</v>
      </c>
      <c r="E56" s="81" t="b">
        <v>1</v>
      </c>
      <c r="F56" s="81">
        <v>30</v>
      </c>
      <c r="G56" s="81">
        <v>21</v>
      </c>
      <c r="H56" s="80">
        <f>_xll.qlRateHelperEarliestDate($A56,Trigger)</f>
        <v>45177</v>
      </c>
      <c r="I56" s="79">
        <f>_xll.qlRateHelperLatestDate($A56,Trigger)</f>
        <v>45268</v>
      </c>
      <c r="J56" s="10"/>
      <c r="L56" s="72" t="b">
        <f>AND(_xll.qlASXIsASXdate(H56),IF(ISERROR(C56),FALSE,TRUE))</f>
        <v>0</v>
      </c>
      <c r="M56" s="72" t="b">
        <f>AND(NOT(_xll.qlASXIsASXdate(H56)),IF(ISERROR(C56),FALSE,TRUE))</f>
        <v>0</v>
      </c>
    </row>
    <row r="57" spans="1:13" x14ac:dyDescent="0.2">
      <c r="A57" s="176" t="str">
        <f>Swaps!L5</f>
        <v>obj_00292#0001</v>
      </c>
      <c r="B57" s="88" t="str">
        <f>SUBSTITUTE(_xll.qlRateHelperQuoteName(A57),"6AB","3ABBASIS")</f>
        <v>AUDQM3AB1Y_Quote</v>
      </c>
      <c r="C57" s="87">
        <f>_xll.qlRateHelperQuoteValue($A57,Trigger)</f>
        <v>2.1150000000000002E-2</v>
      </c>
      <c r="D57" s="87">
        <f>_xll.qlSwapRateHelperSpread($A57,Trigger)</f>
        <v>0</v>
      </c>
      <c r="E57" s="86" t="b">
        <v>1</v>
      </c>
      <c r="F57" s="86">
        <v>70</v>
      </c>
      <c r="G57" s="86">
        <v>1</v>
      </c>
      <c r="H57" s="85">
        <f>_xll.qlRateHelperEarliestDate($A57,Trigger)</f>
        <v>42136</v>
      </c>
      <c r="I57" s="84">
        <f>_xll.qlRateHelperLatestDate($A57,Trigger)</f>
        <v>42502</v>
      </c>
      <c r="K57" s="24"/>
    </row>
    <row r="58" spans="1:13" x14ac:dyDescent="0.2">
      <c r="A58" s="175" t="str">
        <f>Swaps!L6</f>
        <v>obj_002a4#0001</v>
      </c>
      <c r="B58" s="83" t="str">
        <f>SUBSTITUTE(_xll.qlRateHelperQuoteName(A58),"6AB","3ABBASIS")</f>
        <v>AUDQM3AB15M_Quote</v>
      </c>
      <c r="C58" s="82" t="e">
        <f>_xll.qlRateHelperQuoteValue($A58,Trigger)</f>
        <v>#NUM!</v>
      </c>
      <c r="D58" s="82">
        <f>_xll.qlSwapRateHelperSpread($A58,Trigger)</f>
        <v>0</v>
      </c>
      <c r="E58" s="81" t="b">
        <v>0</v>
      </c>
      <c r="F58" s="81">
        <v>50</v>
      </c>
      <c r="G58" s="81">
        <v>1</v>
      </c>
      <c r="H58" s="80">
        <f>_xll.qlRateHelperEarliestDate($A58,Trigger)</f>
        <v>42136</v>
      </c>
      <c r="I58" s="79">
        <f>_xll.qlRateHelperLatestDate($A58,Trigger)</f>
        <v>42594</v>
      </c>
      <c r="K58" s="24"/>
    </row>
    <row r="59" spans="1:13" x14ac:dyDescent="0.2">
      <c r="A59" s="175" t="str">
        <f>Swaps!L7</f>
        <v>obj_0028f#0001</v>
      </c>
      <c r="B59" s="83" t="str">
        <f>SUBSTITUTE(_xll.qlRateHelperQuoteName(A59),"6AB","3ABBASIS")</f>
        <v>AUDQM3AB18M_Quote</v>
      </c>
      <c r="C59" s="82" t="e">
        <f>_xll.qlRateHelperQuoteValue($A59,Trigger)</f>
        <v>#NUM!</v>
      </c>
      <c r="D59" s="82">
        <f>_xll.qlSwapRateHelperSpread($A59,Trigger)</f>
        <v>0</v>
      </c>
      <c r="E59" s="81" t="b">
        <v>0</v>
      </c>
      <c r="F59" s="81">
        <v>50</v>
      </c>
      <c r="G59" s="81">
        <v>1</v>
      </c>
      <c r="H59" s="80">
        <f>_xll.qlRateHelperEarliestDate($A59,Trigger)</f>
        <v>42136</v>
      </c>
      <c r="I59" s="79">
        <f>_xll.qlRateHelperLatestDate($A59,Trigger)</f>
        <v>42688</v>
      </c>
      <c r="K59" s="24"/>
    </row>
    <row r="60" spans="1:13" x14ac:dyDescent="0.2">
      <c r="A60" s="175" t="str">
        <f>Swaps!L8</f>
        <v>obj_002a1#0001</v>
      </c>
      <c r="B60" s="83" t="str">
        <f>SUBSTITUTE(_xll.qlRateHelperQuoteName(A60),"6AB","3ABBASIS")</f>
        <v>AUDQM3AB21M_Quote</v>
      </c>
      <c r="C60" s="82" t="e">
        <f>_xll.qlRateHelperQuoteValue($A60,Trigger)</f>
        <v>#NUM!</v>
      </c>
      <c r="D60" s="82">
        <f>_xll.qlSwapRateHelperSpread($A60,Trigger)</f>
        <v>0</v>
      </c>
      <c r="E60" s="81" t="b">
        <v>0</v>
      </c>
      <c r="F60" s="81">
        <v>50</v>
      </c>
      <c r="G60" s="81">
        <v>1</v>
      </c>
      <c r="H60" s="80">
        <f>_xll.qlRateHelperEarliestDate($A60,Trigger)</f>
        <v>42136</v>
      </c>
      <c r="I60" s="79">
        <f>_xll.qlRateHelperLatestDate($A60,Trigger)</f>
        <v>42779</v>
      </c>
      <c r="K60" s="24"/>
    </row>
    <row r="61" spans="1:13" x14ac:dyDescent="0.2">
      <c r="A61" s="175" t="str">
        <f>Swaps!L9</f>
        <v>obj_00285#0001</v>
      </c>
      <c r="B61" s="83" t="str">
        <f>SUBSTITUTE(_xll.qlRateHelperQuoteName(A61),"6AB","3ABBASIS")</f>
        <v>AUDQM3AB2Y_Quote</v>
      </c>
      <c r="C61" s="82">
        <f>_xll.qlRateHelperQuoteValue($A61,Trigger)</f>
        <v>2.205E-2</v>
      </c>
      <c r="D61" s="82">
        <f>_xll.qlSwapRateHelperSpread($A61,Trigger)</f>
        <v>0</v>
      </c>
      <c r="E61" s="81" t="b">
        <v>1</v>
      </c>
      <c r="F61" s="81">
        <v>70</v>
      </c>
      <c r="G61" s="81">
        <v>1</v>
      </c>
      <c r="H61" s="80">
        <f>_xll.qlRateHelperEarliestDate($A61,Trigger)</f>
        <v>42136</v>
      </c>
      <c r="I61" s="79">
        <f>_xll.qlRateHelperLatestDate($A61,Trigger)</f>
        <v>42867</v>
      </c>
      <c r="K61" s="24"/>
    </row>
    <row r="62" spans="1:13" x14ac:dyDescent="0.2">
      <c r="A62" s="35" t="str">
        <f>Swaps!L10</f>
        <v>obj_002a2#0001</v>
      </c>
      <c r="B62" s="78" t="str">
        <f>SUBSTITUTE(_xll.qlRateHelperQuoteName(A62),"6AB","3ABBASIS")</f>
        <v>AUDQM3AB3Y_Quote</v>
      </c>
      <c r="C62" s="77">
        <f>_xll.qlRateHelperQuoteValue($A62,Trigger)</f>
        <v>2.3300000000000001E-2</v>
      </c>
      <c r="D62" s="77">
        <f>_xll.qlSwapRateHelperSpread($A62,Trigger)</f>
        <v>0</v>
      </c>
      <c r="E62" s="76" t="b">
        <v>1</v>
      </c>
      <c r="F62" s="76">
        <v>70</v>
      </c>
      <c r="G62" s="76">
        <v>1</v>
      </c>
      <c r="H62" s="75">
        <f>_xll.qlRateHelperEarliestDate($A62,Trigger)</f>
        <v>42136</v>
      </c>
      <c r="I62" s="74">
        <f>_xll.qlRateHelperLatestDate($A62,Trigger)</f>
        <v>43234</v>
      </c>
      <c r="K62" s="24"/>
    </row>
    <row r="63" spans="1:13" x14ac:dyDescent="0.2">
      <c r="A63" s="176" t="str">
        <f>Swaps!L11</f>
        <v>obj_00281#0001</v>
      </c>
      <c r="B63" s="88" t="str">
        <f>SUBSTITUTE(_xll.qlRateHelperQuoteName(A63),"6AB","3ABBASIS")</f>
        <v>AUDSM3ABBASIS4Y_Quote</v>
      </c>
      <c r="C63" s="87">
        <f>_xll.qlRateHelperQuoteValue($A63,Trigger)</f>
        <v>2.5675E-2</v>
      </c>
      <c r="D63" s="87">
        <f>_xll.qlSwapRateHelperSpread($A63,Trigger)</f>
        <v>1.0124999999999999E-3</v>
      </c>
      <c r="E63" s="86" t="b">
        <v>1</v>
      </c>
      <c r="F63" s="86">
        <v>50</v>
      </c>
      <c r="G63" s="86">
        <v>1</v>
      </c>
      <c r="H63" s="85">
        <f>_xll.qlRateHelperEarliestDate($A63,Trigger)</f>
        <v>42136</v>
      </c>
      <c r="I63" s="84">
        <f>_xll.qlRateHelperLatestDate($A63,Trigger)</f>
        <v>43598</v>
      </c>
      <c r="K63" s="24"/>
    </row>
    <row r="64" spans="1:13" x14ac:dyDescent="0.2">
      <c r="A64" s="175" t="str">
        <f>Swaps!L12</f>
        <v>obj_00297#0001</v>
      </c>
      <c r="B64" s="83" t="str">
        <f>SUBSTITUTE(_xll.qlRateHelperQuoteName(A64),"6AB","3ABBASIS")</f>
        <v>AUDSM3ABBASIS5Y_Quote</v>
      </c>
      <c r="C64" s="82">
        <f>_xll.qlRateHelperQuoteValue($A64,Trigger)</f>
        <v>2.6974999999999999E-2</v>
      </c>
      <c r="D64" s="82">
        <f>_xll.qlSwapRateHelperSpread($A64,Trigger)</f>
        <v>9.7499999999999996E-4</v>
      </c>
      <c r="E64" s="81" t="b">
        <v>1</v>
      </c>
      <c r="F64" s="81">
        <v>50</v>
      </c>
      <c r="G64" s="81">
        <v>1</v>
      </c>
      <c r="H64" s="80">
        <f>_xll.qlRateHelperEarliestDate($A64,Trigger)</f>
        <v>42136</v>
      </c>
      <c r="I64" s="79">
        <f>_xll.qlRateHelperLatestDate($A64,Trigger)</f>
        <v>43963</v>
      </c>
      <c r="K64" s="24"/>
    </row>
    <row r="65" spans="1:11" x14ac:dyDescent="0.2">
      <c r="A65" s="175" t="str">
        <f>Swaps!L13</f>
        <v>obj_0027f#0001</v>
      </c>
      <c r="B65" s="83" t="str">
        <f>SUBSTITUTE(_xll.qlRateHelperQuoteName(A65),"6AB","3ABBASIS")</f>
        <v>AUDSM3ABBASIS6Y_Quote</v>
      </c>
      <c r="C65" s="82">
        <f>_xll.qlRateHelperQuoteValue($A65,Trigger)</f>
        <v>2.8150000000000005E-2</v>
      </c>
      <c r="D65" s="82">
        <f>_xll.qlSwapRateHelperSpread($A65,Trigger)</f>
        <v>9.4748544581782002E-4</v>
      </c>
      <c r="E65" s="81" t="b">
        <v>0</v>
      </c>
      <c r="F65" s="81">
        <v>50</v>
      </c>
      <c r="G65" s="81">
        <v>1</v>
      </c>
      <c r="H65" s="80">
        <f>_xll.qlRateHelperEarliestDate($A65,Trigger)</f>
        <v>42136</v>
      </c>
      <c r="I65" s="79">
        <f>_xll.qlRateHelperLatestDate($A65,Trigger)</f>
        <v>44328</v>
      </c>
      <c r="K65" s="24"/>
    </row>
    <row r="66" spans="1:11" x14ac:dyDescent="0.2">
      <c r="A66" s="175" t="str">
        <f>Swaps!L14</f>
        <v>obj_00280#0001</v>
      </c>
      <c r="B66" s="83" t="str">
        <f>SUBSTITUTE(_xll.qlRateHelperQuoteName(A66),"6AB","3ABBASIS")</f>
        <v>AUDSM3ABBASIS7Y_Quote</v>
      </c>
      <c r="C66" s="82">
        <f>_xll.qlRateHelperQuoteValue($A66,Trigger)</f>
        <v>2.92E-2</v>
      </c>
      <c r="D66" s="82">
        <f>_xll.qlSwapRateHelperSpread($A66,Trigger)</f>
        <v>9.2500000000000004E-4</v>
      </c>
      <c r="E66" s="81" t="b">
        <v>1</v>
      </c>
      <c r="F66" s="81">
        <v>50</v>
      </c>
      <c r="G66" s="81">
        <v>1</v>
      </c>
      <c r="H66" s="80">
        <f>_xll.qlRateHelperEarliestDate($A66,Trigger)</f>
        <v>42136</v>
      </c>
      <c r="I66" s="79">
        <f>_xll.qlRateHelperLatestDate($A66,Trigger)</f>
        <v>44693</v>
      </c>
      <c r="K66" s="24"/>
    </row>
    <row r="67" spans="1:11" x14ac:dyDescent="0.2">
      <c r="A67" s="175" t="str">
        <f>Swaps!L15</f>
        <v>obj_00282#0001</v>
      </c>
      <c r="B67" s="83" t="str">
        <f>SUBSTITUTE(_xll.qlRateHelperQuoteName(A67),"6AB","3ABBASIS")</f>
        <v>AUDSM3ABBASIS8Y_Quote</v>
      </c>
      <c r="C67" s="82">
        <f>_xll.qlRateHelperQuoteValue($A67,Trigger)</f>
        <v>3.0099999999999998E-2</v>
      </c>
      <c r="D67" s="82">
        <f>_xll.qlSwapRateHelperSpread($A67,Trigger)</f>
        <v>8.9328931615912787E-4</v>
      </c>
      <c r="E67" s="81" t="b">
        <v>0</v>
      </c>
      <c r="F67" s="81">
        <v>50</v>
      </c>
      <c r="G67" s="81">
        <v>1</v>
      </c>
      <c r="H67" s="80">
        <f>_xll.qlRateHelperEarliestDate($A67,Trigger)</f>
        <v>42136</v>
      </c>
      <c r="I67" s="79">
        <f>_xll.qlRateHelperLatestDate($A67,Trigger)</f>
        <v>45058</v>
      </c>
      <c r="K67" s="24"/>
    </row>
    <row r="68" spans="1:11" x14ac:dyDescent="0.2">
      <c r="A68" s="175" t="str">
        <f>Swaps!L16</f>
        <v>obj_0029d#0001</v>
      </c>
      <c r="B68" s="83" t="str">
        <f>SUBSTITUTE(_xll.qlRateHelperQuoteName(A68),"6AB","3ABBASIS")</f>
        <v>AUDSM3ABBASIS9Y_Quote</v>
      </c>
      <c r="C68" s="82">
        <f>_xll.qlRateHelperQuoteValue($A68,Trigger)</f>
        <v>3.0849999999999999E-2</v>
      </c>
      <c r="D68" s="82">
        <f>_xll.qlSwapRateHelperSpread($A68,Trigger)</f>
        <v>8.5394025994106712E-4</v>
      </c>
      <c r="E68" s="81" t="b">
        <v>0</v>
      </c>
      <c r="F68" s="81">
        <v>50</v>
      </c>
      <c r="G68" s="81">
        <v>1</v>
      </c>
      <c r="H68" s="80">
        <f>_xll.qlRateHelperEarliestDate($A68,Trigger)</f>
        <v>42136</v>
      </c>
      <c r="I68" s="79">
        <f>_xll.qlRateHelperLatestDate($A68,Trigger)</f>
        <v>45425</v>
      </c>
      <c r="K68" s="24"/>
    </row>
    <row r="69" spans="1:11" x14ac:dyDescent="0.2">
      <c r="A69" s="175" t="str">
        <f>Swaps!L17</f>
        <v>obj_00289#0001</v>
      </c>
      <c r="B69" s="83" t="str">
        <f>SUBSTITUTE(_xll.qlRateHelperQuoteName(A69),"6AB","3ABBASIS")</f>
        <v>AUDSM3ABBASIS10Y_Quote</v>
      </c>
      <c r="C69" s="82">
        <f>_xll.qlRateHelperQuoteValue($A69,Trigger)</f>
        <v>3.1574999999999999E-2</v>
      </c>
      <c r="D69" s="82">
        <f>_xll.qlSwapRateHelperSpread($A69,Trigger)</f>
        <v>8.1249999999999996E-4</v>
      </c>
      <c r="E69" s="81" t="b">
        <v>1</v>
      </c>
      <c r="F69" s="81">
        <v>50</v>
      </c>
      <c r="G69" s="81">
        <v>1</v>
      </c>
      <c r="H69" s="80">
        <f>_xll.qlRateHelperEarliestDate($A69,Trigger)</f>
        <v>42136</v>
      </c>
      <c r="I69" s="79">
        <f>_xll.qlRateHelperLatestDate($A69,Trigger)</f>
        <v>45789</v>
      </c>
      <c r="K69" s="24"/>
    </row>
    <row r="70" spans="1:11" x14ac:dyDescent="0.2">
      <c r="A70" s="175" t="str">
        <f>Swaps!L18</f>
        <v>obj_002ab#0001</v>
      </c>
      <c r="B70" s="83" t="str">
        <f>SUBSTITUTE(_xll.qlRateHelperQuoteName(A70),"6AB","3ABBASIS")</f>
        <v>AUDSM3ABBASIS11Y_Quote</v>
      </c>
      <c r="C70" s="82" t="e">
        <f>_xll.qlRateHelperQuoteValue($A70,Trigger)</f>
        <v>#NUM!</v>
      </c>
      <c r="D70" s="82">
        <f>_xll.qlSwapRateHelperSpread($A70,Trigger)</f>
        <v>7.7351138704441155E-4</v>
      </c>
      <c r="E70" s="81" t="b">
        <v>0</v>
      </c>
      <c r="F70" s="81">
        <v>50</v>
      </c>
      <c r="G70" s="81">
        <v>1</v>
      </c>
      <c r="H70" s="80">
        <f>_xll.qlRateHelperEarliestDate($A70,Trigger)</f>
        <v>42136</v>
      </c>
      <c r="I70" s="79">
        <f>_xll.qlRateHelperLatestDate($A70,Trigger)</f>
        <v>46154</v>
      </c>
      <c r="K70" s="24"/>
    </row>
    <row r="71" spans="1:11" x14ac:dyDescent="0.2">
      <c r="A71" s="175" t="str">
        <f>Swaps!L19</f>
        <v>obj_002a9#0001</v>
      </c>
      <c r="B71" s="83" t="str">
        <f>SUBSTITUTE(_xll.qlRateHelperQuoteName(A71),"6AB","3ABBASIS")</f>
        <v>AUDSM3ABBASIS12Y_Quote</v>
      </c>
      <c r="C71" s="82">
        <f>_xll.qlRateHelperQuoteValue($A71,Trigger)</f>
        <v>3.2850000000000004E-2</v>
      </c>
      <c r="D71" s="82">
        <f>_xll.qlSwapRateHelperSpread($A71,Trigger)</f>
        <v>7.3749999999999998E-4</v>
      </c>
      <c r="E71" s="81" t="b">
        <v>1</v>
      </c>
      <c r="F71" s="81">
        <v>50</v>
      </c>
      <c r="G71" s="81">
        <v>1</v>
      </c>
      <c r="H71" s="80">
        <f>_xll.qlRateHelperEarliestDate($A71,Trigger)</f>
        <v>42136</v>
      </c>
      <c r="I71" s="79">
        <f>_xll.qlRateHelperLatestDate($A71,Trigger)</f>
        <v>46519</v>
      </c>
      <c r="K71" s="24"/>
    </row>
    <row r="72" spans="1:11" x14ac:dyDescent="0.2">
      <c r="A72" s="175" t="str">
        <f>Swaps!L20</f>
        <v>obj_0028c#0001</v>
      </c>
      <c r="B72" s="83" t="str">
        <f>SUBSTITUTE(_xll.qlRateHelperQuoteName(A72),"6AB","3ABBASIS")</f>
        <v>AUDSM3ABBASIS13Y_Quote</v>
      </c>
      <c r="C72" s="82" t="e">
        <f>_xll.qlRateHelperQuoteValue($A72,Trigger)</f>
        <v>#NUM!</v>
      </c>
      <c r="D72" s="82">
        <f>_xll.qlSwapRateHelperSpread($A72,Trigger)</f>
        <v>7.0426332932329108E-4</v>
      </c>
      <c r="E72" s="81" t="b">
        <v>0</v>
      </c>
      <c r="F72" s="81">
        <v>50</v>
      </c>
      <c r="G72" s="81">
        <v>1</v>
      </c>
      <c r="H72" s="80">
        <f>_xll.qlRateHelperEarliestDate($A72,Trigger)</f>
        <v>42136</v>
      </c>
      <c r="I72" s="79">
        <f>_xll.qlRateHelperLatestDate($A72,Trigger)</f>
        <v>46885</v>
      </c>
      <c r="K72" s="24"/>
    </row>
    <row r="73" spans="1:11" x14ac:dyDescent="0.2">
      <c r="A73" s="175" t="str">
        <f>Swaps!L21</f>
        <v>obj_00286#0001</v>
      </c>
      <c r="B73" s="83" t="str">
        <f>SUBSTITUTE(_xll.qlRateHelperQuoteName(A73),"6AB","3ABBASIS")</f>
        <v>AUDSM3ABBASIS14Y_Quote</v>
      </c>
      <c r="C73" s="82" t="e">
        <f>_xll.qlRateHelperQuoteValue($A73,Trigger)</f>
        <v>#NUM!</v>
      </c>
      <c r="D73" s="82">
        <f>_xll.qlSwapRateHelperSpread($A73,Trigger)</f>
        <v>6.7470378337690829E-4</v>
      </c>
      <c r="E73" s="81" t="b">
        <v>0</v>
      </c>
      <c r="F73" s="81">
        <v>50</v>
      </c>
      <c r="G73" s="81">
        <v>1</v>
      </c>
      <c r="H73" s="80">
        <f>_xll.qlRateHelperEarliestDate($A73,Trigger)</f>
        <v>42136</v>
      </c>
      <c r="I73" s="79">
        <f>_xll.qlRateHelperLatestDate($A73,Trigger)</f>
        <v>47252</v>
      </c>
      <c r="K73" s="24"/>
    </row>
    <row r="74" spans="1:11" x14ac:dyDescent="0.2">
      <c r="A74" s="175" t="str">
        <f>Swaps!L22</f>
        <v>obj_00296#0001</v>
      </c>
      <c r="B74" s="83" t="str">
        <f>SUBSTITUTE(_xll.qlRateHelperQuoteName(A74),"6AB","3ABBASIS")</f>
        <v>AUDSM3ABBASIS15Y_Quote</v>
      </c>
      <c r="C74" s="82">
        <f>_xll.qlRateHelperQuoteValue($A74,Trigger)</f>
        <v>3.4200000000000001E-2</v>
      </c>
      <c r="D74" s="82">
        <f>_xll.qlSwapRateHelperSpread($A74,Trigger)</f>
        <v>6.4999999999999997E-4</v>
      </c>
      <c r="E74" s="81" t="b">
        <v>1</v>
      </c>
      <c r="F74" s="81">
        <v>50</v>
      </c>
      <c r="G74" s="81">
        <v>1</v>
      </c>
      <c r="H74" s="80">
        <f>_xll.qlRateHelperEarliestDate($A74,Trigger)</f>
        <v>42136</v>
      </c>
      <c r="I74" s="79">
        <f>_xll.qlRateHelperLatestDate($A74,Trigger)</f>
        <v>47616</v>
      </c>
      <c r="K74" s="24"/>
    </row>
    <row r="75" spans="1:11" x14ac:dyDescent="0.2">
      <c r="A75" s="175" t="str">
        <f>Swaps!L23</f>
        <v>obj_00293#0001</v>
      </c>
      <c r="B75" s="83" t="str">
        <f>SUBSTITUTE(_xll.qlRateHelperQuoteName(A75),"6AB","3ABBASIS")</f>
        <v>AUDSM3ABBASIS16Y_Quote</v>
      </c>
      <c r="C75" s="82" t="e">
        <f>_xll.qlRateHelperQuoteValue($A75,Trigger)</f>
        <v>#NUM!</v>
      </c>
      <c r="D75" s="82">
        <f>_xll.qlSwapRateHelperSpread($A75,Trigger)</f>
        <v>6.3090605826349232E-4</v>
      </c>
      <c r="E75" s="81" t="b">
        <v>0</v>
      </c>
      <c r="F75" s="81">
        <v>50</v>
      </c>
      <c r="G75" s="81">
        <v>1</v>
      </c>
      <c r="H75" s="80">
        <f>_xll.qlRateHelperEarliestDate($A75,Trigger)</f>
        <v>42136</v>
      </c>
      <c r="I75" s="79">
        <f>_xll.qlRateHelperLatestDate($A75,Trigger)</f>
        <v>47980</v>
      </c>
      <c r="K75" s="24"/>
    </row>
    <row r="76" spans="1:11" x14ac:dyDescent="0.2">
      <c r="A76" s="175" t="str">
        <f>Swaps!L24</f>
        <v>obj_00294#0001</v>
      </c>
      <c r="B76" s="83" t="str">
        <f>SUBSTITUTE(_xll.qlRateHelperQuoteName(A76),"6AB","3ABBASIS")</f>
        <v>AUDSM3ABBASIS17Y_Quote</v>
      </c>
      <c r="C76" s="82" t="e">
        <f>_xll.qlRateHelperQuoteValue($A76,Trigger)</f>
        <v>#NUM!</v>
      </c>
      <c r="D76" s="82">
        <f>_xll.qlSwapRateHelperSpread($A76,Trigger)</f>
        <v>6.1647780216542289E-4</v>
      </c>
      <c r="E76" s="81" t="b">
        <v>0</v>
      </c>
      <c r="F76" s="81">
        <v>50</v>
      </c>
      <c r="G76" s="81">
        <v>1</v>
      </c>
      <c r="H76" s="80">
        <f>_xll.qlRateHelperEarliestDate($A76,Trigger)</f>
        <v>42136</v>
      </c>
      <c r="I76" s="79">
        <f>_xll.qlRateHelperLatestDate($A76,Trigger)</f>
        <v>48346</v>
      </c>
      <c r="K76" s="24"/>
    </row>
    <row r="77" spans="1:11" x14ac:dyDescent="0.2">
      <c r="A77" s="175" t="str">
        <f>Swaps!L25</f>
        <v>obj_0028d#0001</v>
      </c>
      <c r="B77" s="83" t="str">
        <f>SUBSTITUTE(_xll.qlRateHelperQuoteName(A77),"6AB","3ABBASIS")</f>
        <v>AUDSM3ABBASIS18Y_Quote</v>
      </c>
      <c r="C77" s="82" t="e">
        <f>_xll.qlRateHelperQuoteValue($A77,Trigger)</f>
        <v>#NUM!</v>
      </c>
      <c r="D77" s="82">
        <f>_xll.qlSwapRateHelperSpread($A77,Trigger)</f>
        <v>6.0534651693560726E-4</v>
      </c>
      <c r="E77" s="81" t="b">
        <v>0</v>
      </c>
      <c r="F77" s="81">
        <v>50</v>
      </c>
      <c r="G77" s="81">
        <v>1</v>
      </c>
      <c r="H77" s="80">
        <f>_xll.qlRateHelperEarliestDate($A77,Trigger)</f>
        <v>42136</v>
      </c>
      <c r="I77" s="79">
        <f>_xll.qlRateHelperLatestDate($A77,Trigger)</f>
        <v>48711</v>
      </c>
      <c r="K77" s="24"/>
    </row>
    <row r="78" spans="1:11" x14ac:dyDescent="0.2">
      <c r="A78" s="175" t="str">
        <f>Swaps!L26</f>
        <v>obj_0029f#0001</v>
      </c>
      <c r="B78" s="83" t="str">
        <f>SUBSTITUTE(_xll.qlRateHelperQuoteName(A78),"6AB","3ABBASIS")</f>
        <v>AUDSM3ABBASIS19Y_Quote</v>
      </c>
      <c r="C78" s="82" t="e">
        <f>_xll.qlRateHelperQuoteValue($A78,Trigger)</f>
        <v>#NUM!</v>
      </c>
      <c r="D78" s="82">
        <f>_xll.qlSwapRateHelperSpread($A78,Trigger)</f>
        <v>5.9614348780386115E-4</v>
      </c>
      <c r="E78" s="81" t="b">
        <v>0</v>
      </c>
      <c r="F78" s="81">
        <v>50</v>
      </c>
      <c r="G78" s="81">
        <v>1</v>
      </c>
      <c r="H78" s="80">
        <f>_xll.qlRateHelperEarliestDate($A78,Trigger)</f>
        <v>42136</v>
      </c>
      <c r="I78" s="79">
        <f>_xll.qlRateHelperLatestDate($A78,Trigger)</f>
        <v>49076</v>
      </c>
      <c r="K78" s="24"/>
    </row>
    <row r="79" spans="1:11" x14ac:dyDescent="0.2">
      <c r="A79" s="175" t="str">
        <f>Swaps!L27</f>
        <v>obj_0028b#0001</v>
      </c>
      <c r="B79" s="83" t="str">
        <f>SUBSTITUTE(_xll.qlRateHelperQuoteName(A79),"6AB","3ABBASIS")</f>
        <v>AUDSM3ABBASIS20Y_Quote</v>
      </c>
      <c r="C79" s="82">
        <f>_xll.qlRateHelperQuoteValue($A79,Trigger)</f>
        <v>3.5125000000000003E-2</v>
      </c>
      <c r="D79" s="82">
        <f>_xll.qlSwapRateHelperSpread($A79,Trigger)</f>
        <v>5.8750000000000002E-4</v>
      </c>
      <c r="E79" s="81" t="b">
        <v>1</v>
      </c>
      <c r="F79" s="81">
        <v>50</v>
      </c>
      <c r="G79" s="81">
        <v>1</v>
      </c>
      <c r="H79" s="80">
        <f>_xll.qlRateHelperEarliestDate($A79,Trigger)</f>
        <v>42136</v>
      </c>
      <c r="I79" s="79">
        <f>_xll.qlRateHelperLatestDate($A79,Trigger)</f>
        <v>49443</v>
      </c>
      <c r="K79" s="24"/>
    </row>
    <row r="80" spans="1:11" x14ac:dyDescent="0.2">
      <c r="A80" s="175" t="str">
        <f>Swaps!L28</f>
        <v>obj_00284#0001</v>
      </c>
      <c r="B80" s="83" t="str">
        <f>SUBSTITUTE(_xll.qlRateHelperQuoteName(A80),"6AB","3ABBASIS")</f>
        <v>AUDSM3ABBASIS21Y_Quote</v>
      </c>
      <c r="C80" s="82" t="e">
        <f>_xll.qlRateHelperQuoteValue($A80,Trigger)</f>
        <v>#NUM!</v>
      </c>
      <c r="D80" s="82">
        <f>_xll.qlSwapRateHelperSpread($A80,Trigger)</f>
        <v>5.7830917344229942E-4</v>
      </c>
      <c r="E80" s="81" t="b">
        <v>0</v>
      </c>
      <c r="F80" s="81">
        <v>50</v>
      </c>
      <c r="G80" s="81">
        <v>1</v>
      </c>
      <c r="H80" s="80">
        <f>_xll.qlRateHelperEarliestDate($A80,Trigger)</f>
        <v>42136</v>
      </c>
      <c r="I80" s="79">
        <f>_xll.qlRateHelperLatestDate($A80,Trigger)</f>
        <v>49807</v>
      </c>
      <c r="K80" s="24"/>
    </row>
    <row r="81" spans="1:11" x14ac:dyDescent="0.2">
      <c r="A81" s="175" t="str">
        <f>Swaps!L29</f>
        <v>obj_002a6#0001</v>
      </c>
      <c r="B81" s="83" t="str">
        <f>SUBSTITUTE(_xll.qlRateHelperQuoteName(A81),"6AB","3ABBASIS")</f>
        <v>AUDSM3ABBASIS22Y_Quote</v>
      </c>
      <c r="C81" s="82" t="e">
        <f>_xll.qlRateHelperQuoteValue($A81,Trigger)</f>
        <v>#NUM!</v>
      </c>
      <c r="D81" s="82">
        <f>_xll.qlSwapRateHelperSpread($A81,Trigger)</f>
        <v>5.6851146680287419E-4</v>
      </c>
      <c r="E81" s="81" t="b">
        <v>0</v>
      </c>
      <c r="F81" s="81">
        <v>50</v>
      </c>
      <c r="G81" s="81">
        <v>1</v>
      </c>
      <c r="H81" s="80">
        <f>_xll.qlRateHelperEarliestDate($A81,Trigger)</f>
        <v>42136</v>
      </c>
      <c r="I81" s="79">
        <f>_xll.qlRateHelperLatestDate($A81,Trigger)</f>
        <v>50172</v>
      </c>
      <c r="K81" s="24"/>
    </row>
    <row r="82" spans="1:11" x14ac:dyDescent="0.2">
      <c r="A82" s="175" t="str">
        <f>Swaps!L30</f>
        <v>obj_0027e#0001</v>
      </c>
      <c r="B82" s="83" t="str">
        <f>SUBSTITUTE(_xll.qlRateHelperQuoteName(A82),"6AB","3ABBASIS")</f>
        <v>AUDSM3ABBASIS23Y_Quote</v>
      </c>
      <c r="C82" s="82" t="e">
        <f>_xll.qlRateHelperQuoteValue($A82,Trigger)</f>
        <v>#NUM!</v>
      </c>
      <c r="D82" s="82">
        <f>_xll.qlSwapRateHelperSpread($A82,Trigger)</f>
        <v>5.5830917344229937E-4</v>
      </c>
      <c r="E82" s="81" t="b">
        <v>0</v>
      </c>
      <c r="F82" s="81">
        <v>50</v>
      </c>
      <c r="G82" s="81">
        <v>1</v>
      </c>
      <c r="H82" s="80">
        <f>_xll.qlRateHelperEarliestDate($A82,Trigger)</f>
        <v>42136</v>
      </c>
      <c r="I82" s="79">
        <f>_xll.qlRateHelperLatestDate($A82,Trigger)</f>
        <v>50537</v>
      </c>
      <c r="K82" s="24"/>
    </row>
    <row r="83" spans="1:11" x14ac:dyDescent="0.2">
      <c r="A83" s="175" t="str">
        <f>Swaps!L31</f>
        <v>obj_002a3#0001</v>
      </c>
      <c r="B83" s="83" t="str">
        <f>SUBSTITUTE(_xll.qlRateHelperQuoteName(A83),"6AB","3ABBASIS")</f>
        <v>AUDSM3ABBASIS24Y_Quote</v>
      </c>
      <c r="C83" s="82" t="e">
        <f>_xll.qlRateHelperQuoteValue($A83,Trigger)</f>
        <v>#NUM!</v>
      </c>
      <c r="D83" s="82">
        <f>_xll.qlSwapRateHelperSpread($A83,Trigger)</f>
        <v>5.4790458672114963E-4</v>
      </c>
      <c r="E83" s="81" t="b">
        <v>0</v>
      </c>
      <c r="F83" s="81">
        <v>50</v>
      </c>
      <c r="G83" s="81">
        <v>1</v>
      </c>
      <c r="H83" s="80">
        <f>_xll.qlRateHelperEarliestDate($A83,Trigger)</f>
        <v>42136</v>
      </c>
      <c r="I83" s="79">
        <f>_xll.qlRateHelperLatestDate($A83,Trigger)</f>
        <v>50902</v>
      </c>
      <c r="K83" s="24"/>
    </row>
    <row r="84" spans="1:11" x14ac:dyDescent="0.2">
      <c r="A84" s="175" t="str">
        <f>Swaps!L32</f>
        <v>obj_00299#0001</v>
      </c>
      <c r="B84" s="83" t="str">
        <f>SUBSTITUTE(_xll.qlRateHelperQuoteName(A84),"6AB","3ABBASIS")</f>
        <v>AUDSM3ABBASIS25Y_Quote</v>
      </c>
      <c r="C84" s="82">
        <f>_xll.qlRateHelperQuoteValue($A84,Trigger)</f>
        <v>3.5475000000000007E-2</v>
      </c>
      <c r="D84" s="82">
        <f>_xll.qlSwapRateHelperSpread($A84,Trigger)</f>
        <v>5.375E-4</v>
      </c>
      <c r="E84" s="81" t="b">
        <v>1</v>
      </c>
      <c r="F84" s="81">
        <v>50</v>
      </c>
      <c r="G84" s="81">
        <v>1</v>
      </c>
      <c r="H84" s="80">
        <f>_xll.qlRateHelperEarliestDate($A84,Trigger)</f>
        <v>42136</v>
      </c>
      <c r="I84" s="79">
        <f>_xll.qlRateHelperLatestDate($A84,Trigger)</f>
        <v>51270</v>
      </c>
      <c r="K84" s="24"/>
    </row>
    <row r="85" spans="1:11" x14ac:dyDescent="0.2">
      <c r="A85" s="175" t="str">
        <f>Swaps!L33</f>
        <v>obj_002aa#0001</v>
      </c>
      <c r="B85" s="83" t="str">
        <f>SUBSTITUTE(_xll.qlRateHelperQuoteName(A85),"6AB","3ABBASIS")</f>
        <v>AUDSM3ABBASIS26Y_Quote</v>
      </c>
      <c r="C85" s="82" t="e">
        <f>_xll.qlRateHelperQuoteValue($A85,Trigger)</f>
        <v>#NUM!</v>
      </c>
      <c r="D85" s="82">
        <f>_xll.qlSwapRateHelperSpread($A85,Trigger)</f>
        <v>5.2725724796731015E-4</v>
      </c>
      <c r="E85" s="81" t="b">
        <v>0</v>
      </c>
      <c r="F85" s="81">
        <v>50</v>
      </c>
      <c r="G85" s="81">
        <v>1</v>
      </c>
      <c r="H85" s="80">
        <f>_xll.qlRateHelperEarliestDate($A85,Trigger)</f>
        <v>42136</v>
      </c>
      <c r="I85" s="79">
        <f>_xll.qlRateHelperLatestDate($A85,Trigger)</f>
        <v>51634</v>
      </c>
      <c r="K85" s="24"/>
    </row>
    <row r="86" spans="1:11" x14ac:dyDescent="0.2">
      <c r="A86" s="175" t="str">
        <f>Swaps!L34</f>
        <v>obj_002a7#0001</v>
      </c>
      <c r="B86" s="83" t="str">
        <f>SUBSTITUTE(_xll.qlRateHelperQuoteName(A86),"6AB","3ABBASIS")</f>
        <v>AUDSM3ABBASIS27Y_Quote</v>
      </c>
      <c r="C86" s="82" t="e">
        <f>_xll.qlRateHelperQuoteValue($A86,Trigger)</f>
        <v>#NUM!</v>
      </c>
      <c r="D86" s="82">
        <f>_xll.qlSwapRateHelperSpread($A86,Trigger)</f>
        <v>5.1717633062308029E-4</v>
      </c>
      <c r="E86" s="81" t="b">
        <v>0</v>
      </c>
      <c r="F86" s="81">
        <v>50</v>
      </c>
      <c r="G86" s="81">
        <v>1</v>
      </c>
      <c r="H86" s="80">
        <f>_xll.qlRateHelperEarliestDate($A86,Trigger)</f>
        <v>42136</v>
      </c>
      <c r="I86" s="79">
        <f>_xll.qlRateHelperLatestDate($A86,Trigger)</f>
        <v>51998</v>
      </c>
      <c r="K86" s="24"/>
    </row>
    <row r="87" spans="1:11" x14ac:dyDescent="0.2">
      <c r="A87" s="175" t="str">
        <f>Swaps!L35</f>
        <v>obj_00291#0001</v>
      </c>
      <c r="B87" s="83" t="str">
        <f>SUBSTITUTE(_xll.qlRateHelperQuoteName(A87),"6AB","3ABBASIS")</f>
        <v>AUDSM3ABBASIS28Y_Quote</v>
      </c>
      <c r="C87" s="82" t="e">
        <f>_xll.qlRateHelperQuoteValue($A87,Trigger)</f>
        <v>#NUM!</v>
      </c>
      <c r="D87" s="82">
        <f>_xll.qlSwapRateHelperSpread($A87,Trigger)</f>
        <v>5.0721678929519518E-4</v>
      </c>
      <c r="E87" s="81" t="b">
        <v>0</v>
      </c>
      <c r="F87" s="81">
        <v>50</v>
      </c>
      <c r="G87" s="81">
        <v>1</v>
      </c>
      <c r="H87" s="80">
        <f>_xll.qlRateHelperEarliestDate($A87,Trigger)</f>
        <v>42136</v>
      </c>
      <c r="I87" s="79">
        <f>_xll.qlRateHelperLatestDate($A87,Trigger)</f>
        <v>52363</v>
      </c>
      <c r="K87" s="24"/>
    </row>
    <row r="88" spans="1:11" x14ac:dyDescent="0.2">
      <c r="A88" s="175" t="str">
        <f>Swaps!L36</f>
        <v>obj_00287#0001</v>
      </c>
      <c r="B88" s="83" t="str">
        <f>SUBSTITUTE(_xll.qlRateHelperQuoteName(A88),"6AB","3ABBASIS")</f>
        <v>AUDSM3ABBASIS29Y_Quote</v>
      </c>
      <c r="C88" s="82" t="e">
        <f>_xll.qlRateHelperQuoteValue($A88,Trigger)</f>
        <v>#NUM!</v>
      </c>
      <c r="D88" s="82">
        <f>_xll.qlSwapRateHelperSpread($A88,Trigger)</f>
        <v>4.9733816531154012E-4</v>
      </c>
      <c r="E88" s="81" t="b">
        <v>0</v>
      </c>
      <c r="F88" s="81">
        <v>50</v>
      </c>
      <c r="G88" s="81">
        <v>1</v>
      </c>
      <c r="H88" s="80">
        <f>_xll.qlRateHelperEarliestDate($A88,Trigger)</f>
        <v>42136</v>
      </c>
      <c r="I88" s="79">
        <f>_xll.qlRateHelperLatestDate($A88,Trigger)</f>
        <v>52729</v>
      </c>
      <c r="K88" s="24"/>
    </row>
    <row r="89" spans="1:11" x14ac:dyDescent="0.2">
      <c r="A89" s="175" t="str">
        <f>Swaps!L37</f>
        <v>obj_0029a#0001</v>
      </c>
      <c r="B89" s="83" t="str">
        <f>SUBSTITUTE(_xll.qlRateHelperQuoteName(A89),"6AB","3ABBASIS")</f>
        <v>AUDSM3ABBASIS30Y_Quote</v>
      </c>
      <c r="C89" s="82">
        <f>_xll.qlRateHelperQuoteValue($A89,Trigger)</f>
        <v>3.56E-2</v>
      </c>
      <c r="D89" s="82">
        <f>_xll.qlSwapRateHelperSpread($A89,Trigger)</f>
        <v>4.8749999999999998E-4</v>
      </c>
      <c r="E89" s="81" t="b">
        <v>1</v>
      </c>
      <c r="F89" s="81">
        <v>50</v>
      </c>
      <c r="G89" s="81">
        <v>1</v>
      </c>
      <c r="H89" s="80">
        <f>_xll.qlRateHelperEarliestDate($A89,Trigger)</f>
        <v>42136</v>
      </c>
      <c r="I89" s="79">
        <f>_xll.qlRateHelperLatestDate($A89,Trigger)</f>
        <v>53094</v>
      </c>
      <c r="K89" s="24"/>
    </row>
    <row r="90" spans="1:11" x14ac:dyDescent="0.2">
      <c r="A90" s="175" t="str">
        <f>Swaps!L38</f>
        <v>obj_002a0#0001</v>
      </c>
      <c r="B90" s="83" t="str">
        <f>SUBSTITUTE(_xll.qlRateHelperQuoteName(A90),"6AB","3ABBASIS")</f>
        <v>AUDSM3ABBASIS35Y_Quote</v>
      </c>
      <c r="C90" s="82" t="e">
        <f>_xll.qlRateHelperQuoteValue($A90,Trigger)</f>
        <v>#NUM!</v>
      </c>
      <c r="D90" s="82">
        <f>_xll.qlSwapRateHelperSpread($A90,Trigger)</f>
        <v>4.8749999999999998E-4</v>
      </c>
      <c r="E90" s="81" t="b">
        <v>0</v>
      </c>
      <c r="F90" s="81">
        <v>50</v>
      </c>
      <c r="G90" s="81">
        <v>1</v>
      </c>
      <c r="H90" s="80">
        <f>_xll.qlRateHelperEarliestDate($A90,Trigger)</f>
        <v>42136</v>
      </c>
      <c r="I90" s="79">
        <f>_xll.qlRateHelperLatestDate($A90,Trigger)</f>
        <v>54920</v>
      </c>
      <c r="K90" s="24"/>
    </row>
    <row r="91" spans="1:11" x14ac:dyDescent="0.2">
      <c r="A91" s="175" t="str">
        <f>Swaps!L39</f>
        <v>obj_0029c#0001</v>
      </c>
      <c r="B91" s="83" t="str">
        <f>SUBSTITUTE(_xll.qlRateHelperQuoteName(A91),"6AB","3ABBASIS")</f>
        <v>AUDSM3ABBASIS40Y_Quote</v>
      </c>
      <c r="C91" s="82">
        <f>_xll.qlRateHelperQuoteValue($A91,Trigger)</f>
        <v>3.5000000000000003E-2</v>
      </c>
      <c r="D91" s="82">
        <f>_xll.qlSwapRateHelperSpread($A91,Trigger)</f>
        <v>4.8749999999999998E-4</v>
      </c>
      <c r="E91" s="81" t="b">
        <v>0</v>
      </c>
      <c r="F91" s="81">
        <v>50</v>
      </c>
      <c r="G91" s="81">
        <v>1</v>
      </c>
      <c r="H91" s="80">
        <f>_xll.qlRateHelperEarliestDate($A91,Trigger)</f>
        <v>42136</v>
      </c>
      <c r="I91" s="79">
        <f>_xll.qlRateHelperLatestDate($A91,Trigger)</f>
        <v>56746</v>
      </c>
      <c r="K91" s="24"/>
    </row>
    <row r="92" spans="1:11" x14ac:dyDescent="0.2">
      <c r="A92" s="175" t="str">
        <f>Swaps!L40</f>
        <v>obj_0028e#0001</v>
      </c>
      <c r="B92" s="83" t="str">
        <f>SUBSTITUTE(_xll.qlRateHelperQuoteName(A92),"6AB","3ABBASIS")</f>
        <v>AUDSM3ABBASIS50Y_Quote</v>
      </c>
      <c r="C92" s="82" t="e">
        <f>_xll.qlRateHelperQuoteValue($A92,Trigger)</f>
        <v>#NUM!</v>
      </c>
      <c r="D92" s="82">
        <f>_xll.qlSwapRateHelperSpread($A92,Trigger)</f>
        <v>4.8749999999999998E-4</v>
      </c>
      <c r="E92" s="81" t="b">
        <v>0</v>
      </c>
      <c r="F92" s="81">
        <v>50</v>
      </c>
      <c r="G92" s="81">
        <v>1</v>
      </c>
      <c r="H92" s="80">
        <f>_xll.qlRateHelperEarliestDate($A92,Trigger)</f>
        <v>42136</v>
      </c>
      <c r="I92" s="79">
        <f>_xll.qlRateHelperLatestDate($A92,Trigger)</f>
        <v>60399</v>
      </c>
      <c r="K92" s="24"/>
    </row>
    <row r="93" spans="1:11" x14ac:dyDescent="0.2">
      <c r="A93" s="35" t="str">
        <f>Swaps!L41</f>
        <v>obj_0029e#0001</v>
      </c>
      <c r="B93" s="78" t="str">
        <f>SUBSTITUTE(_xll.qlRateHelperQuoteName(A93),"6AB","3ABBASIS")</f>
        <v>AUDSM3ABBASIS60Y_Quote</v>
      </c>
      <c r="C93" s="77" t="e">
        <f>_xll.qlRateHelperQuoteValue($A93,Trigger)</f>
        <v>#NUM!</v>
      </c>
      <c r="D93" s="77">
        <f>_xll.qlSwapRateHelperSpread($A93,Trigger)</f>
        <v>4.8749999999999998E-4</v>
      </c>
      <c r="E93" s="76" t="b">
        <v>0</v>
      </c>
      <c r="F93" s="76">
        <v>50</v>
      </c>
      <c r="G93" s="76">
        <v>1</v>
      </c>
      <c r="H93" s="75">
        <f>_xll.qlRateHelperEarliestDate($A93,Trigger)</f>
        <v>42136</v>
      </c>
      <c r="I93" s="74">
        <f>_xll.qlRateHelperLatestDate($A93,Trigger)</f>
        <v>64052</v>
      </c>
      <c r="K93" s="24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customWidth="1"/>
    <col min="3" max="3" width="2.7109375" style="1" customWidth="1"/>
    <col min="4" max="4" width="25.7109375" style="17" hidden="1" customWidth="1"/>
    <col min="5" max="5" width="23.42578125" style="73" bestFit="1" customWidth="1"/>
    <col min="6" max="7" width="8" style="17" bestFit="1" customWidth="1"/>
    <col min="8" max="9" width="17.28515625" style="17" bestFit="1" customWidth="1"/>
    <col min="10" max="10" width="12" style="1" bestFit="1" customWidth="1"/>
    <col min="11" max="11" width="9.140625" style="1"/>
    <col min="12" max="12" width="19" style="1" bestFit="1" customWidth="1"/>
    <col min="13" max="13" width="9.28515625" style="1" bestFit="1" customWidth="1"/>
    <col min="14" max="16384" width="9.140625" style="1"/>
  </cols>
  <sheetData>
    <row r="1" spans="1:13" ht="23.25" customHeight="1" thickBot="1" x14ac:dyDescent="0.25">
      <c r="A1" s="256" t="s">
        <v>55</v>
      </c>
      <c r="B1" s="257"/>
      <c r="D1" s="70" t="s">
        <v>54</v>
      </c>
      <c r="E1" s="2" t="s">
        <v>158</v>
      </c>
      <c r="F1" s="3" t="s">
        <v>53</v>
      </c>
      <c r="G1" s="3"/>
      <c r="H1" s="3" t="s">
        <v>40</v>
      </c>
      <c r="I1" s="4" t="s">
        <v>39</v>
      </c>
      <c r="J1" s="5">
        <f t="array" ref="J1:J126">_xll.qlPiecewiseYieldCurveData(YieldCurve)</f>
        <v>1</v>
      </c>
    </row>
    <row r="2" spans="1:13" x14ac:dyDescent="0.2">
      <c r="A2" s="6" t="s">
        <v>52</v>
      </c>
      <c r="B2" s="7">
        <v>3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obj_0028a</v>
      </c>
      <c r="E2" s="8" t="str">
        <f>SUBSTITUTE(_xll.qlRateHelperQuoteName(D2),"6AB","3ABBASIS")</f>
        <v>AUDSND_SYNTH3M_Quote</v>
      </c>
      <c r="F2" s="9">
        <f>_xll.qlRateHelperRate($D2)</f>
        <v>2.2026E-2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8">
        <f>_xll.qlRateHelperEarliestDate($D2)</f>
        <v>42135</v>
      </c>
      <c r="I2" s="19">
        <f>_xll.qlRateHelperLatestDate($D2)</f>
        <v>42136</v>
      </c>
      <c r="J2" s="5">
        <v>0.99993965843584454</v>
      </c>
      <c r="M2" s="10"/>
    </row>
    <row r="3" spans="1:13" x14ac:dyDescent="0.2">
      <c r="A3" s="11" t="s">
        <v>51</v>
      </c>
      <c r="B3" s="12">
        <v>0</v>
      </c>
      <c r="D3" s="8" t="str">
        <v>obj_00279</v>
      </c>
      <c r="E3" s="8" t="str">
        <f>SUBSTITUTE(_xll.qlRateHelperQuoteName(D3),"6AB","3ABBASIS")</f>
        <v>AUDSWD_SYNTH3M_Quote</v>
      </c>
      <c r="F3" s="9">
        <f>_xll.qlRateHelperRate($D3)</f>
        <v>2.2023000000000001E-2</v>
      </c>
      <c r="G3" s="9" t="str">
        <f>IF(ISERROR(_xll.qlSwapRateHelperSpread($D3)),IF(ISERROR(_xll.qlFuturesRateHelperConvexityAdjustment($D3)),"--",_xll.qlFuturesRateHelperConvexityAdjustment($D3)),_xll.qlSwapRateHelperSpread($D3))</f>
        <v>--</v>
      </c>
      <c r="H3" s="18">
        <f>_xll.qlRateHelperEarliestDate($D3)</f>
        <v>42135</v>
      </c>
      <c r="I3" s="19">
        <f>_xll.qlRateHelperLatestDate($D3)</f>
        <v>42142</v>
      </c>
      <c r="J3" s="5">
        <v>0.99957781940762302</v>
      </c>
      <c r="M3" s="10"/>
    </row>
    <row r="4" spans="1:13" x14ac:dyDescent="0.2">
      <c r="A4" s="11" t="s">
        <v>50</v>
      </c>
      <c r="B4" s="12">
        <v>1</v>
      </c>
      <c r="D4" s="8" t="str">
        <v>obj_0027c</v>
      </c>
      <c r="E4" s="8" t="str">
        <f>SUBSTITUTE(_xll.qlRateHelperQuoteName(D4),"6AB","3ABBASIS")</f>
        <v>AUD2WD_SYNTH3M_Quote</v>
      </c>
      <c r="F4" s="9">
        <f>_xll.qlRateHelperRate($D4)</f>
        <v>2.2009999999999998E-2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18">
        <f>_xll.qlRateHelperEarliestDate($D4)</f>
        <v>42135</v>
      </c>
      <c r="I4" s="19">
        <f>_xll.qlRateHelperLatestDate($D4)</f>
        <v>42149</v>
      </c>
      <c r="J4" s="5">
        <v>0.999156492926775</v>
      </c>
      <c r="M4" s="10"/>
    </row>
    <row r="5" spans="1:13" x14ac:dyDescent="0.2">
      <c r="A5" s="11" t="s">
        <v>49</v>
      </c>
      <c r="B5" s="13" t="s">
        <v>48</v>
      </c>
      <c r="D5" s="8" t="str">
        <v>obj_0027a</v>
      </c>
      <c r="E5" s="8" t="str">
        <f>SUBSTITUTE(_xll.qlRateHelperQuoteName(D5),"6AB","3ABBASIS")</f>
        <v>AUD3WD_SYNTH3M_Quote</v>
      </c>
      <c r="F5" s="9">
        <f>_xll.qlRateHelperRate($D5)</f>
        <v>2.1998E-2</v>
      </c>
      <c r="G5" s="9" t="str">
        <f>IF(ISERROR(_xll.qlSwapRateHelperSpread($D5)),IF(ISERROR(_xll.qlFuturesRateHelperConvexityAdjustment($D5)),"--",_xll.qlFuturesRateHelperConvexityAdjustment($D5)),_xll.qlSwapRateHelperSpread($D5))</f>
        <v>--</v>
      </c>
      <c r="H5" s="18">
        <f>_xll.qlRateHelperEarliestDate($D5)</f>
        <v>42135</v>
      </c>
      <c r="I5" s="19">
        <f>_xll.qlRateHelperLatestDate($D5)</f>
        <v>42156</v>
      </c>
      <c r="J5" s="5">
        <v>0.99873596145951415</v>
      </c>
      <c r="M5" s="10"/>
    </row>
    <row r="6" spans="1:13" x14ac:dyDescent="0.2">
      <c r="A6" s="72"/>
      <c r="B6" s="72"/>
      <c r="D6" s="8" t="str">
        <v>obj_0027b</v>
      </c>
      <c r="E6" s="8" t="str">
        <f>SUBSTITUTE(_xll.qlRateHelperQuoteName(D6),"6AB","3ABBASIS")</f>
        <v>AUD1MD_SYNTH3M_Quote</v>
      </c>
      <c r="F6" s="9">
        <f>_xll.qlRateHelperRate($D6)</f>
        <v>2.1991E-2</v>
      </c>
      <c r="G6" s="9" t="str">
        <f>IF(ISERROR(_xll.qlSwapRateHelperSpread($D6)),IF(ISERROR(_xll.qlFuturesRateHelperConvexityAdjustment($D6)),"--",_xll.qlFuturesRateHelperConvexityAdjustment($D6)),_xll.qlSwapRateHelperSpread($D6))</f>
        <v>--</v>
      </c>
      <c r="H6" s="18">
        <f>_xll.qlRateHelperEarliestDate($D6)</f>
        <v>42135</v>
      </c>
      <c r="I6" s="19">
        <f>_xll.qlRateHelperLatestDate($D6)</f>
        <v>42166</v>
      </c>
      <c r="J6" s="5">
        <v>0.99813575314040337</v>
      </c>
      <c r="M6" s="10"/>
    </row>
    <row r="7" spans="1:13" x14ac:dyDescent="0.2">
      <c r="A7" s="72"/>
      <c r="B7" s="72"/>
      <c r="D7" s="8" t="str">
        <v>obj_002a8</v>
      </c>
      <c r="E7" s="8" t="str">
        <f>SUBSTITUTE(_xll.qlRateHelperQuoteName(D7),"6AB","3ABBASIS")</f>
        <v>AUD2MD_SYNTH3M_Quote</v>
      </c>
      <c r="F7" s="9">
        <f>_xll.qlRateHelperRate($D7)</f>
        <v>2.1956E-2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8">
        <f>_xll.qlRateHelperEarliestDate($D7)</f>
        <v>42135</v>
      </c>
      <c r="I7" s="19">
        <f>_xll.qlRateHelperLatestDate($D7)</f>
        <v>42198</v>
      </c>
      <c r="J7" s="5">
        <v>0.99622464159303703</v>
      </c>
      <c r="M7" s="10"/>
    </row>
    <row r="8" spans="1:13" x14ac:dyDescent="0.2">
      <c r="A8" s="72"/>
      <c r="D8" s="8" t="str">
        <v>obj_0027d</v>
      </c>
      <c r="E8" s="8" t="str">
        <f>SUBSTITUTE(_xll.qlRateHelperQuoteName(D8),"6AB","3ABBASIS")</f>
        <v>AUD3MD_SYNTH3M_Quote</v>
      </c>
      <c r="F8" s="9">
        <f>_xll.qlRateHelperRate($D8)</f>
        <v>2.1815999999999999E-2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8">
        <f>_xll.qlRateHelperEarliestDate($D8)</f>
        <v>42135</v>
      </c>
      <c r="I8" s="19">
        <f>_xll.qlRateHelperLatestDate($D8)</f>
        <v>42227</v>
      </c>
      <c r="J8" s="5">
        <v>0.99453124434615803</v>
      </c>
      <c r="M8" s="10"/>
    </row>
    <row r="9" spans="1:13" x14ac:dyDescent="0.2">
      <c r="A9" s="72"/>
      <c r="D9" s="8" t="str">
        <v>obj_002bc</v>
      </c>
      <c r="E9" s="8" t="str">
        <f>SUBSTITUTE(_xll.qlRateHelperQuoteName(D9),"6AB","3ABBASIS")</f>
        <v>AUDFUT3MM5_Quote</v>
      </c>
      <c r="F9" s="9">
        <f>_xll.qlRateHelperRate($D9)</f>
        <v>2.1549999999999958E-2</v>
      </c>
      <c r="G9" s="9">
        <f>IF(ISERROR(_xll.qlSwapRateHelperSpread($D9)),IF(ISERROR(_xll.qlFuturesRateHelperConvexityAdjustment($D9)),"--",_xll.qlFuturesRateHelperConvexityAdjustment($D9)),_xll.qlSwapRateHelperSpread($D9))</f>
        <v>0</v>
      </c>
      <c r="H9" s="18">
        <f>_xll.qlRateHelperEarliestDate($D9)</f>
        <v>42167</v>
      </c>
      <c r="I9" s="19">
        <f>_xll.qlRateHelperLatestDate($D9)</f>
        <v>42261</v>
      </c>
      <c r="J9" s="5">
        <v>0.9925671171090934</v>
      </c>
      <c r="M9" s="10"/>
    </row>
    <row r="10" spans="1:13" x14ac:dyDescent="0.2">
      <c r="A10" s="72"/>
      <c r="D10" s="8" t="str">
        <v>obj_002b9</v>
      </c>
      <c r="E10" s="8" t="str">
        <f>SUBSTITUTE(_xll.qlRateHelperQuoteName(D10),"6AB","3ABBASIS")</f>
        <v>AUDFUT3MU5_Quote</v>
      </c>
      <c r="F10" s="9">
        <f>_xll.qlRateHelperRate($D10)</f>
        <v>2.1049999999999902E-2</v>
      </c>
      <c r="G10" s="9">
        <f>IF(ISERROR(_xll.qlSwapRateHelperSpread($D10)),IF(ISERROR(_xll.qlFuturesRateHelperConvexityAdjustment($D10)),"--",_xll.qlFuturesRateHelperConvexityAdjustment($D10)),_xll.qlSwapRateHelperSpread($D10))</f>
        <v>0</v>
      </c>
      <c r="H10" s="18">
        <f>_xll.qlRateHelperEarliestDate($D10)</f>
        <v>42258</v>
      </c>
      <c r="I10" s="19">
        <f>_xll.qlRateHelperLatestDate($D10)</f>
        <v>42349</v>
      </c>
      <c r="J10" s="5">
        <v>0.98755668165188659</v>
      </c>
      <c r="M10" s="10"/>
    </row>
    <row r="11" spans="1:13" x14ac:dyDescent="0.2">
      <c r="D11" s="8" t="str">
        <v>obj_002ac</v>
      </c>
      <c r="E11" s="8" t="str">
        <f>SUBSTITUTE(_xll.qlRateHelperQuoteName(D11),"6AB","3ABBASIS")</f>
        <v>AUDFUT3MZ5_Quote</v>
      </c>
      <c r="F11" s="9">
        <f>_xll.qlRateHelperRate($D11)</f>
        <v>2.1150000000000113E-2</v>
      </c>
      <c r="G11" s="9">
        <f>IF(ISERROR(_xll.qlSwapRateHelperSpread($D11)),IF(ISERROR(_xll.qlFuturesRateHelperConvexityAdjustment($D11)),"--",_xll.qlFuturesRateHelperConvexityAdjustment($D11)),_xll.qlSwapRateHelperSpread($D11))</f>
        <v>0</v>
      </c>
      <c r="H11" s="18">
        <f>_xll.qlRateHelperEarliestDate($D11)</f>
        <v>42349</v>
      </c>
      <c r="I11" s="19">
        <f>_xll.qlRateHelperLatestDate($D11)</f>
        <v>42440</v>
      </c>
      <c r="J11" s="5">
        <v>0.98237659640184605</v>
      </c>
      <c r="M11" s="10"/>
    </row>
    <row r="12" spans="1:13" x14ac:dyDescent="0.2">
      <c r="A12" s="14"/>
      <c r="D12" s="8" t="str">
        <v>obj_00292</v>
      </c>
      <c r="E12" s="8" t="str">
        <f>SUBSTITUTE(_xll.qlRateHelperQuoteName(D12),"6AB","3ABBASIS")</f>
        <v>AUDQM3AB1Y_Quote</v>
      </c>
      <c r="F12" s="9">
        <f>_xll.qlRateHelperRate($D12)</f>
        <v>2.1150000000000002E-2</v>
      </c>
      <c r="G12" s="9">
        <f>IF(ISERROR(_xll.qlSwapRateHelperSpread($D12)),IF(ISERROR(_xll.qlFuturesRateHelperConvexityAdjustment($D12)),"--",_xll.qlFuturesRateHelperConvexityAdjustment($D12)),_xll.qlSwapRateHelperSpread($D12))</f>
        <v>0</v>
      </c>
      <c r="H12" s="18">
        <f>_xll.qlRateHelperEarliestDate($D12)</f>
        <v>42136</v>
      </c>
      <c r="I12" s="19">
        <f>_xll.qlRateHelperLatestDate($D12)</f>
        <v>42502</v>
      </c>
      <c r="J12" s="5">
        <v>0.97901348878487948</v>
      </c>
      <c r="M12" s="10"/>
    </row>
    <row r="13" spans="1:13" x14ac:dyDescent="0.2">
      <c r="A13" s="14"/>
      <c r="D13" s="8" t="str">
        <v>obj_00285</v>
      </c>
      <c r="E13" s="8" t="str">
        <f>SUBSTITUTE(_xll.qlRateHelperQuoteName(D13),"6AB","3ABBASIS")</f>
        <v>AUDQM3AB2Y_Quote</v>
      </c>
      <c r="F13" s="9">
        <f>_xll.qlRateHelperRate($D13)</f>
        <v>2.205E-2</v>
      </c>
      <c r="G13" s="9">
        <f>IF(ISERROR(_xll.qlSwapRateHelperSpread($D13)),IF(ISERROR(_xll.qlFuturesRateHelperConvexityAdjustment($D13)),"--",_xll.qlFuturesRateHelperConvexityAdjustment($D13)),_xll.qlSwapRateHelperSpread($D13))</f>
        <v>0</v>
      </c>
      <c r="H13" s="18">
        <f>_xll.qlRateHelperEarliestDate($D13)</f>
        <v>42136</v>
      </c>
      <c r="I13" s="19">
        <f>_xll.qlRateHelperLatestDate($D13)</f>
        <v>42867</v>
      </c>
      <c r="J13" s="5">
        <v>0.95683737237115396</v>
      </c>
      <c r="M13" s="10"/>
    </row>
    <row r="14" spans="1:13" x14ac:dyDescent="0.2">
      <c r="D14" s="8" t="str">
        <v>obj_002a2</v>
      </c>
      <c r="E14" s="8" t="str">
        <f>SUBSTITUTE(_xll.qlRateHelperQuoteName(D14),"6AB","3ABBASIS")</f>
        <v>AUDQM3AB3Y_Quote</v>
      </c>
      <c r="F14" s="9">
        <f>_xll.qlRateHelperRate($D14)</f>
        <v>2.3300000000000001E-2</v>
      </c>
      <c r="G14" s="9">
        <f>IF(ISERROR(_xll.qlSwapRateHelperSpread($D14)),IF(ISERROR(_xll.qlFuturesRateHelperConvexityAdjustment($D14)),"--",_xll.qlFuturesRateHelperConvexityAdjustment($D14)),_xll.qlSwapRateHelperSpread($D14))</f>
        <v>0</v>
      </c>
      <c r="H14" s="18">
        <f>_xll.qlRateHelperEarliestDate($D14)</f>
        <v>42136</v>
      </c>
      <c r="I14" s="19">
        <f>_xll.qlRateHelperLatestDate($D14)</f>
        <v>43234</v>
      </c>
      <c r="J14" s="5">
        <v>0.93234079989569851</v>
      </c>
      <c r="M14" s="10"/>
    </row>
    <row r="15" spans="1:13" x14ac:dyDescent="0.2">
      <c r="D15" s="8" t="str">
        <v>obj_00281</v>
      </c>
      <c r="E15" s="8" t="str">
        <f>SUBSTITUTE(_xll.qlRateHelperQuoteName(D15),"6AB","3ABBASIS")</f>
        <v>AUDSM3ABBASIS4Y_Quote</v>
      </c>
      <c r="F15" s="9">
        <f>_xll.qlRateHelperRate($D15)</f>
        <v>2.5675E-2</v>
      </c>
      <c r="G15" s="9">
        <f>IF(ISERROR(_xll.qlSwapRateHelperSpread($D15)),IF(ISERROR(_xll.qlFuturesRateHelperConvexityAdjustment($D15)),"--",_xll.qlFuturesRateHelperConvexityAdjustment($D15)),_xll.qlSwapRateHelperSpread($D15))</f>
        <v>1.0124999999999999E-3</v>
      </c>
      <c r="H15" s="18">
        <f>_xll.qlRateHelperEarliestDate($D15)</f>
        <v>42136</v>
      </c>
      <c r="I15" s="19">
        <f>_xll.qlRateHelperLatestDate($D15)</f>
        <v>43598</v>
      </c>
      <c r="J15" s="5">
        <v>0.90614977177890843</v>
      </c>
      <c r="M15" s="10"/>
    </row>
    <row r="16" spans="1:13" x14ac:dyDescent="0.2">
      <c r="D16" s="8" t="str">
        <v>obj_00297</v>
      </c>
      <c r="E16" s="8" t="str">
        <f>SUBSTITUTE(_xll.qlRateHelperQuoteName(D16),"6AB","3ABBASIS")</f>
        <v>AUDSM3ABBASIS5Y_Quote</v>
      </c>
      <c r="F16" s="9">
        <f>_xll.qlRateHelperRate($D16)</f>
        <v>2.6974999999999999E-2</v>
      </c>
      <c r="G16" s="9">
        <f>IF(ISERROR(_xll.qlSwapRateHelperSpread($D16)),IF(ISERROR(_xll.qlFuturesRateHelperConvexityAdjustment($D16)),"--",_xll.qlFuturesRateHelperConvexityAdjustment($D16)),_xll.qlSwapRateHelperSpread($D16))</f>
        <v>9.7499999999999996E-4</v>
      </c>
      <c r="H16" s="18">
        <f>_xll.qlRateHelperEarliestDate($D16)</f>
        <v>42136</v>
      </c>
      <c r="I16" s="19">
        <f>_xll.qlRateHelperLatestDate($D16)</f>
        <v>43963</v>
      </c>
      <c r="J16" s="5">
        <v>0.8780693010591536</v>
      </c>
      <c r="M16" s="10"/>
    </row>
    <row r="17" spans="4:13" x14ac:dyDescent="0.2">
      <c r="D17" s="8" t="str">
        <v>obj_00280</v>
      </c>
      <c r="E17" s="8" t="str">
        <f>SUBSTITUTE(_xll.qlRateHelperQuoteName(D17),"6AB","3ABBASIS")</f>
        <v>AUDSM3ABBASIS7Y_Quote</v>
      </c>
      <c r="F17" s="9">
        <f>_xll.qlRateHelperRate($D17)</f>
        <v>2.92E-2</v>
      </c>
      <c r="G17" s="9">
        <f>IF(ISERROR(_xll.qlSwapRateHelperSpread($D17)),IF(ISERROR(_xll.qlFuturesRateHelperConvexityAdjustment($D17)),"--",_xll.qlFuturesRateHelperConvexityAdjustment($D17)),_xll.qlSwapRateHelperSpread($D17))</f>
        <v>9.2500000000000004E-4</v>
      </c>
      <c r="H17" s="18">
        <f>_xll.qlRateHelperEarliestDate($D17)</f>
        <v>42136</v>
      </c>
      <c r="I17" s="19">
        <f>_xll.qlRateHelperLatestDate($D17)</f>
        <v>44693</v>
      </c>
      <c r="J17" s="5">
        <v>0.81986874207431915</v>
      </c>
      <c r="M17" s="10"/>
    </row>
    <row r="18" spans="4:13" x14ac:dyDescent="0.2">
      <c r="D18" s="8" t="str">
        <v>obj_00289</v>
      </c>
      <c r="E18" s="8" t="str">
        <f>SUBSTITUTE(_xll.qlRateHelperQuoteName(D18),"6AB","3ABBASIS")</f>
        <v>AUDSM3ABBASIS10Y_Quote</v>
      </c>
      <c r="F18" s="9">
        <f>_xll.qlRateHelperRate($D18)</f>
        <v>3.1574999999999999E-2</v>
      </c>
      <c r="G18" s="9">
        <f>IF(ISERROR(_xll.qlSwapRateHelperSpread($D18)),IF(ISERROR(_xll.qlFuturesRateHelperConvexityAdjustment($D18)),"--",_xll.qlFuturesRateHelperConvexityAdjustment($D18)),_xll.qlSwapRateHelperSpread($D18))</f>
        <v>8.1249999999999996E-4</v>
      </c>
      <c r="H18" s="18">
        <f>_xll.qlRateHelperEarliestDate($D18)</f>
        <v>42136</v>
      </c>
      <c r="I18" s="19">
        <f>_xll.qlRateHelperLatestDate($D18)</f>
        <v>45789</v>
      </c>
      <c r="J18" s="5">
        <v>0.73311835860815933</v>
      </c>
      <c r="M18" s="10"/>
    </row>
    <row r="19" spans="4:13" x14ac:dyDescent="0.2">
      <c r="D19" s="8" t="str">
        <v>obj_002a9</v>
      </c>
      <c r="E19" s="8" t="str">
        <f>SUBSTITUTE(_xll.qlRateHelperQuoteName(D19),"6AB","3ABBASIS")</f>
        <v>AUDSM3ABBASIS12Y_Quote</v>
      </c>
      <c r="F19" s="9">
        <f>_xll.qlRateHelperRate($D19)</f>
        <v>3.2850000000000004E-2</v>
      </c>
      <c r="G19" s="9">
        <f>IF(ISERROR(_xll.qlSwapRateHelperSpread($D19)),IF(ISERROR(_xll.qlFuturesRateHelperConvexityAdjustment($D19)),"--",_xll.qlFuturesRateHelperConvexityAdjustment($D19)),_xll.qlSwapRateHelperSpread($D19))</f>
        <v>7.3749999999999998E-4</v>
      </c>
      <c r="H19" s="18">
        <f>_xll.qlRateHelperEarliestDate($D19)</f>
        <v>42136</v>
      </c>
      <c r="I19" s="19">
        <f>_xll.qlRateHelperLatestDate($D19)</f>
        <v>46519</v>
      </c>
      <c r="J19" s="5">
        <v>0.67671048010824164</v>
      </c>
      <c r="M19" s="10"/>
    </row>
    <row r="20" spans="4:13" x14ac:dyDescent="0.2">
      <c r="D20" s="8" t="str">
        <v>obj_00296</v>
      </c>
      <c r="E20" s="8" t="str">
        <f>SUBSTITUTE(_xll.qlRateHelperQuoteName(D20),"6AB","3ABBASIS")</f>
        <v>AUDSM3ABBASIS15Y_Quote</v>
      </c>
      <c r="F20" s="9">
        <f>_xll.qlRateHelperRate($D20)</f>
        <v>3.4200000000000001E-2</v>
      </c>
      <c r="G20" s="9">
        <f>IF(ISERROR(_xll.qlSwapRateHelperSpread($D20)),IF(ISERROR(_xll.qlFuturesRateHelperConvexityAdjustment($D20)),"--",_xll.qlFuturesRateHelperConvexityAdjustment($D20)),_xll.qlSwapRateHelperSpread($D20))</f>
        <v>6.4999999999999997E-4</v>
      </c>
      <c r="H20" s="18">
        <f>_xll.qlRateHelperEarliestDate($D20)</f>
        <v>42136</v>
      </c>
      <c r="I20" s="19">
        <f>_xll.qlRateHelperLatestDate($D20)</f>
        <v>47616</v>
      </c>
      <c r="J20" s="5">
        <v>0.59886074460504601</v>
      </c>
      <c r="M20" s="10"/>
    </row>
    <row r="21" spans="4:13" x14ac:dyDescent="0.2">
      <c r="D21" s="8" t="str">
        <v>obj_0028b</v>
      </c>
      <c r="E21" s="8" t="str">
        <f>SUBSTITUTE(_xll.qlRateHelperQuoteName(D21),"6AB","3ABBASIS")</f>
        <v>AUDSM3ABBASIS20Y_Quote</v>
      </c>
      <c r="F21" s="9">
        <f>_xll.qlRateHelperRate($D21)</f>
        <v>3.5125000000000003E-2</v>
      </c>
      <c r="G21" s="9">
        <f>IF(ISERROR(_xll.qlSwapRateHelperSpread($D21)),IF(ISERROR(_xll.qlFuturesRateHelperConvexityAdjustment($D21)),"--",_xll.qlFuturesRateHelperConvexityAdjustment($D21)),_xll.qlSwapRateHelperSpread($D21))</f>
        <v>5.8750000000000002E-4</v>
      </c>
      <c r="H21" s="18">
        <f>_xll.qlRateHelperEarliestDate($D21)</f>
        <v>42136</v>
      </c>
      <c r="I21" s="19">
        <f>_xll.qlRateHelperLatestDate($D21)</f>
        <v>49443</v>
      </c>
      <c r="J21" s="5">
        <v>0.49406858225974193</v>
      </c>
      <c r="M21" s="10"/>
    </row>
    <row r="22" spans="4:13" x14ac:dyDescent="0.2">
      <c r="D22" s="8" t="str">
        <v>obj_00299</v>
      </c>
      <c r="E22" s="8" t="str">
        <f>SUBSTITUTE(_xll.qlRateHelperQuoteName(D22),"6AB","3ABBASIS")</f>
        <v>AUDSM3ABBASIS25Y_Quote</v>
      </c>
      <c r="F22" s="9">
        <f>_xll.qlRateHelperRate($D22)</f>
        <v>3.5475000000000007E-2</v>
      </c>
      <c r="G22" s="9">
        <f>IF(ISERROR(_xll.qlSwapRateHelperSpread($D22)),IF(ISERROR(_xll.qlFuturesRateHelperConvexityAdjustment($D22)),"--",_xll.qlFuturesRateHelperConvexityAdjustment($D22)),_xll.qlSwapRateHelperSpread($D22))</f>
        <v>5.375E-4</v>
      </c>
      <c r="H22" s="18">
        <f>_xll.qlRateHelperEarliestDate($D22)</f>
        <v>42136</v>
      </c>
      <c r="I22" s="19">
        <f>_xll.qlRateHelperLatestDate($D22)</f>
        <v>51270</v>
      </c>
      <c r="J22" s="5">
        <v>0.41024732568463762</v>
      </c>
      <c r="M22" s="10"/>
    </row>
    <row r="23" spans="4:13" x14ac:dyDescent="0.2">
      <c r="D23" s="8" t="str">
        <v>obj_0029a</v>
      </c>
      <c r="E23" s="8" t="str">
        <f>SUBSTITUTE(_xll.qlRateHelperQuoteName(D23),"6AB","3ABBASIS")</f>
        <v>AUDSM3ABBASIS30Y_Quote</v>
      </c>
      <c r="F23" s="9">
        <f>_xll.qlRateHelperRate($D23)</f>
        <v>3.56E-2</v>
      </c>
      <c r="G23" s="9">
        <f>IF(ISERROR(_xll.qlSwapRateHelperSpread($D23)),IF(ISERROR(_xll.qlFuturesRateHelperConvexityAdjustment($D23)),"--",_xll.qlFuturesRateHelperConvexityAdjustment($D23)),_xll.qlSwapRateHelperSpread($D23))</f>
        <v>4.8749999999999998E-4</v>
      </c>
      <c r="H23" s="18">
        <f>_xll.qlRateHelperEarliestDate($D23)</f>
        <v>42136</v>
      </c>
      <c r="I23" s="19">
        <f>_xll.qlRateHelperLatestDate($D23)</f>
        <v>53094</v>
      </c>
      <c r="J23" s="5">
        <v>0.34215183688977252</v>
      </c>
      <c r="M23" s="10"/>
    </row>
    <row r="24" spans="4:13" x14ac:dyDescent="0.2">
      <c r="D24" s="8" t="e">
        <v>#N/A</v>
      </c>
      <c r="E24" s="8" t="e">
        <f>SUBSTITUTE(_xll.qlRateHelperQuoteName(D24),"6AB","3ABBASIS")</f>
        <v>#VALUE!</v>
      </c>
      <c r="F24" s="9" t="e">
        <f>_xll.qlRateHelperRate($D24)</f>
        <v>#VALUE!</v>
      </c>
      <c r="G24" s="9" t="str">
        <f>IF(ISERROR(_xll.qlSwapRateHelperSpread($D24)),IF(ISERROR(_xll.qlFuturesRateHelperConvexityAdjustment($D24)),"--",_xll.qlFuturesRateHelperConvexityAdjustment($D24)),_xll.qlSwapRateHelperSpread($D24))</f>
        <v>--</v>
      </c>
      <c r="H24" s="18" t="e">
        <f>_xll.qlRateHelperEarliestDate($D24)</f>
        <v>#VALUE!</v>
      </c>
      <c r="I24" s="19" t="e">
        <f>_xll.qlRateHelperLatestDate($D24)</f>
        <v>#VALUE!</v>
      </c>
      <c r="J24" s="5" t="e">
        <v>#N/A</v>
      </c>
      <c r="M24" s="10"/>
    </row>
    <row r="25" spans="4:13" x14ac:dyDescent="0.2">
      <c r="D25" s="8" t="e">
        <v>#N/A</v>
      </c>
      <c r="E25" s="8" t="e">
        <f>SUBSTITUTE(_xll.qlRateHelperQuoteName(D25),"6AB","3ABBASIS")</f>
        <v>#VALUE!</v>
      </c>
      <c r="F25" s="9" t="e">
        <f>_xll.qlRateHelperRate($D25)</f>
        <v>#VALUE!</v>
      </c>
      <c r="G25" s="9" t="str">
        <f>IF(ISERROR(_xll.qlSwapRateHelperSpread($D25)),IF(ISERROR(_xll.qlFuturesRateHelperConvexityAdjustment($D25)),"--",_xll.qlFuturesRateHelperConvexityAdjustment($D25)),_xll.qlSwapRateHelperSpread($D25))</f>
        <v>--</v>
      </c>
      <c r="H25" s="18" t="e">
        <f>_xll.qlRateHelperEarliestDate($D25)</f>
        <v>#VALUE!</v>
      </c>
      <c r="I25" s="19" t="e">
        <f>_xll.qlRateHelperLatestDate($D25)</f>
        <v>#VALUE!</v>
      </c>
      <c r="J25" s="5" t="e">
        <v>#N/A</v>
      </c>
      <c r="M25" s="10"/>
    </row>
    <row r="26" spans="4:13" x14ac:dyDescent="0.2">
      <c r="D26" s="8" t="e">
        <v>#N/A</v>
      </c>
      <c r="E26" s="8" t="e">
        <f>SUBSTITUTE(_xll.qlRateHelperQuoteName(D26),"6AB","3ABBASIS")</f>
        <v>#VALUE!</v>
      </c>
      <c r="F26" s="9" t="e">
        <f>_xll.qlRateHelperRate($D26)</f>
        <v>#VALUE!</v>
      </c>
      <c r="G26" s="9" t="str">
        <f>IF(ISERROR(_xll.qlSwapRateHelperSpread($D26)),IF(ISERROR(_xll.qlFuturesRateHelperConvexityAdjustment($D26)),"--",_xll.qlFuturesRateHelperConvexityAdjustment($D26)),_xll.qlSwapRateHelperSpread($D26))</f>
        <v>--</v>
      </c>
      <c r="H26" s="18" t="e">
        <f>_xll.qlRateHelperEarliestDate($D26)</f>
        <v>#VALUE!</v>
      </c>
      <c r="I26" s="19" t="e">
        <f>_xll.qlRateHelperLatestDate($D26)</f>
        <v>#VALUE!</v>
      </c>
      <c r="J26" s="5" t="e">
        <v>#N/A</v>
      </c>
      <c r="M26" s="10"/>
    </row>
    <row r="27" spans="4:13" x14ac:dyDescent="0.2">
      <c r="D27" s="8" t="e">
        <v>#N/A</v>
      </c>
      <c r="E27" s="8" t="e">
        <f>SUBSTITUTE(_xll.qlRateHelperQuoteName(D27),"6AB","3ABBASIS")</f>
        <v>#VALUE!</v>
      </c>
      <c r="F27" s="9" t="e">
        <f>_xll.qlRateHelperRate($D27)</f>
        <v>#VALUE!</v>
      </c>
      <c r="G27" s="9" t="str">
        <f>IF(ISERROR(_xll.qlSwapRateHelperSpread($D27)),IF(ISERROR(_xll.qlFuturesRateHelperConvexityAdjustment($D27)),"--",_xll.qlFuturesRateHelperConvexityAdjustment($D27)),_xll.qlSwapRateHelperSpread($D27))</f>
        <v>--</v>
      </c>
      <c r="H27" s="18" t="e">
        <f>_xll.qlRateHelperEarliestDate($D27)</f>
        <v>#VALUE!</v>
      </c>
      <c r="I27" s="19" t="e">
        <f>_xll.qlRateHelperLatestDate($D27)</f>
        <v>#VALUE!</v>
      </c>
      <c r="J27" s="5" t="e">
        <v>#N/A</v>
      </c>
      <c r="M27" s="10"/>
    </row>
    <row r="28" spans="4:13" x14ac:dyDescent="0.2">
      <c r="D28" s="8" t="e">
        <v>#N/A</v>
      </c>
      <c r="E28" s="8" t="e">
        <f>SUBSTITUTE(_xll.qlRateHelperQuoteName(D28),"6AB","3ABBASIS")</f>
        <v>#VALUE!</v>
      </c>
      <c r="F28" s="9" t="e">
        <f>_xll.qlRateHelperRate($D28)</f>
        <v>#VALUE!</v>
      </c>
      <c r="G28" s="9" t="str">
        <f>IF(ISERROR(_xll.qlSwapRateHelperSpread($D28)),IF(ISERROR(_xll.qlFuturesRateHelperConvexityAdjustment($D28)),"--",_xll.qlFuturesRateHelperConvexityAdjustment($D28)),_xll.qlSwapRateHelperSpread($D28))</f>
        <v>--</v>
      </c>
      <c r="H28" s="18" t="e">
        <f>_xll.qlRateHelperEarliestDate($D28)</f>
        <v>#VALUE!</v>
      </c>
      <c r="I28" s="19" t="e">
        <f>_xll.qlRateHelperLatestDate($D28)</f>
        <v>#VALUE!</v>
      </c>
      <c r="J28" s="5" t="e">
        <v>#N/A</v>
      </c>
      <c r="M28" s="10"/>
    </row>
    <row r="29" spans="4:13" x14ac:dyDescent="0.2">
      <c r="D29" s="8" t="e">
        <v>#N/A</v>
      </c>
      <c r="E29" s="8" t="e">
        <f>SUBSTITUTE(_xll.qlRateHelperQuoteName(D29),"6AB","3ABBASIS")</f>
        <v>#VALUE!</v>
      </c>
      <c r="F29" s="9" t="e">
        <f>_xll.qlRateHelperRate($D29)</f>
        <v>#VALUE!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18" t="e">
        <f>_xll.qlRateHelperEarliestDate($D29)</f>
        <v>#VALUE!</v>
      </c>
      <c r="I29" s="19" t="e">
        <f>_xll.qlRateHelperLatestDate($D29)</f>
        <v>#VALUE!</v>
      </c>
      <c r="J29" s="5" t="e">
        <v>#N/A</v>
      </c>
      <c r="M29" s="10"/>
    </row>
    <row r="30" spans="4:13" x14ac:dyDescent="0.2">
      <c r="D30" s="8" t="e">
        <v>#N/A</v>
      </c>
      <c r="E30" s="8" t="e">
        <f>SUBSTITUTE(_xll.qlRateHelperQuoteName(D30),"6AB","3ABBASIS")</f>
        <v>#VALUE!</v>
      </c>
      <c r="F30" s="9" t="e">
        <f>_xll.qlRateHelperRate($D30)</f>
        <v>#VALUE!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18" t="e">
        <f>_xll.qlRateHelperEarliestDate($D30)</f>
        <v>#VALUE!</v>
      </c>
      <c r="I30" s="19" t="e">
        <f>_xll.qlRateHelperLatestDate($D30)</f>
        <v>#VALUE!</v>
      </c>
      <c r="J30" s="5" t="e">
        <v>#N/A</v>
      </c>
    </row>
    <row r="31" spans="4:13" x14ac:dyDescent="0.2">
      <c r="D31" s="8" t="e">
        <v>#N/A</v>
      </c>
      <c r="E31" s="8" t="e">
        <f>SUBSTITUTE(_xll.qlRateHelperQuoteName(D31),"6AB","3ABBASIS")</f>
        <v>#VALUE!</v>
      </c>
      <c r="F31" s="9" t="e">
        <f>_xll.qlRateHelperRate($D31)</f>
        <v>#VALUE!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18" t="e">
        <f>_xll.qlRateHelperEarliestDate($D31)</f>
        <v>#VALUE!</v>
      </c>
      <c r="I31" s="19" t="e">
        <f>_xll.qlRateHelperLatestDate($D31)</f>
        <v>#VALUE!</v>
      </c>
      <c r="J31" s="5" t="e">
        <v>#N/A</v>
      </c>
    </row>
    <row r="32" spans="4:13" x14ac:dyDescent="0.2">
      <c r="D32" s="8" t="e">
        <v>#N/A</v>
      </c>
      <c r="E32" s="8" t="e">
        <f>SUBSTITUTE(_xll.qlRateHelperQuoteName(D32),"6AB","3ABBASIS")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8" t="e">
        <f>_xll.qlRateHelperEarliestDate($D32)</f>
        <v>#VALUE!</v>
      </c>
      <c r="I32" s="19" t="e">
        <f>_xll.qlRateHelperLatestDate($D32)</f>
        <v>#VALUE!</v>
      </c>
      <c r="J32" s="5" t="e">
        <v>#N/A</v>
      </c>
    </row>
    <row r="33" spans="4:10" x14ac:dyDescent="0.2">
      <c r="D33" s="8" t="e">
        <v>#N/A</v>
      </c>
      <c r="E33" s="8" t="e">
        <f>SUBSTITUTE(_xll.qlRateHelperQuoteName(D33),"6AB","3ABBASIS")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8" t="e">
        <f>_xll.qlRateHelperEarliestDate($D33)</f>
        <v>#VALUE!</v>
      </c>
      <c r="I33" s="19" t="e">
        <f>_xll.qlRateHelperLatestDate($D33)</f>
        <v>#VALUE!</v>
      </c>
      <c r="J33" s="5" t="e">
        <v>#N/A</v>
      </c>
    </row>
    <row r="34" spans="4:10" x14ac:dyDescent="0.2">
      <c r="D34" s="8" t="e">
        <v>#N/A</v>
      </c>
      <c r="E34" s="8" t="e">
        <f>SUBSTITUTE(_xll.qlRateHelperQuoteName(D34),"6AB","3ABBASIS")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8" t="e">
        <f>_xll.qlRateHelperEarliestDate($D34)</f>
        <v>#VALUE!</v>
      </c>
      <c r="I34" s="19" t="e">
        <f>_xll.qlRateHelperLatestDate($D34)</f>
        <v>#VALUE!</v>
      </c>
      <c r="J34" s="5" t="e">
        <v>#N/A</v>
      </c>
    </row>
    <row r="35" spans="4:10" x14ac:dyDescent="0.2">
      <c r="D35" s="8" t="e">
        <v>#N/A</v>
      </c>
      <c r="E35" s="8" t="e">
        <f>SUBSTITUTE(_xll.qlRateHelperQuoteName(D35),"6AB","3ABBASIS")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8" t="e">
        <f>_xll.qlRateHelperEarliestDate($D35)</f>
        <v>#VALUE!</v>
      </c>
      <c r="I35" s="19" t="e">
        <f>_xll.qlRateHelperLatestDate($D35)</f>
        <v>#VALUE!</v>
      </c>
      <c r="J35" s="5" t="e">
        <v>#N/A</v>
      </c>
    </row>
    <row r="36" spans="4:10" x14ac:dyDescent="0.2">
      <c r="D36" s="8" t="e">
        <v>#N/A</v>
      </c>
      <c r="E36" s="8" t="e">
        <f>SUBSTITUTE(_xll.qlRateHelperQuoteName(D36),"6AB","3ABBASIS")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8" t="e">
        <f>_xll.qlRateHelperEarliestDate($D36)</f>
        <v>#VALUE!</v>
      </c>
      <c r="I36" s="19" t="e">
        <f>_xll.qlRateHelperLatestDate($D36)</f>
        <v>#VALUE!</v>
      </c>
      <c r="J36" s="5" t="e">
        <v>#N/A</v>
      </c>
    </row>
    <row r="37" spans="4:10" x14ac:dyDescent="0.2">
      <c r="D37" s="8" t="e">
        <v>#N/A</v>
      </c>
      <c r="E37" s="8" t="e">
        <f>SUBSTITUTE(_xll.qlRateHelperQuoteName(D37),"6AB","3ABBASIS")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8" t="e">
        <f>_xll.qlRateHelperEarliestDate($D37)</f>
        <v>#VALUE!</v>
      </c>
      <c r="I37" s="19" t="e">
        <f>_xll.qlRateHelperLatestDate($D37)</f>
        <v>#VALUE!</v>
      </c>
      <c r="J37" s="5" t="e">
        <v>#N/A</v>
      </c>
    </row>
    <row r="38" spans="4:10" x14ac:dyDescent="0.2">
      <c r="D38" s="8" t="e">
        <v>#N/A</v>
      </c>
      <c r="E38" s="8" t="e">
        <f>SUBSTITUTE(_xll.qlRateHelperQuoteName(D38),"6AB","3ABBASIS")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8" t="e">
        <f>_xll.qlRateHelperEarliestDate($D38)</f>
        <v>#VALUE!</v>
      </c>
      <c r="I38" s="19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SUBSTITUTE(_xll.qlRateHelperQuoteName(D39),"6AB","3ABBASIS")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8" t="e">
        <f>_xll.qlRateHelperEarliestDate($D39)</f>
        <v>#VALUE!</v>
      </c>
      <c r="I39" s="19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SUBSTITUTE(_xll.qlRateHelperQuoteName(D40),"6AB","3ABBASIS")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8" t="e">
        <f>_xll.qlRateHelperEarliestDate($D40)</f>
        <v>#VALUE!</v>
      </c>
      <c r="I40" s="19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SUBSTITUTE(_xll.qlRateHelperQuoteName(D41),"6AB","3ABBASIS")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8" t="e">
        <f>_xll.qlRateHelperEarliestDate($D41)</f>
        <v>#VALUE!</v>
      </c>
      <c r="I41" s="19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SUBSTITUTE(_xll.qlRateHelperQuoteName(D42),"6AB","3ABBASIS")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8" t="e">
        <f>_xll.qlRateHelperEarliestDate($D42)</f>
        <v>#VALUE!</v>
      </c>
      <c r="I42" s="19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SUBSTITUTE(_xll.qlRateHelperQuoteName(D43),"6AB","3ABBASIS")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8" t="e">
        <f>_xll.qlRateHelperEarliestDate($D43)</f>
        <v>#VALUE!</v>
      </c>
      <c r="I43" s="19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SUBSTITUTE(_xll.qlRateHelperQuoteName(D44),"6AB","3ABBASIS")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8" t="e">
        <f>_xll.qlRateHelperEarliestDate($D44)</f>
        <v>#VALUE!</v>
      </c>
      <c r="I44" s="19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SUBSTITUTE(_xll.qlRateHelperQuoteName(D45),"6AB","3ABBASIS")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8" t="e">
        <f>_xll.qlRateHelperEarliestDate($D45)</f>
        <v>#VALUE!</v>
      </c>
      <c r="I45" s="19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SUBSTITUTE(_xll.qlRateHelperQuoteName(D46),"6AB","3ABBASIS")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8" t="e">
        <f>_xll.qlRateHelperEarliestDate($D46)</f>
        <v>#VALUE!</v>
      </c>
      <c r="I46" s="19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SUBSTITUTE(_xll.qlRateHelperQuoteName(D47),"6AB","3ABBASIS")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8" t="e">
        <f>_xll.qlRateHelperEarliestDate($D47)</f>
        <v>#VALUE!</v>
      </c>
      <c r="I47" s="19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SUBSTITUTE(_xll.qlRateHelperQuoteName(D48),"6AB","3ABBASIS")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8" t="e">
        <f>_xll.qlRateHelperEarliestDate($D48)</f>
        <v>#VALUE!</v>
      </c>
      <c r="I48" s="19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SUBSTITUTE(_xll.qlRateHelperQuoteName(D49),"6AB","3ABBASIS")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8" t="e">
        <f>_xll.qlRateHelperEarliestDate($D49)</f>
        <v>#VALUE!</v>
      </c>
      <c r="I49" s="19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SUBSTITUTE(_xll.qlRateHelperQuoteName(D50),"6AB","3ABBASIS")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8" t="e">
        <f>_xll.qlRateHelperEarliestDate($D50)</f>
        <v>#VALUE!</v>
      </c>
      <c r="I50" s="19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SUBSTITUTE(_xll.qlRateHelperQuoteName(D51),"6AB","3ABBASIS")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8" t="e">
        <f>_xll.qlRateHelperEarliestDate($D51)</f>
        <v>#VALUE!</v>
      </c>
      <c r="I51" s="19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SUBSTITUTE(_xll.qlRateHelperQuoteName(D52),"6AB","3ABBASIS")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8" t="e">
        <f>_xll.qlRateHelperEarliestDate($D52)</f>
        <v>#VALUE!</v>
      </c>
      <c r="I52" s="19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SUBSTITUTE(_xll.qlRateHelperQuoteName(D53),"6AB","3ABBASIS")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8" t="e">
        <f>_xll.qlRateHelperEarliestDate($D53)</f>
        <v>#VALUE!</v>
      </c>
      <c r="I53" s="19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SUBSTITUTE(_xll.qlRateHelperQuoteName(D54),"6AB","3ABBASIS")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8" t="e">
        <f>_xll.qlRateHelperEarliestDate($D54)</f>
        <v>#VALUE!</v>
      </c>
      <c r="I54" s="19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SUBSTITUTE(_xll.qlRateHelperQuoteName(D55),"6AB","3ABBASIS")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8" t="e">
        <f>_xll.qlRateHelperEarliestDate($D55)</f>
        <v>#VALUE!</v>
      </c>
      <c r="I55" s="19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SUBSTITUTE(_xll.qlRateHelperQuoteName(D56),"6AB","3ABBASIS")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8" t="e">
        <f>_xll.qlRateHelperEarliestDate($D56)</f>
        <v>#VALUE!</v>
      </c>
      <c r="I56" s="19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SUBSTITUTE(_xll.qlRateHelperQuoteName(D57),"6AB","3ABBASIS")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8" t="e">
        <f>_xll.qlRateHelperEarliestDate($D57)</f>
        <v>#VALUE!</v>
      </c>
      <c r="I57" s="19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SUBSTITUTE(_xll.qlRateHelperQuoteName(D58),"6AB","3ABBASIS")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8" t="e">
        <f>_xll.qlRateHelperEarliestDate($D58)</f>
        <v>#VALUE!</v>
      </c>
      <c r="I58" s="19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SUBSTITUTE(_xll.qlRateHelperQuoteName(D59),"6AB","3ABBASIS")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8" t="e">
        <f>_xll.qlRateHelperEarliestDate($D59)</f>
        <v>#VALUE!</v>
      </c>
      <c r="I59" s="19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SUBSTITUTE(_xll.qlRateHelperQuoteName(D60),"6AB","3ABBASIS")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8" t="e">
        <f>_xll.qlRateHelperEarliestDate($D60)</f>
        <v>#VALUE!</v>
      </c>
      <c r="I60" s="19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SUBSTITUTE(_xll.qlRateHelperQuoteName(D61),"6AB","3ABBASIS")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8" t="e">
        <f>_xll.qlRateHelperEarliestDate($D61)</f>
        <v>#VALUE!</v>
      </c>
      <c r="I61" s="19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SUBSTITUTE(_xll.qlRateHelperQuoteName(D62),"6AB","3ABBASIS")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8" t="e">
        <f>_xll.qlRateHelperEarliestDate($D62)</f>
        <v>#VALUE!</v>
      </c>
      <c r="I62" s="19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SUBSTITUTE(_xll.qlRateHelperQuoteName(D63),"6AB","3ABBASIS")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8" t="e">
        <f>_xll.qlRateHelperEarliestDate($D63)</f>
        <v>#VALUE!</v>
      </c>
      <c r="I63" s="19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SUBSTITUTE(_xll.qlRateHelperQuoteName(D64),"6AB","3ABBASIS")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8" t="e">
        <f>_xll.qlRateHelperEarliestDate($D64)</f>
        <v>#VALUE!</v>
      </c>
      <c r="I64" s="19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SUBSTITUTE(_xll.qlRateHelperQuoteName(D65),"6AB","3ABBASIS")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8" t="e">
        <f>_xll.qlRateHelperEarliestDate($D65)</f>
        <v>#VALUE!</v>
      </c>
      <c r="I65" s="19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SUBSTITUTE(_xll.qlRateHelperQuoteName(D66),"6AB","3ABBASIS")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8" t="e">
        <f>_xll.qlRateHelperEarliestDate($D66)</f>
        <v>#VALUE!</v>
      </c>
      <c r="I66" s="19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SUBSTITUTE(_xll.qlRateHelperQuoteName(D67),"6AB","3ABBASIS")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8" t="e">
        <f>_xll.qlRateHelperEarliestDate($D67)</f>
        <v>#VALUE!</v>
      </c>
      <c r="I67" s="19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SUBSTITUTE(_xll.qlRateHelperQuoteName(D68),"6AB","3ABBASIS")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8" t="e">
        <f>_xll.qlRateHelperEarliestDate($D68)</f>
        <v>#VALUE!</v>
      </c>
      <c r="I68" s="19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SUBSTITUTE(_xll.qlRateHelperQuoteName(D69),"6AB","3ABBASIS")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8" t="e">
        <f>_xll.qlRateHelperEarliestDate($D69)</f>
        <v>#VALUE!</v>
      </c>
      <c r="I69" s="19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SUBSTITUTE(_xll.qlRateHelperQuoteName(D70),"6AB","3ABBASIS")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8" t="e">
        <f>_xll.qlRateHelperEarliestDate($D70)</f>
        <v>#VALUE!</v>
      </c>
      <c r="I70" s="19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SUBSTITUTE(_xll.qlRateHelperQuoteName(D71),"6AB","3ABBASIS")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8" t="e">
        <f>_xll.qlRateHelperEarliestDate($D71)</f>
        <v>#VALUE!</v>
      </c>
      <c r="I71" s="19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SUBSTITUTE(_xll.qlRateHelperQuoteName(D72),"6AB","3ABBASIS")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8" t="e">
        <f>_xll.qlRateHelperEarliestDate($D72)</f>
        <v>#VALUE!</v>
      </c>
      <c r="I72" s="19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SUBSTITUTE(_xll.qlRateHelperQuoteName(D73),"6AB","3ABBASIS")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8" t="e">
        <f>_xll.qlRateHelperEarliestDate($D73)</f>
        <v>#VALUE!</v>
      </c>
      <c r="I73" s="19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SUBSTITUTE(_xll.qlRateHelperQuoteName(D74),"6AB","3ABBASIS")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8" t="e">
        <f>_xll.qlRateHelperEarliestDate($D74)</f>
        <v>#VALUE!</v>
      </c>
      <c r="I74" s="19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SUBSTITUTE(_xll.qlRateHelperQuoteName(D75),"6AB","3ABBASIS")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8" t="e">
        <f>_xll.qlRateHelperEarliestDate($D75)</f>
        <v>#VALUE!</v>
      </c>
      <c r="I75" s="19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SUBSTITUTE(_xll.qlRateHelperQuoteName(D76),"6AB","3ABBASIS")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8" t="e">
        <f>_xll.qlRateHelperEarliestDate($D76)</f>
        <v>#VALUE!</v>
      </c>
      <c r="I76" s="19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SUBSTITUTE(_xll.qlRateHelperQuoteName(D77),"6AB","3ABBASIS")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8" t="e">
        <f>_xll.qlRateHelperEarliestDate($D77)</f>
        <v>#VALUE!</v>
      </c>
      <c r="I77" s="19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SUBSTITUTE(_xll.qlRateHelperQuoteName(D78),"6AB","3ABBASIS")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8" t="e">
        <f>_xll.qlRateHelperEarliestDate($D78)</f>
        <v>#VALUE!</v>
      </c>
      <c r="I78" s="19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SUBSTITUTE(_xll.qlRateHelperQuoteName(D79),"6AB","3ABBASIS")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8" t="e">
        <f>_xll.qlRateHelperEarliestDate($D79)</f>
        <v>#VALUE!</v>
      </c>
      <c r="I79" s="19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SUBSTITUTE(_xll.qlRateHelperQuoteName(D80),"6AB","3ABBASIS")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8" t="e">
        <f>_xll.qlRateHelperEarliestDate($D80)</f>
        <v>#VALUE!</v>
      </c>
      <c r="I80" s="19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SUBSTITUTE(_xll.qlRateHelperQuoteName(D81),"6AB","3ABBASIS")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8" t="e">
        <f>_xll.qlRateHelperEarliestDate($D81)</f>
        <v>#VALUE!</v>
      </c>
      <c r="I81" s="19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SUBSTITUTE(_xll.qlRateHelperQuoteName(D82),"6AB","3ABBASIS")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8" t="e">
        <f>_xll.qlRateHelperEarliestDate($D82)</f>
        <v>#VALUE!</v>
      </c>
      <c r="I82" s="19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SUBSTITUTE(_xll.qlRateHelperQuoteName(D83),"6AB","3ABBASIS")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8" t="e">
        <f>_xll.qlRateHelperEarliestDate($D83)</f>
        <v>#VALUE!</v>
      </c>
      <c r="I83" s="19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SUBSTITUTE(_xll.qlRateHelperQuoteName(D84),"6AB","3ABBASIS")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8" t="e">
        <f>_xll.qlRateHelperEarliestDate($D84)</f>
        <v>#VALUE!</v>
      </c>
      <c r="I84" s="19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SUBSTITUTE(_xll.qlRateHelperQuoteName(D85),"6AB","3ABBASIS")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8" t="e">
        <f>_xll.qlRateHelperEarliestDate($D85)</f>
        <v>#VALUE!</v>
      </c>
      <c r="I85" s="19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SUBSTITUTE(_xll.qlRateHelperQuoteName(D86),"6AB","3ABBASIS")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8" t="e">
        <f>_xll.qlRateHelperEarliestDate($D86)</f>
        <v>#VALUE!</v>
      </c>
      <c r="I86" s="19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SUBSTITUTE(_xll.qlRateHelperQuoteName(D87),"6AB","3ABBASIS")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8" t="e">
        <f>_xll.qlRateHelperEarliestDate($D87)</f>
        <v>#VALUE!</v>
      </c>
      <c r="I87" s="19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SUBSTITUTE(_xll.qlRateHelperQuoteName(D88),"6AB","3ABBASIS")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8" t="e">
        <f>_xll.qlRateHelperEarliestDate($D88)</f>
        <v>#VALUE!</v>
      </c>
      <c r="I88" s="19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SUBSTITUTE(_xll.qlRateHelperQuoteName(D89),"6AB","3ABBASIS")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8" t="e">
        <f>_xll.qlRateHelperEarliestDate($D89)</f>
        <v>#VALUE!</v>
      </c>
      <c r="I89" s="19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SUBSTITUTE(_xll.qlRateHelperQuoteName(D90),"6AB","3ABBASIS")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8" t="e">
        <f>_xll.qlRateHelperEarliestDate($D90)</f>
        <v>#VALUE!</v>
      </c>
      <c r="I90" s="19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SUBSTITUTE(_xll.qlRateHelperQuoteName(D91),"6AB","3ABBASIS")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8" t="e">
        <f>_xll.qlRateHelperEarliestDate($D91)</f>
        <v>#VALUE!</v>
      </c>
      <c r="I91" s="19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SUBSTITUTE(_xll.qlRateHelperQuoteName(D92),"6AB","3ABBASIS")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8" t="e">
        <f>_xll.qlRateHelperEarliestDate($D92)</f>
        <v>#VALUE!</v>
      </c>
      <c r="I92" s="19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SUBSTITUTE(_xll.qlRateHelperQuoteName(D93),"6AB","3ABBASIS")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8" t="e">
        <f>_xll.qlRateHelperEarliestDate($D93)</f>
        <v>#VALUE!</v>
      </c>
      <c r="I93" s="19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SUBSTITUTE(_xll.qlRateHelperQuoteName(D94),"6AB","3ABBASIS")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8" t="e">
        <f>_xll.qlRateHelperEarliestDate($D94)</f>
        <v>#VALUE!</v>
      </c>
      <c r="I94" s="19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SUBSTITUTE(_xll.qlRateHelperQuoteName(D95),"6AB","3ABBASIS")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8" t="e">
        <f>_xll.qlRateHelperEarliestDate($D95)</f>
        <v>#VALUE!</v>
      </c>
      <c r="I95" s="19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SUBSTITUTE(_xll.qlRateHelperQuoteName(D96),"6AB","3ABBASIS")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8" t="e">
        <f>_xll.qlRateHelperEarliestDate($D96)</f>
        <v>#VALUE!</v>
      </c>
      <c r="I96" s="19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SUBSTITUTE(_xll.qlRateHelperQuoteName(D97),"6AB","3ABBASIS")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8" t="e">
        <f>_xll.qlRateHelperEarliestDate($D97)</f>
        <v>#VALUE!</v>
      </c>
      <c r="I97" s="19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SUBSTITUTE(_xll.qlRateHelperQuoteName(D98),"6AB","3ABBASIS")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8" t="e">
        <f>_xll.qlRateHelperEarliestDate($D98)</f>
        <v>#VALUE!</v>
      </c>
      <c r="I98" s="19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SUBSTITUTE(_xll.qlRateHelperQuoteName(D99),"6AB","3ABBASIS")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8" t="e">
        <f>_xll.qlRateHelperEarliestDate($D99)</f>
        <v>#VALUE!</v>
      </c>
      <c r="I99" s="19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SUBSTITUTE(_xll.qlRateHelperQuoteName(D100),"6AB","3ABBASIS")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8" t="e">
        <f>_xll.qlRateHelperEarliestDate($D100)</f>
        <v>#VALUE!</v>
      </c>
      <c r="I100" s="19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SUBSTITUTE(_xll.qlRateHelperQuoteName(D101),"6AB","3ABBASIS")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8" t="e">
        <f>_xll.qlRateHelperEarliestDate($D101)</f>
        <v>#VALUE!</v>
      </c>
      <c r="I101" s="19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SUBSTITUTE(_xll.qlRateHelperQuoteName(D102),"6AB","3ABBASIS")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8" t="e">
        <f>_xll.qlRateHelperEarliestDate($D102)</f>
        <v>#VALUE!</v>
      </c>
      <c r="I102" s="19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SUBSTITUTE(_xll.qlRateHelperQuoteName(D103),"6AB","3ABBASIS")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8" t="e">
        <f>_xll.qlRateHelperEarliestDate($D103)</f>
        <v>#VALUE!</v>
      </c>
      <c r="I103" s="19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SUBSTITUTE(_xll.qlRateHelperQuoteName(D104),"6AB","3ABBASIS")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8" t="e">
        <f>_xll.qlRateHelperEarliestDate($D104)</f>
        <v>#VALUE!</v>
      </c>
      <c r="I104" s="19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SUBSTITUTE(_xll.qlRateHelperQuoteName(D105),"6AB","3ABBASIS")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8" t="e">
        <f>_xll.qlRateHelperEarliestDate($D105)</f>
        <v>#VALUE!</v>
      </c>
      <c r="I105" s="19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SUBSTITUTE(_xll.qlRateHelperQuoteName(D106),"6AB","3ABBASIS")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8" t="e">
        <f>_xll.qlRateHelperEarliestDate($D106)</f>
        <v>#VALUE!</v>
      </c>
      <c r="I106" s="19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SUBSTITUTE(_xll.qlRateHelperQuoteName(D107),"6AB","3ABBASIS")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8" t="e">
        <f>_xll.qlRateHelperEarliestDate($D107)</f>
        <v>#VALUE!</v>
      </c>
      <c r="I107" s="19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SUBSTITUTE(_xll.qlRateHelperQuoteName(D108),"6AB","3ABBASIS")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8" t="e">
        <f>_xll.qlRateHelperEarliestDate($D108)</f>
        <v>#VALUE!</v>
      </c>
      <c r="I108" s="19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SUBSTITUTE(_xll.qlRateHelperQuoteName(D109),"6AB","3ABBASIS")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8" t="e">
        <f>_xll.qlRateHelperEarliestDate($D109)</f>
        <v>#VALUE!</v>
      </c>
      <c r="I109" s="19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SUBSTITUTE(_xll.qlRateHelperQuoteName(D110),"6AB","3ABBASIS")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8" t="e">
        <f>_xll.qlRateHelperEarliestDate($D110)</f>
        <v>#VALUE!</v>
      </c>
      <c r="I110" s="19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SUBSTITUTE(_xll.qlRateHelperQuoteName(D111),"6AB","3ABBASIS")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8" t="e">
        <f>_xll.qlRateHelperEarliestDate($D111)</f>
        <v>#VALUE!</v>
      </c>
      <c r="I111" s="19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SUBSTITUTE(_xll.qlRateHelperQuoteName(D112),"6AB","3ABBASIS")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8" t="e">
        <f>_xll.qlRateHelperEarliestDate($D112)</f>
        <v>#VALUE!</v>
      </c>
      <c r="I112" s="19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SUBSTITUTE(_xll.qlRateHelperQuoteName(D113),"6AB","3ABBASIS")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8" t="e">
        <f>_xll.qlRateHelperEarliestDate($D113)</f>
        <v>#VALUE!</v>
      </c>
      <c r="I113" s="19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SUBSTITUTE(_xll.qlRateHelperQuoteName(D114),"6AB","3ABBASIS")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8" t="e">
        <f>_xll.qlRateHelperEarliestDate($D114)</f>
        <v>#VALUE!</v>
      </c>
      <c r="I114" s="19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SUBSTITUTE(_xll.qlRateHelperQuoteName(D115),"6AB","3ABBASIS")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8" t="e">
        <f>_xll.qlRateHelperEarliestDate($D115)</f>
        <v>#VALUE!</v>
      </c>
      <c r="I115" s="19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SUBSTITUTE(_xll.qlRateHelperQuoteName(D116),"6AB","3ABBASIS")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8" t="e">
        <f>_xll.qlRateHelperEarliestDate($D116)</f>
        <v>#VALUE!</v>
      </c>
      <c r="I116" s="19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SUBSTITUTE(_xll.qlRateHelperQuoteName(D117),"6AB","3ABBASIS")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8" t="e">
        <f>_xll.qlRateHelperEarliestDate($D117)</f>
        <v>#VALUE!</v>
      </c>
      <c r="I117" s="19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SUBSTITUTE(_xll.qlRateHelperQuoteName(D118),"6AB","3ABBASIS")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8" t="e">
        <f>_xll.qlRateHelperEarliestDate($D118)</f>
        <v>#VALUE!</v>
      </c>
      <c r="I118" s="19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SUBSTITUTE(_xll.qlRateHelperQuoteName(D119),"6AB","3ABBASIS")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8" t="e">
        <f>_xll.qlRateHelperEarliestDate($D119)</f>
        <v>#VALUE!</v>
      </c>
      <c r="I119" s="19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SUBSTITUTE(_xll.qlRateHelperQuoteName(D120),"6AB","3ABBASIS")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8" t="e">
        <f>_xll.qlRateHelperEarliestDate($D120)</f>
        <v>#VALUE!</v>
      </c>
      <c r="I120" s="19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SUBSTITUTE(_xll.qlRateHelperQuoteName(D121),"6AB","3ABBASIS")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8" t="e">
        <f>_xll.qlRateHelperEarliestDate($D121)</f>
        <v>#VALUE!</v>
      </c>
      <c r="I121" s="19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SUBSTITUTE(_xll.qlRateHelperQuoteName(D122),"6AB","3ABBASIS")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8" t="e">
        <f>_xll.qlRateHelperEarliestDate($D122)</f>
        <v>#VALUE!</v>
      </c>
      <c r="I122" s="19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SUBSTITUTE(_xll.qlRateHelperQuoteName(D123),"6AB","3ABBASIS")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8" t="e">
        <f>_xll.qlRateHelperEarliestDate($D123)</f>
        <v>#VALUE!</v>
      </c>
      <c r="I123" s="19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SUBSTITUTE(_xll.qlRateHelperQuoteName(D124),"6AB","3ABBASIS")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8" t="e">
        <f>_xll.qlRateHelperEarliestDate($D124)</f>
        <v>#VALUE!</v>
      </c>
      <c r="I124" s="19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SUBSTITUTE(_xll.qlRateHelperQuoteName(D125),"6AB","3ABBASIS")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8" t="e">
        <f>_xll.qlRateHelperEarliestDate($D125)</f>
        <v>#VALUE!</v>
      </c>
      <c r="I125" s="19" t="e">
        <f>_xll.qlRateHelperLatestDate($D125)</f>
        <v>#VALUE!</v>
      </c>
      <c r="J125" s="5" t="e">
        <v>#N/A</v>
      </c>
    </row>
    <row r="126" spans="4:10" ht="12" thickBot="1" x14ac:dyDescent="0.25">
      <c r="D126" s="15" t="e">
        <v>#N/A</v>
      </c>
      <c r="E126" s="8" t="e">
        <f>SUBSTITUTE(_xll.qlRateHelperQuoteName(D126),"6AB","3ABBASIS")</f>
        <v>#VALUE!</v>
      </c>
      <c r="F126" s="16" t="e">
        <f>_xll.qlRateHelperRate($D126)</f>
        <v>#VALUE!</v>
      </c>
      <c r="G126" s="16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0" t="e">
        <f>_xll.qlRateHelperEarliestDate($D126)</f>
        <v>#VALUE!</v>
      </c>
      <c r="I126" s="21" t="e">
        <f>_xll.qlRateHelperLatestDate($D126)</f>
        <v>#VALUE!</v>
      </c>
      <c r="J126" s="5" t="e">
        <v>#N/A</v>
      </c>
    </row>
    <row r="127" spans="4:10" x14ac:dyDescent="0.2">
      <c r="E127" s="187"/>
      <c r="H127" s="22"/>
      <c r="I127" s="22"/>
    </row>
    <row r="128" spans="4:10" x14ac:dyDescent="0.2">
      <c r="H128" s="22"/>
      <c r="I128" s="22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0"/>
  <sheetViews>
    <sheetView workbookViewId="0">
      <selection activeCell="J2" sqref="J2"/>
    </sheetView>
  </sheetViews>
  <sheetFormatPr defaultRowHeight="13.5" x14ac:dyDescent="0.25"/>
  <cols>
    <col min="1" max="1" width="2.7109375" style="29" customWidth="1"/>
    <col min="2" max="2" width="6.42578125" style="29" customWidth="1"/>
    <col min="3" max="3" width="5" style="29" bestFit="1" customWidth="1"/>
    <col min="4" max="4" width="10" style="29" bestFit="1" customWidth="1"/>
    <col min="5" max="5" width="19.28515625" style="29" bestFit="1" customWidth="1"/>
    <col min="6" max="6" width="5.28515625" style="29" customWidth="1"/>
    <col min="7" max="7" width="19.28515625" style="29" bestFit="1" customWidth="1"/>
    <col min="8" max="8" width="19.28515625" style="29" customWidth="1"/>
    <col min="9" max="9" width="21.42578125" style="29" bestFit="1" customWidth="1"/>
    <col min="10" max="10" width="25" style="29" bestFit="1" customWidth="1"/>
    <col min="11" max="11" width="20.7109375" style="29" customWidth="1"/>
    <col min="12" max="12" width="2.7109375" style="29" customWidth="1"/>
    <col min="13" max="16384" width="9.140625" style="29"/>
  </cols>
  <sheetData>
    <row r="1" spans="1:12" ht="11.25" customHeight="1" x14ac:dyDescent="0.25">
      <c r="A1" s="25"/>
      <c r="B1" s="26"/>
      <c r="C1" s="26"/>
      <c r="D1" s="26"/>
      <c r="E1" s="26"/>
      <c r="F1" s="26"/>
      <c r="G1" s="26"/>
      <c r="H1" s="23" t="s">
        <v>79</v>
      </c>
      <c r="I1" s="27" t="str">
        <f>Currency&amp;"_YC"&amp;$H$1&amp;"RH"</f>
        <v>AUD_YC3MRH</v>
      </c>
      <c r="J1" s="32" t="str">
        <f>$I$1&amp;"_Deposits.xml"</f>
        <v>AUD_YC3MRH_Deposits.xml</v>
      </c>
      <c r="K1" s="1"/>
      <c r="L1" s="28" t="s">
        <v>174</v>
      </c>
    </row>
    <row r="2" spans="1:12" ht="23.25" customHeight="1" x14ac:dyDescent="0.25">
      <c r="A2" s="30"/>
      <c r="B2" s="31" t="s">
        <v>145</v>
      </c>
      <c r="C2" s="31" t="s">
        <v>146</v>
      </c>
      <c r="D2" s="31" t="s">
        <v>147</v>
      </c>
      <c r="E2" s="31" t="s">
        <v>148</v>
      </c>
      <c r="F2" s="31" t="s">
        <v>149</v>
      </c>
      <c r="G2" s="31" t="s">
        <v>150</v>
      </c>
      <c r="H2" s="31" t="s">
        <v>105</v>
      </c>
      <c r="I2" s="31" t="s">
        <v>82</v>
      </c>
      <c r="J2" s="33" t="str">
        <f>IF(Serialize,_xll.ohObjectSave(J3:J9,SerializationPath&amp;J1,FileOverwrite,Serialize),"---")</f>
        <v>---</v>
      </c>
      <c r="K2" s="34" t="str">
        <f>_xll.ohRangeRetrieveError(J2)</f>
        <v/>
      </c>
      <c r="L2" s="28" t="s">
        <v>174</v>
      </c>
    </row>
    <row r="3" spans="1:12" ht="11.25" customHeight="1" x14ac:dyDescent="0.25">
      <c r="A3" s="30"/>
      <c r="B3" s="177" t="s">
        <v>161</v>
      </c>
      <c r="C3" s="177">
        <v>0</v>
      </c>
      <c r="D3" s="35" t="s">
        <v>144</v>
      </c>
      <c r="E3" s="35" t="s">
        <v>165</v>
      </c>
      <c r="F3" s="35" t="b">
        <v>1</v>
      </c>
      <c r="G3" s="35" t="s">
        <v>151</v>
      </c>
      <c r="H3" s="35" t="str">
        <f>_xll.qlIborIndex(,,"1D",C3,Currency,D3,E3,F3,G3,,,Trigger,ObjectOverwrite)</f>
        <v>obj_00273#0001</v>
      </c>
      <c r="I3" s="36" t="str">
        <f t="shared" ref="I3:I9" si="0">Currency&amp;B3&amp;"D_SYNTH"&amp;$H$1&amp;QuoteSuffix</f>
        <v>AUDSND_SYNTH3M_Quote</v>
      </c>
      <c r="J3" s="37" t="str">
        <f>_xll.qlDepositRateHelper(,I3,H3,Permanent,Trigger,ObjectOverwrite)</f>
        <v>obj_0028a#0001</v>
      </c>
      <c r="K3" s="38" t="str">
        <f>_xll.ohRangeRetrieveError(J3)</f>
        <v/>
      </c>
      <c r="L3" s="28" t="s">
        <v>174</v>
      </c>
    </row>
    <row r="4" spans="1:12" ht="11.25" customHeight="1" x14ac:dyDescent="0.25">
      <c r="A4" s="30"/>
      <c r="B4" s="177" t="s">
        <v>162</v>
      </c>
      <c r="C4" s="177">
        <v>0</v>
      </c>
      <c r="D4" s="35" t="s">
        <v>144</v>
      </c>
      <c r="E4" s="35" t="s">
        <v>165</v>
      </c>
      <c r="F4" s="35" t="b">
        <v>1</v>
      </c>
      <c r="G4" s="35" t="s">
        <v>151</v>
      </c>
      <c r="H4" s="35" t="str">
        <f>_xll.qlIborIndex(,,"1W",C4,Currency,D4,E4,F4,G4,,,Trigger,ObjectOverwrite)</f>
        <v>obj_00274#0001</v>
      </c>
      <c r="I4" s="36" t="str">
        <f t="shared" si="0"/>
        <v>AUDSWD_SYNTH3M_Quote</v>
      </c>
      <c r="J4" s="37" t="str">
        <f>_xll.qlDepositRateHelper(,I4,H4,Permanent,Trigger,ObjectOverwrite)</f>
        <v>obj_00279#0001</v>
      </c>
      <c r="K4" s="38" t="str">
        <f>_xll.ohRangeRetrieveError(J4)</f>
        <v/>
      </c>
      <c r="L4" s="28" t="s">
        <v>174</v>
      </c>
    </row>
    <row r="5" spans="1:12" ht="11.25" customHeight="1" x14ac:dyDescent="0.25">
      <c r="A5" s="30"/>
      <c r="B5" s="177" t="s">
        <v>163</v>
      </c>
      <c r="C5" s="177">
        <v>0</v>
      </c>
      <c r="D5" s="35" t="s">
        <v>144</v>
      </c>
      <c r="E5" s="35" t="s">
        <v>165</v>
      </c>
      <c r="F5" s="35" t="b">
        <v>1</v>
      </c>
      <c r="G5" s="35" t="s">
        <v>151</v>
      </c>
      <c r="H5" s="35" t="str">
        <f>_xll.qlIborIndex(,,B5,C5,Currency,D5,E5,F5,G5,,,Trigger,ObjectOverwrite)</f>
        <v>obj_00275#0001</v>
      </c>
      <c r="I5" s="36" t="str">
        <f t="shared" si="0"/>
        <v>AUD2WD_SYNTH3M_Quote</v>
      </c>
      <c r="J5" s="37" t="str">
        <f>_xll.qlDepositRateHelper(,I5,H5,Permanent,Trigger,ObjectOverwrite)</f>
        <v>obj_0027c#0001</v>
      </c>
      <c r="K5" s="38" t="str">
        <f>_xll.ohRangeRetrieveError(J5)</f>
        <v/>
      </c>
      <c r="L5" s="28" t="s">
        <v>174</v>
      </c>
    </row>
    <row r="6" spans="1:12" ht="11.25" customHeight="1" x14ac:dyDescent="0.25">
      <c r="A6" s="30"/>
      <c r="B6" s="177" t="s">
        <v>164</v>
      </c>
      <c r="C6" s="177">
        <v>0</v>
      </c>
      <c r="D6" s="35" t="s">
        <v>144</v>
      </c>
      <c r="E6" s="35" t="s">
        <v>165</v>
      </c>
      <c r="F6" s="35" t="b">
        <v>1</v>
      </c>
      <c r="G6" s="35" t="s">
        <v>151</v>
      </c>
      <c r="H6" s="35" t="str">
        <f>_xll.qlIborIndex(,,B6,C6,Currency,D6,E6,F6,G6,,,Trigger,ObjectOverwrite)</f>
        <v>obj_00276#0001</v>
      </c>
      <c r="I6" s="36" t="str">
        <f t="shared" si="0"/>
        <v>AUD3WD_SYNTH3M_Quote</v>
      </c>
      <c r="J6" s="37" t="str">
        <f>_xll.qlDepositRateHelper(,I6,H6,Permanent,Trigger,ObjectOverwrite)</f>
        <v>obj_0027a#0001</v>
      </c>
      <c r="K6" s="38" t="str">
        <f>_xll.ohRangeRetrieveError(J6)</f>
        <v/>
      </c>
      <c r="L6" s="28" t="s">
        <v>174</v>
      </c>
    </row>
    <row r="7" spans="1:12" ht="11.25" customHeight="1" x14ac:dyDescent="0.25">
      <c r="A7" s="30"/>
      <c r="B7" s="177" t="s">
        <v>81</v>
      </c>
      <c r="C7" s="177">
        <v>0</v>
      </c>
      <c r="D7" s="35" t="s">
        <v>144</v>
      </c>
      <c r="E7" s="35" t="s">
        <v>95</v>
      </c>
      <c r="F7" s="35" t="b">
        <v>1</v>
      </c>
      <c r="G7" s="35" t="s">
        <v>151</v>
      </c>
      <c r="H7" s="35" t="str">
        <f>_xll.qlIborIndex(,,B7,C7,Currency,D7,E7,F7,G7,,,Trigger,ObjectOverwrite)</f>
        <v>obj_00277#0001</v>
      </c>
      <c r="I7" s="36" t="str">
        <f t="shared" si="0"/>
        <v>AUD1MD_SYNTH3M_Quote</v>
      </c>
      <c r="J7" s="37" t="str">
        <f>_xll.qlDepositRateHelper(,I7,H7,Permanent,Trigger,ObjectOverwrite)</f>
        <v>obj_0027b#0001</v>
      </c>
      <c r="K7" s="38" t="str">
        <f>_xll.ohRangeRetrieveError(J7)</f>
        <v/>
      </c>
      <c r="L7" s="28" t="s">
        <v>174</v>
      </c>
    </row>
    <row r="8" spans="1:12" ht="11.25" customHeight="1" x14ac:dyDescent="0.25">
      <c r="A8" s="30"/>
      <c r="B8" s="177" t="s">
        <v>80</v>
      </c>
      <c r="C8" s="177">
        <v>0</v>
      </c>
      <c r="D8" s="35" t="s">
        <v>144</v>
      </c>
      <c r="E8" s="35" t="s">
        <v>95</v>
      </c>
      <c r="F8" s="35" t="b">
        <v>1</v>
      </c>
      <c r="G8" s="35" t="s">
        <v>151</v>
      </c>
      <c r="H8" s="35" t="str">
        <f>_xll.qlIborIndex(,,B8,C8,Currency,D8,E8,F8,G8,,,Trigger,ObjectOverwrite)</f>
        <v>obj_00278#0001</v>
      </c>
      <c r="I8" s="36" t="str">
        <f t="shared" si="0"/>
        <v>AUD2MD_SYNTH3M_Quote</v>
      </c>
      <c r="J8" s="37" t="str">
        <f>_xll.qlDepositRateHelper(,I8,H8,Permanent,Trigger,ObjectOverwrite)</f>
        <v>obj_002a8#0001</v>
      </c>
      <c r="K8" s="38" t="str">
        <f>_xll.ohRangeRetrieveError(J8)</f>
        <v/>
      </c>
      <c r="L8" s="28" t="s">
        <v>174</v>
      </c>
    </row>
    <row r="9" spans="1:12" ht="11.25" customHeight="1" x14ac:dyDescent="0.25">
      <c r="A9" s="30"/>
      <c r="B9" s="177" t="s">
        <v>79</v>
      </c>
      <c r="C9" s="177">
        <v>0</v>
      </c>
      <c r="D9" s="35" t="s">
        <v>144</v>
      </c>
      <c r="E9" s="35" t="s">
        <v>95</v>
      </c>
      <c r="F9" s="35" t="b">
        <v>1</v>
      </c>
      <c r="G9" s="35" t="s">
        <v>151</v>
      </c>
      <c r="H9" s="35" t="str">
        <f>_xll.qlIborIndex(,,B9,C9,Currency,D9,E9,F9,G9,,,Trigger,ObjectOverwrite)</f>
        <v>obj_00271#0001</v>
      </c>
      <c r="I9" s="36" t="str">
        <f t="shared" si="0"/>
        <v>AUD3MD_SYNTH3M_Quote</v>
      </c>
      <c r="J9" s="37" t="str">
        <f>_xll.qlDepositRateHelper(,I9,H9,Permanent,Trigger,ObjectOverwrite)</f>
        <v>obj_0027d#0001</v>
      </c>
      <c r="K9" s="38" t="str">
        <f>_xll.ohRangeRetrieveError(J9)</f>
        <v/>
      </c>
      <c r="L9" s="28" t="s">
        <v>174</v>
      </c>
    </row>
    <row r="10" spans="1:12" ht="11.25" customHeight="1" thickBot="1" x14ac:dyDescent="0.3">
      <c r="A10" s="39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1"/>
    </row>
  </sheetData>
  <dataValidations count="3">
    <dataValidation type="list" allowBlank="1" showInputMessage="1" showErrorMessage="1" sqref="D3:D9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  <dataValidation type="list" allowBlank="1" showInputMessage="1" showErrorMessage="1" sqref="G3:G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:E9">
      <formula1>"Following,Modified Following,Preceding,Modified Preceding,Unadjusted,Half-Month Modified Following"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0"/>
  <sheetViews>
    <sheetView workbookViewId="0">
      <selection activeCell="G2" sqref="G2"/>
    </sheetView>
  </sheetViews>
  <sheetFormatPr defaultRowHeight="11.25" x14ac:dyDescent="0.2"/>
  <cols>
    <col min="1" max="1" width="2.7109375" style="91" customWidth="1"/>
    <col min="2" max="2" width="6.42578125" style="91" customWidth="1"/>
    <col min="3" max="3" width="2" style="91" bestFit="1" customWidth="1"/>
    <col min="4" max="4" width="4" style="91" bestFit="1" customWidth="1"/>
    <col min="5" max="5" width="11" style="91" bestFit="1" customWidth="1"/>
    <col min="6" max="6" width="16.140625" style="91" customWidth="1"/>
    <col min="7" max="7" width="20.85546875" style="91" bestFit="1" customWidth="1"/>
    <col min="8" max="8" width="20.7109375" style="91" customWidth="1"/>
    <col min="9" max="9" width="2.7109375" style="91" customWidth="1"/>
    <col min="10" max="16384" width="9.140625" style="91"/>
  </cols>
  <sheetData>
    <row r="1" spans="1:9" ht="12" x14ac:dyDescent="0.2">
      <c r="A1" s="55"/>
      <c r="B1" s="56"/>
      <c r="C1" s="56"/>
      <c r="D1" s="56">
        <v>3</v>
      </c>
      <c r="E1" s="57" t="str">
        <f>IndexTenor</f>
        <v>3M</v>
      </c>
      <c r="F1" s="91" t="str">
        <f>Currency&amp;"_YC"&amp;E1&amp;"RH"</f>
        <v>AUD_YC3MRH</v>
      </c>
      <c r="G1" s="32" t="str">
        <f>$F$1&amp;"_FRAs.xml"</f>
        <v>AUD_YC3MRH_FRAs.xml</v>
      </c>
      <c r="H1" s="158"/>
      <c r="I1" s="170"/>
    </row>
    <row r="2" spans="1:9" ht="13.5" customHeight="1" x14ac:dyDescent="0.2">
      <c r="A2" s="30"/>
      <c r="B2" s="46" t="s">
        <v>138</v>
      </c>
      <c r="C2" s="46"/>
      <c r="D2" s="171"/>
      <c r="E2" s="31" t="s">
        <v>83</v>
      </c>
      <c r="F2" s="31" t="s">
        <v>82</v>
      </c>
      <c r="G2" s="60" t="s">
        <v>108</v>
      </c>
      <c r="H2" s="172" t="s">
        <v>109</v>
      </c>
      <c r="I2" s="28"/>
    </row>
    <row r="3" spans="1:9" hidden="1" x14ac:dyDescent="0.2">
      <c r="A3" s="30"/>
      <c r="B3" s="66" t="str">
        <f>C3&amp;"M"</f>
        <v>1M</v>
      </c>
      <c r="C3" s="66">
        <v>1</v>
      </c>
      <c r="D3" s="66" t="str">
        <f>"x"&amp;C3+$D$1&amp;"F"</f>
        <v>x4F</v>
      </c>
      <c r="E3" s="66" t="str">
        <f t="shared" ref="E3:E9" si="0">PROPER(Currency)&amp;FamilyName&amp;$E$1</f>
        <v>AudBBSW3M</v>
      </c>
      <c r="F3" s="66" t="str">
        <f t="shared" ref="F3:F9" si="1">Currency&amp;C3&amp;D3&amp;QuoteSuffix</f>
        <v>AUD1x4F_Quote</v>
      </c>
      <c r="G3" s="66" t="str">
        <f>_xll.qlFraRateHelper(,F3,B3,E3,Permanent,Trigger,ObjectOverwrite)</f>
        <v>obj_00298#0001</v>
      </c>
      <c r="H3" s="173" t="s">
        <v>109</v>
      </c>
      <c r="I3" s="28"/>
    </row>
    <row r="4" spans="1:9" x14ac:dyDescent="0.2">
      <c r="A4" s="30"/>
      <c r="B4" s="66" t="s">
        <v>81</v>
      </c>
      <c r="C4" s="188">
        <v>1</v>
      </c>
      <c r="D4" s="189" t="s">
        <v>153</v>
      </c>
      <c r="E4" s="66" t="str">
        <f t="shared" si="0"/>
        <v>AudBBSW3M</v>
      </c>
      <c r="F4" s="66" t="str">
        <f t="shared" si="1"/>
        <v>AUD1x4F_Quote</v>
      </c>
      <c r="G4" s="66" t="str">
        <f>_xll.qlFraRateHelper(,F4,B4,E4,Permanent,Trigger,ObjectOverwrite)</f>
        <v>obj_00290#0001</v>
      </c>
      <c r="H4" s="173"/>
      <c r="I4" s="28"/>
    </row>
    <row r="5" spans="1:9" x14ac:dyDescent="0.2">
      <c r="A5" s="30"/>
      <c r="B5" s="66" t="str">
        <f t="shared" ref="B5:B9" si="2">C5&amp;"M"</f>
        <v>2M</v>
      </c>
      <c r="C5" s="188">
        <v>2</v>
      </c>
      <c r="D5" s="189" t="str">
        <f t="shared" ref="D5:D9" si="3">"x"&amp;C5+$D$1&amp;"F"</f>
        <v>x5F</v>
      </c>
      <c r="E5" s="66" t="str">
        <f t="shared" si="0"/>
        <v>AudBBSW3M</v>
      </c>
      <c r="F5" s="66" t="str">
        <f t="shared" si="1"/>
        <v>AUD2x5F_Quote</v>
      </c>
      <c r="G5" s="66" t="str">
        <f>_xll.qlFraRateHelper(,F5,B5,E5,Permanent,Trigger,ObjectOverwrite)</f>
        <v>obj_0029b#0001</v>
      </c>
      <c r="H5" s="173" t="s">
        <v>109</v>
      </c>
      <c r="I5" s="28"/>
    </row>
    <row r="6" spans="1:9" x14ac:dyDescent="0.2">
      <c r="A6" s="30"/>
      <c r="B6" s="66" t="str">
        <f t="shared" si="2"/>
        <v>3M</v>
      </c>
      <c r="C6" s="188">
        <v>3</v>
      </c>
      <c r="D6" s="189" t="str">
        <f t="shared" si="3"/>
        <v>x6F</v>
      </c>
      <c r="E6" s="66" t="str">
        <f t="shared" si="0"/>
        <v>AudBBSW3M</v>
      </c>
      <c r="F6" s="66" t="str">
        <f t="shared" si="1"/>
        <v>AUD3x6F_Quote</v>
      </c>
      <c r="G6" s="66" t="str">
        <f>_xll.qlFraRateHelper(,F6,B6,E6,Permanent,Trigger,ObjectOverwrite)</f>
        <v>obj_002a5#0001</v>
      </c>
      <c r="H6" s="173" t="s">
        <v>109</v>
      </c>
      <c r="I6" s="28"/>
    </row>
    <row r="7" spans="1:9" x14ac:dyDescent="0.2">
      <c r="A7" s="30"/>
      <c r="B7" s="66" t="str">
        <f t="shared" si="2"/>
        <v>4M</v>
      </c>
      <c r="C7" s="188">
        <v>4</v>
      </c>
      <c r="D7" s="189" t="str">
        <f t="shared" si="3"/>
        <v>x7F</v>
      </c>
      <c r="E7" s="66" t="str">
        <f t="shared" si="0"/>
        <v>AudBBSW3M</v>
      </c>
      <c r="F7" s="66" t="str">
        <f t="shared" si="1"/>
        <v>AUD4x7F_Quote</v>
      </c>
      <c r="G7" s="66" t="str">
        <f>_xll.qlFraRateHelper(,F7,B7,E7,Permanent,Trigger,ObjectOverwrite)</f>
        <v>obj_00295#0001</v>
      </c>
      <c r="H7" s="173" t="s">
        <v>109</v>
      </c>
      <c r="I7" s="28"/>
    </row>
    <row r="8" spans="1:9" x14ac:dyDescent="0.2">
      <c r="A8" s="30"/>
      <c r="B8" s="66" t="str">
        <f t="shared" si="2"/>
        <v>5M</v>
      </c>
      <c r="C8" s="188">
        <v>5</v>
      </c>
      <c r="D8" s="189" t="str">
        <f t="shared" si="3"/>
        <v>x8F</v>
      </c>
      <c r="E8" s="66" t="str">
        <f t="shared" si="0"/>
        <v>AudBBSW3M</v>
      </c>
      <c r="F8" s="66" t="str">
        <f t="shared" si="1"/>
        <v>AUD5x8F_Quote</v>
      </c>
      <c r="G8" s="66" t="str">
        <f>_xll.qlFraRateHelper(,F8,B8,E8,Permanent,Trigger,ObjectOverwrite)</f>
        <v>obj_00288#0001</v>
      </c>
      <c r="H8" s="173" t="s">
        <v>109</v>
      </c>
      <c r="I8" s="28"/>
    </row>
    <row r="9" spans="1:9" x14ac:dyDescent="0.2">
      <c r="A9" s="30"/>
      <c r="B9" s="66" t="str">
        <f t="shared" si="2"/>
        <v>6M</v>
      </c>
      <c r="C9" s="188">
        <v>6</v>
      </c>
      <c r="D9" s="189" t="str">
        <f t="shared" si="3"/>
        <v>x9F</v>
      </c>
      <c r="E9" s="66" t="str">
        <f t="shared" si="0"/>
        <v>AudBBSW3M</v>
      </c>
      <c r="F9" s="66" t="str">
        <f t="shared" si="1"/>
        <v>AUD6x9F_Quote</v>
      </c>
      <c r="G9" s="66" t="str">
        <f>_xll.qlFraRateHelper(,F9,B9,E9,Permanent,Trigger,ObjectOverwrite)</f>
        <v>obj_00283#0001</v>
      </c>
      <c r="H9" s="173" t="s">
        <v>109</v>
      </c>
      <c r="I9" s="28"/>
    </row>
    <row r="10" spans="1:9" ht="12" thickBot="1" x14ac:dyDescent="0.25">
      <c r="A10" s="39"/>
      <c r="B10" s="40"/>
      <c r="C10" s="40"/>
      <c r="D10" s="40"/>
      <c r="E10" s="40"/>
      <c r="F10" s="40"/>
      <c r="G10" s="174"/>
      <c r="H10" s="174"/>
      <c r="I10" s="4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47"/>
  <sheetViews>
    <sheetView workbookViewId="0">
      <selection activeCell="I3" sqref="I3"/>
    </sheetView>
  </sheetViews>
  <sheetFormatPr defaultRowHeight="13.5" x14ac:dyDescent="0.25"/>
  <cols>
    <col min="1" max="1" width="2.7109375" style="29" customWidth="1"/>
    <col min="2" max="2" width="3" style="29" bestFit="1" customWidth="1"/>
    <col min="3" max="3" width="8" style="29" bestFit="1" customWidth="1"/>
    <col min="4" max="4" width="6" style="29" bestFit="1" customWidth="1"/>
    <col min="5" max="5" width="8" style="29" bestFit="1" customWidth="1"/>
    <col min="6" max="6" width="10" style="29" bestFit="1" customWidth="1"/>
    <col min="7" max="7" width="17.28515625" style="29" bestFit="1" customWidth="1"/>
    <col min="8" max="8" width="24.42578125" style="29" bestFit="1" customWidth="1"/>
    <col min="9" max="9" width="26.140625" style="29" bestFit="1" customWidth="1"/>
    <col min="10" max="10" width="20.7109375" style="29" customWidth="1"/>
    <col min="11" max="11" width="2.7109375" style="29" customWidth="1"/>
    <col min="12" max="16384" width="9.140625" style="29"/>
  </cols>
  <sheetData>
    <row r="1" spans="1:13" x14ac:dyDescent="0.25">
      <c r="A1" s="25"/>
      <c r="B1" s="42"/>
      <c r="C1" s="42"/>
      <c r="D1" s="42"/>
      <c r="E1" s="42"/>
      <c r="F1" s="42"/>
      <c r="G1" s="23" t="str">
        <f>IndexTenor</f>
        <v>3M</v>
      </c>
      <c r="H1" s="43" t="str">
        <f>Currency&amp;"_YC"&amp;$G$1&amp;"RH"</f>
        <v>AUD_YC3MRH</v>
      </c>
      <c r="I1" s="32" t="str">
        <f>$H$1&amp;"_Futures"&amp;$G$1&amp;".xml"</f>
        <v>AUD_YC3MRH_Futures3M.xml</v>
      </c>
      <c r="J1" s="44"/>
      <c r="K1" s="28"/>
      <c r="M1" s="45"/>
    </row>
    <row r="2" spans="1:13" ht="27" customHeight="1" x14ac:dyDescent="0.25">
      <c r="A2" s="25"/>
      <c r="B2" s="46" t="s">
        <v>94</v>
      </c>
      <c r="C2" s="46" t="s">
        <v>167</v>
      </c>
      <c r="D2" s="31" t="s">
        <v>93</v>
      </c>
      <c r="E2" s="46" t="s">
        <v>168</v>
      </c>
      <c r="F2" s="46" t="s">
        <v>169</v>
      </c>
      <c r="G2" s="31" t="s">
        <v>82</v>
      </c>
      <c r="H2" s="31" t="s">
        <v>92</v>
      </c>
      <c r="I2" s="33" t="str">
        <f>IF(Serialize,_xll.ohObjectSave(I5:I46,SerializationPath&amp;I1,FileOverwrite,Serialize),"---")</f>
        <v>---</v>
      </c>
      <c r="J2" s="34" t="str">
        <f>_xll.ohRangeRetrieveError(I2)</f>
        <v/>
      </c>
      <c r="K2" s="28"/>
    </row>
    <row r="3" spans="1:13" s="72" customFormat="1" x14ac:dyDescent="0.25">
      <c r="A3" s="25"/>
      <c r="B3" s="26"/>
      <c r="C3" s="26"/>
      <c r="D3" s="26"/>
      <c r="E3" s="26"/>
      <c r="F3" s="26"/>
      <c r="G3" s="26"/>
      <c r="H3" s="26"/>
      <c r="I3" s="51" t="str">
        <f>_xll.qlIborIndex(,FamilyName,IndexTenor,1,Currency,Calendar,"Half-Month Modified Following",TRUE,"actual/365 (fixed)",,,Trigger,ObjectOverwrite)</f>
        <v>obj_00270#0001</v>
      </c>
      <c r="J3" s="26"/>
      <c r="K3" s="28"/>
      <c r="L3" s="29"/>
      <c r="M3" s="29"/>
    </row>
    <row r="4" spans="1:13" s="72" customFormat="1" x14ac:dyDescent="0.25">
      <c r="A4" s="25"/>
      <c r="B4" s="26"/>
      <c r="C4" s="26"/>
      <c r="D4" s="26"/>
      <c r="E4" s="26"/>
      <c r="F4" s="26"/>
      <c r="G4" s="26"/>
      <c r="H4" s="26"/>
      <c r="I4" s="26"/>
      <c r="J4" s="26"/>
      <c r="K4" s="28"/>
      <c r="L4" s="29"/>
      <c r="M4" s="29"/>
    </row>
    <row r="5" spans="1:13" ht="11.25" customHeight="1" x14ac:dyDescent="0.25">
      <c r="A5" s="47"/>
      <c r="B5" s="200">
        <v>1</v>
      </c>
      <c r="C5" s="200" t="s">
        <v>170</v>
      </c>
      <c r="D5" s="51" t="b">
        <v>0</v>
      </c>
      <c r="E5" s="200" t="str">
        <f t="array" ref="E5:E46">_xll.qlASXNextCodes(_xll.qlSettingsEvaluationDate(Trigger)-1,$D5:$D46)</f>
        <v>M5</v>
      </c>
      <c r="F5" s="253">
        <f>_xll.qlASXdate(E5)</f>
        <v>42167</v>
      </c>
      <c r="G5" s="254" t="str">
        <f t="shared" ref="G5:G46" si="0">Currency&amp;"FUT"&amp;$G$1&amp;$E5&amp;QuoteSuffix</f>
        <v>AUDFUT3MM5_Quote</v>
      </c>
      <c r="H5" s="255" t="str">
        <f t="shared" ref="H5:H46" si="1">Currency&amp;"FUT"&amp;IndexTenor&amp;E5&amp;"ConvAdj"&amp;QuoteSuffix</f>
        <v>AUDFUT3MM5ConvAdj_Quote</v>
      </c>
      <c r="I5" s="52" t="str">
        <f>_xll.qlFuturesRateHelper(,$G5,$C5,$F5,$I$3,$H5,Permanent,Trigger,ObjectOverwrite)</f>
        <v>obj_002bc#0001</v>
      </c>
      <c r="J5" s="38" t="str">
        <f>_xll.ohRangeRetrieveError(I5)</f>
        <v/>
      </c>
      <c r="K5" s="28"/>
    </row>
    <row r="6" spans="1:13" ht="11.25" customHeight="1" x14ac:dyDescent="0.25">
      <c r="A6" s="47"/>
      <c r="B6" s="200">
        <v>2</v>
      </c>
      <c r="C6" s="177" t="s">
        <v>170</v>
      </c>
      <c r="D6" s="51" t="b">
        <v>0</v>
      </c>
      <c r="E6" s="177" t="str">
        <v>N5</v>
      </c>
      <c r="F6" s="199">
        <f>_xll.qlASXdate(E6)</f>
        <v>42195</v>
      </c>
      <c r="G6" s="49" t="str">
        <f t="shared" si="0"/>
        <v>AUDFUT3MN5_Quote</v>
      </c>
      <c r="H6" s="178" t="str">
        <f t="shared" si="1"/>
        <v>AUDFUT3MN5ConvAdj_Quote</v>
      </c>
      <c r="I6" s="52" t="str">
        <f>_xll.qlFuturesRateHelper(,$G6,$C6,$F6,$I$3,$H6,Permanent,Trigger,ObjectOverwrite)</f>
        <v>obj_002d5#0001</v>
      </c>
      <c r="J6" s="38" t="str">
        <f>_xll.ohRangeRetrieveError(I6)</f>
        <v/>
      </c>
      <c r="K6" s="28"/>
    </row>
    <row r="7" spans="1:13" ht="11.25" customHeight="1" x14ac:dyDescent="0.25">
      <c r="A7" s="47"/>
      <c r="B7" s="200">
        <v>3</v>
      </c>
      <c r="C7" s="177" t="s">
        <v>170</v>
      </c>
      <c r="D7" s="51" t="b">
        <v>0</v>
      </c>
      <c r="E7" s="177" t="str">
        <v>Q5</v>
      </c>
      <c r="F7" s="199">
        <f>_xll.qlASXdate(E7)</f>
        <v>42230</v>
      </c>
      <c r="G7" s="49" t="str">
        <f t="shared" si="0"/>
        <v>AUDFUT3MQ5_Quote</v>
      </c>
      <c r="H7" s="178" t="str">
        <f t="shared" si="1"/>
        <v>AUDFUT3MQ5ConvAdj_Quote</v>
      </c>
      <c r="I7" s="52" t="str">
        <f>_xll.qlFuturesRateHelper(,$G7,$C7,$F7,$I$3,$H7,Permanent,Trigger,ObjectOverwrite)</f>
        <v>obj_002ca#0001</v>
      </c>
      <c r="J7" s="38" t="str">
        <f>_xll.ohRangeRetrieveError(I7)</f>
        <v/>
      </c>
      <c r="K7" s="28"/>
    </row>
    <row r="8" spans="1:13" ht="11.25" customHeight="1" x14ac:dyDescent="0.25">
      <c r="A8" s="47"/>
      <c r="B8" s="200">
        <v>4</v>
      </c>
      <c r="C8" s="177" t="s">
        <v>170</v>
      </c>
      <c r="D8" s="51" t="b">
        <v>0</v>
      </c>
      <c r="E8" s="177" t="str">
        <v>U5</v>
      </c>
      <c r="F8" s="199">
        <f>_xll.qlASXdate(E8)</f>
        <v>42258</v>
      </c>
      <c r="G8" s="49" t="str">
        <f t="shared" si="0"/>
        <v>AUDFUT3MU5_Quote</v>
      </c>
      <c r="H8" s="178" t="str">
        <f t="shared" si="1"/>
        <v>AUDFUT3MU5ConvAdj_Quote</v>
      </c>
      <c r="I8" s="52" t="str">
        <f>_xll.qlFuturesRateHelper(,$G8,$C8,$F8,$I$3,$H8,Permanent,Trigger,ObjectOverwrite)</f>
        <v>obj_002b9#0001</v>
      </c>
      <c r="J8" s="38" t="str">
        <f>_xll.ohRangeRetrieveError(I8)</f>
        <v/>
      </c>
      <c r="K8" s="28"/>
    </row>
    <row r="9" spans="1:13" ht="11.25" customHeight="1" x14ac:dyDescent="0.25">
      <c r="A9" s="47"/>
      <c r="B9" s="200">
        <v>5</v>
      </c>
      <c r="C9" s="177" t="s">
        <v>170</v>
      </c>
      <c r="D9" s="51" t="b">
        <v>0</v>
      </c>
      <c r="E9" s="177" t="str">
        <v>V5</v>
      </c>
      <c r="F9" s="199">
        <f>_xll.qlASXdate(E9)</f>
        <v>42286</v>
      </c>
      <c r="G9" s="49" t="str">
        <f t="shared" si="0"/>
        <v>AUDFUT3MV5_Quote</v>
      </c>
      <c r="H9" s="178" t="str">
        <f t="shared" si="1"/>
        <v>AUDFUT3MV5ConvAdj_Quote</v>
      </c>
      <c r="I9" s="52" t="str">
        <f>_xll.qlFuturesRateHelper(,$G9,$C9,$F9,$I$3,$H9,Permanent,Trigger,ObjectOverwrite)</f>
        <v>obj_002c6#0001</v>
      </c>
      <c r="J9" s="38" t="str">
        <f>_xll.ohRangeRetrieveError(I9)</f>
        <v/>
      </c>
      <c r="K9" s="28"/>
    </row>
    <row r="10" spans="1:13" ht="11.25" customHeight="1" x14ac:dyDescent="0.25">
      <c r="A10" s="47"/>
      <c r="B10" s="200">
        <v>6</v>
      </c>
      <c r="C10" s="177" t="s">
        <v>170</v>
      </c>
      <c r="D10" s="51" t="b">
        <v>0</v>
      </c>
      <c r="E10" s="177" t="str">
        <v>X5</v>
      </c>
      <c r="F10" s="199">
        <f>_xll.qlASXdate(E10)</f>
        <v>42321</v>
      </c>
      <c r="G10" s="49" t="str">
        <f t="shared" si="0"/>
        <v>AUDFUT3MX5_Quote</v>
      </c>
      <c r="H10" s="178" t="str">
        <f t="shared" si="1"/>
        <v>AUDFUT3MX5ConvAdj_Quote</v>
      </c>
      <c r="I10" s="52" t="str">
        <f>_xll.qlFuturesRateHelper(,$G10,$C10,$F10,$I$3,$H10,Permanent,Trigger,ObjectOverwrite)</f>
        <v>obj_002cc#0001</v>
      </c>
      <c r="J10" s="38" t="str">
        <f>_xll.ohRangeRetrieveError(I10)</f>
        <v/>
      </c>
      <c r="K10" s="28"/>
    </row>
    <row r="11" spans="1:13" ht="11.25" customHeight="1" x14ac:dyDescent="0.25">
      <c r="A11" s="47"/>
      <c r="B11" s="200">
        <v>7</v>
      </c>
      <c r="C11" s="177" t="s">
        <v>170</v>
      </c>
      <c r="D11" s="51" t="b">
        <v>0</v>
      </c>
      <c r="E11" s="177" t="str">
        <v>Z5</v>
      </c>
      <c r="F11" s="199">
        <f>_xll.qlASXdate(E11)</f>
        <v>42349</v>
      </c>
      <c r="G11" s="49" t="str">
        <f t="shared" si="0"/>
        <v>AUDFUT3MZ5_Quote</v>
      </c>
      <c r="H11" s="178" t="str">
        <f t="shared" si="1"/>
        <v>AUDFUT3MZ5ConvAdj_Quote</v>
      </c>
      <c r="I11" s="52" t="str">
        <f>_xll.qlFuturesRateHelper(,$G11,$C11,$F11,$I$3,$H11,Permanent,Trigger,ObjectOverwrite)</f>
        <v>obj_002ac#0001</v>
      </c>
      <c r="J11" s="38" t="str">
        <f>_xll.ohRangeRetrieveError(I11)</f>
        <v/>
      </c>
      <c r="K11" s="28"/>
    </row>
    <row r="12" spans="1:13" ht="11.25" customHeight="1" x14ac:dyDescent="0.25">
      <c r="A12" s="47"/>
      <c r="B12" s="200">
        <v>8</v>
      </c>
      <c r="C12" s="177" t="s">
        <v>170</v>
      </c>
      <c r="D12" s="51" t="b">
        <v>0</v>
      </c>
      <c r="E12" s="177" t="str">
        <v>F6</v>
      </c>
      <c r="F12" s="199">
        <f>_xll.qlASXdate(E12)</f>
        <v>42377</v>
      </c>
      <c r="G12" s="49" t="str">
        <f t="shared" si="0"/>
        <v>AUDFUT3MF6_Quote</v>
      </c>
      <c r="H12" s="178" t="str">
        <f t="shared" si="1"/>
        <v>AUDFUT3MF6ConvAdj_Quote</v>
      </c>
      <c r="I12" s="52" t="str">
        <f>_xll.qlFuturesRateHelper(,$G12,$C12,$F12,$I$3,$H12,Permanent,Trigger,ObjectOverwrite)</f>
        <v>obj_002b5#0001</v>
      </c>
      <c r="J12" s="38" t="str">
        <f>_xll.ohRangeRetrieveError(I12)</f>
        <v/>
      </c>
      <c r="K12" s="28"/>
      <c r="L12" s="50"/>
    </row>
    <row r="13" spans="1:13" ht="11.25" customHeight="1" x14ac:dyDescent="0.25">
      <c r="A13" s="47"/>
      <c r="B13" s="200">
        <v>9</v>
      </c>
      <c r="C13" s="177" t="s">
        <v>170</v>
      </c>
      <c r="D13" s="51" t="b">
        <v>0</v>
      </c>
      <c r="E13" s="177" t="str">
        <v>G6</v>
      </c>
      <c r="F13" s="199">
        <f>_xll.qlASXdate(E13)</f>
        <v>42412</v>
      </c>
      <c r="G13" s="49" t="str">
        <f t="shared" si="0"/>
        <v>AUDFUT3MG6_Quote</v>
      </c>
      <c r="H13" s="178" t="str">
        <f t="shared" si="1"/>
        <v>AUDFUT3MG6ConvAdj_Quote</v>
      </c>
      <c r="I13" s="52" t="str">
        <f>_xll.qlFuturesRateHelper(,$G13,$C13,$F13,$I$3,$H13,Permanent,Trigger,ObjectOverwrite)</f>
        <v>obj_002d2#0001</v>
      </c>
      <c r="J13" s="38" t="str">
        <f>_xll.ohRangeRetrieveError(I13)</f>
        <v/>
      </c>
      <c r="K13" s="28"/>
      <c r="L13" s="50"/>
    </row>
    <row r="14" spans="1:13" ht="11.25" customHeight="1" x14ac:dyDescent="0.25">
      <c r="A14" s="47"/>
      <c r="B14" s="200">
        <v>10</v>
      </c>
      <c r="C14" s="177" t="s">
        <v>170</v>
      </c>
      <c r="D14" s="51" t="b">
        <v>0</v>
      </c>
      <c r="E14" s="177" t="str">
        <v>H6</v>
      </c>
      <c r="F14" s="199">
        <f>_xll.qlASXdate(E14)</f>
        <v>42440</v>
      </c>
      <c r="G14" s="49" t="str">
        <f t="shared" si="0"/>
        <v>AUDFUT3MH6_Quote</v>
      </c>
      <c r="H14" s="178" t="str">
        <f t="shared" si="1"/>
        <v>AUDFUT3MH6ConvAdj_Quote</v>
      </c>
      <c r="I14" s="52" t="str">
        <f>_xll.qlFuturesRateHelper(,$G14,$C14,$F14,$I$3,$H14,Permanent,Trigger,ObjectOverwrite)</f>
        <v>obj_002ad#0001</v>
      </c>
      <c r="J14" s="38" t="str">
        <f>_xll.ohRangeRetrieveError(I14)</f>
        <v/>
      </c>
      <c r="K14" s="28"/>
      <c r="L14" s="50"/>
    </row>
    <row r="15" spans="1:13" ht="11.25" customHeight="1" x14ac:dyDescent="0.25">
      <c r="A15" s="47"/>
      <c r="B15" s="200">
        <v>11</v>
      </c>
      <c r="C15" s="177" t="s">
        <v>170</v>
      </c>
      <c r="D15" s="51" t="b">
        <v>0</v>
      </c>
      <c r="E15" s="177" t="str">
        <v>J6</v>
      </c>
      <c r="F15" s="199">
        <f>_xll.qlASXdate(E15)</f>
        <v>42468</v>
      </c>
      <c r="G15" s="49" t="str">
        <f t="shared" si="0"/>
        <v>AUDFUT3MJ6_Quote</v>
      </c>
      <c r="H15" s="178" t="str">
        <f t="shared" si="1"/>
        <v>AUDFUT3MJ6ConvAdj_Quote</v>
      </c>
      <c r="I15" s="52" t="str">
        <f>_xll.qlFuturesRateHelper(,$G15,$C15,$F15,$I$3,$H15,Permanent,Trigger,ObjectOverwrite)</f>
        <v>obj_002c9#0001</v>
      </c>
      <c r="J15" s="38" t="str">
        <f>_xll.ohRangeRetrieveError(I15)</f>
        <v/>
      </c>
      <c r="K15" s="28"/>
      <c r="L15" s="50"/>
    </row>
    <row r="16" spans="1:13" ht="11.25" customHeight="1" x14ac:dyDescent="0.25">
      <c r="A16" s="47"/>
      <c r="B16" s="200">
        <v>12</v>
      </c>
      <c r="C16" s="177" t="s">
        <v>170</v>
      </c>
      <c r="D16" s="51" t="b">
        <v>0</v>
      </c>
      <c r="E16" s="177" t="str">
        <v>K6</v>
      </c>
      <c r="F16" s="199">
        <f>_xll.qlASXdate(E16)</f>
        <v>42503</v>
      </c>
      <c r="G16" s="49" t="str">
        <f t="shared" si="0"/>
        <v>AUDFUT3MK6_Quote</v>
      </c>
      <c r="H16" s="178" t="str">
        <f t="shared" si="1"/>
        <v>AUDFUT3MK6ConvAdj_Quote</v>
      </c>
      <c r="I16" s="52" t="str">
        <f>_xll.qlFuturesRateHelper(,$G16,$C16,$F16,$I$3,$H16,Permanent,Trigger,ObjectOverwrite)</f>
        <v>obj_002b1#0001</v>
      </c>
      <c r="J16" s="38" t="str">
        <f>_xll.ohRangeRetrieveError(I16)</f>
        <v/>
      </c>
      <c r="K16" s="28"/>
      <c r="L16" s="50"/>
    </row>
    <row r="17" spans="1:12" ht="11.25" customHeight="1" x14ac:dyDescent="0.25">
      <c r="A17" s="47"/>
      <c r="B17" s="200">
        <v>13</v>
      </c>
      <c r="C17" s="177" t="s">
        <v>170</v>
      </c>
      <c r="D17" s="51" t="b">
        <v>1</v>
      </c>
      <c r="E17" s="177" t="str">
        <v>M6</v>
      </c>
      <c r="F17" s="199">
        <f>_xll.qlASXdate(E17)</f>
        <v>42531</v>
      </c>
      <c r="G17" s="49" t="str">
        <f t="shared" si="0"/>
        <v>AUDFUT3MM6_Quote</v>
      </c>
      <c r="H17" s="178" t="str">
        <f t="shared" si="1"/>
        <v>AUDFUT3MM6ConvAdj_Quote</v>
      </c>
      <c r="I17" s="52" t="str">
        <f>_xll.qlFuturesRateHelper(,$G17,$C17,$F17,$I$3,$H17,Permanent,Trigger,ObjectOverwrite)</f>
        <v>obj_002c8#0001</v>
      </c>
      <c r="J17" s="38" t="str">
        <f>_xll.ohRangeRetrieveError(I17)</f>
        <v/>
      </c>
      <c r="K17" s="28"/>
      <c r="L17" s="50"/>
    </row>
    <row r="18" spans="1:12" ht="11.25" customHeight="1" x14ac:dyDescent="0.25">
      <c r="A18" s="47"/>
      <c r="B18" s="200">
        <v>14</v>
      </c>
      <c r="C18" s="177" t="s">
        <v>170</v>
      </c>
      <c r="D18" s="51" t="b">
        <v>1</v>
      </c>
      <c r="E18" s="177" t="str">
        <v>U6</v>
      </c>
      <c r="F18" s="199">
        <f>_xll.qlASXdate(E18)</f>
        <v>42622</v>
      </c>
      <c r="G18" s="49" t="str">
        <f t="shared" si="0"/>
        <v>AUDFUT3MU6_Quote</v>
      </c>
      <c r="H18" s="178" t="str">
        <f t="shared" si="1"/>
        <v>AUDFUT3MU6ConvAdj_Quote</v>
      </c>
      <c r="I18" s="52" t="str">
        <f>_xll.qlFuturesRateHelper(,$G18,$C18,$F18,$I$3,$H18,Permanent,Trigger,ObjectOverwrite)</f>
        <v>obj_002ae#0001</v>
      </c>
      <c r="J18" s="38" t="str">
        <f>_xll.ohRangeRetrieveError(I18)</f>
        <v/>
      </c>
      <c r="K18" s="28"/>
      <c r="L18" s="50"/>
    </row>
    <row r="19" spans="1:12" ht="11.25" customHeight="1" x14ac:dyDescent="0.25">
      <c r="A19" s="47"/>
      <c r="B19" s="200">
        <v>15</v>
      </c>
      <c r="C19" s="177" t="s">
        <v>170</v>
      </c>
      <c r="D19" s="51" t="b">
        <v>1</v>
      </c>
      <c r="E19" s="177" t="str">
        <v>Z6</v>
      </c>
      <c r="F19" s="199">
        <f>_xll.qlASXdate(E19)</f>
        <v>42713</v>
      </c>
      <c r="G19" s="49" t="str">
        <f t="shared" si="0"/>
        <v>AUDFUT3MZ6_Quote</v>
      </c>
      <c r="H19" s="178" t="str">
        <f t="shared" si="1"/>
        <v>AUDFUT3MZ6ConvAdj_Quote</v>
      </c>
      <c r="I19" s="52" t="str">
        <f>_xll.qlFuturesRateHelper(,$G19,$C19,$F19,$I$3,$H19,Permanent,Trigger,ObjectOverwrite)</f>
        <v>obj_002bb#0001</v>
      </c>
      <c r="J19" s="38" t="str">
        <f>_xll.ohRangeRetrieveError(I19)</f>
        <v/>
      </c>
      <c r="K19" s="28"/>
      <c r="L19" s="50"/>
    </row>
    <row r="20" spans="1:12" ht="11.25" customHeight="1" x14ac:dyDescent="0.25">
      <c r="A20" s="47"/>
      <c r="B20" s="200">
        <v>16</v>
      </c>
      <c r="C20" s="177" t="s">
        <v>170</v>
      </c>
      <c r="D20" s="51" t="b">
        <v>1</v>
      </c>
      <c r="E20" s="177" t="str">
        <v>H7</v>
      </c>
      <c r="F20" s="199">
        <f>_xll.qlASXdate(E20)</f>
        <v>42804</v>
      </c>
      <c r="G20" s="49" t="str">
        <f t="shared" si="0"/>
        <v>AUDFUT3MH7_Quote</v>
      </c>
      <c r="H20" s="178" t="str">
        <f t="shared" si="1"/>
        <v>AUDFUT3MH7ConvAdj_Quote</v>
      </c>
      <c r="I20" s="52" t="str">
        <f>_xll.qlFuturesRateHelper(,$G20,$C20,$F20,$I$3,$H20,Permanent,Trigger,ObjectOverwrite)</f>
        <v>obj_002cd#0001</v>
      </c>
      <c r="J20" s="38" t="str">
        <f>_xll.ohRangeRetrieveError(I20)</f>
        <v/>
      </c>
      <c r="K20" s="28"/>
      <c r="L20" s="50"/>
    </row>
    <row r="21" spans="1:12" ht="11.25" customHeight="1" x14ac:dyDescent="0.25">
      <c r="A21" s="47"/>
      <c r="B21" s="200">
        <v>17</v>
      </c>
      <c r="C21" s="177" t="s">
        <v>170</v>
      </c>
      <c r="D21" s="51" t="b">
        <v>1</v>
      </c>
      <c r="E21" s="177" t="str">
        <v>M7</v>
      </c>
      <c r="F21" s="199">
        <f>_xll.qlASXdate(E21)</f>
        <v>42895</v>
      </c>
      <c r="G21" s="49" t="str">
        <f t="shared" si="0"/>
        <v>AUDFUT3MM7_Quote</v>
      </c>
      <c r="H21" s="178" t="str">
        <f t="shared" si="1"/>
        <v>AUDFUT3MM7ConvAdj_Quote</v>
      </c>
      <c r="I21" s="52" t="str">
        <f>_xll.qlFuturesRateHelper(,$G21,$C21,$F21,$I$3,$H21,Permanent,Trigger,ObjectOverwrite)</f>
        <v>obj_002d1#0001</v>
      </c>
      <c r="J21" s="38" t="str">
        <f>_xll.ohRangeRetrieveError(I21)</f>
        <v/>
      </c>
      <c r="K21" s="28"/>
      <c r="L21" s="50"/>
    </row>
    <row r="22" spans="1:12" ht="11.25" customHeight="1" x14ac:dyDescent="0.25">
      <c r="A22" s="47"/>
      <c r="B22" s="200">
        <v>18</v>
      </c>
      <c r="C22" s="177" t="s">
        <v>170</v>
      </c>
      <c r="D22" s="51" t="b">
        <v>1</v>
      </c>
      <c r="E22" s="177" t="str">
        <v>U7</v>
      </c>
      <c r="F22" s="199">
        <f>_xll.qlASXdate(E22)</f>
        <v>42986</v>
      </c>
      <c r="G22" s="49" t="str">
        <f t="shared" si="0"/>
        <v>AUDFUT3MU7_Quote</v>
      </c>
      <c r="H22" s="178" t="str">
        <f t="shared" si="1"/>
        <v>AUDFUT3MU7ConvAdj_Quote</v>
      </c>
      <c r="I22" s="52" t="str">
        <f>_xll.qlFuturesRateHelper(,$G22,$C22,$F22,$I$3,$H22,Permanent,Trigger,ObjectOverwrite)</f>
        <v>obj_002ba#0001</v>
      </c>
      <c r="J22" s="38" t="str">
        <f>_xll.ohRangeRetrieveError(I22)</f>
        <v/>
      </c>
      <c r="K22" s="28"/>
      <c r="L22" s="50"/>
    </row>
    <row r="23" spans="1:12" ht="11.25" customHeight="1" x14ac:dyDescent="0.25">
      <c r="A23" s="47"/>
      <c r="B23" s="200">
        <v>19</v>
      </c>
      <c r="C23" s="177" t="s">
        <v>170</v>
      </c>
      <c r="D23" s="51" t="b">
        <v>1</v>
      </c>
      <c r="E23" s="177" t="str">
        <v>Z7</v>
      </c>
      <c r="F23" s="199">
        <f>_xll.qlASXdate(E23)</f>
        <v>43077</v>
      </c>
      <c r="G23" s="49" t="str">
        <f t="shared" si="0"/>
        <v>AUDFUT3MZ7_Quote</v>
      </c>
      <c r="H23" s="178" t="str">
        <f t="shared" si="1"/>
        <v>AUDFUT3MZ7ConvAdj_Quote</v>
      </c>
      <c r="I23" s="52" t="str">
        <f>_xll.qlFuturesRateHelper(,$G23,$C23,$F23,$I$3,$H23,Permanent,Trigger,ObjectOverwrite)</f>
        <v>obj_002b4#0001</v>
      </c>
      <c r="J23" s="38" t="str">
        <f>_xll.ohRangeRetrieveError(I23)</f>
        <v/>
      </c>
      <c r="K23" s="28"/>
      <c r="L23" s="50"/>
    </row>
    <row r="24" spans="1:12" ht="11.25" customHeight="1" x14ac:dyDescent="0.25">
      <c r="A24" s="47"/>
      <c r="B24" s="200">
        <v>20</v>
      </c>
      <c r="C24" s="177" t="s">
        <v>170</v>
      </c>
      <c r="D24" s="51" t="b">
        <v>1</v>
      </c>
      <c r="E24" s="177" t="str">
        <v>H8</v>
      </c>
      <c r="F24" s="199">
        <f>_xll.qlASXdate(E24)</f>
        <v>43168</v>
      </c>
      <c r="G24" s="49" t="str">
        <f t="shared" si="0"/>
        <v>AUDFUT3MH8_Quote</v>
      </c>
      <c r="H24" s="178" t="str">
        <f t="shared" si="1"/>
        <v>AUDFUT3MH8ConvAdj_Quote</v>
      </c>
      <c r="I24" s="52" t="str">
        <f>_xll.qlFuturesRateHelper(,$G24,$C24,$F24,$I$3,$H24,Permanent,Trigger,ObjectOverwrite)</f>
        <v>obj_002cf#0001</v>
      </c>
      <c r="J24" s="38" t="str">
        <f>_xll.ohRangeRetrieveError(I24)</f>
        <v/>
      </c>
      <c r="K24" s="28"/>
      <c r="L24" s="50"/>
    </row>
    <row r="25" spans="1:12" ht="11.25" customHeight="1" x14ac:dyDescent="0.25">
      <c r="A25" s="47"/>
      <c r="B25" s="200">
        <v>21</v>
      </c>
      <c r="C25" s="177" t="s">
        <v>170</v>
      </c>
      <c r="D25" s="51" t="b">
        <v>1</v>
      </c>
      <c r="E25" s="177" t="str">
        <v>M8</v>
      </c>
      <c r="F25" s="199">
        <f>_xll.qlASXdate(E25)</f>
        <v>43259</v>
      </c>
      <c r="G25" s="49" t="str">
        <f t="shared" si="0"/>
        <v>AUDFUT3MM8_Quote</v>
      </c>
      <c r="H25" s="178" t="str">
        <f t="shared" si="1"/>
        <v>AUDFUT3MM8ConvAdj_Quote</v>
      </c>
      <c r="I25" s="52" t="str">
        <f>_xll.qlFuturesRateHelper(,$G25,$C25,$F25,$I$3,$H25,Permanent,Trigger,ObjectOverwrite)</f>
        <v>obj_002c0#0001</v>
      </c>
      <c r="J25" s="38" t="str">
        <f>_xll.ohRangeRetrieveError(I25)</f>
        <v/>
      </c>
      <c r="K25" s="28"/>
      <c r="L25" s="50"/>
    </row>
    <row r="26" spans="1:12" ht="11.25" customHeight="1" x14ac:dyDescent="0.25">
      <c r="A26" s="47"/>
      <c r="B26" s="200">
        <v>22</v>
      </c>
      <c r="C26" s="177" t="s">
        <v>170</v>
      </c>
      <c r="D26" s="51" t="b">
        <v>1</v>
      </c>
      <c r="E26" s="177" t="str">
        <v>U8</v>
      </c>
      <c r="F26" s="199">
        <f>_xll.qlASXdate(E26)</f>
        <v>43357</v>
      </c>
      <c r="G26" s="49" t="str">
        <f t="shared" si="0"/>
        <v>AUDFUT3MU8_Quote</v>
      </c>
      <c r="H26" s="178" t="str">
        <f t="shared" si="1"/>
        <v>AUDFUT3MU8ConvAdj_Quote</v>
      </c>
      <c r="I26" s="52" t="str">
        <f>_xll.qlFuturesRateHelper(,$G26,$C26,$F26,$I$3,$H26,Permanent,Trigger,ObjectOverwrite)</f>
        <v>obj_002c3#0001</v>
      </c>
      <c r="J26" s="38" t="str">
        <f>_xll.ohRangeRetrieveError(I26)</f>
        <v/>
      </c>
      <c r="K26" s="28"/>
      <c r="L26" s="50"/>
    </row>
    <row r="27" spans="1:12" ht="11.25" customHeight="1" x14ac:dyDescent="0.25">
      <c r="A27" s="47"/>
      <c r="B27" s="200">
        <v>23</v>
      </c>
      <c r="C27" s="177" t="s">
        <v>170</v>
      </c>
      <c r="D27" s="51" t="b">
        <v>1</v>
      </c>
      <c r="E27" s="177" t="str">
        <v>Z8</v>
      </c>
      <c r="F27" s="199">
        <f>_xll.qlASXdate(E27)</f>
        <v>43448</v>
      </c>
      <c r="G27" s="49" t="str">
        <f t="shared" si="0"/>
        <v>AUDFUT3MZ8_Quote</v>
      </c>
      <c r="H27" s="178" t="str">
        <f t="shared" si="1"/>
        <v>AUDFUT3MZ8ConvAdj_Quote</v>
      </c>
      <c r="I27" s="52" t="str">
        <f>_xll.qlFuturesRateHelper(,$G27,$C27,$F27,$I$3,$H27,Permanent,Trigger,ObjectOverwrite)</f>
        <v>obj_002b3#0001</v>
      </c>
      <c r="J27" s="38" t="str">
        <f>_xll.ohRangeRetrieveError(I27)</f>
        <v/>
      </c>
      <c r="K27" s="28"/>
      <c r="L27" s="50"/>
    </row>
    <row r="28" spans="1:12" ht="11.25" customHeight="1" x14ac:dyDescent="0.25">
      <c r="A28" s="47"/>
      <c r="B28" s="200">
        <v>24</v>
      </c>
      <c r="C28" s="177" t="s">
        <v>170</v>
      </c>
      <c r="D28" s="51" t="b">
        <v>1</v>
      </c>
      <c r="E28" s="177" t="str">
        <v>H9</v>
      </c>
      <c r="F28" s="199">
        <f>_xll.qlASXdate(E28)</f>
        <v>43532</v>
      </c>
      <c r="G28" s="49" t="str">
        <f t="shared" si="0"/>
        <v>AUDFUT3MH9_Quote</v>
      </c>
      <c r="H28" s="178" t="str">
        <f t="shared" si="1"/>
        <v>AUDFUT3MH9ConvAdj_Quote</v>
      </c>
      <c r="I28" s="52" t="str">
        <f>_xll.qlFuturesRateHelper(,$G28,$C28,$F28,$I$3,$H28,Permanent,Trigger,ObjectOverwrite)</f>
        <v>obj_002d0#0001</v>
      </c>
      <c r="J28" s="38" t="str">
        <f>_xll.ohRangeRetrieveError(I28)</f>
        <v/>
      </c>
      <c r="K28" s="28"/>
      <c r="L28" s="50"/>
    </row>
    <row r="29" spans="1:12" ht="11.25" customHeight="1" x14ac:dyDescent="0.25">
      <c r="A29" s="47"/>
      <c r="B29" s="200">
        <v>25</v>
      </c>
      <c r="C29" s="177" t="s">
        <v>170</v>
      </c>
      <c r="D29" s="51" t="b">
        <v>1</v>
      </c>
      <c r="E29" s="177" t="str">
        <v>M9</v>
      </c>
      <c r="F29" s="199">
        <f>_xll.qlASXdate(E29)</f>
        <v>43630</v>
      </c>
      <c r="G29" s="49" t="str">
        <f t="shared" si="0"/>
        <v>AUDFUT3MM9_Quote</v>
      </c>
      <c r="H29" s="178" t="str">
        <f t="shared" si="1"/>
        <v>AUDFUT3MM9ConvAdj_Quote</v>
      </c>
      <c r="I29" s="52" t="str">
        <f>_xll.qlFuturesRateHelper(,$G29,$C29,$F29,$I$3,$H29,Permanent,Trigger,ObjectOverwrite)</f>
        <v>obj_002af#0001</v>
      </c>
      <c r="J29" s="38" t="str">
        <f>_xll.ohRangeRetrieveError(I29)</f>
        <v/>
      </c>
      <c r="K29" s="28"/>
      <c r="L29" s="50"/>
    </row>
    <row r="30" spans="1:12" ht="11.25" customHeight="1" x14ac:dyDescent="0.25">
      <c r="A30" s="47"/>
      <c r="B30" s="200">
        <v>26</v>
      </c>
      <c r="C30" s="177" t="s">
        <v>170</v>
      </c>
      <c r="D30" s="51" t="b">
        <v>1</v>
      </c>
      <c r="E30" s="177" t="str">
        <v>U9</v>
      </c>
      <c r="F30" s="199">
        <f>_xll.qlASXdate(E30)</f>
        <v>43721</v>
      </c>
      <c r="G30" s="49" t="str">
        <f t="shared" si="0"/>
        <v>AUDFUT3MU9_Quote</v>
      </c>
      <c r="H30" s="178" t="str">
        <f t="shared" si="1"/>
        <v>AUDFUT3MU9ConvAdj_Quote</v>
      </c>
      <c r="I30" s="52" t="str">
        <f>_xll.qlFuturesRateHelper(,$G30,$C30,$F30,$I$3,$H30,Permanent,Trigger,ObjectOverwrite)</f>
        <v>obj_002b2#0001</v>
      </c>
      <c r="J30" s="38" t="str">
        <f>_xll.ohRangeRetrieveError(I30)</f>
        <v/>
      </c>
      <c r="K30" s="28"/>
      <c r="L30" s="50"/>
    </row>
    <row r="31" spans="1:12" ht="11.25" customHeight="1" x14ac:dyDescent="0.25">
      <c r="A31" s="47"/>
      <c r="B31" s="200">
        <v>27</v>
      </c>
      <c r="C31" s="177" t="s">
        <v>170</v>
      </c>
      <c r="D31" s="51" t="b">
        <v>1</v>
      </c>
      <c r="E31" s="177" t="str">
        <v>Z9</v>
      </c>
      <c r="F31" s="199">
        <f>_xll.qlASXdate(E31)</f>
        <v>43812</v>
      </c>
      <c r="G31" s="49" t="str">
        <f t="shared" si="0"/>
        <v>AUDFUT3MZ9_Quote</v>
      </c>
      <c r="H31" s="178" t="str">
        <f t="shared" si="1"/>
        <v>AUDFUT3MZ9ConvAdj_Quote</v>
      </c>
      <c r="I31" s="52" t="str">
        <f>_xll.qlFuturesRateHelper(,$G31,$C31,$F31,$I$3,$H31,Permanent,Trigger,ObjectOverwrite)</f>
        <v>obj_002b8#0001</v>
      </c>
      <c r="J31" s="38" t="str">
        <f>_xll.ohRangeRetrieveError(I31)</f>
        <v/>
      </c>
      <c r="K31" s="28"/>
      <c r="L31" s="50"/>
    </row>
    <row r="32" spans="1:12" ht="11.25" customHeight="1" x14ac:dyDescent="0.25">
      <c r="A32" s="47"/>
      <c r="B32" s="200">
        <v>28</v>
      </c>
      <c r="C32" s="177" t="s">
        <v>170</v>
      </c>
      <c r="D32" s="51" t="b">
        <v>1</v>
      </c>
      <c r="E32" s="177" t="str">
        <v>H0</v>
      </c>
      <c r="F32" s="199">
        <f>_xll.qlASXdate(E32)</f>
        <v>43903</v>
      </c>
      <c r="G32" s="49" t="str">
        <f t="shared" si="0"/>
        <v>AUDFUT3MH0_Quote</v>
      </c>
      <c r="H32" s="178" t="str">
        <f t="shared" si="1"/>
        <v>AUDFUT3MH0ConvAdj_Quote</v>
      </c>
      <c r="I32" s="52" t="str">
        <f>_xll.qlFuturesRateHelper(,$G32,$C32,$F32,$I$3,$H32,Permanent,Trigger,ObjectOverwrite)</f>
        <v>obj_002b0#0001</v>
      </c>
      <c r="J32" s="38" t="str">
        <f>_xll.ohRangeRetrieveError(I32)</f>
        <v/>
      </c>
      <c r="K32" s="28"/>
      <c r="L32" s="50"/>
    </row>
    <row r="33" spans="1:12" ht="11.25" customHeight="1" x14ac:dyDescent="0.25">
      <c r="A33" s="47"/>
      <c r="B33" s="200">
        <v>29</v>
      </c>
      <c r="C33" s="177" t="s">
        <v>170</v>
      </c>
      <c r="D33" s="51" t="b">
        <v>1</v>
      </c>
      <c r="E33" s="177" t="str">
        <v>M0</v>
      </c>
      <c r="F33" s="199">
        <f>_xll.qlASXdate(E33)</f>
        <v>43994</v>
      </c>
      <c r="G33" s="49" t="str">
        <f t="shared" si="0"/>
        <v>AUDFUT3MM0_Quote</v>
      </c>
      <c r="H33" s="178" t="str">
        <f t="shared" si="1"/>
        <v>AUDFUT3MM0ConvAdj_Quote</v>
      </c>
      <c r="I33" s="52" t="str">
        <f>_xll.qlFuturesRateHelper(,$G33,$C33,$F33,$I$3,$H33,Permanent,Trigger,ObjectOverwrite)</f>
        <v>obj_002c7#0001</v>
      </c>
      <c r="J33" s="38" t="str">
        <f>_xll.ohRangeRetrieveError(I33)</f>
        <v/>
      </c>
      <c r="K33" s="28"/>
      <c r="L33" s="50"/>
    </row>
    <row r="34" spans="1:12" ht="11.25" customHeight="1" x14ac:dyDescent="0.25">
      <c r="A34" s="47"/>
      <c r="B34" s="200">
        <v>30</v>
      </c>
      <c r="C34" s="177" t="s">
        <v>170</v>
      </c>
      <c r="D34" s="51" t="b">
        <v>1</v>
      </c>
      <c r="E34" s="177" t="str">
        <v>U0</v>
      </c>
      <c r="F34" s="199">
        <f>_xll.qlASXdate(E34)</f>
        <v>44085</v>
      </c>
      <c r="G34" s="49" t="str">
        <f t="shared" si="0"/>
        <v>AUDFUT3MU0_Quote</v>
      </c>
      <c r="H34" s="178" t="str">
        <f t="shared" si="1"/>
        <v>AUDFUT3MU0ConvAdj_Quote</v>
      </c>
      <c r="I34" s="52" t="str">
        <f>_xll.qlFuturesRateHelper(,$G34,$C34,$F34,$I$3,$H34,Permanent,Trigger,ObjectOverwrite)</f>
        <v>obj_002cb#0001</v>
      </c>
      <c r="J34" s="38" t="str">
        <f>_xll.ohRangeRetrieveError(I34)</f>
        <v/>
      </c>
      <c r="K34" s="28"/>
      <c r="L34" s="50"/>
    </row>
    <row r="35" spans="1:12" ht="11.25" customHeight="1" x14ac:dyDescent="0.25">
      <c r="A35" s="47"/>
      <c r="B35" s="200">
        <v>31</v>
      </c>
      <c r="C35" s="177" t="s">
        <v>170</v>
      </c>
      <c r="D35" s="51" t="b">
        <v>1</v>
      </c>
      <c r="E35" s="177" t="str">
        <v>Z0</v>
      </c>
      <c r="F35" s="199">
        <f>_xll.qlASXdate(E35)</f>
        <v>44176</v>
      </c>
      <c r="G35" s="49" t="str">
        <f t="shared" si="0"/>
        <v>AUDFUT3MZ0_Quote</v>
      </c>
      <c r="H35" s="178" t="str">
        <f t="shared" si="1"/>
        <v>AUDFUT3MZ0ConvAdj_Quote</v>
      </c>
      <c r="I35" s="52" t="str">
        <f>_xll.qlFuturesRateHelper(,$G35,$C35,$F35,$I$3,$H35,Permanent,Trigger,ObjectOverwrite)</f>
        <v>obj_002d3#0001</v>
      </c>
      <c r="J35" s="38" t="str">
        <f>_xll.ohRangeRetrieveError(I35)</f>
        <v/>
      </c>
      <c r="K35" s="28"/>
      <c r="L35" s="50"/>
    </row>
    <row r="36" spans="1:12" ht="11.25" customHeight="1" x14ac:dyDescent="0.25">
      <c r="A36" s="47"/>
      <c r="B36" s="200">
        <v>32</v>
      </c>
      <c r="C36" s="177" t="s">
        <v>170</v>
      </c>
      <c r="D36" s="51" t="b">
        <v>1</v>
      </c>
      <c r="E36" s="177" t="str">
        <v>H1</v>
      </c>
      <c r="F36" s="199">
        <f>_xll.qlASXdate(E36)</f>
        <v>44267</v>
      </c>
      <c r="G36" s="49" t="str">
        <f t="shared" si="0"/>
        <v>AUDFUT3MH1_Quote</v>
      </c>
      <c r="H36" s="178" t="str">
        <f t="shared" si="1"/>
        <v>AUDFUT3MH1ConvAdj_Quote</v>
      </c>
      <c r="I36" s="52" t="str">
        <f>_xll.qlFuturesRateHelper(,$G36,$C36,$F36,$I$3,$H36,Permanent,Trigger,ObjectOverwrite)</f>
        <v>obj_002b6#0001</v>
      </c>
      <c r="J36" s="38" t="str">
        <f>_xll.ohRangeRetrieveError(I36)</f>
        <v/>
      </c>
      <c r="K36" s="28"/>
      <c r="L36" s="50"/>
    </row>
    <row r="37" spans="1:12" ht="11.25" customHeight="1" x14ac:dyDescent="0.25">
      <c r="A37" s="47"/>
      <c r="B37" s="200">
        <v>33</v>
      </c>
      <c r="C37" s="177" t="s">
        <v>170</v>
      </c>
      <c r="D37" s="51" t="b">
        <v>1</v>
      </c>
      <c r="E37" s="177" t="str">
        <v>M1</v>
      </c>
      <c r="F37" s="199">
        <f>_xll.qlASXdate(E37)</f>
        <v>44358</v>
      </c>
      <c r="G37" s="49" t="str">
        <f t="shared" si="0"/>
        <v>AUDFUT3MM1_Quote</v>
      </c>
      <c r="H37" s="178" t="str">
        <f t="shared" si="1"/>
        <v>AUDFUT3MM1ConvAdj_Quote</v>
      </c>
      <c r="I37" s="52" t="str">
        <f>_xll.qlFuturesRateHelper(,$G37,$C37,$F37,$I$3,$H37,Permanent,Trigger,ObjectOverwrite)</f>
        <v>obj_002c5#0001</v>
      </c>
      <c r="J37" s="38" t="str">
        <f>_xll.ohRangeRetrieveError(I37)</f>
        <v/>
      </c>
      <c r="K37" s="28"/>
      <c r="L37" s="50"/>
    </row>
    <row r="38" spans="1:12" ht="11.25" customHeight="1" x14ac:dyDescent="0.25">
      <c r="A38" s="47"/>
      <c r="B38" s="200">
        <v>34</v>
      </c>
      <c r="C38" s="177" t="s">
        <v>170</v>
      </c>
      <c r="D38" s="51" t="b">
        <v>1</v>
      </c>
      <c r="E38" s="177" t="str">
        <v>U1</v>
      </c>
      <c r="F38" s="199">
        <f>_xll.qlASXdate(E38)</f>
        <v>44449</v>
      </c>
      <c r="G38" s="49" t="str">
        <f t="shared" si="0"/>
        <v>AUDFUT3MU1_Quote</v>
      </c>
      <c r="H38" s="178" t="str">
        <f t="shared" si="1"/>
        <v>AUDFUT3MU1ConvAdj_Quote</v>
      </c>
      <c r="I38" s="52" t="str">
        <f>_xll.qlFuturesRateHelper(,$G38,$C38,$F38,$I$3,$H38,Permanent,Trigger,ObjectOverwrite)</f>
        <v>obj_002c4#0001</v>
      </c>
      <c r="J38" s="38" t="str">
        <f>_xll.ohRangeRetrieveError(I38)</f>
        <v/>
      </c>
      <c r="K38" s="28"/>
      <c r="L38" s="50"/>
    </row>
    <row r="39" spans="1:12" ht="11.25" customHeight="1" x14ac:dyDescent="0.25">
      <c r="A39" s="47"/>
      <c r="B39" s="200">
        <v>35</v>
      </c>
      <c r="C39" s="177" t="s">
        <v>170</v>
      </c>
      <c r="D39" s="51" t="b">
        <v>1</v>
      </c>
      <c r="E39" s="177" t="str">
        <v>Z1</v>
      </c>
      <c r="F39" s="199">
        <f>_xll.qlASXdate(E39)</f>
        <v>44540</v>
      </c>
      <c r="G39" s="49" t="str">
        <f t="shared" si="0"/>
        <v>AUDFUT3MZ1_Quote</v>
      </c>
      <c r="H39" s="178" t="str">
        <f t="shared" si="1"/>
        <v>AUDFUT3MZ1ConvAdj_Quote</v>
      </c>
      <c r="I39" s="52" t="str">
        <f>_xll.qlFuturesRateHelper(,$G39,$C39,$F39,$I$3,$H39,Permanent,Trigger,ObjectOverwrite)</f>
        <v>obj_002b7#0001</v>
      </c>
      <c r="J39" s="38" t="str">
        <f>_xll.ohRangeRetrieveError(I39)</f>
        <v/>
      </c>
      <c r="K39" s="28"/>
      <c r="L39" s="50"/>
    </row>
    <row r="40" spans="1:12" ht="11.25" customHeight="1" x14ac:dyDescent="0.25">
      <c r="A40" s="47"/>
      <c r="B40" s="200">
        <v>36</v>
      </c>
      <c r="C40" s="177" t="s">
        <v>170</v>
      </c>
      <c r="D40" s="51" t="b">
        <v>1</v>
      </c>
      <c r="E40" s="177" t="str">
        <v>H2</v>
      </c>
      <c r="F40" s="199">
        <f>_xll.qlASXdate(E40)</f>
        <v>44631</v>
      </c>
      <c r="G40" s="49" t="str">
        <f t="shared" si="0"/>
        <v>AUDFUT3MH2_Quote</v>
      </c>
      <c r="H40" s="178" t="str">
        <f t="shared" si="1"/>
        <v>AUDFUT3MH2ConvAdj_Quote</v>
      </c>
      <c r="I40" s="52" t="str">
        <f>_xll.qlFuturesRateHelper(,$G40,$C40,$F40,$I$3,$H40,Permanent,Trigger,ObjectOverwrite)</f>
        <v>obj_002c1#0001</v>
      </c>
      <c r="J40" s="38" t="str">
        <f>_xll.ohRangeRetrieveError(I40)</f>
        <v/>
      </c>
      <c r="K40" s="28"/>
      <c r="L40" s="50"/>
    </row>
    <row r="41" spans="1:12" ht="11.25" customHeight="1" x14ac:dyDescent="0.25">
      <c r="A41" s="47"/>
      <c r="B41" s="200">
        <v>37</v>
      </c>
      <c r="C41" s="177" t="s">
        <v>170</v>
      </c>
      <c r="D41" s="51" t="b">
        <v>1</v>
      </c>
      <c r="E41" s="177" t="str">
        <v>M2</v>
      </c>
      <c r="F41" s="199">
        <f>_xll.qlASXdate(E41)</f>
        <v>44722</v>
      </c>
      <c r="G41" s="49" t="str">
        <f t="shared" si="0"/>
        <v>AUDFUT3MM2_Quote</v>
      </c>
      <c r="H41" s="178" t="str">
        <f t="shared" si="1"/>
        <v>AUDFUT3MM2ConvAdj_Quote</v>
      </c>
      <c r="I41" s="52" t="str">
        <f>_xll.qlFuturesRateHelper(,$G41,$C41,$F41,$I$3,$H41,Permanent,Trigger,ObjectOverwrite)</f>
        <v>obj_002bf#0001</v>
      </c>
      <c r="J41" s="38" t="str">
        <f>_xll.ohRangeRetrieveError(I41)</f>
        <v/>
      </c>
      <c r="K41" s="28"/>
      <c r="L41" s="50"/>
    </row>
    <row r="42" spans="1:12" ht="11.25" customHeight="1" x14ac:dyDescent="0.25">
      <c r="A42" s="47"/>
      <c r="B42" s="200">
        <v>38</v>
      </c>
      <c r="C42" s="177" t="s">
        <v>170</v>
      </c>
      <c r="D42" s="51" t="b">
        <v>1</v>
      </c>
      <c r="E42" s="177" t="str">
        <v>U2</v>
      </c>
      <c r="F42" s="199">
        <f>_xll.qlASXdate(E42)</f>
        <v>44813</v>
      </c>
      <c r="G42" s="49" t="str">
        <f t="shared" si="0"/>
        <v>AUDFUT3MU2_Quote</v>
      </c>
      <c r="H42" s="178" t="str">
        <f t="shared" si="1"/>
        <v>AUDFUT3MU2ConvAdj_Quote</v>
      </c>
      <c r="I42" s="52" t="str">
        <f>_xll.qlFuturesRateHelper(,$G42,$C42,$F42,$I$3,$H42,Permanent,Trigger,ObjectOverwrite)</f>
        <v>obj_002bd#0001</v>
      </c>
      <c r="J42" s="38" t="str">
        <f>_xll.ohRangeRetrieveError(I42)</f>
        <v/>
      </c>
      <c r="K42" s="28"/>
    </row>
    <row r="43" spans="1:12" ht="11.25" customHeight="1" x14ac:dyDescent="0.25">
      <c r="A43" s="47"/>
      <c r="B43" s="200">
        <v>39</v>
      </c>
      <c r="C43" s="177" t="s">
        <v>170</v>
      </c>
      <c r="D43" s="51" t="b">
        <v>1</v>
      </c>
      <c r="E43" s="177" t="str">
        <v>Z2</v>
      </c>
      <c r="F43" s="199">
        <f>_xll.qlASXdate(E43)</f>
        <v>44904</v>
      </c>
      <c r="G43" s="49" t="str">
        <f t="shared" si="0"/>
        <v>AUDFUT3MZ2_Quote</v>
      </c>
      <c r="H43" s="178" t="str">
        <f t="shared" si="1"/>
        <v>AUDFUT3MZ2ConvAdj_Quote</v>
      </c>
      <c r="I43" s="52" t="str">
        <f>_xll.qlFuturesRateHelper(,$G43,$C43,$F43,$I$3,$H43,Permanent,Trigger,ObjectOverwrite)</f>
        <v>obj_002c2#0001</v>
      </c>
      <c r="J43" s="38" t="str">
        <f>_xll.ohRangeRetrieveError(I43)</f>
        <v/>
      </c>
      <c r="K43" s="28"/>
    </row>
    <row r="44" spans="1:12" ht="11.25" customHeight="1" x14ac:dyDescent="0.25">
      <c r="A44" s="47"/>
      <c r="B44" s="200">
        <v>40</v>
      </c>
      <c r="C44" s="177" t="s">
        <v>170</v>
      </c>
      <c r="D44" s="51" t="b">
        <v>1</v>
      </c>
      <c r="E44" s="177" t="str">
        <v>H3</v>
      </c>
      <c r="F44" s="199">
        <f>_xll.qlASXdate(E44)</f>
        <v>44995</v>
      </c>
      <c r="G44" s="49" t="str">
        <f t="shared" si="0"/>
        <v>AUDFUT3MH3_Quote</v>
      </c>
      <c r="H44" s="178" t="str">
        <f t="shared" si="1"/>
        <v>AUDFUT3MH3ConvAdj_Quote</v>
      </c>
      <c r="I44" s="52" t="str">
        <f>_xll.qlFuturesRateHelper(,$G44,$C44,$F44,$I$3,$H44,Permanent,Trigger,ObjectOverwrite)</f>
        <v>obj_002be#0001</v>
      </c>
      <c r="J44" s="38" t="str">
        <f>_xll.ohRangeRetrieveError(I44)</f>
        <v/>
      </c>
      <c r="K44" s="28"/>
    </row>
    <row r="45" spans="1:12" ht="11.25" customHeight="1" x14ac:dyDescent="0.25">
      <c r="A45" s="47"/>
      <c r="B45" s="200">
        <v>41</v>
      </c>
      <c r="C45" s="177" t="s">
        <v>170</v>
      </c>
      <c r="D45" s="51" t="b">
        <v>1</v>
      </c>
      <c r="E45" s="177" t="str">
        <v>M3</v>
      </c>
      <c r="F45" s="199">
        <f>_xll.qlASXdate(E45)</f>
        <v>45086</v>
      </c>
      <c r="G45" s="49" t="str">
        <f t="shared" si="0"/>
        <v>AUDFUT3MM3_Quote</v>
      </c>
      <c r="H45" s="178" t="str">
        <f t="shared" si="1"/>
        <v>AUDFUT3MM3ConvAdj_Quote</v>
      </c>
      <c r="I45" s="52" t="str">
        <f>_xll.qlFuturesRateHelper(,$G45,$C45,$F45,$I$3,$H45,Permanent,Trigger,ObjectOverwrite)</f>
        <v>obj_002d4#0001</v>
      </c>
      <c r="J45" s="38" t="str">
        <f>_xll.ohRangeRetrieveError(I45)</f>
        <v/>
      </c>
      <c r="K45" s="28"/>
    </row>
    <row r="46" spans="1:12" ht="11.25" customHeight="1" x14ac:dyDescent="0.25">
      <c r="A46" s="47"/>
      <c r="B46" s="200">
        <v>42</v>
      </c>
      <c r="C46" s="177" t="s">
        <v>170</v>
      </c>
      <c r="D46" s="51" t="b">
        <v>1</v>
      </c>
      <c r="E46" s="177" t="str">
        <v>U3</v>
      </c>
      <c r="F46" s="199">
        <f>_xll.qlASXdate(E46)</f>
        <v>45177</v>
      </c>
      <c r="G46" s="49" t="str">
        <f t="shared" si="0"/>
        <v>AUDFUT3MU3_Quote</v>
      </c>
      <c r="H46" s="178" t="str">
        <f t="shared" si="1"/>
        <v>AUDFUT3MU3ConvAdj_Quote</v>
      </c>
      <c r="I46" s="52" t="str">
        <f>_xll.qlFuturesRateHelper(,$G46,$C46,$F46,$I$3,$H46,Permanent,Trigger,ObjectOverwrite)</f>
        <v>obj_002ce#0001</v>
      </c>
      <c r="J46" s="38" t="str">
        <f>_xll.ohRangeRetrieveError(I46)</f>
        <v/>
      </c>
      <c r="K46" s="28"/>
    </row>
    <row r="47" spans="1:12" ht="11.25" customHeight="1" thickBot="1" x14ac:dyDescent="0.3">
      <c r="A47" s="53"/>
      <c r="B47" s="54"/>
      <c r="C47" s="54"/>
      <c r="D47" s="54"/>
      <c r="E47" s="54"/>
      <c r="F47" s="54"/>
      <c r="G47" s="54"/>
      <c r="H47" s="54"/>
      <c r="I47" s="54"/>
      <c r="J47" s="54"/>
      <c r="K47" s="41"/>
    </row>
  </sheetData>
  <dataValidations count="1">
    <dataValidation type="list" allowBlank="1" showInputMessage="1" showErrorMessage="1" sqref="C5:C46">
      <formula1>"IMM,ASX"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43"/>
  <sheetViews>
    <sheetView workbookViewId="0">
      <selection activeCell="L2" sqref="L2"/>
    </sheetView>
  </sheetViews>
  <sheetFormatPr defaultRowHeight="11.25" x14ac:dyDescent="0.2"/>
  <cols>
    <col min="1" max="1" width="2.7109375" style="1" customWidth="1"/>
    <col min="2" max="2" width="5.7109375" style="1" customWidth="1"/>
    <col min="3" max="3" width="5.7109375" style="72" customWidth="1"/>
    <col min="4" max="4" width="3.85546875" style="1" bestFit="1" customWidth="1"/>
    <col min="5" max="6" width="5" style="1" bestFit="1" customWidth="1"/>
    <col min="7" max="7" width="11" style="1" bestFit="1" customWidth="1"/>
    <col min="8" max="10" width="19.28515625" style="1" bestFit="1" customWidth="1"/>
    <col min="11" max="11" width="18.28515625" style="1" bestFit="1" customWidth="1"/>
    <col min="12" max="12" width="22" style="17" bestFit="1" customWidth="1"/>
    <col min="13" max="13" width="20.7109375" style="1" customWidth="1"/>
    <col min="14" max="14" width="2.7109375" style="1" customWidth="1"/>
    <col min="15" max="15" width="2.5703125" style="1" customWidth="1"/>
    <col min="16" max="16" width="4" style="1" customWidth="1"/>
    <col min="17" max="17" width="3.140625" style="1" customWidth="1"/>
    <col min="18" max="18" width="2.7109375" style="1" customWidth="1"/>
    <col min="19" max="16384" width="9.140625" style="1"/>
  </cols>
  <sheetData>
    <row r="1" spans="1:18" ht="12" x14ac:dyDescent="0.2">
      <c r="A1" s="30"/>
      <c r="B1" s="26"/>
      <c r="C1" s="26"/>
      <c r="D1" s="26"/>
      <c r="E1" s="26"/>
      <c r="F1" s="26"/>
      <c r="G1" s="26"/>
      <c r="H1" s="26"/>
      <c r="J1" s="23" t="str">
        <f>IndexTenor</f>
        <v>3M</v>
      </c>
      <c r="K1" s="23" t="str">
        <f>Currency&amp;"_YC"&amp;$J$1&amp;"RH"</f>
        <v>AUD_YC3MRH</v>
      </c>
      <c r="L1" s="59" t="str">
        <f>K1&amp;"_Swaps.xml"</f>
        <v>AUD_YC3MRH_Swaps.xml</v>
      </c>
      <c r="M1" s="26"/>
      <c r="N1" s="58"/>
    </row>
    <row r="2" spans="1:18" ht="36" customHeight="1" x14ac:dyDescent="0.2">
      <c r="A2" s="30"/>
      <c r="B2" s="31" t="s">
        <v>171</v>
      </c>
      <c r="C2" s="31" t="s">
        <v>172</v>
      </c>
      <c r="D2" s="31"/>
      <c r="E2" s="31"/>
      <c r="F2" s="31"/>
      <c r="G2" s="31" t="s">
        <v>99</v>
      </c>
      <c r="H2" s="31" t="s">
        <v>98</v>
      </c>
      <c r="I2" s="31" t="s">
        <v>97</v>
      </c>
      <c r="J2" s="31" t="s">
        <v>96</v>
      </c>
      <c r="K2" s="31" t="s">
        <v>82</v>
      </c>
      <c r="L2" s="60" t="str">
        <f>IF(Serialize,_xll.ohObjectSave(L3:L42,SerializationPath&amp;L1,FileOverwrite,Serialize),"---")</f>
        <v>---</v>
      </c>
      <c r="M2" s="61" t="str">
        <f>_xll.ohRangeRetrieveError(L2)</f>
        <v/>
      </c>
      <c r="N2" s="58"/>
    </row>
    <row r="3" spans="1:18" x14ac:dyDescent="0.2">
      <c r="A3" s="25"/>
      <c r="B3" s="26"/>
      <c r="C3" s="26"/>
      <c r="D3" s="26"/>
      <c r="E3" s="26"/>
      <c r="F3" s="26"/>
      <c r="G3" s="26"/>
      <c r="H3" s="26"/>
      <c r="I3" s="26"/>
      <c r="J3" s="26"/>
      <c r="K3" s="26"/>
      <c r="L3" s="62" t="str">
        <f>_xll.qlIborIndex(,FamilyName,IndexTenor,NDays,Currency,Calendar,"Half-Month Modified Following",TRUE,"actual/365 (fixed)",,,Trigger,ObjectOverwrite)</f>
        <v>obj_00272#0001</v>
      </c>
      <c r="M3" s="63" t="str">
        <f>_xll.ohRangeRetrieveError(L3)</f>
        <v/>
      </c>
      <c r="N3" s="58"/>
    </row>
    <row r="4" spans="1:18" x14ac:dyDescent="0.2">
      <c r="A4" s="25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58"/>
      <c r="P4" s="72"/>
      <c r="Q4" s="72"/>
      <c r="R4" s="72"/>
    </row>
    <row r="5" spans="1:18" x14ac:dyDescent="0.2">
      <c r="A5" s="30"/>
      <c r="B5" s="179">
        <v>1</v>
      </c>
      <c r="C5" s="179" t="s">
        <v>173</v>
      </c>
      <c r="D5" s="180" t="s">
        <v>36</v>
      </c>
      <c r="E5" s="179" t="s">
        <v>154</v>
      </c>
      <c r="F5" s="179" t="s">
        <v>155</v>
      </c>
      <c r="G5" s="179" t="s">
        <v>160</v>
      </c>
      <c r="H5" s="181" t="s">
        <v>95</v>
      </c>
      <c r="I5" s="181" t="s">
        <v>151</v>
      </c>
      <c r="J5" s="186">
        <v>0</v>
      </c>
      <c r="K5" s="182" t="str">
        <f t="shared" ref="K5:K41" si="0">Currency&amp;$E5&amp;$F5&amp;$D5&amp;"_Quote"</f>
        <v>AUDQM3AB1Y_Quote</v>
      </c>
      <c r="L5" s="183" t="str">
        <f>_xll.qlSwapRateHelper2(,$K5,B5,$D5,Calendar,$G5,$H5,$I5,$L$3,$J5,C5,Discounting,Permanent,,ObjectOverwrite)</f>
        <v>obj_00292#0001</v>
      </c>
      <c r="M5" s="61" t="str">
        <f>_xll.ohRangeRetrieveError(L5)</f>
        <v/>
      </c>
      <c r="N5" s="58"/>
      <c r="P5" s="72"/>
      <c r="Q5" s="72"/>
      <c r="R5" s="72"/>
    </row>
    <row r="6" spans="1:18" x14ac:dyDescent="0.2">
      <c r="A6" s="30"/>
      <c r="B6" s="179">
        <v>1</v>
      </c>
      <c r="C6" s="179" t="s">
        <v>173</v>
      </c>
      <c r="D6" s="180" t="s">
        <v>35</v>
      </c>
      <c r="E6" s="179" t="s">
        <v>154</v>
      </c>
      <c r="F6" s="179" t="s">
        <v>155</v>
      </c>
      <c r="G6" s="179" t="s">
        <v>160</v>
      </c>
      <c r="H6" s="184" t="s">
        <v>95</v>
      </c>
      <c r="I6" s="181" t="s">
        <v>151</v>
      </c>
      <c r="J6" s="186">
        <v>0</v>
      </c>
      <c r="K6" s="182" t="str">
        <f t="shared" si="0"/>
        <v>AUDQM3AB15M_Quote</v>
      </c>
      <c r="L6" s="183" t="str">
        <f>_xll.qlSwapRateHelper2(,$K6,B6,$D6,Calendar,$G6,$H6,$I6,$L$3,$J6,C6,Discounting,Permanent,,ObjectOverwrite)</f>
        <v>obj_002a4#0001</v>
      </c>
      <c r="M6" s="61" t="str">
        <f>_xll.ohRangeRetrieveError(L6)</f>
        <v/>
      </c>
      <c r="N6" s="58"/>
      <c r="P6" s="72"/>
      <c r="Q6" s="72"/>
      <c r="R6" s="72"/>
    </row>
    <row r="7" spans="1:18" x14ac:dyDescent="0.2">
      <c r="A7" s="30"/>
      <c r="B7" s="179">
        <v>1</v>
      </c>
      <c r="C7" s="179" t="s">
        <v>173</v>
      </c>
      <c r="D7" s="180" t="s">
        <v>34</v>
      </c>
      <c r="E7" s="179" t="s">
        <v>154</v>
      </c>
      <c r="F7" s="179" t="s">
        <v>155</v>
      </c>
      <c r="G7" s="179" t="s">
        <v>160</v>
      </c>
      <c r="H7" s="184" t="s">
        <v>95</v>
      </c>
      <c r="I7" s="181" t="s">
        <v>151</v>
      </c>
      <c r="J7" s="186">
        <v>0</v>
      </c>
      <c r="K7" s="182" t="str">
        <f t="shared" si="0"/>
        <v>AUDQM3AB18M_Quote</v>
      </c>
      <c r="L7" s="183" t="str">
        <f>_xll.qlSwapRateHelper2(,$K7,B7,$D7,Calendar,$G7,$H7,$I7,$L$3,$J7,C7,Discounting,Permanent,,ObjectOverwrite)</f>
        <v>obj_0028f#0001</v>
      </c>
      <c r="M7" s="61" t="str">
        <f>_xll.ohRangeRetrieveError(L7)</f>
        <v/>
      </c>
      <c r="N7" s="58"/>
      <c r="P7" s="72"/>
      <c r="Q7" s="72"/>
      <c r="R7" s="72"/>
    </row>
    <row r="8" spans="1:18" x14ac:dyDescent="0.2">
      <c r="A8" s="30"/>
      <c r="B8" s="179">
        <v>1</v>
      </c>
      <c r="C8" s="179" t="s">
        <v>173</v>
      </c>
      <c r="D8" s="180" t="s">
        <v>33</v>
      </c>
      <c r="E8" s="179" t="s">
        <v>154</v>
      </c>
      <c r="F8" s="179" t="s">
        <v>155</v>
      </c>
      <c r="G8" s="179" t="s">
        <v>160</v>
      </c>
      <c r="H8" s="184" t="s">
        <v>95</v>
      </c>
      <c r="I8" s="181" t="s">
        <v>151</v>
      </c>
      <c r="J8" s="186">
        <v>0</v>
      </c>
      <c r="K8" s="182" t="str">
        <f t="shared" si="0"/>
        <v>AUDQM3AB21M_Quote</v>
      </c>
      <c r="L8" s="183" t="str">
        <f>_xll.qlSwapRateHelper2(,$K8,B8,$D8,Calendar,$G8,$H8,$I8,$L$3,$J8,C8,Discounting,Permanent,,ObjectOverwrite)</f>
        <v>obj_002a1#0001</v>
      </c>
      <c r="M8" s="61" t="str">
        <f>_xll.ohRangeRetrieveError(L8)</f>
        <v/>
      </c>
      <c r="N8" s="58"/>
      <c r="P8" s="72"/>
      <c r="Q8" s="72"/>
      <c r="R8" s="72"/>
    </row>
    <row r="9" spans="1:18" x14ac:dyDescent="0.2">
      <c r="A9" s="30"/>
      <c r="B9" s="179">
        <v>1</v>
      </c>
      <c r="C9" s="201" t="s">
        <v>173</v>
      </c>
      <c r="D9" s="185" t="s">
        <v>32</v>
      </c>
      <c r="E9" s="179" t="s">
        <v>154</v>
      </c>
      <c r="F9" s="179" t="s">
        <v>155</v>
      </c>
      <c r="G9" s="179" t="s">
        <v>160</v>
      </c>
      <c r="H9" s="184" t="s">
        <v>95</v>
      </c>
      <c r="I9" s="181" t="s">
        <v>151</v>
      </c>
      <c r="J9" s="186">
        <v>0</v>
      </c>
      <c r="K9" s="182" t="str">
        <f t="shared" si="0"/>
        <v>AUDQM3AB2Y_Quote</v>
      </c>
      <c r="L9" s="183" t="str">
        <f>_xll.qlSwapRateHelper2(,$K9,B9,$D9,Calendar,$G9,$H9,$I9,$L$3,$J9,C9,Discounting,Permanent,,ObjectOverwrite)</f>
        <v>obj_00285#0001</v>
      </c>
      <c r="M9" s="61" t="str">
        <f>_xll.ohRangeRetrieveError(L9)</f>
        <v/>
      </c>
      <c r="N9" s="58"/>
      <c r="P9" s="72"/>
      <c r="Q9" s="72"/>
      <c r="R9" s="72"/>
    </row>
    <row r="10" spans="1:18" x14ac:dyDescent="0.2">
      <c r="A10" s="30"/>
      <c r="B10" s="179">
        <v>1</v>
      </c>
      <c r="C10" s="201" t="s">
        <v>173</v>
      </c>
      <c r="D10" s="185" t="s">
        <v>31</v>
      </c>
      <c r="E10" s="179" t="s">
        <v>154</v>
      </c>
      <c r="F10" s="179" t="s">
        <v>155</v>
      </c>
      <c r="G10" s="179" t="s">
        <v>160</v>
      </c>
      <c r="H10" s="184" t="s">
        <v>95</v>
      </c>
      <c r="I10" s="181" t="s">
        <v>151</v>
      </c>
      <c r="J10" s="186">
        <v>0</v>
      </c>
      <c r="K10" s="182" t="str">
        <f t="shared" si="0"/>
        <v>AUDQM3AB3Y_Quote</v>
      </c>
      <c r="L10" s="183" t="str">
        <f>_xll.qlSwapRateHelper2(,$K10,B10,$D10,Calendar,$G10,$H10,$I10,$L$3,$J10,C10,Discounting,Permanent,,ObjectOverwrite)</f>
        <v>obj_002a2#0001</v>
      </c>
      <c r="M10" s="61" t="str">
        <f>_xll.ohRangeRetrieveError(L10)</f>
        <v/>
      </c>
      <c r="N10" s="58"/>
      <c r="R10" s="72"/>
    </row>
    <row r="11" spans="1:18" x14ac:dyDescent="0.2">
      <c r="A11" s="30"/>
      <c r="B11" s="64">
        <v>1</v>
      </c>
      <c r="C11" s="202" t="s">
        <v>173</v>
      </c>
      <c r="D11" s="69" t="s">
        <v>30</v>
      </c>
      <c r="E11" s="64" t="s">
        <v>156</v>
      </c>
      <c r="F11" s="64" t="s">
        <v>157</v>
      </c>
      <c r="G11" s="64" t="s">
        <v>159</v>
      </c>
      <c r="H11" s="48" t="s">
        <v>95</v>
      </c>
      <c r="I11" s="65" t="s">
        <v>151</v>
      </c>
      <c r="J11" s="65" t="str">
        <f t="shared" ref="J11:J41" si="1">Currency&amp;"3BR"&amp;"6BR"&amp;D11&amp;QuoteSuffix</f>
        <v>AUD3BR6BR4Y_Quote</v>
      </c>
      <c r="K11" s="68" t="str">
        <f t="shared" si="0"/>
        <v>AUDSM6AB4Y_Quote</v>
      </c>
      <c r="L11" s="67" t="str">
        <f>_xll.qlSwapRateHelper2(,$K11,B11,$D11,Calendar,$G11,$H11,$I11,$L$3,$J11,C11,Discounting,Permanent,,ObjectOverwrite)</f>
        <v>obj_00281#0001</v>
      </c>
      <c r="M11" s="61" t="str">
        <f>_xll.ohRangeRetrieveError(L11)</f>
        <v/>
      </c>
      <c r="N11" s="58"/>
      <c r="R11" s="72"/>
    </row>
    <row r="12" spans="1:18" x14ac:dyDescent="0.2">
      <c r="A12" s="30"/>
      <c r="B12" s="64">
        <v>1</v>
      </c>
      <c r="C12" s="202" t="s">
        <v>173</v>
      </c>
      <c r="D12" s="69" t="s">
        <v>29</v>
      </c>
      <c r="E12" s="64" t="s">
        <v>156</v>
      </c>
      <c r="F12" s="64" t="s">
        <v>157</v>
      </c>
      <c r="G12" s="64" t="s">
        <v>159</v>
      </c>
      <c r="H12" s="48" t="s">
        <v>95</v>
      </c>
      <c r="I12" s="65" t="s">
        <v>151</v>
      </c>
      <c r="J12" s="65" t="str">
        <f t="shared" si="1"/>
        <v>AUD3BR6BR5Y_Quote</v>
      </c>
      <c r="K12" s="68" t="str">
        <f t="shared" si="0"/>
        <v>AUDSM6AB5Y_Quote</v>
      </c>
      <c r="L12" s="67" t="str">
        <f>_xll.qlSwapRateHelper2(,$K12,B12,$D12,Calendar,$G12,$H12,$I12,$L$3,$J12,C12,Discounting,Permanent,,ObjectOverwrite)</f>
        <v>obj_00297#0001</v>
      </c>
      <c r="M12" s="61" t="str">
        <f>_xll.ohRangeRetrieveError(L12)</f>
        <v/>
      </c>
      <c r="N12" s="58"/>
      <c r="R12" s="72"/>
    </row>
    <row r="13" spans="1:18" x14ac:dyDescent="0.2">
      <c r="A13" s="30"/>
      <c r="B13" s="64">
        <v>1</v>
      </c>
      <c r="C13" s="202" t="s">
        <v>173</v>
      </c>
      <c r="D13" s="69" t="s">
        <v>28</v>
      </c>
      <c r="E13" s="64" t="s">
        <v>156</v>
      </c>
      <c r="F13" s="64" t="s">
        <v>157</v>
      </c>
      <c r="G13" s="64" t="s">
        <v>159</v>
      </c>
      <c r="H13" s="48" t="s">
        <v>95</v>
      </c>
      <c r="I13" s="65" t="s">
        <v>151</v>
      </c>
      <c r="J13" s="65" t="str">
        <f t="shared" si="1"/>
        <v>AUD3BR6BR6Y_Quote</v>
      </c>
      <c r="K13" s="68" t="str">
        <f t="shared" si="0"/>
        <v>AUDSM6AB6Y_Quote</v>
      </c>
      <c r="L13" s="67" t="str">
        <f>_xll.qlSwapRateHelper2(,$K13,B13,$D13,Calendar,$G13,$H13,$I13,$L$3,$J13,C13,Discounting,Permanent,,ObjectOverwrite)</f>
        <v>obj_0027f#0001</v>
      </c>
      <c r="M13" s="61" t="str">
        <f>_xll.ohRangeRetrieveError(L13)</f>
        <v/>
      </c>
      <c r="N13" s="58"/>
      <c r="R13" s="72"/>
    </row>
    <row r="14" spans="1:18" x14ac:dyDescent="0.2">
      <c r="A14" s="30"/>
      <c r="B14" s="64">
        <v>1</v>
      </c>
      <c r="C14" s="202" t="s">
        <v>173</v>
      </c>
      <c r="D14" s="69" t="s">
        <v>27</v>
      </c>
      <c r="E14" s="64" t="s">
        <v>156</v>
      </c>
      <c r="F14" s="64" t="s">
        <v>157</v>
      </c>
      <c r="G14" s="64" t="s">
        <v>159</v>
      </c>
      <c r="H14" s="48" t="s">
        <v>95</v>
      </c>
      <c r="I14" s="65" t="s">
        <v>151</v>
      </c>
      <c r="J14" s="65" t="str">
        <f t="shared" si="1"/>
        <v>AUD3BR6BR7Y_Quote</v>
      </c>
      <c r="K14" s="68" t="str">
        <f t="shared" si="0"/>
        <v>AUDSM6AB7Y_Quote</v>
      </c>
      <c r="L14" s="67" t="str">
        <f>_xll.qlSwapRateHelper2(,$K14,B14,$D14,Calendar,$G14,$H14,$I14,$L$3,$J14,C14,Discounting,Permanent,,ObjectOverwrite)</f>
        <v>obj_00280#0001</v>
      </c>
      <c r="M14" s="61" t="str">
        <f>_xll.ohRangeRetrieveError(L14)</f>
        <v/>
      </c>
      <c r="N14" s="58"/>
    </row>
    <row r="15" spans="1:18" x14ac:dyDescent="0.2">
      <c r="A15" s="30"/>
      <c r="B15" s="64">
        <v>1</v>
      </c>
      <c r="C15" s="202" t="s">
        <v>173</v>
      </c>
      <c r="D15" s="69" t="s">
        <v>26</v>
      </c>
      <c r="E15" s="64" t="s">
        <v>156</v>
      </c>
      <c r="F15" s="64" t="s">
        <v>157</v>
      </c>
      <c r="G15" s="64" t="s">
        <v>159</v>
      </c>
      <c r="H15" s="48" t="s">
        <v>95</v>
      </c>
      <c r="I15" s="65" t="s">
        <v>151</v>
      </c>
      <c r="J15" s="65" t="str">
        <f t="shared" si="1"/>
        <v>AUD3BR6BR8Y_Quote</v>
      </c>
      <c r="K15" s="68" t="str">
        <f t="shared" si="0"/>
        <v>AUDSM6AB8Y_Quote</v>
      </c>
      <c r="L15" s="67" t="str">
        <f>_xll.qlSwapRateHelper2(,$K15,B15,$D15,Calendar,$G15,$H15,$I15,$L$3,$J15,C15,Discounting,Permanent,,ObjectOverwrite)</f>
        <v>obj_00282#0001</v>
      </c>
      <c r="M15" s="61" t="str">
        <f>_xll.ohRangeRetrieveError(L15)</f>
        <v/>
      </c>
      <c r="N15" s="58"/>
    </row>
    <row r="16" spans="1:18" x14ac:dyDescent="0.2">
      <c r="A16" s="30"/>
      <c r="B16" s="64">
        <v>1</v>
      </c>
      <c r="C16" s="202" t="s">
        <v>173</v>
      </c>
      <c r="D16" s="69" t="s">
        <v>25</v>
      </c>
      <c r="E16" s="64" t="s">
        <v>156</v>
      </c>
      <c r="F16" s="64" t="s">
        <v>157</v>
      </c>
      <c r="G16" s="64" t="s">
        <v>159</v>
      </c>
      <c r="H16" s="48" t="s">
        <v>95</v>
      </c>
      <c r="I16" s="65" t="s">
        <v>151</v>
      </c>
      <c r="J16" s="65" t="str">
        <f t="shared" si="1"/>
        <v>AUD3BR6BR9Y_Quote</v>
      </c>
      <c r="K16" s="68" t="str">
        <f t="shared" si="0"/>
        <v>AUDSM6AB9Y_Quote</v>
      </c>
      <c r="L16" s="67" t="str">
        <f>_xll.qlSwapRateHelper2(,$K16,B16,$D16,Calendar,$G16,$H16,$I16,$L$3,$J16,C16,Discounting,Permanent,,ObjectOverwrite)</f>
        <v>obj_0029d#0001</v>
      </c>
      <c r="M16" s="61" t="str">
        <f>_xll.ohRangeRetrieveError(L16)</f>
        <v/>
      </c>
      <c r="N16" s="58"/>
    </row>
    <row r="17" spans="1:14" x14ac:dyDescent="0.2">
      <c r="A17" s="30"/>
      <c r="B17" s="64">
        <v>1</v>
      </c>
      <c r="C17" s="202" t="s">
        <v>173</v>
      </c>
      <c r="D17" s="69" t="s">
        <v>24</v>
      </c>
      <c r="E17" s="64" t="s">
        <v>156</v>
      </c>
      <c r="F17" s="64" t="s">
        <v>157</v>
      </c>
      <c r="G17" s="64" t="s">
        <v>159</v>
      </c>
      <c r="H17" s="48" t="s">
        <v>95</v>
      </c>
      <c r="I17" s="65" t="s">
        <v>151</v>
      </c>
      <c r="J17" s="65" t="str">
        <f t="shared" si="1"/>
        <v>AUD3BR6BR10Y_Quote</v>
      </c>
      <c r="K17" s="68" t="str">
        <f t="shared" si="0"/>
        <v>AUDSM6AB10Y_Quote</v>
      </c>
      <c r="L17" s="67" t="str">
        <f>_xll.qlSwapRateHelper2(,$K17,B17,$D17,Calendar,$G17,$H17,$I17,$L$3,$J17,C17,Discounting,Permanent,,ObjectOverwrite)</f>
        <v>obj_00289#0001</v>
      </c>
      <c r="M17" s="61" t="str">
        <f>_xll.ohRangeRetrieveError(L17)</f>
        <v/>
      </c>
      <c r="N17" s="58"/>
    </row>
    <row r="18" spans="1:14" x14ac:dyDescent="0.2">
      <c r="A18" s="30"/>
      <c r="B18" s="64">
        <v>1</v>
      </c>
      <c r="C18" s="202" t="s">
        <v>173</v>
      </c>
      <c r="D18" s="69" t="s">
        <v>23</v>
      </c>
      <c r="E18" s="64" t="s">
        <v>156</v>
      </c>
      <c r="F18" s="64" t="s">
        <v>157</v>
      </c>
      <c r="G18" s="64" t="s">
        <v>159</v>
      </c>
      <c r="H18" s="48" t="s">
        <v>95</v>
      </c>
      <c r="I18" s="65" t="s">
        <v>151</v>
      </c>
      <c r="J18" s="65" t="str">
        <f t="shared" si="1"/>
        <v>AUD3BR6BR11Y_Quote</v>
      </c>
      <c r="K18" s="68" t="str">
        <f t="shared" si="0"/>
        <v>AUDSM6AB11Y_Quote</v>
      </c>
      <c r="L18" s="67" t="str">
        <f>_xll.qlSwapRateHelper2(,$K18,B18,$D18,Calendar,$G18,$H18,$I18,$L$3,$J18,C18,Discounting,Permanent,,ObjectOverwrite)</f>
        <v>obj_002ab#0001</v>
      </c>
      <c r="M18" s="61" t="str">
        <f>_xll.ohRangeRetrieveError(L18)</f>
        <v/>
      </c>
      <c r="N18" s="58"/>
    </row>
    <row r="19" spans="1:14" x14ac:dyDescent="0.2">
      <c r="A19" s="30"/>
      <c r="B19" s="64">
        <v>1</v>
      </c>
      <c r="C19" s="202" t="s">
        <v>173</v>
      </c>
      <c r="D19" s="69" t="s">
        <v>22</v>
      </c>
      <c r="E19" s="64" t="s">
        <v>156</v>
      </c>
      <c r="F19" s="64" t="s">
        <v>157</v>
      </c>
      <c r="G19" s="64" t="s">
        <v>159</v>
      </c>
      <c r="H19" s="48" t="s">
        <v>95</v>
      </c>
      <c r="I19" s="65" t="s">
        <v>151</v>
      </c>
      <c r="J19" s="65" t="str">
        <f t="shared" si="1"/>
        <v>AUD3BR6BR12Y_Quote</v>
      </c>
      <c r="K19" s="68" t="str">
        <f t="shared" si="0"/>
        <v>AUDSM6AB12Y_Quote</v>
      </c>
      <c r="L19" s="67" t="str">
        <f>_xll.qlSwapRateHelper2(,$K19,B19,$D19,Calendar,$G19,$H19,$I19,$L$3,$J19,C19,Discounting,Permanent,,ObjectOverwrite)</f>
        <v>obj_002a9#0001</v>
      </c>
      <c r="M19" s="61" t="str">
        <f>_xll.ohRangeRetrieveError(L19)</f>
        <v/>
      </c>
      <c r="N19" s="58"/>
    </row>
    <row r="20" spans="1:14" x14ac:dyDescent="0.2">
      <c r="A20" s="30"/>
      <c r="B20" s="64">
        <v>1</v>
      </c>
      <c r="C20" s="202" t="s">
        <v>173</v>
      </c>
      <c r="D20" s="69" t="s">
        <v>21</v>
      </c>
      <c r="E20" s="64" t="s">
        <v>156</v>
      </c>
      <c r="F20" s="64" t="s">
        <v>157</v>
      </c>
      <c r="G20" s="64" t="s">
        <v>159</v>
      </c>
      <c r="H20" s="48" t="s">
        <v>95</v>
      </c>
      <c r="I20" s="65" t="s">
        <v>151</v>
      </c>
      <c r="J20" s="65" t="str">
        <f t="shared" si="1"/>
        <v>AUD3BR6BR13Y_Quote</v>
      </c>
      <c r="K20" s="68" t="str">
        <f t="shared" si="0"/>
        <v>AUDSM6AB13Y_Quote</v>
      </c>
      <c r="L20" s="67" t="str">
        <f>_xll.qlSwapRateHelper2(,$K20,B20,$D20,Calendar,$G20,$H20,$I20,$L$3,$J20,C20,Discounting,Permanent,,ObjectOverwrite)</f>
        <v>obj_0028c#0001</v>
      </c>
      <c r="M20" s="61" t="str">
        <f>_xll.ohRangeRetrieveError(L20)</f>
        <v/>
      </c>
      <c r="N20" s="58"/>
    </row>
    <row r="21" spans="1:14" x14ac:dyDescent="0.2">
      <c r="A21" s="30"/>
      <c r="B21" s="64">
        <v>1</v>
      </c>
      <c r="C21" s="202" t="s">
        <v>173</v>
      </c>
      <c r="D21" s="69" t="s">
        <v>20</v>
      </c>
      <c r="E21" s="64" t="s">
        <v>156</v>
      </c>
      <c r="F21" s="64" t="s">
        <v>157</v>
      </c>
      <c r="G21" s="64" t="s">
        <v>159</v>
      </c>
      <c r="H21" s="48" t="s">
        <v>95</v>
      </c>
      <c r="I21" s="65" t="s">
        <v>151</v>
      </c>
      <c r="J21" s="65" t="str">
        <f t="shared" si="1"/>
        <v>AUD3BR6BR14Y_Quote</v>
      </c>
      <c r="K21" s="68" t="str">
        <f t="shared" si="0"/>
        <v>AUDSM6AB14Y_Quote</v>
      </c>
      <c r="L21" s="67" t="str">
        <f>_xll.qlSwapRateHelper2(,$K21,B21,$D21,Calendar,$G21,$H21,$I21,$L$3,$J21,C21,Discounting,Permanent,,ObjectOverwrite)</f>
        <v>obj_00286#0001</v>
      </c>
      <c r="M21" s="61" t="str">
        <f>_xll.ohRangeRetrieveError(L21)</f>
        <v/>
      </c>
      <c r="N21" s="58"/>
    </row>
    <row r="22" spans="1:14" x14ac:dyDescent="0.2">
      <c r="A22" s="30"/>
      <c r="B22" s="64">
        <v>1</v>
      </c>
      <c r="C22" s="202" t="s">
        <v>173</v>
      </c>
      <c r="D22" s="69" t="s">
        <v>19</v>
      </c>
      <c r="E22" s="64" t="s">
        <v>156</v>
      </c>
      <c r="F22" s="64" t="s">
        <v>157</v>
      </c>
      <c r="G22" s="64" t="s">
        <v>159</v>
      </c>
      <c r="H22" s="48" t="s">
        <v>95</v>
      </c>
      <c r="I22" s="65" t="s">
        <v>151</v>
      </c>
      <c r="J22" s="65" t="str">
        <f t="shared" si="1"/>
        <v>AUD3BR6BR15Y_Quote</v>
      </c>
      <c r="K22" s="68" t="str">
        <f t="shared" si="0"/>
        <v>AUDSM6AB15Y_Quote</v>
      </c>
      <c r="L22" s="67" t="str">
        <f>_xll.qlSwapRateHelper2(,$K22,B22,$D22,Calendar,$G22,$H22,$I22,$L$3,$J22,C22,Discounting,Permanent,,ObjectOverwrite)</f>
        <v>obj_00296#0001</v>
      </c>
      <c r="M22" s="61" t="str">
        <f>_xll.ohRangeRetrieveError(L22)</f>
        <v/>
      </c>
      <c r="N22" s="58"/>
    </row>
    <row r="23" spans="1:14" x14ac:dyDescent="0.2">
      <c r="A23" s="30"/>
      <c r="B23" s="64">
        <v>1</v>
      </c>
      <c r="C23" s="202" t="s">
        <v>173</v>
      </c>
      <c r="D23" s="69" t="s">
        <v>18</v>
      </c>
      <c r="E23" s="64" t="s">
        <v>156</v>
      </c>
      <c r="F23" s="64" t="s">
        <v>157</v>
      </c>
      <c r="G23" s="64" t="s">
        <v>159</v>
      </c>
      <c r="H23" s="48" t="s">
        <v>95</v>
      </c>
      <c r="I23" s="65" t="s">
        <v>151</v>
      </c>
      <c r="J23" s="65" t="str">
        <f t="shared" si="1"/>
        <v>AUD3BR6BR16Y_Quote</v>
      </c>
      <c r="K23" s="68" t="str">
        <f t="shared" si="0"/>
        <v>AUDSM6AB16Y_Quote</v>
      </c>
      <c r="L23" s="67" t="str">
        <f>_xll.qlSwapRateHelper2(,$K23,B23,$D23,Calendar,$G23,$H23,$I23,$L$3,$J23,C23,Discounting,Permanent,,ObjectOverwrite)</f>
        <v>obj_00293#0001</v>
      </c>
      <c r="M23" s="61" t="str">
        <f>_xll.ohRangeRetrieveError(L23)</f>
        <v/>
      </c>
      <c r="N23" s="58"/>
    </row>
    <row r="24" spans="1:14" x14ac:dyDescent="0.2">
      <c r="A24" s="30"/>
      <c r="B24" s="64">
        <v>1</v>
      </c>
      <c r="C24" s="202" t="s">
        <v>173</v>
      </c>
      <c r="D24" s="69" t="s">
        <v>17</v>
      </c>
      <c r="E24" s="64" t="s">
        <v>156</v>
      </c>
      <c r="F24" s="64" t="s">
        <v>157</v>
      </c>
      <c r="G24" s="64" t="s">
        <v>159</v>
      </c>
      <c r="H24" s="48" t="s">
        <v>95</v>
      </c>
      <c r="I24" s="65" t="s">
        <v>151</v>
      </c>
      <c r="J24" s="65" t="str">
        <f t="shared" si="1"/>
        <v>AUD3BR6BR17Y_Quote</v>
      </c>
      <c r="K24" s="68" t="str">
        <f t="shared" si="0"/>
        <v>AUDSM6AB17Y_Quote</v>
      </c>
      <c r="L24" s="67" t="str">
        <f>_xll.qlSwapRateHelper2(,$K24,B24,$D24,Calendar,$G24,$H24,$I24,$L$3,$J24,C24,Discounting,Permanent,,ObjectOverwrite)</f>
        <v>obj_00294#0001</v>
      </c>
      <c r="M24" s="61" t="str">
        <f>_xll.ohRangeRetrieveError(L24)</f>
        <v/>
      </c>
      <c r="N24" s="58"/>
    </row>
    <row r="25" spans="1:14" x14ac:dyDescent="0.2">
      <c r="A25" s="30"/>
      <c r="B25" s="64">
        <v>1</v>
      </c>
      <c r="C25" s="202" t="s">
        <v>173</v>
      </c>
      <c r="D25" s="69" t="s">
        <v>16</v>
      </c>
      <c r="E25" s="64" t="s">
        <v>156</v>
      </c>
      <c r="F25" s="64" t="s">
        <v>157</v>
      </c>
      <c r="G25" s="64" t="s">
        <v>159</v>
      </c>
      <c r="H25" s="48" t="s">
        <v>95</v>
      </c>
      <c r="I25" s="65" t="s">
        <v>151</v>
      </c>
      <c r="J25" s="65" t="str">
        <f t="shared" si="1"/>
        <v>AUD3BR6BR18Y_Quote</v>
      </c>
      <c r="K25" s="68" t="str">
        <f t="shared" si="0"/>
        <v>AUDSM6AB18Y_Quote</v>
      </c>
      <c r="L25" s="67" t="str">
        <f>_xll.qlSwapRateHelper2(,$K25,B25,$D25,Calendar,$G25,$H25,$I25,$L$3,$J25,C25,Discounting,Permanent,,ObjectOverwrite)</f>
        <v>obj_0028d#0001</v>
      </c>
      <c r="M25" s="61" t="str">
        <f>_xll.ohRangeRetrieveError(L25)</f>
        <v/>
      </c>
      <c r="N25" s="58"/>
    </row>
    <row r="26" spans="1:14" x14ac:dyDescent="0.2">
      <c r="A26" s="30"/>
      <c r="B26" s="64">
        <v>1</v>
      </c>
      <c r="C26" s="202" t="s">
        <v>173</v>
      </c>
      <c r="D26" s="69" t="s">
        <v>15</v>
      </c>
      <c r="E26" s="64" t="s">
        <v>156</v>
      </c>
      <c r="F26" s="64" t="s">
        <v>157</v>
      </c>
      <c r="G26" s="64" t="s">
        <v>159</v>
      </c>
      <c r="H26" s="48" t="s">
        <v>95</v>
      </c>
      <c r="I26" s="65" t="s">
        <v>151</v>
      </c>
      <c r="J26" s="65" t="str">
        <f t="shared" si="1"/>
        <v>AUD3BR6BR19Y_Quote</v>
      </c>
      <c r="K26" s="68" t="str">
        <f t="shared" si="0"/>
        <v>AUDSM6AB19Y_Quote</v>
      </c>
      <c r="L26" s="67" t="str">
        <f>_xll.qlSwapRateHelper2(,$K26,B26,$D26,Calendar,$G26,$H26,$I26,$L$3,$J26,C26,Discounting,Permanent,,ObjectOverwrite)</f>
        <v>obj_0029f#0001</v>
      </c>
      <c r="M26" s="61" t="str">
        <f>_xll.ohRangeRetrieveError(L26)</f>
        <v/>
      </c>
      <c r="N26" s="58"/>
    </row>
    <row r="27" spans="1:14" x14ac:dyDescent="0.2">
      <c r="A27" s="30"/>
      <c r="B27" s="64">
        <v>1</v>
      </c>
      <c r="C27" s="202" t="s">
        <v>173</v>
      </c>
      <c r="D27" s="69" t="s">
        <v>14</v>
      </c>
      <c r="E27" s="64" t="s">
        <v>156</v>
      </c>
      <c r="F27" s="64" t="s">
        <v>157</v>
      </c>
      <c r="G27" s="64" t="s">
        <v>159</v>
      </c>
      <c r="H27" s="48" t="s">
        <v>95</v>
      </c>
      <c r="I27" s="65" t="s">
        <v>151</v>
      </c>
      <c r="J27" s="65" t="str">
        <f t="shared" si="1"/>
        <v>AUD3BR6BR20Y_Quote</v>
      </c>
      <c r="K27" s="68" t="str">
        <f t="shared" si="0"/>
        <v>AUDSM6AB20Y_Quote</v>
      </c>
      <c r="L27" s="67" t="str">
        <f>_xll.qlSwapRateHelper2(,$K27,B27,$D27,Calendar,$G27,$H27,$I27,$L$3,$J27,C27,Discounting,Permanent,,ObjectOverwrite)</f>
        <v>obj_0028b#0001</v>
      </c>
      <c r="M27" s="61" t="str">
        <f>_xll.ohRangeRetrieveError(L27)</f>
        <v/>
      </c>
      <c r="N27" s="58"/>
    </row>
    <row r="28" spans="1:14" x14ac:dyDescent="0.2">
      <c r="A28" s="30"/>
      <c r="B28" s="64">
        <v>1</v>
      </c>
      <c r="C28" s="202" t="s">
        <v>173</v>
      </c>
      <c r="D28" s="69" t="s">
        <v>13</v>
      </c>
      <c r="E28" s="64" t="s">
        <v>156</v>
      </c>
      <c r="F28" s="64" t="s">
        <v>157</v>
      </c>
      <c r="G28" s="64" t="s">
        <v>159</v>
      </c>
      <c r="H28" s="48" t="s">
        <v>95</v>
      </c>
      <c r="I28" s="65" t="s">
        <v>151</v>
      </c>
      <c r="J28" s="65" t="str">
        <f t="shared" si="1"/>
        <v>AUD3BR6BR21Y_Quote</v>
      </c>
      <c r="K28" s="68" t="str">
        <f t="shared" si="0"/>
        <v>AUDSM6AB21Y_Quote</v>
      </c>
      <c r="L28" s="67" t="str">
        <f>_xll.qlSwapRateHelper2(,$K28,B28,$D28,Calendar,$G28,$H28,$I28,$L$3,$J28,C28,Discounting,Permanent,,ObjectOverwrite)</f>
        <v>obj_00284#0001</v>
      </c>
      <c r="M28" s="61" t="str">
        <f>_xll.ohRangeRetrieveError(L28)</f>
        <v/>
      </c>
      <c r="N28" s="58"/>
    </row>
    <row r="29" spans="1:14" x14ac:dyDescent="0.2">
      <c r="A29" s="30"/>
      <c r="B29" s="64">
        <v>1</v>
      </c>
      <c r="C29" s="202" t="s">
        <v>173</v>
      </c>
      <c r="D29" s="69" t="s">
        <v>12</v>
      </c>
      <c r="E29" s="64" t="s">
        <v>156</v>
      </c>
      <c r="F29" s="64" t="s">
        <v>157</v>
      </c>
      <c r="G29" s="64" t="s">
        <v>159</v>
      </c>
      <c r="H29" s="48" t="s">
        <v>95</v>
      </c>
      <c r="I29" s="65" t="s">
        <v>151</v>
      </c>
      <c r="J29" s="65" t="str">
        <f t="shared" si="1"/>
        <v>AUD3BR6BR22Y_Quote</v>
      </c>
      <c r="K29" s="68" t="str">
        <f t="shared" si="0"/>
        <v>AUDSM6AB22Y_Quote</v>
      </c>
      <c r="L29" s="67" t="str">
        <f>_xll.qlSwapRateHelper2(,$K29,B29,$D29,Calendar,$G29,$H29,$I29,$L$3,$J29,C29,Discounting,Permanent,,ObjectOverwrite)</f>
        <v>obj_002a6#0001</v>
      </c>
      <c r="M29" s="61" t="str">
        <f>_xll.ohRangeRetrieveError(L29)</f>
        <v/>
      </c>
      <c r="N29" s="58"/>
    </row>
    <row r="30" spans="1:14" x14ac:dyDescent="0.2">
      <c r="A30" s="30"/>
      <c r="B30" s="64">
        <v>1</v>
      </c>
      <c r="C30" s="202" t="s">
        <v>173</v>
      </c>
      <c r="D30" s="69" t="s">
        <v>11</v>
      </c>
      <c r="E30" s="64" t="s">
        <v>156</v>
      </c>
      <c r="F30" s="64" t="s">
        <v>157</v>
      </c>
      <c r="G30" s="64" t="s">
        <v>159</v>
      </c>
      <c r="H30" s="48" t="s">
        <v>95</v>
      </c>
      <c r="I30" s="65" t="s">
        <v>151</v>
      </c>
      <c r="J30" s="65" t="str">
        <f t="shared" si="1"/>
        <v>AUD3BR6BR23Y_Quote</v>
      </c>
      <c r="K30" s="68" t="str">
        <f t="shared" si="0"/>
        <v>AUDSM6AB23Y_Quote</v>
      </c>
      <c r="L30" s="67" t="str">
        <f>_xll.qlSwapRateHelper2(,$K30,B30,$D30,Calendar,$G30,$H30,$I30,$L$3,$J30,C30,Discounting,Permanent,,ObjectOverwrite)</f>
        <v>obj_0027e#0001</v>
      </c>
      <c r="M30" s="61" t="str">
        <f>_xll.ohRangeRetrieveError(L30)</f>
        <v/>
      </c>
      <c r="N30" s="58"/>
    </row>
    <row r="31" spans="1:14" x14ac:dyDescent="0.2">
      <c r="A31" s="30"/>
      <c r="B31" s="64">
        <v>1</v>
      </c>
      <c r="C31" s="202" t="s">
        <v>173</v>
      </c>
      <c r="D31" s="69" t="s">
        <v>10</v>
      </c>
      <c r="E31" s="64" t="s">
        <v>156</v>
      </c>
      <c r="F31" s="64" t="s">
        <v>157</v>
      </c>
      <c r="G31" s="64" t="s">
        <v>159</v>
      </c>
      <c r="H31" s="48" t="s">
        <v>95</v>
      </c>
      <c r="I31" s="65" t="s">
        <v>151</v>
      </c>
      <c r="J31" s="65" t="str">
        <f t="shared" si="1"/>
        <v>AUD3BR6BR24Y_Quote</v>
      </c>
      <c r="K31" s="68" t="str">
        <f t="shared" si="0"/>
        <v>AUDSM6AB24Y_Quote</v>
      </c>
      <c r="L31" s="67" t="str">
        <f>_xll.qlSwapRateHelper2(,$K31,B31,$D31,Calendar,$G31,$H31,$I31,$L$3,$J31,C31,Discounting,Permanent,,ObjectOverwrite)</f>
        <v>obj_002a3#0001</v>
      </c>
      <c r="M31" s="61" t="str">
        <f>_xll.ohRangeRetrieveError(L31)</f>
        <v/>
      </c>
      <c r="N31" s="58"/>
    </row>
    <row r="32" spans="1:14" x14ac:dyDescent="0.2">
      <c r="A32" s="30"/>
      <c r="B32" s="64">
        <v>1</v>
      </c>
      <c r="C32" s="202" t="s">
        <v>173</v>
      </c>
      <c r="D32" s="69" t="s">
        <v>9</v>
      </c>
      <c r="E32" s="64" t="s">
        <v>156</v>
      </c>
      <c r="F32" s="64" t="s">
        <v>157</v>
      </c>
      <c r="G32" s="64" t="s">
        <v>159</v>
      </c>
      <c r="H32" s="48" t="s">
        <v>95</v>
      </c>
      <c r="I32" s="65" t="s">
        <v>151</v>
      </c>
      <c r="J32" s="65" t="str">
        <f t="shared" si="1"/>
        <v>AUD3BR6BR25Y_Quote</v>
      </c>
      <c r="K32" s="68" t="str">
        <f t="shared" si="0"/>
        <v>AUDSM6AB25Y_Quote</v>
      </c>
      <c r="L32" s="67" t="str">
        <f>_xll.qlSwapRateHelper2(,$K32,B32,$D32,Calendar,$G32,$H32,$I32,$L$3,$J32,C32,Discounting,Permanent,,ObjectOverwrite)</f>
        <v>obj_00299#0001</v>
      </c>
      <c r="M32" s="61" t="str">
        <f>_xll.ohRangeRetrieveError(L32)</f>
        <v/>
      </c>
      <c r="N32" s="58"/>
    </row>
    <row r="33" spans="1:14" x14ac:dyDescent="0.2">
      <c r="A33" s="30"/>
      <c r="B33" s="64">
        <v>1</v>
      </c>
      <c r="C33" s="202" t="s">
        <v>173</v>
      </c>
      <c r="D33" s="69" t="s">
        <v>8</v>
      </c>
      <c r="E33" s="64" t="s">
        <v>156</v>
      </c>
      <c r="F33" s="64" t="s">
        <v>157</v>
      </c>
      <c r="G33" s="64" t="s">
        <v>159</v>
      </c>
      <c r="H33" s="48" t="s">
        <v>95</v>
      </c>
      <c r="I33" s="65" t="s">
        <v>151</v>
      </c>
      <c r="J33" s="65" t="str">
        <f t="shared" si="1"/>
        <v>AUD3BR6BR26Y_Quote</v>
      </c>
      <c r="K33" s="68" t="str">
        <f t="shared" si="0"/>
        <v>AUDSM6AB26Y_Quote</v>
      </c>
      <c r="L33" s="67" t="str">
        <f>_xll.qlSwapRateHelper2(,$K33,B33,$D33,Calendar,$G33,$H33,$I33,$L$3,$J33,C33,Discounting,Permanent,,ObjectOverwrite)</f>
        <v>obj_002aa#0001</v>
      </c>
      <c r="M33" s="61" t="str">
        <f>_xll.ohRangeRetrieveError(L33)</f>
        <v/>
      </c>
      <c r="N33" s="58"/>
    </row>
    <row r="34" spans="1:14" x14ac:dyDescent="0.2">
      <c r="A34" s="30"/>
      <c r="B34" s="64">
        <v>1</v>
      </c>
      <c r="C34" s="202" t="s">
        <v>173</v>
      </c>
      <c r="D34" s="69" t="s">
        <v>7</v>
      </c>
      <c r="E34" s="64" t="s">
        <v>156</v>
      </c>
      <c r="F34" s="64" t="s">
        <v>157</v>
      </c>
      <c r="G34" s="64" t="s">
        <v>159</v>
      </c>
      <c r="H34" s="48" t="s">
        <v>95</v>
      </c>
      <c r="I34" s="65" t="s">
        <v>151</v>
      </c>
      <c r="J34" s="65" t="str">
        <f t="shared" si="1"/>
        <v>AUD3BR6BR27Y_Quote</v>
      </c>
      <c r="K34" s="68" t="str">
        <f t="shared" si="0"/>
        <v>AUDSM6AB27Y_Quote</v>
      </c>
      <c r="L34" s="67" t="str">
        <f>_xll.qlSwapRateHelper2(,$K34,B34,$D34,Calendar,$G34,$H34,$I34,$L$3,$J34,C34,Discounting,Permanent,,ObjectOverwrite)</f>
        <v>obj_002a7#0001</v>
      </c>
      <c r="M34" s="61" t="str">
        <f>_xll.ohRangeRetrieveError(L34)</f>
        <v/>
      </c>
      <c r="N34" s="58"/>
    </row>
    <row r="35" spans="1:14" x14ac:dyDescent="0.2">
      <c r="A35" s="30"/>
      <c r="B35" s="64">
        <v>1</v>
      </c>
      <c r="C35" s="202" t="s">
        <v>173</v>
      </c>
      <c r="D35" s="69" t="s">
        <v>6</v>
      </c>
      <c r="E35" s="64" t="s">
        <v>156</v>
      </c>
      <c r="F35" s="64" t="s">
        <v>157</v>
      </c>
      <c r="G35" s="64" t="s">
        <v>159</v>
      </c>
      <c r="H35" s="48" t="s">
        <v>95</v>
      </c>
      <c r="I35" s="65" t="s">
        <v>151</v>
      </c>
      <c r="J35" s="65" t="str">
        <f t="shared" si="1"/>
        <v>AUD3BR6BR28Y_Quote</v>
      </c>
      <c r="K35" s="68" t="str">
        <f t="shared" si="0"/>
        <v>AUDSM6AB28Y_Quote</v>
      </c>
      <c r="L35" s="67" t="str">
        <f>_xll.qlSwapRateHelper2(,$K35,B35,$D35,Calendar,$G35,$H35,$I35,$L$3,$J35,C35,Discounting,Permanent,,ObjectOverwrite)</f>
        <v>obj_00291#0001</v>
      </c>
      <c r="M35" s="61" t="str">
        <f>_xll.ohRangeRetrieveError(L35)</f>
        <v/>
      </c>
      <c r="N35" s="58"/>
    </row>
    <row r="36" spans="1:14" x14ac:dyDescent="0.2">
      <c r="A36" s="30"/>
      <c r="B36" s="64">
        <v>1</v>
      </c>
      <c r="C36" s="202" t="s">
        <v>173</v>
      </c>
      <c r="D36" s="69" t="s">
        <v>5</v>
      </c>
      <c r="E36" s="64" t="s">
        <v>156</v>
      </c>
      <c r="F36" s="64" t="s">
        <v>157</v>
      </c>
      <c r="G36" s="64" t="s">
        <v>159</v>
      </c>
      <c r="H36" s="48" t="s">
        <v>95</v>
      </c>
      <c r="I36" s="65" t="s">
        <v>151</v>
      </c>
      <c r="J36" s="65" t="str">
        <f t="shared" si="1"/>
        <v>AUD3BR6BR29Y_Quote</v>
      </c>
      <c r="K36" s="68" t="str">
        <f t="shared" si="0"/>
        <v>AUDSM6AB29Y_Quote</v>
      </c>
      <c r="L36" s="67" t="str">
        <f>_xll.qlSwapRateHelper2(,$K36,B36,$D36,Calendar,$G36,$H36,$I36,$L$3,$J36,C36,Discounting,Permanent,,ObjectOverwrite)</f>
        <v>obj_00287#0001</v>
      </c>
      <c r="M36" s="61" t="str">
        <f>_xll.ohRangeRetrieveError(L36)</f>
        <v/>
      </c>
      <c r="N36" s="58"/>
    </row>
    <row r="37" spans="1:14" x14ac:dyDescent="0.2">
      <c r="A37" s="30"/>
      <c r="B37" s="64">
        <v>1</v>
      </c>
      <c r="C37" s="202" t="s">
        <v>173</v>
      </c>
      <c r="D37" s="69" t="s">
        <v>4</v>
      </c>
      <c r="E37" s="64" t="s">
        <v>156</v>
      </c>
      <c r="F37" s="64" t="s">
        <v>157</v>
      </c>
      <c r="G37" s="64" t="s">
        <v>159</v>
      </c>
      <c r="H37" s="48" t="s">
        <v>95</v>
      </c>
      <c r="I37" s="65" t="s">
        <v>151</v>
      </c>
      <c r="J37" s="65" t="str">
        <f t="shared" si="1"/>
        <v>AUD3BR6BR30Y_Quote</v>
      </c>
      <c r="K37" s="68" t="str">
        <f t="shared" si="0"/>
        <v>AUDSM6AB30Y_Quote</v>
      </c>
      <c r="L37" s="67" t="str">
        <f>_xll.qlSwapRateHelper2(,$K37,B37,$D37,Calendar,$G37,$H37,$I37,$L$3,$J37,C37,Discounting,Permanent,,ObjectOverwrite)</f>
        <v>obj_0029a#0001</v>
      </c>
      <c r="M37" s="61" t="str">
        <f>_xll.ohRangeRetrieveError(L37)</f>
        <v/>
      </c>
      <c r="N37" s="58"/>
    </row>
    <row r="38" spans="1:14" x14ac:dyDescent="0.2">
      <c r="A38" s="30"/>
      <c r="B38" s="64">
        <v>1</v>
      </c>
      <c r="C38" s="202" t="s">
        <v>173</v>
      </c>
      <c r="D38" s="69" t="s">
        <v>3</v>
      </c>
      <c r="E38" s="64" t="s">
        <v>156</v>
      </c>
      <c r="F38" s="64" t="s">
        <v>157</v>
      </c>
      <c r="G38" s="64" t="s">
        <v>159</v>
      </c>
      <c r="H38" s="48" t="s">
        <v>95</v>
      </c>
      <c r="I38" s="65" t="s">
        <v>151</v>
      </c>
      <c r="J38" s="65" t="str">
        <f t="shared" si="1"/>
        <v>AUD3BR6BR35Y_Quote</v>
      </c>
      <c r="K38" s="68" t="str">
        <f t="shared" si="0"/>
        <v>AUDSM6AB35Y_Quote</v>
      </c>
      <c r="L38" s="67" t="str">
        <f>_xll.qlSwapRateHelper2(,$K38,B38,$D38,Calendar,$G38,$H38,$I38,$L$3,$J38,C38,Discounting,Permanent,,ObjectOverwrite)</f>
        <v>obj_002a0#0001</v>
      </c>
      <c r="M38" s="61" t="str">
        <f>_xll.ohRangeRetrieveError(L38)</f>
        <v/>
      </c>
      <c r="N38" s="58"/>
    </row>
    <row r="39" spans="1:14" x14ac:dyDescent="0.2">
      <c r="A39" s="30"/>
      <c r="B39" s="64">
        <v>1</v>
      </c>
      <c r="C39" s="202" t="s">
        <v>173</v>
      </c>
      <c r="D39" s="69" t="s">
        <v>2</v>
      </c>
      <c r="E39" s="64" t="s">
        <v>156</v>
      </c>
      <c r="F39" s="64" t="s">
        <v>157</v>
      </c>
      <c r="G39" s="64" t="s">
        <v>159</v>
      </c>
      <c r="H39" s="48" t="s">
        <v>95</v>
      </c>
      <c r="I39" s="65" t="s">
        <v>151</v>
      </c>
      <c r="J39" s="65" t="str">
        <f t="shared" si="1"/>
        <v>AUD3BR6BR40Y_Quote</v>
      </c>
      <c r="K39" s="68" t="str">
        <f t="shared" si="0"/>
        <v>AUDSM6AB40Y_Quote</v>
      </c>
      <c r="L39" s="67" t="str">
        <f>_xll.qlSwapRateHelper2(,$K39,B39,$D39,Calendar,$G39,$H39,$I39,$L$3,$J39,C39,Discounting,Permanent,,ObjectOverwrite)</f>
        <v>obj_0029c#0001</v>
      </c>
      <c r="M39" s="61" t="str">
        <f>_xll.ohRangeRetrieveError(L39)</f>
        <v/>
      </c>
      <c r="N39" s="58"/>
    </row>
    <row r="40" spans="1:14" x14ac:dyDescent="0.2">
      <c r="A40" s="30"/>
      <c r="B40" s="64">
        <v>1</v>
      </c>
      <c r="C40" s="202" t="s">
        <v>173</v>
      </c>
      <c r="D40" s="69" t="s">
        <v>1</v>
      </c>
      <c r="E40" s="64" t="s">
        <v>156</v>
      </c>
      <c r="F40" s="64" t="s">
        <v>157</v>
      </c>
      <c r="G40" s="64" t="s">
        <v>159</v>
      </c>
      <c r="H40" s="48" t="s">
        <v>95</v>
      </c>
      <c r="I40" s="65" t="s">
        <v>151</v>
      </c>
      <c r="J40" s="65" t="str">
        <f t="shared" si="1"/>
        <v>AUD3BR6BR50Y_Quote</v>
      </c>
      <c r="K40" s="68" t="str">
        <f t="shared" si="0"/>
        <v>AUDSM6AB50Y_Quote</v>
      </c>
      <c r="L40" s="67" t="str">
        <f>_xll.qlSwapRateHelper2(,$K40,B40,$D40,Calendar,$G40,$H40,$I40,$L$3,$J40,C40,Discounting,Permanent,,ObjectOverwrite)</f>
        <v>obj_0028e#0001</v>
      </c>
      <c r="M40" s="61" t="str">
        <f>_xll.ohRangeRetrieveError(L40)</f>
        <v/>
      </c>
      <c r="N40" s="58"/>
    </row>
    <row r="41" spans="1:14" x14ac:dyDescent="0.2">
      <c r="A41" s="30"/>
      <c r="B41" s="64">
        <v>1</v>
      </c>
      <c r="C41" s="202" t="s">
        <v>173</v>
      </c>
      <c r="D41" s="69" t="s">
        <v>0</v>
      </c>
      <c r="E41" s="64" t="s">
        <v>156</v>
      </c>
      <c r="F41" s="64" t="s">
        <v>157</v>
      </c>
      <c r="G41" s="64" t="s">
        <v>159</v>
      </c>
      <c r="H41" s="48" t="s">
        <v>95</v>
      </c>
      <c r="I41" s="65" t="s">
        <v>151</v>
      </c>
      <c r="J41" s="65" t="str">
        <f t="shared" si="1"/>
        <v>AUD3BR6BR60Y_Quote</v>
      </c>
      <c r="K41" s="68" t="str">
        <f t="shared" si="0"/>
        <v>AUDSM6AB60Y_Quote</v>
      </c>
      <c r="L41" s="67" t="str">
        <f>_xll.qlSwapRateHelper2(,$K41,B41,$D41,Calendar,$G41,$H41,$I41,$L$3,$J41,C41,Discounting,Permanent,,ObjectOverwrite)</f>
        <v>obj_0029e#0001</v>
      </c>
      <c r="M41" s="61" t="str">
        <f>_xll.ohRangeRetrieveError(L41)</f>
        <v/>
      </c>
      <c r="N41" s="58"/>
    </row>
    <row r="42" spans="1:14" ht="12" thickBot="1" x14ac:dyDescent="0.25">
      <c r="A42" s="25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58"/>
    </row>
    <row r="43" spans="1:14" x14ac:dyDescent="0.2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87"/>
      <c r="M43" s="158"/>
      <c r="N43" s="158"/>
    </row>
  </sheetData>
  <dataValidations count="3">
    <dataValidation type="list" allowBlank="1" showInputMessage="1" showErrorMessage="1" sqref="H5:H41">
      <formula1>"Following,Modified Following,Preceding,Modified Preceding,Month End Reference,Unadjusted Month End,Unadjusted"</formula1>
    </dataValidation>
    <dataValidation type="list" allowBlank="1" showInputMessage="1" showErrorMessage="1" sqref="I5:I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5:G41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C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72" customWidth="1"/>
    <col min="2" max="2" width="6" style="91" bestFit="1" customWidth="1"/>
    <col min="3" max="3" width="17.28515625" style="91" bestFit="1" customWidth="1"/>
    <col min="4" max="4" width="7" style="72" bestFit="1" customWidth="1"/>
    <col min="5" max="5" width="17.28515625" style="72" bestFit="1" customWidth="1"/>
    <col min="6" max="6" width="20.28515625" style="91" bestFit="1" customWidth="1"/>
    <col min="7" max="8" width="7" style="91" customWidth="1"/>
    <col min="9" max="9" width="11" style="91" bestFit="1" customWidth="1"/>
    <col min="10" max="10" width="15.140625" style="91" bestFit="1" customWidth="1"/>
    <col min="11" max="11" width="10" style="72" customWidth="1"/>
    <col min="12" max="12" width="4" style="72" customWidth="1"/>
    <col min="13" max="13" width="15.140625" style="72" hidden="1" customWidth="1" outlineLevel="1"/>
    <col min="14" max="14" width="19.28515625" style="72" bestFit="1" customWidth="1" collapsed="1"/>
    <col min="15" max="15" width="17.28515625" style="72" bestFit="1" customWidth="1"/>
    <col min="16" max="16" width="12" style="72" bestFit="1" customWidth="1"/>
    <col min="17" max="17" width="0.140625" style="93" customWidth="1"/>
    <col min="18" max="18" width="8" style="72" hidden="1" customWidth="1" outlineLevel="1"/>
    <col min="19" max="19" width="17.28515625" style="72" hidden="1" customWidth="1" outlineLevel="1"/>
    <col min="20" max="20" width="15.140625" style="93" hidden="1" customWidth="1" outlineLevel="1"/>
    <col min="21" max="21" width="16.140625" style="72" customWidth="1" collapsed="1"/>
    <col min="22" max="22" width="10" style="72" bestFit="1" customWidth="1"/>
    <col min="23" max="23" width="7.5703125" style="72" customWidth="1"/>
    <col min="24" max="24" width="19.28515625" style="72" bestFit="1" customWidth="1"/>
    <col min="25" max="26" width="17.28515625" style="72" bestFit="1" customWidth="1"/>
    <col min="27" max="28" width="15.140625" style="72" bestFit="1" customWidth="1"/>
    <col min="29" max="29" width="13.140625" style="72" bestFit="1" customWidth="1"/>
    <col min="30" max="16384" width="9.140625" style="72"/>
  </cols>
  <sheetData>
    <row r="1" spans="1:29" s="91" customFormat="1" ht="12" hidden="1" outlineLevel="1" thickBot="1" x14ac:dyDescent="0.25">
      <c r="A1" s="98"/>
      <c r="B1" s="95" t="s">
        <v>110</v>
      </c>
      <c r="C1" s="97"/>
      <c r="D1" s="95"/>
      <c r="E1" s="96"/>
      <c r="F1" s="99"/>
      <c r="G1" s="98" t="s">
        <v>111</v>
      </c>
      <c r="H1" s="132"/>
      <c r="I1" s="99"/>
      <c r="J1" s="132"/>
      <c r="K1" s="99"/>
    </row>
    <row r="2" spans="1:29" ht="12" hidden="1" outlineLevel="1" thickBot="1" x14ac:dyDescent="0.25">
      <c r="A2" s="100"/>
      <c r="B2" s="133" t="s">
        <v>112</v>
      </c>
      <c r="C2" s="134" t="s">
        <v>113</v>
      </c>
      <c r="D2" s="134" t="s">
        <v>76</v>
      </c>
      <c r="E2" s="134" t="s">
        <v>114</v>
      </c>
      <c r="F2" s="135" t="s">
        <v>115</v>
      </c>
      <c r="G2" s="133" t="s">
        <v>113</v>
      </c>
      <c r="H2" s="134" t="s">
        <v>114</v>
      </c>
      <c r="I2" s="135" t="s">
        <v>116</v>
      </c>
      <c r="J2" s="134" t="s">
        <v>117</v>
      </c>
      <c r="K2" s="135" t="s">
        <v>118</v>
      </c>
      <c r="L2" s="91"/>
      <c r="M2" s="91"/>
    </row>
    <row r="3" spans="1:29" ht="12" hidden="1" outlineLevel="1" thickBot="1" x14ac:dyDescent="0.25">
      <c r="A3" s="136"/>
      <c r="B3" s="137" t="str">
        <f>_xll.qlPeriodEquivalent(D3&amp;"M")</f>
        <v>1Y</v>
      </c>
      <c r="C3" s="138">
        <f>_xll.qlDateEndOfMonth(EDATE(_xll.qlSettingsEvaluationDate(Trigger),-1))</f>
        <v>42124</v>
      </c>
      <c r="D3" s="101">
        <v>12</v>
      </c>
      <c r="E3" s="138">
        <f t="shared" ref="E3:E16" si="0">EDATE($Z$19,$D3)</f>
        <v>42501</v>
      </c>
      <c r="F3" s="160">
        <f>IF(D3&lt;=12,1,IF(D3&lt;=24,3,IF(D3&lt;=120,6,IF(D3&lt;=240,12,IF(D3&lt;=360,36,60)))))</f>
        <v>1</v>
      </c>
      <c r="G3" s="161">
        <f t="shared" ref="G3:G9" si="1">ROUNDDOWN(J3*10,2)/10</f>
        <v>0.02</v>
      </c>
      <c r="H3" s="162">
        <f>IF(K3-J3&gt;1%,(QUOTIENT(K3*10000,50)+1)*0.5%,(QUOTIENT(K3*10000,10)+1)*0.1%)</f>
        <v>2.1999999999999999E-2</v>
      </c>
      <c r="I3" s="163">
        <f>IF(H3-G3&lt;0.5%,0.05%,IF(H3-G3&lt;1%,0.1%,IF(H3-G3&lt;2%,0.25%,0.5%)))</f>
        <v>5.0000000000000001E-4</v>
      </c>
      <c r="J3" s="162">
        <f>MIN(_xll.ohPack($AA$19:INDEX($AA$19:$AA$3552,MATCH(E3+1,$Z$19:$Z$3552,1),1)))</f>
        <v>2.0354281173582081E-2</v>
      </c>
      <c r="K3" s="163">
        <f>MAX(_xll.ohPack($AA$19:INDEX($AA$19:$AA$3552,MATCH(E3+1,$Z$19:$Z$3552,1),1)))</f>
        <v>2.181599999999996E-2</v>
      </c>
      <c r="L3" s="91"/>
      <c r="M3" s="91"/>
      <c r="N3" s="168"/>
    </row>
    <row r="4" spans="1:29" ht="12" hidden="1" customHeight="1" outlineLevel="1" x14ac:dyDescent="0.3">
      <c r="A4" s="136"/>
      <c r="B4" s="137" t="str">
        <f>_xll.qlPeriodEquivalent(D4&amp;"M")</f>
        <v>2Y</v>
      </c>
      <c r="C4" s="138">
        <f>_xll.qlDateEndOfMonth(EDATE(_xll.qlIMMNextDate(_xll.qlSettingsEvaluationDate(Trigger)-1,TRUE),-3))</f>
        <v>42094</v>
      </c>
      <c r="D4" s="101">
        <v>24</v>
      </c>
      <c r="E4" s="138">
        <f t="shared" si="0"/>
        <v>42866</v>
      </c>
      <c r="F4" s="160">
        <f t="shared" ref="F4:F16" si="2">IF(D4&lt;=12,1,IF(D4&lt;=24,3,IF(D4&lt;=120,6,IF(D4&lt;=240,12,IF(D4&lt;=360,36,60)))))</f>
        <v>3</v>
      </c>
      <c r="G4" s="161">
        <f t="shared" si="1"/>
        <v>0.02</v>
      </c>
      <c r="H4" s="162">
        <f t="shared" ref="H4:H16" si="3">IF(K4-J4&gt;1%,(QUOTIENT(K4*10000,50)+1)*0.5%,(QUOTIENT(K4*10000,10)+1)*0.1%)</f>
        <v>2.6000000000000002E-2</v>
      </c>
      <c r="I4" s="163">
        <f t="shared" ref="I4:I16" si="4">IF(H4-G4&lt;0.5%,0.05%,IF(H4-G4&lt;1%,0.1%,IF(H4-G4&lt;2%,0.25%,0.5%)))</f>
        <v>1E-3</v>
      </c>
      <c r="J4" s="162">
        <f>MIN(_xll.ohPack($AA$19:INDEX($AA$19:$AA$3552,MATCH(E4+1,$Z$19:$Z$3552,1),1)))</f>
        <v>2.0354281173582081E-2</v>
      </c>
      <c r="K4" s="163">
        <f>MAX(_xll.ohPack($AA$19:INDEX($AA$19:$AA$3552,MATCH(E4+1,$Z$19:$Z$3552,1),1)))</f>
        <v>2.5010465153292034E-2</v>
      </c>
      <c r="L4" s="91"/>
      <c r="M4" s="91"/>
      <c r="Y4" s="71"/>
      <c r="Z4" s="71"/>
      <c r="AA4" s="71"/>
      <c r="AB4" s="71"/>
      <c r="AC4" s="71"/>
    </row>
    <row r="5" spans="1:29" ht="12" hidden="1" outlineLevel="1" thickBot="1" x14ac:dyDescent="0.25">
      <c r="A5" s="136"/>
      <c r="B5" s="137" t="str">
        <f>_xll.qlPeriodEquivalent(D5&amp;"M")</f>
        <v>5Y</v>
      </c>
      <c r="C5" s="13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01">
        <v>60</v>
      </c>
      <c r="E5" s="138">
        <f t="shared" si="0"/>
        <v>43962</v>
      </c>
      <c r="F5" s="160">
        <f t="shared" si="2"/>
        <v>6</v>
      </c>
      <c r="G5" s="161">
        <f t="shared" si="1"/>
        <v>0.02</v>
      </c>
      <c r="H5" s="162">
        <f t="shared" si="3"/>
        <v>3.5000000000000003E-2</v>
      </c>
      <c r="I5" s="163">
        <f t="shared" si="4"/>
        <v>2.5000000000000001E-3</v>
      </c>
      <c r="J5" s="162">
        <f>MIN(_xll.ohPack($AA$19:INDEX($AA$19:$AA$3552,MATCH(E5+1,$Z$19:$Z$3552,1),1)))</f>
        <v>2.0354281173582081E-2</v>
      </c>
      <c r="K5" s="163">
        <f>MAX(_xll.ohPack($AA$19:INDEX($AA$19:$AA$3552,MATCH(E5+1,$Z$19:$Z$3552,1),1)))</f>
        <v>3.3034429342919391E-2</v>
      </c>
      <c r="L5" s="91"/>
      <c r="M5" s="91"/>
    </row>
    <row r="6" spans="1:29" ht="12" hidden="1" outlineLevel="1" thickBot="1" x14ac:dyDescent="0.25">
      <c r="A6" s="136" t="s">
        <v>119</v>
      </c>
      <c r="B6" s="137" t="str">
        <f>_xll.qlPeriodEquivalent(D6&amp;"M")</f>
        <v>10Y</v>
      </c>
      <c r="C6" s="138">
        <f>C5</f>
        <v>42004</v>
      </c>
      <c r="D6" s="101">
        <v>120</v>
      </c>
      <c r="E6" s="138">
        <f t="shared" si="0"/>
        <v>45788</v>
      </c>
      <c r="F6" s="160">
        <f t="shared" si="2"/>
        <v>6</v>
      </c>
      <c r="G6" s="161">
        <f t="shared" si="1"/>
        <v>0.02</v>
      </c>
      <c r="H6" s="162">
        <f t="shared" si="3"/>
        <v>0.04</v>
      </c>
      <c r="I6" s="163">
        <f t="shared" si="4"/>
        <v>5.0000000000000001E-3</v>
      </c>
      <c r="J6" s="162">
        <f>MIN(_xll.ohPack($AA$19:INDEX($AA$19:$AA$3552,MATCH(E6+1,$Z$19:$Z$3552,1),1)))</f>
        <v>2.0354281173582081E-2</v>
      </c>
      <c r="K6" s="163">
        <f>MAX(_xll.ohPack($AA$19:INDEX($AA$19:$AA$3552,MATCH(E6+1,$Z$19:$Z$3552,1),1)))</f>
        <v>3.9371945251266992E-2</v>
      </c>
      <c r="L6" s="91"/>
      <c r="M6" s="91"/>
    </row>
    <row r="7" spans="1:29" ht="12" hidden="1" outlineLevel="1" thickBot="1" x14ac:dyDescent="0.25">
      <c r="A7" s="136"/>
      <c r="B7" s="137" t="str">
        <f>_xll.qlPeriodEquivalent(D7&amp;"M")</f>
        <v>20Y</v>
      </c>
      <c r="C7" s="138">
        <f>IF(AND(MONTH(C6)=12),C6,_xll.qlDateEndOfMonth(EDATE(C6,-6)))</f>
        <v>42004</v>
      </c>
      <c r="D7" s="101">
        <v>240</v>
      </c>
      <c r="E7" s="138">
        <f t="shared" si="0"/>
        <v>49440</v>
      </c>
      <c r="F7" s="160">
        <f t="shared" si="2"/>
        <v>12</v>
      </c>
      <c r="G7" s="161">
        <f t="shared" si="1"/>
        <v>0.02</v>
      </c>
      <c r="H7" s="162">
        <f t="shared" si="3"/>
        <v>4.4999999999999998E-2</v>
      </c>
      <c r="I7" s="163">
        <f t="shared" si="4"/>
        <v>5.0000000000000001E-3</v>
      </c>
      <c r="J7" s="162">
        <f>MIN(_xll.ohPack($AA$19:INDEX($AA$19:$AA$3552,MATCH(E7+1,$Z$19:$Z$3552,1),1)))</f>
        <v>2.0354281173582081E-2</v>
      </c>
      <c r="K7" s="163">
        <f>MAX(_xll.ohPack($AA$19:INDEX($AA$19:$AA$3552,MATCH(E7+1,$Z$19:$Z$3552,1),1)))</f>
        <v>4.1103659765435244E-2</v>
      </c>
      <c r="L7" s="91"/>
      <c r="M7" s="91"/>
    </row>
    <row r="8" spans="1:29" ht="12" hidden="1" outlineLevel="1" thickBot="1" x14ac:dyDescent="0.25">
      <c r="A8" s="136"/>
      <c r="B8" s="137" t="str">
        <f>_xll.qlPeriodEquivalent(D8&amp;"M")</f>
        <v>30Y</v>
      </c>
      <c r="C8" s="138">
        <f>C7</f>
        <v>42004</v>
      </c>
      <c r="D8" s="101">
        <v>360</v>
      </c>
      <c r="E8" s="138">
        <f t="shared" si="0"/>
        <v>53093</v>
      </c>
      <c r="F8" s="160">
        <f t="shared" si="2"/>
        <v>36</v>
      </c>
      <c r="G8" s="161">
        <f t="shared" si="1"/>
        <v>0.02</v>
      </c>
      <c r="H8" s="162">
        <f t="shared" si="3"/>
        <v>4.4999999999999998E-2</v>
      </c>
      <c r="I8" s="163">
        <f t="shared" si="4"/>
        <v>5.0000000000000001E-3</v>
      </c>
      <c r="J8" s="162">
        <f>MIN(_xll.ohPack($AA$19:INDEX($AA$19:$AA$3552,MATCH(E8+1,$Z$19:$Z$3552,1),1)))</f>
        <v>2.0354281173582081E-2</v>
      </c>
      <c r="K8" s="163">
        <f>MAX(_xll.ohPack($AA$19:INDEX($AA$19:$AA$3552,MATCH(E8+1,$Z$19:$Z$3552,1),1)))</f>
        <v>4.1103659765435244E-2</v>
      </c>
      <c r="L8" s="91"/>
      <c r="M8" s="91"/>
      <c r="AB8" s="102"/>
    </row>
    <row r="9" spans="1:29" ht="12" hidden="1" outlineLevel="1" thickBot="1" x14ac:dyDescent="0.25">
      <c r="A9" s="136"/>
      <c r="B9" s="137" t="str">
        <f>_xll.qlPeriodEquivalent(D9&amp;"M")</f>
        <v>60Y</v>
      </c>
      <c r="C9" s="138">
        <f>C8</f>
        <v>42004</v>
      </c>
      <c r="D9" s="101">
        <f>60*12</f>
        <v>720</v>
      </c>
      <c r="E9" s="138">
        <f t="shared" si="0"/>
        <v>64050</v>
      </c>
      <c r="F9" s="160">
        <f t="shared" si="2"/>
        <v>60</v>
      </c>
      <c r="G9" s="161">
        <f t="shared" si="1"/>
        <v>0.02</v>
      </c>
      <c r="H9" s="162">
        <f t="shared" si="3"/>
        <v>4.4999999999999998E-2</v>
      </c>
      <c r="I9" s="163">
        <f t="shared" si="4"/>
        <v>5.0000000000000001E-3</v>
      </c>
      <c r="J9" s="162">
        <f>MIN(_xll.ohPack($AA$19:INDEX($AA$19:$AA$3552,MATCH(E9+1,$Z$19:$Z$3552,1),1)))</f>
        <v>2.0354281173582081E-2</v>
      </c>
      <c r="K9" s="163">
        <f>MAX(_xll.ohPack($AA$19:INDEX($AA$19:$AA$3552,MATCH(E9+1,$Z$19:$Z$3552,1),1)))</f>
        <v>4.1103659765435244E-2</v>
      </c>
      <c r="L9" s="91"/>
      <c r="M9" s="91"/>
      <c r="AB9" s="102"/>
    </row>
    <row r="10" spans="1:29" ht="12" hidden="1" outlineLevel="1" thickBot="1" x14ac:dyDescent="0.25">
      <c r="A10" s="146"/>
      <c r="B10" s="147" t="str">
        <f>_xll.qlPeriodEquivalent(D10&amp;"M")</f>
        <v>1Y</v>
      </c>
      <c r="C10" s="148">
        <f>C3</f>
        <v>42124</v>
      </c>
      <c r="D10" s="149">
        <v>12</v>
      </c>
      <c r="E10" s="148">
        <f t="shared" si="0"/>
        <v>42501</v>
      </c>
      <c r="F10" s="164">
        <f t="shared" si="2"/>
        <v>1</v>
      </c>
      <c r="G10" s="165">
        <f t="shared" ref="G10:G16" si="5">ROUNDDOWN(J10*10,2)/10</f>
        <v>0.02</v>
      </c>
      <c r="H10" s="166">
        <f t="shared" si="3"/>
        <v>2.3E-2</v>
      </c>
      <c r="I10" s="167">
        <f t="shared" si="4"/>
        <v>5.0000000000000001E-4</v>
      </c>
      <c r="J10" s="166">
        <f>MIN(_xll.ohPack($AB$19:INDEX($AB$19:$AB$3552,MATCH(E10+1,$Z$19:$Z$3552,1),1)))</f>
        <v>2.0071352014559007E-2</v>
      </c>
      <c r="K10" s="167">
        <f>MAX(_xll.ohPack($AB$19:INDEX($AB$19:$AB$3552,MATCH(E10+1,$Z$19:$Z$3552,1),1)))</f>
        <v>2.2026000000011647E-2</v>
      </c>
      <c r="L10" s="91"/>
      <c r="M10" s="91"/>
    </row>
    <row r="11" spans="1:29" ht="12" hidden="1" outlineLevel="1" thickBot="1" x14ac:dyDescent="0.25">
      <c r="A11" s="136"/>
      <c r="B11" s="137" t="str">
        <f>_xll.qlPeriodEquivalent(D11&amp;"M")</f>
        <v>2Y</v>
      </c>
      <c r="C11" s="138">
        <f t="shared" ref="C11:C16" si="6">C4</f>
        <v>42094</v>
      </c>
      <c r="D11" s="101">
        <v>24</v>
      </c>
      <c r="E11" s="138">
        <f t="shared" si="0"/>
        <v>42866</v>
      </c>
      <c r="F11" s="160">
        <f t="shared" si="2"/>
        <v>3</v>
      </c>
      <c r="G11" s="161">
        <f t="shared" si="5"/>
        <v>0.02</v>
      </c>
      <c r="H11" s="162">
        <f t="shared" si="3"/>
        <v>2.5000000000000001E-2</v>
      </c>
      <c r="I11" s="163">
        <f t="shared" si="4"/>
        <v>1E-3</v>
      </c>
      <c r="J11" s="162">
        <f>MIN(_xll.ohPack($AB$19:INDEX($AB$19:$AB$3552,MATCH(E11+1,$Z$19:$Z$3552,1),1)))</f>
        <v>2.0071352014559007E-2</v>
      </c>
      <c r="K11" s="163">
        <f>MAX(_xll.ohPack($AB$19:INDEX($AB$19:$AB$3552,MATCH(E11+1,$Z$19:$Z$3552,1),1)))</f>
        <v>2.4687268753809482E-2</v>
      </c>
      <c r="L11" s="91"/>
      <c r="M11" s="91"/>
    </row>
    <row r="12" spans="1:29" ht="12" hidden="1" outlineLevel="1" thickBot="1" x14ac:dyDescent="0.25">
      <c r="A12" s="136"/>
      <c r="B12" s="137" t="str">
        <f>_xll.qlPeriodEquivalent(D12&amp;"M")</f>
        <v>5Y</v>
      </c>
      <c r="C12" s="138">
        <f t="shared" si="6"/>
        <v>42004</v>
      </c>
      <c r="D12" s="101">
        <v>60</v>
      </c>
      <c r="E12" s="138">
        <f t="shared" si="0"/>
        <v>43962</v>
      </c>
      <c r="F12" s="160">
        <f t="shared" si="2"/>
        <v>6</v>
      </c>
      <c r="G12" s="161">
        <f t="shared" si="5"/>
        <v>0.02</v>
      </c>
      <c r="H12" s="162">
        <f t="shared" si="3"/>
        <v>3.5000000000000003E-2</v>
      </c>
      <c r="I12" s="163">
        <f t="shared" si="4"/>
        <v>2.5000000000000001E-3</v>
      </c>
      <c r="J12" s="162">
        <f>MIN(_xll.ohPack($AB$19:INDEX($AB$19:$AB$3552,MATCH(E12+1,$Z$19:$Z$3552,1),1)))</f>
        <v>2.0071352014559007E-2</v>
      </c>
      <c r="K12" s="163">
        <f>MAX(_xll.ohPack($AB$19:INDEX($AB$19:$AB$3552,MATCH(E12+1,$Z$19:$Z$3552,1),1)))</f>
        <v>3.2660412388982873E-2</v>
      </c>
      <c r="L12" s="91"/>
      <c r="M12" s="91"/>
    </row>
    <row r="13" spans="1:29" ht="12" hidden="1" outlineLevel="1" thickBot="1" x14ac:dyDescent="0.25">
      <c r="A13" s="136" t="s">
        <v>120</v>
      </c>
      <c r="B13" s="137" t="str">
        <f>_xll.qlPeriodEquivalent(D13&amp;"M")</f>
        <v>10Y</v>
      </c>
      <c r="C13" s="138">
        <f t="shared" si="6"/>
        <v>42004</v>
      </c>
      <c r="D13" s="101">
        <v>120</v>
      </c>
      <c r="E13" s="138">
        <f t="shared" si="0"/>
        <v>45788</v>
      </c>
      <c r="F13" s="160">
        <f t="shared" si="2"/>
        <v>6</v>
      </c>
      <c r="G13" s="161">
        <f t="shared" si="5"/>
        <v>0.02</v>
      </c>
      <c r="H13" s="162">
        <f t="shared" si="3"/>
        <v>0.04</v>
      </c>
      <c r="I13" s="163">
        <f t="shared" si="4"/>
        <v>5.0000000000000001E-3</v>
      </c>
      <c r="J13" s="162">
        <f>MIN(_xll.ohPack($AB$19:INDEX($AB$19:$AB$3552,MATCH(E13+1,$Z$19:$Z$3552,1),1)))</f>
        <v>2.0071352014559007E-2</v>
      </c>
      <c r="K13" s="163">
        <f>MAX(_xll.ohPack($AB$19:INDEX($AB$19:$AB$3552,MATCH(E13+1,$Z$19:$Z$3552,1),1)))</f>
        <v>3.9022202857397215E-2</v>
      </c>
      <c r="L13" s="91"/>
      <c r="M13" s="91"/>
    </row>
    <row r="14" spans="1:29" ht="12" hidden="1" outlineLevel="1" thickBot="1" x14ac:dyDescent="0.25">
      <c r="A14" s="136"/>
      <c r="B14" s="137" t="str">
        <f>_xll.qlPeriodEquivalent(D14&amp;"M")</f>
        <v>20Y</v>
      </c>
      <c r="C14" s="138">
        <f t="shared" si="6"/>
        <v>42004</v>
      </c>
      <c r="D14" s="101">
        <v>240</v>
      </c>
      <c r="E14" s="138">
        <f t="shared" si="0"/>
        <v>49440</v>
      </c>
      <c r="F14" s="160">
        <f t="shared" si="2"/>
        <v>12</v>
      </c>
      <c r="G14" s="161">
        <f t="shared" si="5"/>
        <v>0.02</v>
      </c>
      <c r="H14" s="162">
        <f t="shared" si="3"/>
        <v>4.4999999999999998E-2</v>
      </c>
      <c r="I14" s="163">
        <f t="shared" si="4"/>
        <v>5.0000000000000001E-3</v>
      </c>
      <c r="J14" s="162">
        <f>MIN(_xll.ohPack($AB$19:INDEX($AB$19:$AB$3552,MATCH(E14+1,$Z$19:$Z$3552,1),1)))</f>
        <v>2.0071352014559007E-2</v>
      </c>
      <c r="K14" s="163">
        <f>MAX(_xll.ohPack($AB$19:INDEX($AB$19:$AB$3552,MATCH(E14+1,$Z$19:$Z$3552,1),1)))</f>
        <v>4.0904783518057597E-2</v>
      </c>
      <c r="L14" s="91"/>
      <c r="M14" s="91"/>
    </row>
    <row r="15" spans="1:29" ht="12" hidden="1" outlineLevel="1" thickBot="1" x14ac:dyDescent="0.25">
      <c r="A15" s="136"/>
      <c r="B15" s="137" t="str">
        <f>_xll.qlPeriodEquivalent(D15&amp;"M")</f>
        <v>30Y</v>
      </c>
      <c r="C15" s="138">
        <f t="shared" si="6"/>
        <v>42004</v>
      </c>
      <c r="D15" s="101">
        <v>360</v>
      </c>
      <c r="E15" s="138">
        <f t="shared" si="0"/>
        <v>53093</v>
      </c>
      <c r="F15" s="160">
        <f t="shared" si="2"/>
        <v>36</v>
      </c>
      <c r="G15" s="161">
        <f t="shared" si="5"/>
        <v>0.02</v>
      </c>
      <c r="H15" s="162">
        <f t="shared" si="3"/>
        <v>4.4999999999999998E-2</v>
      </c>
      <c r="I15" s="163">
        <f t="shared" si="4"/>
        <v>5.0000000000000001E-3</v>
      </c>
      <c r="J15" s="162">
        <f>MIN(_xll.ohPack($AB$19:INDEX($AB$19:$AB$3552,MATCH(E15+1,$Z$19:$Z$3552,1),1)))</f>
        <v>2.0071352014559007E-2</v>
      </c>
      <c r="K15" s="163">
        <f>MAX(_xll.ohPack($AB$19:INDEX($AB$19:$AB$3552,MATCH(E15+1,$Z$19:$Z$3552,1),1)))</f>
        <v>4.0904783518057597E-2</v>
      </c>
      <c r="L15" s="91"/>
      <c r="M15" s="91"/>
    </row>
    <row r="16" spans="1:29" ht="12" hidden="1" outlineLevel="1" thickBot="1" x14ac:dyDescent="0.25">
      <c r="A16" s="157"/>
      <c r="B16" s="137" t="str">
        <f>_xll.qlPeriodEquivalent(D16&amp;"M")</f>
        <v>60Y</v>
      </c>
      <c r="C16" s="138">
        <f t="shared" si="6"/>
        <v>42004</v>
      </c>
      <c r="D16" s="101">
        <v>720</v>
      </c>
      <c r="E16" s="138">
        <f t="shared" si="0"/>
        <v>64050</v>
      </c>
      <c r="F16" s="160">
        <f t="shared" si="2"/>
        <v>60</v>
      </c>
      <c r="G16" s="161">
        <f t="shared" si="5"/>
        <v>0.02</v>
      </c>
      <c r="H16" s="162">
        <f t="shared" si="3"/>
        <v>4.4999999999999998E-2</v>
      </c>
      <c r="I16" s="163">
        <f t="shared" si="4"/>
        <v>5.0000000000000001E-3</v>
      </c>
      <c r="J16" s="162">
        <f>MIN(_xll.ohPack($AB$19:INDEX($AB$19:$AB$3552,MATCH(E16+1,$Z$19:$Z$3552,1),1)))</f>
        <v>2.0071352014559007E-2</v>
      </c>
      <c r="K16" s="163">
        <f>MAX(_xll.ohPack($AB$19:INDEX($AB$19:$AB$3552,MATCH(E16+1,$Z$19:$Z$3552,1),1)))</f>
        <v>4.0904783518057597E-2</v>
      </c>
      <c r="L16" s="91"/>
      <c r="M16" s="91"/>
      <c r="AA16" s="103" t="s">
        <v>121</v>
      </c>
      <c r="AB16" s="103" t="s">
        <v>122</v>
      </c>
    </row>
    <row r="17" spans="1:28" ht="12" collapsed="1" thickBot="1" x14ac:dyDescent="0.25">
      <c r="A17" s="158"/>
      <c r="B17" s="159"/>
      <c r="C17" s="159"/>
      <c r="D17" s="158"/>
      <c r="E17" s="158"/>
      <c r="F17" s="159"/>
      <c r="G17" s="159"/>
      <c r="H17" s="159"/>
      <c r="I17" s="159"/>
      <c r="J17" s="159"/>
      <c r="K17" s="158"/>
      <c r="L17" s="124"/>
      <c r="M17" s="124"/>
      <c r="AA17" s="107" t="str">
        <f>_xll.qlIborIndex(,FamilyName,IndexTenor,NDays,Currency,Calendar,"Half-Month Modified Following",TRUE,"actual/365 (fixed)",YieldCurve,,YieldCurve)</f>
        <v>obj_002d9#0003</v>
      </c>
      <c r="AB17" s="107" t="str">
        <f>_xll.qlOvernightIndex(,"Aonia",NDays,Currency,Calendar,"actual/365 (fixed)",YieldCurve,,YieldCurve)</f>
        <v>obj_002d7#0003</v>
      </c>
    </row>
    <row r="18" spans="1:28" ht="12" thickBot="1" x14ac:dyDescent="0.25">
      <c r="M18" s="104" t="s">
        <v>123</v>
      </c>
      <c r="N18" s="104" t="s">
        <v>124</v>
      </c>
      <c r="O18" s="105" t="s">
        <v>125</v>
      </c>
      <c r="P18" s="142" t="s">
        <v>45</v>
      </c>
      <c r="Q18" s="105"/>
      <c r="R18" s="105" t="s">
        <v>126</v>
      </c>
      <c r="S18" s="105" t="s">
        <v>127</v>
      </c>
      <c r="T18" s="105" t="s">
        <v>128</v>
      </c>
      <c r="U18" s="121" t="s">
        <v>129</v>
      </c>
      <c r="V18" s="103" t="s">
        <v>130</v>
      </c>
      <c r="W18" s="91"/>
      <c r="X18" s="108" t="s">
        <v>131</v>
      </c>
      <c r="Y18" s="109" t="s">
        <v>127</v>
      </c>
      <c r="Z18" s="109" t="s">
        <v>125</v>
      </c>
      <c r="AA18" s="110" t="s">
        <v>132</v>
      </c>
      <c r="AB18" s="111" t="s">
        <v>120</v>
      </c>
    </row>
    <row r="19" spans="1:28" ht="12" thickBot="1" x14ac:dyDescent="0.25">
      <c r="J19" s="92" t="s">
        <v>133</v>
      </c>
      <c r="M19" s="114" t="str">
        <f t="array" ref="M19:M24">_xll.ohFilter(RateHelpers!A9:A14,IF(ISERROR(RateHelpers!C9:C14),FALSE,TRUE))</f>
        <v>obj_00298#0001</v>
      </c>
      <c r="N19" s="114" t="str">
        <f>_xll.qlRateHelperQuoteName(M19)</f>
        <v>AUD1x4F_Quote</v>
      </c>
      <c r="O19" s="112">
        <f>_xll.qlRateHelperEarliestDate(M19)</f>
        <v>42166</v>
      </c>
      <c r="P19" s="127">
        <f>_xll.qlRateHelperQuoteValue(M19,"ohTrigger(Trigger,RecalcTrigger))")</f>
        <v>2.1349999999999997E-2</v>
      </c>
      <c r="Q19" s="127"/>
      <c r="R19" s="124" t="e">
        <f>NA()</f>
        <v>#N/A</v>
      </c>
      <c r="S19" s="112">
        <f>_xll.qlInterestRateIndexFixingDate(IborIndex,O19)</f>
        <v>42166</v>
      </c>
      <c r="T19" s="127">
        <f>_xll.qlIndexFixing(IborIndex,S19,TRUE,RecalcTrigger)</f>
        <v>2.156578458078881E-2</v>
      </c>
      <c r="U19" s="143">
        <f t="shared" ref="U19:U24" si="7">T19-P19</f>
        <v>2.1578458078881299E-4</v>
      </c>
      <c r="V19" s="128">
        <f t="array" ref="V19">MAX(ABS(U19:U24))</f>
        <v>3.7253799593002859E-4</v>
      </c>
      <c r="W19" s="106"/>
      <c r="X19" s="114" t="s">
        <v>134</v>
      </c>
      <c r="Y19" s="115">
        <f>_xll.qlCalendarAdvance(Calendar,_xll.qlSettingsEvaluationDate(Trigger),NDays&amp;"D","following",FALSE,Trigger)</f>
        <v>42135</v>
      </c>
      <c r="Z19" s="115">
        <f>_xll.qlCalendarAdvance(Calendar,Y19,NDays&amp;"D")</f>
        <v>42135</v>
      </c>
      <c r="AA19" s="116">
        <f t="array" ref="AA19:AA3552">IFERROR(_xll.qlIndexFixing(IborIndex,Y19:Y3552,TRUE,RecalcTrigger),NA())</f>
        <v>2.181599999999996E-2</v>
      </c>
      <c r="AB19" s="113">
        <f t="array" ref="AB19:AB3552">IFERROR(_xll.qlIndexFixing(OverNightIndex,Z19:Z3552,TRUE,RecalcTrigger),NA())</f>
        <v>2.2026000000011647E-2</v>
      </c>
    </row>
    <row r="20" spans="1:28" ht="12" thickBot="1" x14ac:dyDescent="0.25">
      <c r="J20" s="94"/>
      <c r="M20" s="114" t="str">
        <v>obj_0029b#0001</v>
      </c>
      <c r="N20" s="114" t="str">
        <f>_xll.qlRateHelperQuoteName(M20)</f>
        <v>AUD2x5F_Quote</v>
      </c>
      <c r="O20" s="112">
        <f>_xll.qlRateHelperEarliestDate(M20)</f>
        <v>42198</v>
      </c>
      <c r="P20" s="127">
        <f>_xll.qlRateHelperQuoteValue(M20,"ohTrigger(Trigger,RecalcTrigger))")</f>
        <v>2.1150000000000002E-2</v>
      </c>
      <c r="Q20" s="127"/>
      <c r="R20" s="124" t="e">
        <f>NA()</f>
        <v>#N/A</v>
      </c>
      <c r="S20" s="112">
        <f>_xll.qlInterestRateIndexFixingDate(IborIndex,O20)</f>
        <v>42198</v>
      </c>
      <c r="T20" s="127">
        <f>_xll.qlIndexFixing(IborIndex,S20,TRUE,RecalcTrigger)</f>
        <v>2.1271430968027836E-2</v>
      </c>
      <c r="U20" s="143">
        <f t="shared" si="7"/>
        <v>1.2143096802783374E-4</v>
      </c>
      <c r="X20" s="114" t="str">
        <f>X19</f>
        <v>1D</v>
      </c>
      <c r="Y20" s="112">
        <f>_xll.qlCalendarAdvance(Calendar,Y19,X20,"f",FALSE)</f>
        <v>42136</v>
      </c>
      <c r="Z20" s="115">
        <f>_xll.qlCalendarAdvance(Calendar,Y20,NDays&amp;"D")</f>
        <v>42136</v>
      </c>
      <c r="AA20" s="116">
        <v>2.1807959595159326E-2</v>
      </c>
      <c r="AB20" s="113">
        <v>2.2025204343791849E-2</v>
      </c>
    </row>
    <row r="21" spans="1:28" ht="12" thickBot="1" x14ac:dyDescent="0.25">
      <c r="M21" s="114" t="str">
        <v>obj_002a5#0001</v>
      </c>
      <c r="N21" s="114" t="str">
        <f>_xll.qlRateHelperQuoteName(M21)</f>
        <v>AUD3x6F_Quote</v>
      </c>
      <c r="O21" s="112">
        <f>_xll.qlRateHelperEarliestDate(M21)</f>
        <v>42227</v>
      </c>
      <c r="P21" s="127">
        <f>_xll.qlRateHelperQuoteValue(M21,"ohTrigger(Trigger,RecalcTrigger))")</f>
        <v>2.0949999999999996E-2</v>
      </c>
      <c r="Q21" s="127"/>
      <c r="R21" s="124" t="e">
        <f>NA()</f>
        <v>#N/A</v>
      </c>
      <c r="S21" s="112">
        <f>_xll.qlInterestRateIndexFixingDate(IborIndex,O21)</f>
        <v>42227</v>
      </c>
      <c r="T21" s="127">
        <f>_xll.qlIndexFixing(IborIndex,S21,TRUE,RecalcTrigger)</f>
        <v>2.1117512403534867E-2</v>
      </c>
      <c r="U21" s="143">
        <f t="shared" si="7"/>
        <v>1.6751240353487032E-4</v>
      </c>
      <c r="X21" s="114" t="str">
        <f t="shared" ref="X21:X84" si="8">X20</f>
        <v>1D</v>
      </c>
      <c r="Y21" s="112">
        <f>_xll.qlCalendarAdvance(Calendar,Y20,X21,"f",FALSE)</f>
        <v>42137</v>
      </c>
      <c r="Z21" s="115">
        <f>_xll.qlCalendarAdvance(Calendar,Y21,NDays&amp;"D")</f>
        <v>42137</v>
      </c>
      <c r="AA21" s="116">
        <v>2.1799910111082659E-2</v>
      </c>
      <c r="AB21" s="113">
        <v>2.2023504511679004E-2</v>
      </c>
    </row>
    <row r="22" spans="1:28" ht="23.25" thickBot="1" x14ac:dyDescent="0.25">
      <c r="J22" s="198" t="s">
        <v>166</v>
      </c>
      <c r="M22" s="114" t="str">
        <v>obj_00295#0001</v>
      </c>
      <c r="N22" s="114" t="str">
        <f>_xll.qlRateHelperQuoteName(M22)</f>
        <v>AUD4x7F_Quote</v>
      </c>
      <c r="O22" s="112">
        <f>_xll.qlRateHelperEarliestDate(M22)</f>
        <v>42258</v>
      </c>
      <c r="P22" s="127">
        <f>_xll.qlRateHelperQuoteValue(M22,"ohTrigger(Trigger,RecalcTrigger))")</f>
        <v>2.085E-2</v>
      </c>
      <c r="Q22" s="127"/>
      <c r="R22" s="124" t="e">
        <f>NA()</f>
        <v>#N/A</v>
      </c>
      <c r="S22" s="112">
        <f>_xll.qlInterestRateIndexFixingDate(IborIndex,O22)</f>
        <v>42258</v>
      </c>
      <c r="T22" s="127">
        <f>_xll.qlIndexFixing(IborIndex,S22,TRUE,RecalcTrigger)</f>
        <v>2.104999999994759E-2</v>
      </c>
      <c r="U22" s="143">
        <f t="shared" si="7"/>
        <v>1.9999999994758932E-4</v>
      </c>
      <c r="X22" s="114" t="str">
        <f t="shared" si="8"/>
        <v>1D</v>
      </c>
      <c r="Y22" s="112">
        <f>_xll.qlCalendarAdvance(Calendar,Y21,X22,"f",FALSE)</f>
        <v>42138</v>
      </c>
      <c r="Z22" s="115">
        <f>_xll.qlCalendarAdvance(Calendar,Y22,NDays&amp;"D")</f>
        <v>42138</v>
      </c>
      <c r="AA22" s="116">
        <v>2.1791858919729085E-2</v>
      </c>
      <c r="AB22" s="113">
        <v>2.2020873373592709E-2</v>
      </c>
    </row>
    <row r="23" spans="1:28" ht="12" thickBot="1" x14ac:dyDescent="0.25">
      <c r="J23" s="197" t="str">
        <f>ROUNDDOWN((_xll.qlTermStructureMaxDate(YieldCurve,Trigger)-_xll.qlTermStructureReferenceDate(YieldCurve,Trigger))/365,)&amp;"Y"</f>
        <v>30Y</v>
      </c>
      <c r="M23" s="114" t="str">
        <v>obj_00288#0001</v>
      </c>
      <c r="N23" s="114" t="str">
        <f>_xll.qlRateHelperQuoteName(M23)</f>
        <v>AUD5x8F_Quote</v>
      </c>
      <c r="O23" s="112">
        <f>_xll.qlRateHelperEarliestDate(M23)</f>
        <v>42289</v>
      </c>
      <c r="P23" s="127">
        <f>_xll.qlRateHelperQuoteValue(M23,"ohTrigger(Trigger,RecalcTrigger))")</f>
        <v>2.085E-2</v>
      </c>
      <c r="Q23" s="127"/>
      <c r="R23" s="124" t="e">
        <f>NA()</f>
        <v>#N/A</v>
      </c>
      <c r="S23" s="112">
        <f>_xll.qlInterestRateIndexFixingDate(IborIndex,O23)</f>
        <v>42289</v>
      </c>
      <c r="T23" s="127">
        <f>_xll.qlIndexFixing(IborIndex,S23,TRUE,RecalcTrigger)</f>
        <v>2.1132724268435585E-2</v>
      </c>
      <c r="U23" s="143">
        <f t="shared" si="7"/>
        <v>2.8272426843558435E-4</v>
      </c>
      <c r="X23" s="114" t="str">
        <f t="shared" si="8"/>
        <v>1D</v>
      </c>
      <c r="Y23" s="112">
        <f>_xll.qlCalendarAdvance(Calendar,Y22,X23,"f",FALSE)</f>
        <v>42139</v>
      </c>
      <c r="Z23" s="115">
        <f>_xll.qlCalendarAdvance(Calendar,Y23,NDays&amp;"D")</f>
        <v>42139</v>
      </c>
      <c r="AA23" s="116">
        <v>2.1788027780390608E-2</v>
      </c>
      <c r="AB23" s="113">
        <v>2.2013834307027896E-2</v>
      </c>
    </row>
    <row r="24" spans="1:28" ht="12" thickBot="1" x14ac:dyDescent="0.25">
      <c r="M24" s="114" t="str">
        <v>obj_00283#0001</v>
      </c>
      <c r="N24" s="114" t="str">
        <f>_xll.qlRateHelperQuoteName(M24)</f>
        <v>AUD6x9F_Quote</v>
      </c>
      <c r="O24" s="112">
        <f>_xll.qlRateHelperEarliestDate(M24)</f>
        <v>42319</v>
      </c>
      <c r="P24" s="127">
        <f>_xll.qlRateHelperQuoteValue(M24,"ohTrigger(Trigger,RecalcTrigger))")</f>
        <v>2.085E-2</v>
      </c>
      <c r="Q24" s="127"/>
      <c r="R24" s="124" t="e">
        <f>NA()</f>
        <v>#N/A</v>
      </c>
      <c r="S24" s="112">
        <f>_xll.qlInterestRateIndexFixingDate(IborIndex,O24)</f>
        <v>42319</v>
      </c>
      <c r="T24" s="127">
        <f>_xll.qlIndexFixing(IborIndex,S24,TRUE,RecalcTrigger)</f>
        <v>2.1222537995930029E-2</v>
      </c>
      <c r="U24" s="143">
        <f t="shared" si="7"/>
        <v>3.7253799593002859E-4</v>
      </c>
      <c r="X24" s="114" t="str">
        <f t="shared" si="8"/>
        <v>1D</v>
      </c>
      <c r="Y24" s="112">
        <f>_xll.qlCalendarAdvance(Calendar,Y23,X24,"f",FALSE)</f>
        <v>42142</v>
      </c>
      <c r="Z24" s="115">
        <f>_xll.qlCalendarAdvance(Calendar,Y24,NDays&amp;"D")</f>
        <v>42142</v>
      </c>
      <c r="AA24" s="116">
        <v>2.1759790448431307E-2</v>
      </c>
      <c r="AB24" s="113">
        <v>2.2001224017759169E-2</v>
      </c>
    </row>
    <row r="25" spans="1:28" ht="12" thickBot="1" x14ac:dyDescent="0.25">
      <c r="M25" s="158"/>
      <c r="N25" s="150"/>
      <c r="O25" s="158"/>
      <c r="P25" s="158"/>
      <c r="Q25" s="158"/>
      <c r="R25" s="158"/>
      <c r="S25" s="158"/>
      <c r="T25" s="158"/>
      <c r="U25" s="156"/>
      <c r="V25" s="72" t="str">
        <f>_xll.qlIborIndex(,FamilyName,IndexTenor,1,Currency,Calendar,"Half-Month Modified Following",TRUE,"actual/365 (fixed)",YieldCurve,,YieldCurve)</f>
        <v>obj_002d8#0003</v>
      </c>
      <c r="X25" s="114" t="str">
        <f t="shared" si="8"/>
        <v>1D</v>
      </c>
      <c r="Y25" s="112">
        <f>_xll.qlCalendarAdvance(Calendar,Y24,X25,"f",FALSE)</f>
        <v>42143</v>
      </c>
      <c r="Z25" s="115">
        <f>_xll.qlCalendarAdvance(Calendar,Y25,NDays&amp;"D")</f>
        <v>42143</v>
      </c>
      <c r="AA25" s="116">
        <v>2.1751843687981973E-2</v>
      </c>
      <c r="AB25" s="113">
        <v>2.1995065876098119E-2</v>
      </c>
    </row>
    <row r="26" spans="1:28" x14ac:dyDescent="0.2">
      <c r="M26" s="104"/>
      <c r="N26" s="104" t="s">
        <v>135</v>
      </c>
      <c r="O26" s="105" t="s">
        <v>125</v>
      </c>
      <c r="P26" s="142" t="s">
        <v>45</v>
      </c>
      <c r="Q26" s="105"/>
      <c r="R26" s="105" t="s">
        <v>126</v>
      </c>
      <c r="S26" s="105" t="s">
        <v>127</v>
      </c>
      <c r="T26" s="105" t="s">
        <v>128</v>
      </c>
      <c r="U26" s="121" t="s">
        <v>129</v>
      </c>
      <c r="V26" s="103" t="s">
        <v>130</v>
      </c>
      <c r="X26" s="114" t="str">
        <f t="shared" si="8"/>
        <v>1D</v>
      </c>
      <c r="Y26" s="112">
        <f>_xll.qlCalendarAdvance(Calendar,Y25,X26,"f",FALSE)</f>
        <v>42144</v>
      </c>
      <c r="Z26" s="115">
        <f>_xll.qlCalendarAdvance(Calendar,Y26,NDays&amp;"D")</f>
        <v>42144</v>
      </c>
      <c r="AA26" s="116">
        <v>2.1743928885694156E-2</v>
      </c>
      <c r="AB26" s="113">
        <v>2.1989105953945653E-2</v>
      </c>
    </row>
    <row r="27" spans="1:28" x14ac:dyDescent="0.2">
      <c r="M27" s="139" t="str">
        <f t="array" ref="M27:M60">_xll.ohFilter(RateHelpers!A15:A56,RateHelpers!L15:L56)</f>
        <v>obj_002bc#0001</v>
      </c>
      <c r="N27" s="114" t="str">
        <f>_xll.qlRateHelperQuoteName(M27)</f>
        <v>AUDFUT3MM5_Quote</v>
      </c>
      <c r="O27" s="112">
        <f>_xll.qlRateHelperEarliestDate(M27)</f>
        <v>42167</v>
      </c>
      <c r="P27" s="191">
        <f>_xll.qlRateHelperQuoteValue(M27,_xll.ohTrigger(RecalcTrigger,Trigger))</f>
        <v>97.844999999999999</v>
      </c>
      <c r="Q27" s="127">
        <f t="shared" ref="Q27:Q60" si="9">(100-P27)/100</f>
        <v>2.155000000000001E-2</v>
      </c>
      <c r="R27" s="116" t="e">
        <f>NA()</f>
        <v>#N/A</v>
      </c>
      <c r="S27" s="112">
        <f>_xll.qlInterestRateIndexFixingDate($V$25,O27)</f>
        <v>42166</v>
      </c>
      <c r="T27" s="191">
        <f>100*(1-_xll.qlIndexFixing($V$25,S27,TRUE,RecalcTrigger))</f>
        <v>97.845000000354403</v>
      </c>
      <c r="U27" s="192">
        <f t="shared" ref="U27:U60" si="10">T27-P27</f>
        <v>3.5440450574242277E-10</v>
      </c>
      <c r="V27" s="196">
        <f t="array" ref="V27">MAX(ABS(U27:U34))</f>
        <v>0.10563464007641699</v>
      </c>
      <c r="X27" s="114" t="str">
        <f t="shared" si="8"/>
        <v>1D</v>
      </c>
      <c r="Y27" s="112">
        <f>_xll.qlCalendarAdvance(Calendar,Y26,X27,"f",FALSE)</f>
        <v>42145</v>
      </c>
      <c r="Z27" s="115">
        <f>_xll.qlCalendarAdvance(Calendar,Y27,NDays&amp;"D")</f>
        <v>42145</v>
      </c>
      <c r="AA27" s="116">
        <v>2.1736041365698705E-2</v>
      </c>
      <c r="AB27" s="113">
        <v>2.1983344251220727E-2</v>
      </c>
    </row>
    <row r="28" spans="1:28" x14ac:dyDescent="0.2">
      <c r="M28" s="139" t="str">
        <v>obj_002b9#0001</v>
      </c>
      <c r="N28" s="114" t="str">
        <f>_xll.qlRateHelperQuoteName(M28)</f>
        <v>AUDFUT3MU5_Quote</v>
      </c>
      <c r="O28" s="112">
        <f>_xll.qlRateHelperEarliestDate(M28)</f>
        <v>42258</v>
      </c>
      <c r="P28" s="191">
        <f>_xll.qlRateHelperQuoteValue(M28,_xll.ohTrigger(RecalcTrigger,Trigger))</f>
        <v>97.89500000000001</v>
      </c>
      <c r="Q28" s="127">
        <f t="shared" si="9"/>
        <v>2.1049999999999899E-2</v>
      </c>
      <c r="R28" s="116" t="e">
        <f>NA()</f>
        <v>#N/A</v>
      </c>
      <c r="S28" s="112">
        <f>_xll.qlInterestRateIndexFixingDate($V$25,O28)</f>
        <v>42257</v>
      </c>
      <c r="T28" s="191">
        <f>100*(1-_xll.qlIndexFixing($V$25,S28,TRUE,RecalcTrigger))</f>
        <v>97.89500000000524</v>
      </c>
      <c r="U28" s="192">
        <f t="shared" si="10"/>
        <v>5.2295945351943374E-12</v>
      </c>
      <c r="X28" s="114" t="str">
        <f t="shared" si="8"/>
        <v>1D</v>
      </c>
      <c r="Y28" s="112">
        <f>_xll.qlCalendarAdvance(Calendar,Y27,X28,"f",FALSE)</f>
        <v>42146</v>
      </c>
      <c r="Z28" s="115">
        <f>_xll.qlCalendarAdvance(Calendar,Y28,NDays&amp;"D")</f>
        <v>42146</v>
      </c>
      <c r="AA28" s="116">
        <v>2.172065598595806E-2</v>
      </c>
      <c r="AB28" s="113">
        <v>2.197380431606592E-2</v>
      </c>
    </row>
    <row r="29" spans="1:28" x14ac:dyDescent="0.2">
      <c r="M29" s="139" t="str">
        <v>obj_002ac#0001</v>
      </c>
      <c r="N29" s="114" t="str">
        <f>_xll.qlRateHelperQuoteName(M29)</f>
        <v>AUDFUT3MZ5_Quote</v>
      </c>
      <c r="O29" s="112">
        <f>_xll.qlRateHelperEarliestDate(M29)</f>
        <v>42349</v>
      </c>
      <c r="P29" s="191">
        <f>_xll.qlRateHelperQuoteValue(M29,_xll.ohTrigger(RecalcTrigger,Trigger))</f>
        <v>97.884999999999991</v>
      </c>
      <c r="Q29" s="127">
        <f t="shared" si="9"/>
        <v>2.1150000000000092E-2</v>
      </c>
      <c r="R29" s="116" t="e">
        <f>NA()</f>
        <v>#N/A</v>
      </c>
      <c r="S29" s="112">
        <f>_xll.qlInterestRateIndexFixingDate($V$25,O29)</f>
        <v>42348</v>
      </c>
      <c r="T29" s="191">
        <f>100*(1-_xll.qlIndexFixing($V$25,S29,TRUE,RecalcTrigger))</f>
        <v>97.885000000000019</v>
      </c>
      <c r="U29" s="192">
        <f t="shared" si="10"/>
        <v>0</v>
      </c>
      <c r="X29" s="114" t="str">
        <f t="shared" si="8"/>
        <v>1D</v>
      </c>
      <c r="Y29" s="112">
        <f>_xll.qlCalendarAdvance(Calendar,Y28,X29,"f",FALSE)</f>
        <v>42149</v>
      </c>
      <c r="Z29" s="115">
        <f>_xll.qlCalendarAdvance(Calendar,Y29,NDays&amp;"D")</f>
        <v>42149</v>
      </c>
      <c r="AA29" s="116">
        <v>2.1704670592550823E-2</v>
      </c>
      <c r="AB29" s="113">
        <v>2.1962331571646621E-2</v>
      </c>
    </row>
    <row r="30" spans="1:28" x14ac:dyDescent="0.2">
      <c r="M30" s="139" t="str">
        <v>obj_002ad#0001</v>
      </c>
      <c r="N30" s="114" t="str">
        <f>_xll.qlRateHelperQuoteName(M30)</f>
        <v>AUDFUT3MH6_Quote</v>
      </c>
      <c r="O30" s="112">
        <f>_xll.qlRateHelperEarliestDate(M30)</f>
        <v>42440</v>
      </c>
      <c r="P30" s="191">
        <f>_xll.qlRateHelperQuoteValue(M30,_xll.ohTrigger(RecalcTrigger,Trigger))</f>
        <v>97.855000000000004</v>
      </c>
      <c r="Q30" s="127">
        <f t="shared" si="9"/>
        <v>2.1449999999999959E-2</v>
      </c>
      <c r="R30" s="116" t="e">
        <f>NA()</f>
        <v>#N/A</v>
      </c>
      <c r="S30" s="112">
        <f>_xll.qlInterestRateIndexFixingDate($V$25,O30)</f>
        <v>42439</v>
      </c>
      <c r="T30" s="191">
        <f>100*(1-_xll.qlIndexFixing($V$25,S30,TRUE,RecalcTrigger))</f>
        <v>97.960634640076421</v>
      </c>
      <c r="U30" s="192">
        <f t="shared" si="10"/>
        <v>0.10563464007641699</v>
      </c>
      <c r="X30" s="114" t="str">
        <f t="shared" si="8"/>
        <v>1D</v>
      </c>
      <c r="Y30" s="112">
        <f>_xll.qlCalendarAdvance(Calendar,Y29,X30,"f",FALSE)</f>
        <v>42150</v>
      </c>
      <c r="Z30" s="115">
        <f>_xll.qlCalendarAdvance(Calendar,Y30,NDays&amp;"D")</f>
        <v>42150</v>
      </c>
      <c r="AA30" s="116">
        <v>2.1696848779695521E-2</v>
      </c>
      <c r="AB30" s="113">
        <v>2.1957872586496618E-2</v>
      </c>
    </row>
    <row r="31" spans="1:28" x14ac:dyDescent="0.2">
      <c r="M31" s="139" t="str">
        <v>obj_002c8#0001</v>
      </c>
      <c r="N31" s="114" t="str">
        <f>_xll.qlRateHelperQuoteName(M31)</f>
        <v>AUDFUT3MM6_Quote</v>
      </c>
      <c r="O31" s="112">
        <f>_xll.qlRateHelperEarliestDate(M31)</f>
        <v>42531</v>
      </c>
      <c r="P31" s="191">
        <f>_xll.qlRateHelperQuoteValue(M31,_xll.ohTrigger(RecalcTrigger,Trigger))</f>
        <v>97.795000000000002</v>
      </c>
      <c r="Q31" s="127">
        <f t="shared" si="9"/>
        <v>2.2049999999999983E-2</v>
      </c>
      <c r="R31" s="116" t="e">
        <f>NA()</f>
        <v>#N/A</v>
      </c>
      <c r="S31" s="112">
        <f>_xll.qlInterestRateIndexFixingDate($V$25,O31)</f>
        <v>42530</v>
      </c>
      <c r="T31" s="191">
        <f>100*(1-_xll.qlIndexFixing($V$25,S31,TRUE,RecalcTrigger))</f>
        <v>97.83167668272867</v>
      </c>
      <c r="U31" s="192">
        <f t="shared" si="10"/>
        <v>3.6676682728668197E-2</v>
      </c>
      <c r="X31" s="114" t="str">
        <f t="shared" si="8"/>
        <v>1D</v>
      </c>
      <c r="Y31" s="112">
        <f>_xll.qlCalendarAdvance(Calendar,Y30,X31,"f",FALSE)</f>
        <v>42151</v>
      </c>
      <c r="Z31" s="115">
        <f>_xll.qlCalendarAdvance(Calendar,Y31,NDays&amp;"D")</f>
        <v>42151</v>
      </c>
      <c r="AA31" s="116">
        <v>2.1689022789209252E-2</v>
      </c>
      <c r="AB31" s="113">
        <v>2.1953923441130341E-2</v>
      </c>
    </row>
    <row r="32" spans="1:28" x14ac:dyDescent="0.2">
      <c r="M32" s="139" t="str">
        <v>obj_002ae#0001</v>
      </c>
      <c r="N32" s="114" t="str">
        <f>_xll.qlRateHelperQuoteName(M32)</f>
        <v>AUDFUT3MU6_Quote</v>
      </c>
      <c r="O32" s="112">
        <f>_xll.qlRateHelperEarliestDate(M32)</f>
        <v>42622</v>
      </c>
      <c r="P32" s="191">
        <f>_xll.qlRateHelperQuoteValue(M32,_xll.ohTrigger(RecalcTrigger,Trigger))</f>
        <v>97.724999999999994</v>
      </c>
      <c r="Q32" s="127">
        <f t="shared" si="9"/>
        <v>2.2750000000000058E-2</v>
      </c>
      <c r="R32" s="116" t="e">
        <f>NA()</f>
        <v>#N/A</v>
      </c>
      <c r="S32" s="112">
        <f>_xll.qlInterestRateIndexFixingDate($V$25,O32)</f>
        <v>42621</v>
      </c>
      <c r="T32" s="191">
        <f>100*(1-_xll.qlIndexFixing($V$25,S32,TRUE,RecalcTrigger))</f>
        <v>97.703721352324621</v>
      </c>
      <c r="U32" s="192">
        <f t="shared" si="10"/>
        <v>-2.1278647675373463E-2</v>
      </c>
      <c r="X32" s="114" t="str">
        <f t="shared" si="8"/>
        <v>1D</v>
      </c>
      <c r="Y32" s="112">
        <f>_xll.qlCalendarAdvance(Calendar,Y31,X32,"f",FALSE)</f>
        <v>42152</v>
      </c>
      <c r="Z32" s="115">
        <f>_xll.qlCalendarAdvance(Calendar,Y32,NDays&amp;"D")</f>
        <v>42152</v>
      </c>
      <c r="AA32" s="116">
        <v>2.1681184540017565E-2</v>
      </c>
      <c r="AB32" s="113">
        <v>2.1950484135466741E-2</v>
      </c>
    </row>
    <row r="33" spans="10:28" x14ac:dyDescent="0.2">
      <c r="M33" s="139" t="str">
        <v>obj_002bb#0001</v>
      </c>
      <c r="N33" s="114" t="str">
        <f>_xll.qlRateHelperQuoteName(M33)</f>
        <v>AUDFUT3MZ6_Quote</v>
      </c>
      <c r="O33" s="112">
        <f>_xll.qlRateHelperEarliestDate(M33)</f>
        <v>42713</v>
      </c>
      <c r="P33" s="191">
        <f>_xll.qlRateHelperQuoteValue(M33,_xll.ohTrigger(RecalcTrigger,Trigger))</f>
        <v>97.64500000000001</v>
      </c>
      <c r="Q33" s="127">
        <f t="shared" si="9"/>
        <v>2.3549999999999897E-2</v>
      </c>
      <c r="R33" s="116" t="e">
        <f>NA()</f>
        <v>#N/A</v>
      </c>
      <c r="S33" s="112">
        <f>_xll.qlInterestRateIndexFixingDate($V$25,O33)</f>
        <v>42712</v>
      </c>
      <c r="T33" s="191">
        <f>100*(1-_xll.qlIndexFixing($V$25,S33,TRUE,RecalcTrigger))</f>
        <v>97.604704165035315</v>
      </c>
      <c r="U33" s="192">
        <f t="shared" si="10"/>
        <v>-4.0295834964695132E-2</v>
      </c>
      <c r="X33" s="114" t="str">
        <f t="shared" si="8"/>
        <v>1D</v>
      </c>
      <c r="Y33" s="112">
        <f>_xll.qlCalendarAdvance(Calendar,Y32,X33,"f",FALSE)</f>
        <v>42153</v>
      </c>
      <c r="Z33" s="115">
        <f>_xll.qlCalendarAdvance(Calendar,Y33,NDays&amp;"D")</f>
        <v>42153</v>
      </c>
      <c r="AA33" s="116">
        <v>2.1666223840804504E-2</v>
      </c>
      <c r="AB33" s="113">
        <v>2.1946624458683749E-2</v>
      </c>
    </row>
    <row r="34" spans="10:28" x14ac:dyDescent="0.2">
      <c r="M34" s="139" t="str">
        <v>obj_002cd#0001</v>
      </c>
      <c r="N34" s="114" t="str">
        <f>_xll.qlRateHelperQuoteName(M34)</f>
        <v>AUDFUT3MH7_Quote</v>
      </c>
      <c r="O34" s="112">
        <f>_xll.qlRateHelperEarliestDate(M34)</f>
        <v>42804</v>
      </c>
      <c r="P34" s="191">
        <f>_xll.qlRateHelperQuoteValue(M34,_xll.ohTrigger(RecalcTrigger,Trigger))</f>
        <v>97.56</v>
      </c>
      <c r="Q34" s="127">
        <f t="shared" si="9"/>
        <v>2.4399999999999977E-2</v>
      </c>
      <c r="R34" s="116" t="e">
        <f>NA()</f>
        <v>#N/A</v>
      </c>
      <c r="S34" s="112">
        <f>_xll.qlInterestRateIndexFixingDate($V$25,O34)</f>
        <v>42803</v>
      </c>
      <c r="T34" s="191">
        <f>100*(1-_xll.qlIndexFixing($V$25,S34,TRUE,RecalcTrigger))</f>
        <v>97.533982653961061</v>
      </c>
      <c r="U34" s="192">
        <f t="shared" si="10"/>
        <v>-2.6017346038941014E-2</v>
      </c>
      <c r="X34" s="114" t="str">
        <f t="shared" si="8"/>
        <v>1D</v>
      </c>
      <c r="Y34" s="112">
        <f>_xll.qlCalendarAdvance(Calendar,Y33,X34,"f",FALSE)</f>
        <v>42156</v>
      </c>
      <c r="Z34" s="115">
        <f>_xll.qlCalendarAdvance(Calendar,Y34,NDays&amp;"D")</f>
        <v>42156</v>
      </c>
      <c r="AA34" s="116">
        <v>2.1649547336956804E-2</v>
      </c>
      <c r="AB34" s="113">
        <v>2.1941811772597797E-2</v>
      </c>
    </row>
    <row r="35" spans="10:28" x14ac:dyDescent="0.2">
      <c r="M35" s="139" t="str">
        <v>obj_002d1#0001</v>
      </c>
      <c r="N35" s="114" t="str">
        <f>_xll.qlRateHelperQuoteName(M35)</f>
        <v>AUDFUT3MM7_Quote</v>
      </c>
      <c r="O35" s="112">
        <f>_xll.qlRateHelperEarliestDate(M35)</f>
        <v>42895</v>
      </c>
      <c r="P35" s="191">
        <f>_xll.qlRateHelperQuoteValue(M35,_xll.ohTrigger(RecalcTrigger,Trigger))</f>
        <v>97.47</v>
      </c>
      <c r="Q35" s="127">
        <f t="shared" si="9"/>
        <v>2.530000000000001E-2</v>
      </c>
      <c r="R35" s="116" t="e">
        <f>NA()</f>
        <v>#N/A</v>
      </c>
      <c r="S35" s="112">
        <f>_xll.qlInterestRateIndexFixingDate($V$25,O35)</f>
        <v>42894</v>
      </c>
      <c r="T35" s="191">
        <f>100*(1-_xll.qlIndexFixing($V$25,S35,TRUE,RecalcTrigger))</f>
        <v>97.483129127218078</v>
      </c>
      <c r="U35" s="192">
        <f t="shared" si="10"/>
        <v>1.3129127218078906E-2</v>
      </c>
      <c r="X35" s="114" t="str">
        <f t="shared" si="8"/>
        <v>1D</v>
      </c>
      <c r="Y35" s="112">
        <f>_xll.qlCalendarAdvance(Calendar,Y34,X35,"f",FALSE)</f>
        <v>42157</v>
      </c>
      <c r="Z35" s="115">
        <f>_xll.qlCalendarAdvance(Calendar,Y35,NDays&amp;"D")</f>
        <v>42157</v>
      </c>
      <c r="AA35" s="116">
        <v>2.1641526728315985E-2</v>
      </c>
      <c r="AB35" s="113">
        <v>2.1940840439649278E-2</v>
      </c>
    </row>
    <row r="36" spans="10:28" x14ac:dyDescent="0.2">
      <c r="M36" s="139" t="str">
        <v>obj_002ba#0001</v>
      </c>
      <c r="N36" s="114" t="str">
        <f>_xll.qlRateHelperQuoteName(M36)</f>
        <v>AUDFUT3MU7_Quote</v>
      </c>
      <c r="O36" s="112">
        <f>_xll.qlRateHelperEarliestDate(M36)</f>
        <v>42986</v>
      </c>
      <c r="P36" s="191">
        <f>_xll.qlRateHelperQuoteValue(M36,_xll.ohTrigger(RecalcTrigger,Trigger))</f>
        <v>97.38</v>
      </c>
      <c r="Q36" s="127">
        <f t="shared" si="9"/>
        <v>2.6200000000000046E-2</v>
      </c>
      <c r="R36" s="116" t="e">
        <f>NA()</f>
        <v>#N/A</v>
      </c>
      <c r="S36" s="112">
        <f>_xll.qlInterestRateIndexFixingDate($V$25,O36)</f>
        <v>42985</v>
      </c>
      <c r="T36" s="191">
        <f>100*(1-_xll.qlIndexFixing($V$25,S36,TRUE,RecalcTrigger))</f>
        <v>97.428775689170607</v>
      </c>
      <c r="U36" s="192">
        <f t="shared" si="10"/>
        <v>4.8775689170611258E-2</v>
      </c>
      <c r="X36" s="114" t="str">
        <f t="shared" si="8"/>
        <v>1D</v>
      </c>
      <c r="Y36" s="112">
        <f>_xll.qlCalendarAdvance(Calendar,Y35,X36,"f",FALSE)</f>
        <v>42158</v>
      </c>
      <c r="Z36" s="115">
        <f>_xll.qlCalendarAdvance(Calendar,Y36,NDays&amp;"D")</f>
        <v>42158</v>
      </c>
      <c r="AA36" s="116">
        <v>2.1633446263531184E-2</v>
      </c>
      <c r="AB36" s="113">
        <v>2.1940297720443036E-2</v>
      </c>
    </row>
    <row r="37" spans="10:28" x14ac:dyDescent="0.2">
      <c r="M37" s="139" t="str">
        <v>obj_002b4#0001</v>
      </c>
      <c r="N37" s="114" t="str">
        <f>_xll.qlRateHelperQuoteName(M37)</f>
        <v>AUDFUT3MZ7_Quote</v>
      </c>
      <c r="O37" s="112">
        <f>_xll.qlRateHelperEarliestDate(M37)</f>
        <v>43077</v>
      </c>
      <c r="P37" s="191">
        <f>_xll.qlRateHelperQuoteValue(M37,_xll.ohTrigger(RecalcTrigger,Trigger))</f>
        <v>97.284999999999997</v>
      </c>
      <c r="Q37" s="127">
        <f t="shared" si="9"/>
        <v>2.7150000000000035E-2</v>
      </c>
      <c r="R37" s="116" t="e">
        <f>NA()</f>
        <v>#N/A</v>
      </c>
      <c r="S37" s="112">
        <f>_xll.qlInterestRateIndexFixingDate($V$25,O37)</f>
        <v>43076</v>
      </c>
      <c r="T37" s="191">
        <f>100*(1-_xll.qlIndexFixing($V$25,S37,TRUE,RecalcTrigger))</f>
        <v>97.367343752838181</v>
      </c>
      <c r="U37" s="192">
        <f t="shared" si="10"/>
        <v>8.2343752838184514E-2</v>
      </c>
      <c r="X37" s="114" t="str">
        <f t="shared" si="8"/>
        <v>1D</v>
      </c>
      <c r="Y37" s="112">
        <f>_xll.qlCalendarAdvance(Calendar,Y36,X37,"f",FALSE)</f>
        <v>42159</v>
      </c>
      <c r="Z37" s="115">
        <f>_xll.qlCalendarAdvance(Calendar,Y37,NDays&amp;"D")</f>
        <v>42159</v>
      </c>
      <c r="AA37" s="116">
        <v>2.1625298749630463E-2</v>
      </c>
      <c r="AB37" s="113">
        <v>2.1940183615060116E-2</v>
      </c>
    </row>
    <row r="38" spans="10:28" x14ac:dyDescent="0.2">
      <c r="M38" s="139" t="str">
        <v>obj_002cf#0001</v>
      </c>
      <c r="N38" s="114" t="str">
        <f>_xll.qlRateHelperQuoteName(M38)</f>
        <v>AUDFUT3MH8_Quote</v>
      </c>
      <c r="O38" s="112">
        <f>_xll.qlRateHelperEarliestDate(M38)</f>
        <v>43168</v>
      </c>
      <c r="P38" s="191">
        <f>_xll.qlRateHelperQuoteValue(M38,_xll.ohTrigger(RecalcTrigger,Trigger))</f>
        <v>97.205000000000013</v>
      </c>
      <c r="Q38" s="127">
        <f t="shared" si="9"/>
        <v>2.7949999999999874E-2</v>
      </c>
      <c r="R38" s="116" t="e">
        <f>NA()</f>
        <v>#N/A</v>
      </c>
      <c r="S38" s="112">
        <f>_xll.qlInterestRateIndexFixingDate($V$25,O38)</f>
        <v>43167</v>
      </c>
      <c r="T38" s="191">
        <f>100*(1-_xll.qlIndexFixing($V$25,S38,TRUE,RecalcTrigger))</f>
        <v>97.296625484197591</v>
      </c>
      <c r="U38" s="192">
        <f t="shared" si="10"/>
        <v>9.1625484197578544E-2</v>
      </c>
      <c r="X38" s="114" t="str">
        <f t="shared" si="8"/>
        <v>1D</v>
      </c>
      <c r="Y38" s="112">
        <f>_xll.qlCalendarAdvance(Calendar,Y37,X38,"f",FALSE)</f>
        <v>42160</v>
      </c>
      <c r="Z38" s="115">
        <f>_xll.qlCalendarAdvance(Calendar,Y38,NDays&amp;"D")</f>
        <v>42160</v>
      </c>
      <c r="AA38" s="116">
        <v>2.1610182141206694E-2</v>
      </c>
      <c r="AB38" s="113">
        <v>2.1944020074427251E-2</v>
      </c>
    </row>
    <row r="39" spans="10:28" x14ac:dyDescent="0.2">
      <c r="M39" s="139" t="e">
        <v>#N/A</v>
      </c>
      <c r="N39" s="114" t="e">
        <f>_xll.qlRateHelperQuoteName(M39)</f>
        <v>#VALUE!</v>
      </c>
      <c r="O39" s="112" t="e">
        <f>_xll.qlRateHelperEarliestDate(M39)</f>
        <v>#VALUE!</v>
      </c>
      <c r="P39" s="191" t="e">
        <f>_xll.qlRateHelperQuoteValue(M39,_xll.ohTrigger(RecalcTrigger,Trigger))</f>
        <v>#VALUE!</v>
      </c>
      <c r="Q39" s="127" t="e">
        <f t="shared" si="9"/>
        <v>#VALUE!</v>
      </c>
      <c r="R39" s="116" t="e">
        <f>NA()</f>
        <v>#N/A</v>
      </c>
      <c r="S39" s="112" t="e">
        <f>_xll.qlInterestRateIndexFixingDate($V$25,O39)</f>
        <v>#NUM!</v>
      </c>
      <c r="T39" s="191" t="e">
        <f>100*(1-_xll.qlIndexFixing($V$25,S39,TRUE,RecalcTrigger))</f>
        <v>#NUM!</v>
      </c>
      <c r="U39" s="192" t="e">
        <f t="shared" si="10"/>
        <v>#NUM!</v>
      </c>
      <c r="X39" s="114" t="str">
        <f t="shared" si="8"/>
        <v>1D</v>
      </c>
      <c r="Y39" s="112">
        <f>_xll.qlCalendarAdvance(Calendar,Y38,X39,"f",FALSE)</f>
        <v>42164</v>
      </c>
      <c r="Z39" s="115">
        <f>_xll.qlCalendarAdvance(Calendar,Y39,NDays&amp;"D")</f>
        <v>42164</v>
      </c>
      <c r="AA39" s="116">
        <v>2.158330369377914E-2</v>
      </c>
      <c r="AB39" s="113">
        <v>2.1946042294684887E-2</v>
      </c>
    </row>
    <row r="40" spans="10:28" x14ac:dyDescent="0.2">
      <c r="M40" s="139" t="e">
        <v>#N/A</v>
      </c>
      <c r="N40" s="114" t="e">
        <f>_xll.qlRateHelperQuoteName(M40)</f>
        <v>#VALUE!</v>
      </c>
      <c r="O40" s="112" t="e">
        <f>_xll.qlRateHelperEarliestDate(M40)</f>
        <v>#VALUE!</v>
      </c>
      <c r="P40" s="191" t="e">
        <f>_xll.qlRateHelperQuoteValue(M40,_xll.ohTrigger(RecalcTrigger,Trigger))</f>
        <v>#VALUE!</v>
      </c>
      <c r="Q40" s="127" t="e">
        <f t="shared" si="9"/>
        <v>#VALUE!</v>
      </c>
      <c r="R40" s="116" t="e">
        <f>NA()</f>
        <v>#N/A</v>
      </c>
      <c r="S40" s="112" t="e">
        <f>_xll.qlInterestRateIndexFixingDate($V$25,O40)</f>
        <v>#NUM!</v>
      </c>
      <c r="T40" s="191" t="e">
        <f>100*(1-_xll.qlIndexFixing($V$25,S40,TRUE,RecalcTrigger))</f>
        <v>#NUM!</v>
      </c>
      <c r="U40" s="192" t="e">
        <f t="shared" si="10"/>
        <v>#NUM!</v>
      </c>
      <c r="X40" s="114" t="str">
        <f t="shared" si="8"/>
        <v>1D</v>
      </c>
      <c r="Y40" s="112">
        <f>_xll.qlCalendarAdvance(Calendar,Y39,X40,"f",FALSE)</f>
        <v>42165</v>
      </c>
      <c r="Z40" s="115">
        <f>_xll.qlCalendarAdvance(Calendar,Y40,NDays&amp;"D")</f>
        <v>42165</v>
      </c>
      <c r="AA40" s="116">
        <v>2.157460283633637E-2</v>
      </c>
      <c r="AB40" s="113">
        <v>2.1948499871998761E-2</v>
      </c>
    </row>
    <row r="41" spans="10:28" x14ac:dyDescent="0.2">
      <c r="M41" s="139" t="e">
        <v>#N/A</v>
      </c>
      <c r="N41" s="114" t="e">
        <f>_xll.qlRateHelperQuoteName(M41)</f>
        <v>#VALUE!</v>
      </c>
      <c r="O41" s="112" t="e">
        <f>_xll.qlRateHelperEarliestDate(M41)</f>
        <v>#VALUE!</v>
      </c>
      <c r="P41" s="191" t="e">
        <f>_xll.qlRateHelperQuoteValue(M41,_xll.ohTrigger(RecalcTrigger,Trigger))</f>
        <v>#VALUE!</v>
      </c>
      <c r="Q41" s="127" t="e">
        <f t="shared" si="9"/>
        <v>#VALUE!</v>
      </c>
      <c r="R41" s="116" t="e">
        <f>NA()</f>
        <v>#N/A</v>
      </c>
      <c r="S41" s="112" t="e">
        <f>_xll.qlInterestRateIndexFixingDate($V$25,O41)</f>
        <v>#NUM!</v>
      </c>
      <c r="T41" s="191" t="e">
        <f>100*(1-_xll.qlIndexFixing($V$25,S41,TRUE,RecalcTrigger))</f>
        <v>#NUM!</v>
      </c>
      <c r="U41" s="192" t="e">
        <f t="shared" si="10"/>
        <v>#NUM!</v>
      </c>
      <c r="V41" s="126"/>
      <c r="X41" s="114" t="str">
        <f t="shared" si="8"/>
        <v>1D</v>
      </c>
      <c r="Y41" s="112">
        <f>_xll.qlCalendarAdvance(Calendar,Y40,X41,"f",FALSE)</f>
        <v>42166</v>
      </c>
      <c r="Z41" s="115">
        <f>_xll.qlCalendarAdvance(Calendar,Y41,NDays&amp;"D")</f>
        <v>42166</v>
      </c>
      <c r="AA41" s="116">
        <v>2.156578458078881E-2</v>
      </c>
      <c r="AB41" s="113">
        <v>2.1951182662987012E-2</v>
      </c>
    </row>
    <row r="42" spans="10:28" x14ac:dyDescent="0.2">
      <c r="M42" s="139" t="e">
        <v>#N/A</v>
      </c>
      <c r="N42" s="114" t="e">
        <f>_xll.qlRateHelperQuoteName(M42)</f>
        <v>#VALUE!</v>
      </c>
      <c r="O42" s="112" t="e">
        <f>_xll.qlRateHelperEarliestDate(M42)</f>
        <v>#VALUE!</v>
      </c>
      <c r="P42" s="191" t="e">
        <f>_xll.qlRateHelperQuoteValue(M42,_xll.ohTrigger(RecalcTrigger,Trigger))</f>
        <v>#VALUE!</v>
      </c>
      <c r="Q42" s="127" t="e">
        <f t="shared" si="9"/>
        <v>#VALUE!</v>
      </c>
      <c r="R42" s="116" t="e">
        <f>NA()</f>
        <v>#N/A</v>
      </c>
      <c r="S42" s="112" t="e">
        <f>_xll.qlInterestRateIndexFixingDate($V$25,O42)</f>
        <v>#NUM!</v>
      </c>
      <c r="T42" s="191" t="e">
        <f>100*(1-_xll.qlIndexFixing($V$25,S42,TRUE,RecalcTrigger))</f>
        <v>#NUM!</v>
      </c>
      <c r="U42" s="192" t="e">
        <f t="shared" si="10"/>
        <v>#NUM!</v>
      </c>
      <c r="V42" s="126"/>
      <c r="X42" s="114" t="str">
        <f t="shared" si="8"/>
        <v>1D</v>
      </c>
      <c r="Y42" s="112">
        <f>_xll.qlCalendarAdvance(Calendar,Y41,X42,"f",FALSE)</f>
        <v>42167</v>
      </c>
      <c r="Z42" s="115">
        <f>_xll.qlCalendarAdvance(Calendar,Y42,NDays&amp;"D")</f>
        <v>42167</v>
      </c>
      <c r="AA42" s="116">
        <v>2.1549999996455994E-2</v>
      </c>
      <c r="AB42" s="113">
        <v>2.1955636309051178E-2</v>
      </c>
    </row>
    <row r="43" spans="10:28" x14ac:dyDescent="0.2">
      <c r="M43" s="139" t="e">
        <v>#N/A</v>
      </c>
      <c r="N43" s="114" t="e">
        <f>_xll.qlRateHelperQuoteName(M43)</f>
        <v>#VALUE!</v>
      </c>
      <c r="O43" s="112" t="e">
        <f>_xll.qlRateHelperEarliestDate(M43)</f>
        <v>#VALUE!</v>
      </c>
      <c r="P43" s="191" t="e">
        <f>_xll.qlRateHelperQuoteValue(M43,_xll.ohTrigger(RecalcTrigger,Trigger))</f>
        <v>#VALUE!</v>
      </c>
      <c r="Q43" s="127" t="e">
        <f t="shared" si="9"/>
        <v>#VALUE!</v>
      </c>
      <c r="R43" s="116" t="e">
        <f>NA()</f>
        <v>#N/A</v>
      </c>
      <c r="S43" s="112" t="e">
        <f>_xll.qlInterestRateIndexFixingDate($V$25,O43)</f>
        <v>#NUM!</v>
      </c>
      <c r="T43" s="191" t="e">
        <f>100*(1-_xll.qlIndexFixing($V$25,S43,TRUE,RecalcTrigger))</f>
        <v>#NUM!</v>
      </c>
      <c r="U43" s="192" t="e">
        <f t="shared" si="10"/>
        <v>#NUM!</v>
      </c>
      <c r="V43" s="126"/>
      <c r="X43" s="114" t="str">
        <f t="shared" si="8"/>
        <v>1D</v>
      </c>
      <c r="Y43" s="112">
        <f>_xll.qlCalendarAdvance(Calendar,Y42,X43,"f",FALSE)</f>
        <v>42170</v>
      </c>
      <c r="Z43" s="115">
        <f>_xll.qlCalendarAdvance(Calendar,Y43,NDays&amp;"D")</f>
        <v>42170</v>
      </c>
      <c r="AA43" s="116">
        <v>2.1529336806050004E-2</v>
      </c>
      <c r="AB43" s="113">
        <v>2.1954809561451905E-2</v>
      </c>
    </row>
    <row r="44" spans="10:28" x14ac:dyDescent="0.2">
      <c r="M44" s="139" t="e">
        <v>#N/A</v>
      </c>
      <c r="N44" s="114" t="e">
        <f>_xll.qlRateHelperQuoteName(M44)</f>
        <v>#VALUE!</v>
      </c>
      <c r="O44" s="112" t="e">
        <f>_xll.qlRateHelperEarliestDate(M44)</f>
        <v>#VALUE!</v>
      </c>
      <c r="P44" s="190" t="e">
        <f>_xll.qlRateHelperQuoteValue(M44,_xll.ohTrigger(RecalcTrigger,Trigger))</f>
        <v>#VALUE!</v>
      </c>
      <c r="Q44" s="127" t="e">
        <f t="shared" si="9"/>
        <v>#VALUE!</v>
      </c>
      <c r="R44" s="116" t="e">
        <f>NA()</f>
        <v>#N/A</v>
      </c>
      <c r="S44" s="112" t="e">
        <f>_xll.qlInterestRateIndexFixingDate($V$25,O44)</f>
        <v>#NUM!</v>
      </c>
      <c r="T44" s="191" t="e">
        <f>100*(1-_xll.qlIndexFixing($V$25,S44,TRUE,RecalcTrigger))</f>
        <v>#NUM!</v>
      </c>
      <c r="U44" s="193" t="e">
        <f t="shared" si="10"/>
        <v>#NUM!</v>
      </c>
      <c r="X44" s="114" t="str">
        <f t="shared" si="8"/>
        <v>1D</v>
      </c>
      <c r="Y44" s="112">
        <f>_xll.qlCalendarAdvance(Calendar,Y43,X44,"f",FALSE)</f>
        <v>42171</v>
      </c>
      <c r="Z44" s="115">
        <f>_xll.qlCalendarAdvance(Calendar,Y44,NDays&amp;"D")</f>
        <v>42171</v>
      </c>
      <c r="AA44" s="116">
        <v>2.1519965008447221E-2</v>
      </c>
      <c r="AB44" s="113">
        <v>2.1953736819587677E-2</v>
      </c>
    </row>
    <row r="45" spans="10:28" x14ac:dyDescent="0.2">
      <c r="M45" s="139" t="e">
        <v>#N/A</v>
      </c>
      <c r="N45" s="114" t="e">
        <f>_xll.qlRateHelperQuoteName(M45)</f>
        <v>#VALUE!</v>
      </c>
      <c r="O45" s="112" t="e">
        <f>_xll.qlRateHelperEarliestDate(M45)</f>
        <v>#VALUE!</v>
      </c>
      <c r="P45" s="190" t="e">
        <f>_xll.qlRateHelperQuoteValue(M45,_xll.ohTrigger(RecalcTrigger,Trigger))</f>
        <v>#VALUE!</v>
      </c>
      <c r="Q45" s="127" t="e">
        <f t="shared" si="9"/>
        <v>#VALUE!</v>
      </c>
      <c r="R45" s="116" t="e">
        <f>NA()</f>
        <v>#N/A</v>
      </c>
      <c r="S45" s="112" t="e">
        <f>_xll.qlInterestRateIndexFixingDate($V$25,O45)</f>
        <v>#NUM!</v>
      </c>
      <c r="T45" s="191" t="e">
        <f>100*(1-_xll.qlIndexFixing($V$25,S45,TRUE,RecalcTrigger))</f>
        <v>#NUM!</v>
      </c>
      <c r="U45" s="193" t="e">
        <f t="shared" si="10"/>
        <v>#NUM!</v>
      </c>
      <c r="X45" s="114" t="str">
        <f t="shared" si="8"/>
        <v>1D</v>
      </c>
      <c r="Y45" s="112">
        <f>_xll.qlCalendarAdvance(Calendar,Y44,X45,"f",FALSE)</f>
        <v>42172</v>
      </c>
      <c r="Z45" s="115">
        <f>_xll.qlCalendarAdvance(Calendar,Y45,NDays&amp;"D")</f>
        <v>42172</v>
      </c>
      <c r="AA45" s="116">
        <v>2.151050919284847E-2</v>
      </c>
      <c r="AB45" s="113">
        <v>2.1951872291139374E-2</v>
      </c>
    </row>
    <row r="46" spans="10:28" x14ac:dyDescent="0.2">
      <c r="M46" s="139" t="e">
        <v>#N/A</v>
      </c>
      <c r="N46" s="114" t="e">
        <f>_xll.qlRateHelperQuoteName(M46)</f>
        <v>#VALUE!</v>
      </c>
      <c r="O46" s="112" t="e">
        <f>_xll.qlRateHelperEarliestDate(M46)</f>
        <v>#VALUE!</v>
      </c>
      <c r="P46" s="190" t="e">
        <f>_xll.qlRateHelperQuoteValue(M46,_xll.ohTrigger(RecalcTrigger,Trigger))</f>
        <v>#VALUE!</v>
      </c>
      <c r="Q46" s="127" t="e">
        <f t="shared" si="9"/>
        <v>#VALUE!</v>
      </c>
      <c r="R46" s="116" t="e">
        <f>NA()</f>
        <v>#N/A</v>
      </c>
      <c r="S46" s="112" t="e">
        <f>_xll.qlInterestRateIndexFixingDate($V$25,O46)</f>
        <v>#NUM!</v>
      </c>
      <c r="T46" s="191" t="e">
        <f>100*(1-_xll.qlIndexFixing($V$25,S46,TRUE,RecalcTrigger))</f>
        <v>#NUM!</v>
      </c>
      <c r="U46" s="193" t="e">
        <f t="shared" si="10"/>
        <v>#NUM!</v>
      </c>
      <c r="V46" s="126"/>
      <c r="X46" s="114" t="str">
        <f t="shared" si="8"/>
        <v>1D</v>
      </c>
      <c r="Y46" s="112">
        <f>_xll.qlCalendarAdvance(Calendar,Y45,X46,"f",FALSE)</f>
        <v>42173</v>
      </c>
      <c r="Z46" s="115">
        <f>_xll.qlCalendarAdvance(Calendar,Y46,NDays&amp;"D")</f>
        <v>42173</v>
      </c>
      <c r="AA46" s="116">
        <v>2.1500980429288608E-2</v>
      </c>
      <c r="AB46" s="113">
        <v>2.1949215976025949E-2</v>
      </c>
    </row>
    <row r="47" spans="10:28" x14ac:dyDescent="0.2">
      <c r="M47" s="139" t="e">
        <v>#N/A</v>
      </c>
      <c r="N47" s="114" t="e">
        <f>_xll.qlRateHelperQuoteName(M47)</f>
        <v>#VALUE!</v>
      </c>
      <c r="O47" s="112" t="e">
        <f>_xll.qlRateHelperEarliestDate(M47)</f>
        <v>#VALUE!</v>
      </c>
      <c r="P47" s="190" t="e">
        <f>_xll.qlRateHelperQuoteValue(M47,_xll.ohTrigger(RecalcTrigger,Trigger))</f>
        <v>#VALUE!</v>
      </c>
      <c r="Q47" s="127" t="e">
        <f t="shared" si="9"/>
        <v>#VALUE!</v>
      </c>
      <c r="R47" s="116" t="e">
        <f>NA()</f>
        <v>#N/A</v>
      </c>
      <c r="S47" s="112" t="e">
        <f>_xll.qlInterestRateIndexFixingDate($V$25,O47)</f>
        <v>#NUM!</v>
      </c>
      <c r="T47" s="190" t="e">
        <f>100*(1-_xll.qlIndexFixing($V$25,S47,TRUE,RecalcTrigger))</f>
        <v>#NUM!</v>
      </c>
      <c r="U47" s="193" t="e">
        <f t="shared" si="10"/>
        <v>#NUM!</v>
      </c>
      <c r="V47" s="126"/>
      <c r="X47" s="114" t="str">
        <f t="shared" si="8"/>
        <v>1D</v>
      </c>
      <c r="Y47" s="112">
        <f>_xll.qlCalendarAdvance(Calendar,Y46,X47,"f",FALSE)</f>
        <v>42174</v>
      </c>
      <c r="Z47" s="115">
        <f>_xll.qlCalendarAdvance(Calendar,Y47,NDays&amp;"D")</f>
        <v>42174</v>
      </c>
      <c r="AA47" s="116">
        <v>2.148464174567663E-2</v>
      </c>
      <c r="AB47" s="113">
        <v>2.1942583040181672E-2</v>
      </c>
    </row>
    <row r="48" spans="10:28" x14ac:dyDescent="0.2">
      <c r="J48" s="145" t="b">
        <v>0</v>
      </c>
      <c r="M48" s="139" t="e">
        <v>#N/A</v>
      </c>
      <c r="N48" s="114" t="e">
        <f>_xll.qlRateHelperQuoteName(M48)</f>
        <v>#VALUE!</v>
      </c>
      <c r="O48" s="112" t="e">
        <f>_xll.qlRateHelperEarliestDate(M48)</f>
        <v>#VALUE!</v>
      </c>
      <c r="P48" s="190" t="e">
        <f>_xll.qlRateHelperQuoteValue(M48,_xll.ohTrigger(RecalcTrigger,Trigger))</f>
        <v>#VALUE!</v>
      </c>
      <c r="Q48" s="127" t="e">
        <f t="shared" si="9"/>
        <v>#VALUE!</v>
      </c>
      <c r="R48" s="116" t="e">
        <f>NA()</f>
        <v>#N/A</v>
      </c>
      <c r="S48" s="112" t="e">
        <f>_xll.qlInterestRateIndexFixingDate($V$25,O48)</f>
        <v>#NUM!</v>
      </c>
      <c r="T48" s="190" t="e">
        <f>100*(1-_xll.qlIndexFixing($V$25,S48,TRUE,RecalcTrigger))</f>
        <v>#NUM!</v>
      </c>
      <c r="U48" s="193" t="e">
        <f t="shared" si="10"/>
        <v>#NUM!</v>
      </c>
      <c r="V48" s="126"/>
      <c r="X48" s="114" t="str">
        <f t="shared" si="8"/>
        <v>1D</v>
      </c>
      <c r="Y48" s="112">
        <f>_xll.qlCalendarAdvance(Calendar,Y47,X48,"f",FALSE)</f>
        <v>42177</v>
      </c>
      <c r="Z48" s="115">
        <f>_xll.qlCalendarAdvance(Calendar,Y48,NDays&amp;"D")</f>
        <v>42177</v>
      </c>
      <c r="AA48" s="116">
        <v>2.1462357292606035E-2</v>
      </c>
      <c r="AB48" s="113">
        <v>2.1930672850379862E-2</v>
      </c>
    </row>
    <row r="49" spans="10:28" x14ac:dyDescent="0.2">
      <c r="M49" s="139" t="e">
        <v>#N/A</v>
      </c>
      <c r="N49" s="114" t="e">
        <f>_xll.qlRateHelperQuoteName(M49)</f>
        <v>#VALUE!</v>
      </c>
      <c r="O49" s="112" t="e">
        <f>_xll.qlRateHelperEarliestDate(M49)</f>
        <v>#VALUE!</v>
      </c>
      <c r="P49" s="190" t="e">
        <f>_xll.qlRateHelperQuoteValue(M49,_xll.ohTrigger(RecalcTrigger,Trigger))</f>
        <v>#VALUE!</v>
      </c>
      <c r="Q49" s="127" t="e">
        <f t="shared" si="9"/>
        <v>#VALUE!</v>
      </c>
      <c r="R49" s="116" t="e">
        <f>NA()</f>
        <v>#N/A</v>
      </c>
      <c r="S49" s="112" t="e">
        <f>_xll.qlInterestRateIndexFixingDate($V$25,O49)</f>
        <v>#NUM!</v>
      </c>
      <c r="T49" s="190" t="e">
        <f>100*(1-_xll.qlIndexFixing($V$25,S49,TRUE,RecalcTrigger))</f>
        <v>#NUM!</v>
      </c>
      <c r="U49" s="193" t="e">
        <f t="shared" si="10"/>
        <v>#NUM!</v>
      </c>
      <c r="V49" s="126"/>
      <c r="X49" s="114" t="str">
        <f t="shared" si="8"/>
        <v>1D</v>
      </c>
      <c r="Y49" s="112">
        <f>_xll.qlCalendarAdvance(Calendar,Y48,X49,"f",FALSE)</f>
        <v>42178</v>
      </c>
      <c r="Z49" s="115">
        <f>_xll.qlCalendarAdvance(Calendar,Y49,NDays&amp;"D")</f>
        <v>42178</v>
      </c>
      <c r="AA49" s="116">
        <v>2.145262983619383E-2</v>
      </c>
      <c r="AB49" s="113">
        <v>2.192405760275129E-2</v>
      </c>
    </row>
    <row r="50" spans="10:28" x14ac:dyDescent="0.2">
      <c r="M50" s="139" t="e">
        <v>#N/A</v>
      </c>
      <c r="N50" s="114" t="e">
        <f>_xll.qlRateHelperQuoteName(M50)</f>
        <v>#VALUE!</v>
      </c>
      <c r="O50" s="112" t="e">
        <f>_xll.qlRateHelperEarliestDate(M50)</f>
        <v>#VALUE!</v>
      </c>
      <c r="P50" s="190" t="e">
        <f>_xll.qlRateHelperQuoteValue(M50,_xll.ohTrigger(RecalcTrigger,Trigger))</f>
        <v>#VALUE!</v>
      </c>
      <c r="Q50" s="127" t="e">
        <f t="shared" si="9"/>
        <v>#VALUE!</v>
      </c>
      <c r="R50" s="116" t="e">
        <f>NA()</f>
        <v>#N/A</v>
      </c>
      <c r="S50" s="112" t="e">
        <f>_xll.qlInterestRateIndexFixingDate($V$25,O50)</f>
        <v>#NUM!</v>
      </c>
      <c r="T50" s="190" t="e">
        <f>100*(1-_xll.qlIndexFixing($V$25,S50,TRUE,RecalcTrigger))</f>
        <v>#NUM!</v>
      </c>
      <c r="U50" s="193" t="e">
        <f t="shared" si="10"/>
        <v>#NUM!</v>
      </c>
      <c r="V50" s="126"/>
      <c r="X50" s="114" t="str">
        <f t="shared" si="8"/>
        <v>1D</v>
      </c>
      <c r="Y50" s="112">
        <f>_xll.qlCalendarAdvance(Calendar,Y49,X50,"f",FALSE)</f>
        <v>42179</v>
      </c>
      <c r="Z50" s="115">
        <f>_xll.qlCalendarAdvance(Calendar,Y50,NDays&amp;"D")</f>
        <v>42179</v>
      </c>
      <c r="AA50" s="116">
        <v>2.144289584985988E-2</v>
      </c>
      <c r="AB50" s="113">
        <v>2.1916650568781781E-2</v>
      </c>
    </row>
    <row r="51" spans="10:28" x14ac:dyDescent="0.2">
      <c r="M51" s="139" t="e">
        <v>#N/A</v>
      </c>
      <c r="N51" s="114" t="e">
        <f>_xll.qlRateHelperQuoteName(M51)</f>
        <v>#VALUE!</v>
      </c>
      <c r="O51" s="112" t="e">
        <f>_xll.qlRateHelperEarliestDate(M51)</f>
        <v>#VALUE!</v>
      </c>
      <c r="P51" s="190" t="e">
        <f>_xll.qlRateHelperQuoteValue(M51,_xll.ohTrigger(RecalcTrigger,Trigger))</f>
        <v>#VALUE!</v>
      </c>
      <c r="Q51" s="127" t="e">
        <f t="shared" si="9"/>
        <v>#VALUE!</v>
      </c>
      <c r="R51" s="116" t="e">
        <f>NA()</f>
        <v>#N/A</v>
      </c>
      <c r="S51" s="112" t="e">
        <f>_xll.qlInterestRateIndexFixingDate($V$25,O51)</f>
        <v>#NUM!</v>
      </c>
      <c r="T51" s="190" t="e">
        <f>100*(1-_xll.qlIndexFixing($V$25,S51,TRUE,RecalcTrigger))</f>
        <v>#NUM!</v>
      </c>
      <c r="U51" s="193" t="e">
        <f t="shared" si="10"/>
        <v>#NUM!</v>
      </c>
      <c r="V51" s="126"/>
      <c r="X51" s="114" t="str">
        <f t="shared" si="8"/>
        <v>1D</v>
      </c>
      <c r="Y51" s="112">
        <f>_xll.qlCalendarAdvance(Calendar,Y50,X51,"f",FALSE)</f>
        <v>42180</v>
      </c>
      <c r="Z51" s="115">
        <f>_xll.qlCalendarAdvance(Calendar,Y51,NDays&amp;"D")</f>
        <v>42180</v>
      </c>
      <c r="AA51" s="116">
        <v>2.143316640290345E-2</v>
      </c>
      <c r="AB51" s="113">
        <v>2.1908451748309243E-2</v>
      </c>
    </row>
    <row r="52" spans="10:28" x14ac:dyDescent="0.2">
      <c r="J52" s="145" t="b">
        <v>1</v>
      </c>
      <c r="M52" s="139" t="e">
        <v>#N/A</v>
      </c>
      <c r="N52" s="114" t="e">
        <f>_xll.qlRateHelperQuoteName(M52)</f>
        <v>#VALUE!</v>
      </c>
      <c r="O52" s="112" t="e">
        <f>_xll.qlRateHelperEarliestDate(M52)</f>
        <v>#VALUE!</v>
      </c>
      <c r="P52" s="190" t="e">
        <f>_xll.qlRateHelperQuoteValue(M52,_xll.ohTrigger(RecalcTrigger,Trigger))</f>
        <v>#VALUE!</v>
      </c>
      <c r="Q52" s="127" t="e">
        <f t="shared" si="9"/>
        <v>#VALUE!</v>
      </c>
      <c r="R52" s="116" t="e">
        <f>NA()</f>
        <v>#N/A</v>
      </c>
      <c r="S52" s="112" t="e">
        <f>_xll.qlInterestRateIndexFixingDate($V$25,O52)</f>
        <v>#NUM!</v>
      </c>
      <c r="T52" s="190" t="e">
        <f>100*(1-_xll.qlIndexFixing($V$25,S52,TRUE,RecalcTrigger))</f>
        <v>#NUM!</v>
      </c>
      <c r="U52" s="193" t="e">
        <f t="shared" si="10"/>
        <v>#NUM!</v>
      </c>
      <c r="V52" s="126"/>
      <c r="X52" s="114" t="str">
        <f t="shared" si="8"/>
        <v>1D</v>
      </c>
      <c r="Y52" s="112">
        <f>_xll.qlCalendarAdvance(Calendar,Y51,X52,"f",FALSE)</f>
        <v>42181</v>
      </c>
      <c r="Z52" s="115">
        <f>_xll.qlCalendarAdvance(Calendar,Y52,NDays&amp;"D")</f>
        <v>42181</v>
      </c>
      <c r="AA52" s="116">
        <v>2.1417078449189657E-2</v>
      </c>
      <c r="AB52" s="113">
        <v>2.1890727576257728E-2</v>
      </c>
    </row>
    <row r="53" spans="10:28" x14ac:dyDescent="0.2">
      <c r="M53" s="114" t="e">
        <v>#N/A</v>
      </c>
      <c r="N53" s="114" t="e">
        <f>_xll.qlRateHelperQuoteName(M53)</f>
        <v>#VALUE!</v>
      </c>
      <c r="O53" s="112" t="e">
        <f>_xll.qlRateHelperEarliestDate(M53)</f>
        <v>#VALUE!</v>
      </c>
      <c r="P53" s="190" t="e">
        <f>_xll.qlRateHelperQuoteValue(M53,_xll.ohTrigger(RecalcTrigger,Trigger))</f>
        <v>#VALUE!</v>
      </c>
      <c r="Q53" s="127" t="e">
        <f t="shared" si="9"/>
        <v>#VALUE!</v>
      </c>
      <c r="R53" s="116" t="e">
        <f>NA()</f>
        <v>#N/A</v>
      </c>
      <c r="S53" s="112" t="e">
        <f>_xll.qlInterestRateIndexFixingDate($V$25,O53)</f>
        <v>#NUM!</v>
      </c>
      <c r="T53" s="190" t="e">
        <f>100*(1-_xll.qlIndexFixing($V$25,S53,TRUE,RecalcTrigger))</f>
        <v>#NUM!</v>
      </c>
      <c r="U53" s="193" t="e">
        <f t="shared" si="10"/>
        <v>#NUM!</v>
      </c>
      <c r="V53" s="126"/>
      <c r="X53" s="114" t="str">
        <f t="shared" si="8"/>
        <v>1D</v>
      </c>
      <c r="Y53" s="112">
        <f>_xll.qlCalendarAdvance(Calendar,Y52,X53,"f",FALSE)</f>
        <v>42184</v>
      </c>
      <c r="Z53" s="115">
        <f>_xll.qlCalendarAdvance(Calendar,Y53,NDays&amp;"D")</f>
        <v>42184</v>
      </c>
      <c r="AA53" s="116">
        <v>2.1394515391053821E-2</v>
      </c>
      <c r="AB53" s="113">
        <v>2.1867738604468556E-2</v>
      </c>
    </row>
    <row r="54" spans="10:28" x14ac:dyDescent="0.2">
      <c r="M54" s="114" t="e">
        <v>#N/A</v>
      </c>
      <c r="N54" s="114" t="e">
        <f>_xll.qlRateHelperQuoteName(M54)</f>
        <v>#VALUE!</v>
      </c>
      <c r="O54" s="112" t="e">
        <f>_xll.qlRateHelperEarliestDate(M54)</f>
        <v>#VALUE!</v>
      </c>
      <c r="P54" s="190" t="e">
        <f>_xll.qlRateHelperQuoteValue(M54,_xll.ohTrigger(RecalcTrigger,Trigger))</f>
        <v>#VALUE!</v>
      </c>
      <c r="Q54" s="127" t="e">
        <f t="shared" si="9"/>
        <v>#VALUE!</v>
      </c>
      <c r="R54" s="116" t="e">
        <f>NA()</f>
        <v>#N/A</v>
      </c>
      <c r="S54" s="112" t="e">
        <f>_xll.qlInterestRateIndexFixingDate($V$25,O54)</f>
        <v>#NUM!</v>
      </c>
      <c r="T54" s="190" t="e">
        <f>100*(1-_xll.qlIndexFixing($V$25,S54,TRUE,RecalcTrigger))</f>
        <v>#NUM!</v>
      </c>
      <c r="U54" s="193" t="e">
        <f t="shared" si="10"/>
        <v>#NUM!</v>
      </c>
      <c r="V54" s="126"/>
      <c r="X54" s="114" t="str">
        <f t="shared" si="8"/>
        <v>1D</v>
      </c>
      <c r="Y54" s="112">
        <f>_xll.qlCalendarAdvance(Calendar,Y53,X54,"f",FALSE)</f>
        <v>42185</v>
      </c>
      <c r="Z54" s="115">
        <f>_xll.qlCalendarAdvance(Calendar,Y54,NDays&amp;"D")</f>
        <v>42185</v>
      </c>
      <c r="AA54" s="116">
        <v>2.1384974676702743E-2</v>
      </c>
      <c r="AB54" s="113">
        <v>2.1855580853182843E-2</v>
      </c>
    </row>
    <row r="55" spans="10:28" x14ac:dyDescent="0.2">
      <c r="J55" s="145" t="b">
        <v>0</v>
      </c>
      <c r="M55" s="114" t="e">
        <v>#N/A</v>
      </c>
      <c r="N55" s="114" t="e">
        <f>_xll.qlRateHelperQuoteName(M55)</f>
        <v>#VALUE!</v>
      </c>
      <c r="O55" s="112" t="e">
        <f>_xll.qlRateHelperEarliestDate(M55)</f>
        <v>#VALUE!</v>
      </c>
      <c r="P55" s="190" t="e">
        <f>_xll.qlRateHelperQuoteValue(M55,_xll.ohTrigger(RecalcTrigger,Trigger))</f>
        <v>#VALUE!</v>
      </c>
      <c r="Q55" s="127" t="e">
        <f t="shared" si="9"/>
        <v>#VALUE!</v>
      </c>
      <c r="R55" s="116" t="e">
        <f>NA()</f>
        <v>#N/A</v>
      </c>
      <c r="S55" s="112" t="e">
        <f>_xll.qlInterestRateIndexFixingDate($V$25,O55)</f>
        <v>#NUM!</v>
      </c>
      <c r="T55" s="190" t="e">
        <f>100*(1-_xll.qlIndexFixing($V$25,S55,TRUE,RecalcTrigger))</f>
        <v>#NUM!</v>
      </c>
      <c r="U55" s="193" t="e">
        <f t="shared" si="10"/>
        <v>#NUM!</v>
      </c>
      <c r="V55" s="126"/>
      <c r="X55" s="114" t="str">
        <f t="shared" si="8"/>
        <v>1D</v>
      </c>
      <c r="Y55" s="112">
        <f>_xll.qlCalendarAdvance(Calendar,Y54,X55,"f",FALSE)</f>
        <v>42186</v>
      </c>
      <c r="Z55" s="115">
        <f>_xll.qlCalendarAdvance(Calendar,Y55,NDays&amp;"D")</f>
        <v>42186</v>
      </c>
      <c r="AA55" s="116">
        <v>2.1375504915274891E-2</v>
      </c>
      <c r="AB55" s="113">
        <v>2.1842631315961425E-2</v>
      </c>
    </row>
    <row r="56" spans="10:28" x14ac:dyDescent="0.2">
      <c r="M56" s="114" t="e">
        <v>#N/A</v>
      </c>
      <c r="N56" s="114" t="e">
        <f>_xll.qlRateHelperQuoteName(M56)</f>
        <v>#VALUE!</v>
      </c>
      <c r="O56" s="112" t="e">
        <f>_xll.qlRateHelperEarliestDate(M56)</f>
        <v>#VALUE!</v>
      </c>
      <c r="P56" s="190" t="e">
        <f>_xll.qlRateHelperQuoteValue(M56,_xll.ohTrigger(RecalcTrigger,Trigger))</f>
        <v>#VALUE!</v>
      </c>
      <c r="Q56" s="127" t="e">
        <f t="shared" si="9"/>
        <v>#VALUE!</v>
      </c>
      <c r="R56" s="116" t="e">
        <f>NA()</f>
        <v>#N/A</v>
      </c>
      <c r="S56" s="112" t="e">
        <f>_xll.qlInterestRateIndexFixingDate($V$25,O56)</f>
        <v>#NUM!</v>
      </c>
      <c r="T56" s="190" t="e">
        <f>100*(1-_xll.qlIndexFixing($V$25,S56,TRUE,RecalcTrigger))</f>
        <v>#NUM!</v>
      </c>
      <c r="U56" s="193" t="e">
        <f t="shared" si="10"/>
        <v>#NUM!</v>
      </c>
      <c r="V56" s="126"/>
      <c r="X56" s="114" t="str">
        <f t="shared" si="8"/>
        <v>1D</v>
      </c>
      <c r="Y56" s="112">
        <f>_xll.qlCalendarAdvance(Calendar,Y55,X56,"f",FALSE)</f>
        <v>42187</v>
      </c>
      <c r="Z56" s="115">
        <f>_xll.qlCalendarAdvance(Calendar,Y56,NDays&amp;"D")</f>
        <v>42187</v>
      </c>
      <c r="AA56" s="116">
        <v>2.1366117175331302E-2</v>
      </c>
      <c r="AB56" s="113">
        <v>2.1828889992885347E-2</v>
      </c>
    </row>
    <row r="57" spans="10:28" x14ac:dyDescent="0.2">
      <c r="M57" s="114" t="e">
        <v>#N/A</v>
      </c>
      <c r="N57" s="114" t="e">
        <f>_xll.qlRateHelperQuoteName(M57)</f>
        <v>#VALUE!</v>
      </c>
      <c r="O57" s="112" t="e">
        <f>_xll.qlRateHelperEarliestDate(M57)</f>
        <v>#VALUE!</v>
      </c>
      <c r="P57" s="190" t="e">
        <f>_xll.qlRateHelperQuoteValue(M57,_xll.ohTrigger(RecalcTrigger,Trigger))</f>
        <v>#VALUE!</v>
      </c>
      <c r="Q57" s="127" t="e">
        <f t="shared" si="9"/>
        <v>#VALUE!</v>
      </c>
      <c r="R57" s="116" t="e">
        <f>NA()</f>
        <v>#N/A</v>
      </c>
      <c r="S57" s="112" t="e">
        <f>_xll.qlInterestRateIndexFixingDate($V$25,O57)</f>
        <v>#NUM!</v>
      </c>
      <c r="T57" s="190" t="e">
        <f>100*(1-_xll.qlIndexFixing($V$25,S57,TRUE,RecalcTrigger))</f>
        <v>#NUM!</v>
      </c>
      <c r="U57" s="193" t="e">
        <f t="shared" si="10"/>
        <v>#NUM!</v>
      </c>
      <c r="V57" s="126"/>
      <c r="X57" s="114" t="str">
        <f t="shared" si="8"/>
        <v>1D</v>
      </c>
      <c r="Y57" s="112">
        <f>_xll.qlCalendarAdvance(Calendar,Y56,X57,"f",FALSE)</f>
        <v>42188</v>
      </c>
      <c r="Z57" s="115">
        <f>_xll.qlCalendarAdvance(Calendar,Y57,NDays&amp;"D")</f>
        <v>42188</v>
      </c>
      <c r="AA57" s="116">
        <v>2.1348165619948768E-2</v>
      </c>
      <c r="AB57" s="113">
        <v>2.1800069966879668E-2</v>
      </c>
    </row>
    <row r="58" spans="10:28" x14ac:dyDescent="0.2">
      <c r="M58" s="114" t="e">
        <v>#N/A</v>
      </c>
      <c r="N58" s="114" t="e">
        <f>_xll.qlRateHelperQuoteName(M58)</f>
        <v>#VALUE!</v>
      </c>
      <c r="O58" s="112" t="e">
        <f>_xll.qlRateHelperEarliestDate(M58)</f>
        <v>#VALUE!</v>
      </c>
      <c r="P58" s="190" t="e">
        <f>_xll.qlRateHelperQuoteValue(M58,_xll.ohTrigger(RecalcTrigger,Trigger))</f>
        <v>#VALUE!</v>
      </c>
      <c r="Q58" s="127" t="e">
        <f t="shared" si="9"/>
        <v>#VALUE!</v>
      </c>
      <c r="R58" s="116" t="e">
        <f>NA()</f>
        <v>#N/A</v>
      </c>
      <c r="S58" s="112" t="e">
        <f>_xll.qlInterestRateIndexFixingDate($V$25,O58)</f>
        <v>#NUM!</v>
      </c>
      <c r="T58" s="190" t="e">
        <f>100*(1-_xll.qlIndexFixing($V$25,S58,TRUE,RecalcTrigger))</f>
        <v>#NUM!</v>
      </c>
      <c r="U58" s="193" t="e">
        <f t="shared" si="10"/>
        <v>#NUM!</v>
      </c>
      <c r="V58" s="126"/>
      <c r="X58" s="114" t="str">
        <f t="shared" si="8"/>
        <v>1D</v>
      </c>
      <c r="Y58" s="112">
        <f>_xll.qlCalendarAdvance(Calendar,Y57,X58,"f",FALSE)</f>
        <v>42191</v>
      </c>
      <c r="Z58" s="115">
        <f>_xll.qlCalendarAdvance(Calendar,Y58,NDays&amp;"D")</f>
        <v>42191</v>
      </c>
      <c r="AA58" s="116">
        <v>2.1329607798149589E-2</v>
      </c>
      <c r="AB58" s="113">
        <v>2.1766006843736418E-2</v>
      </c>
    </row>
    <row r="59" spans="10:28" x14ac:dyDescent="0.2">
      <c r="M59" s="114" t="e">
        <v>#N/A</v>
      </c>
      <c r="N59" s="114" t="e">
        <f>_xll.qlRateHelperQuoteName(M59)</f>
        <v>#VALUE!</v>
      </c>
      <c r="O59" s="112" t="e">
        <f>_xll.qlRateHelperEarliestDate(M59)</f>
        <v>#VALUE!</v>
      </c>
      <c r="P59" s="190" t="e">
        <f>_xll.qlRateHelperQuoteValue(M59,_xll.ohTrigger(RecalcTrigger,Trigger))</f>
        <v>#VALUE!</v>
      </c>
      <c r="Q59" s="127" t="e">
        <f t="shared" si="9"/>
        <v>#VALUE!</v>
      </c>
      <c r="R59" s="116" t="e">
        <f>NA()</f>
        <v>#N/A</v>
      </c>
      <c r="S59" s="112" t="e">
        <f>_xll.qlInterestRateIndexFixingDate($V$25,O59)</f>
        <v>#NUM!</v>
      </c>
      <c r="T59" s="190" t="e">
        <f>100*(1-_xll.qlIndexFixing($V$25,S59,TRUE,RecalcTrigger))</f>
        <v>#NUM!</v>
      </c>
      <c r="U59" s="193" t="e">
        <f t="shared" si="10"/>
        <v>#NUM!</v>
      </c>
      <c r="V59" s="126"/>
      <c r="X59" s="114" t="str">
        <f t="shared" si="8"/>
        <v>1D</v>
      </c>
      <c r="Y59" s="112">
        <f>_xll.qlCalendarAdvance(Calendar,Y58,X59,"f",FALSE)</f>
        <v>42192</v>
      </c>
      <c r="Z59" s="115">
        <f>_xll.qlCalendarAdvance(Calendar,Y59,NDays&amp;"D")</f>
        <v>42192</v>
      </c>
      <c r="AA59" s="116">
        <v>2.1320796190624068E-2</v>
      </c>
      <c r="AB59" s="113">
        <v>2.1748306592764832E-2</v>
      </c>
    </row>
    <row r="60" spans="10:28" ht="12" thickBot="1" x14ac:dyDescent="0.25">
      <c r="M60" s="129" t="e">
        <v>#N/A</v>
      </c>
      <c r="N60" s="129" t="e">
        <f>_xll.qlRateHelperQuoteName(M60)</f>
        <v>#VALUE!</v>
      </c>
      <c r="O60" s="119" t="e">
        <f>_xll.qlRateHelperEarliestDate(M60)</f>
        <v>#VALUE!</v>
      </c>
      <c r="P60" s="194" t="e">
        <f>_xll.qlRateHelperQuoteValue(M60,_xll.ohTrigger(RecalcTrigger,Trigger))</f>
        <v>#VALUE!</v>
      </c>
      <c r="Q60" s="144" t="e">
        <f t="shared" si="9"/>
        <v>#VALUE!</v>
      </c>
      <c r="R60" s="117" t="e">
        <f>NA()</f>
        <v>#N/A</v>
      </c>
      <c r="S60" s="130" t="e">
        <f>_xll.qlInterestRateIndexFixingDate($V$25,O60)</f>
        <v>#NUM!</v>
      </c>
      <c r="T60" s="194" t="e">
        <f>100*(1-_xll.qlIndexFixing($V$25,S60,TRUE,RecalcTrigger))</f>
        <v>#NUM!</v>
      </c>
      <c r="U60" s="195" t="e">
        <f t="shared" si="10"/>
        <v>#NUM!</v>
      </c>
      <c r="V60" s="126"/>
      <c r="X60" s="114" t="str">
        <f t="shared" si="8"/>
        <v>1D</v>
      </c>
      <c r="Y60" s="112">
        <f>_xll.qlCalendarAdvance(Calendar,Y59,X60,"f",FALSE)</f>
        <v>42193</v>
      </c>
      <c r="Z60" s="115">
        <f>_xll.qlCalendarAdvance(Calendar,Y60,NDays&amp;"D")</f>
        <v>42193</v>
      </c>
      <c r="AA60" s="116">
        <v>2.1312133013944058E-2</v>
      </c>
      <c r="AB60" s="113">
        <v>2.1729814556424865E-2</v>
      </c>
    </row>
    <row r="61" spans="10:28" ht="12" thickBot="1" x14ac:dyDescent="0.25">
      <c r="N61" s="150"/>
      <c r="O61" s="151"/>
      <c r="P61" s="152"/>
      <c r="Q61" s="154"/>
      <c r="R61" s="153"/>
      <c r="S61" s="150"/>
      <c r="T61" s="154"/>
      <c r="U61" s="155"/>
      <c r="V61" s="126"/>
      <c r="X61" s="114" t="str">
        <f t="shared" si="8"/>
        <v>1D</v>
      </c>
      <c r="Y61" s="112">
        <f>_xll.qlCalendarAdvance(Calendar,Y60,X61,"f",FALSE)</f>
        <v>42194</v>
      </c>
      <c r="Z61" s="115">
        <f>_xll.qlCalendarAdvance(Calendar,Y61,NDays&amp;"D")</f>
        <v>42194</v>
      </c>
      <c r="AA61" s="116">
        <v>2.130362933603545E-2</v>
      </c>
      <c r="AB61" s="113">
        <v>2.1710530735040701E-2</v>
      </c>
    </row>
    <row r="62" spans="10:28" x14ac:dyDescent="0.2">
      <c r="M62" s="104"/>
      <c r="N62" s="104" t="s">
        <v>136</v>
      </c>
      <c r="O62" s="105" t="s">
        <v>125</v>
      </c>
      <c r="P62" s="105" t="s">
        <v>45</v>
      </c>
      <c r="Q62" s="105"/>
      <c r="R62" s="120"/>
      <c r="S62" s="105" t="s">
        <v>127</v>
      </c>
      <c r="T62" s="105" t="s">
        <v>128</v>
      </c>
      <c r="U62" s="121" t="s">
        <v>129</v>
      </c>
      <c r="V62" s="103" t="s">
        <v>130</v>
      </c>
      <c r="X62" s="114" t="str">
        <f t="shared" si="8"/>
        <v>1D</v>
      </c>
      <c r="Y62" s="112">
        <f>_xll.qlCalendarAdvance(Calendar,Y61,X62,"f",FALSE)</f>
        <v>42195</v>
      </c>
      <c r="Z62" s="115">
        <f>_xll.qlCalendarAdvance(Calendar,Y62,NDays&amp;"D")</f>
        <v>42195</v>
      </c>
      <c r="AA62" s="116">
        <v>2.1290202228970382E-2</v>
      </c>
      <c r="AB62" s="113">
        <v>2.1670610298794028E-2</v>
      </c>
    </row>
    <row r="63" spans="10:28" x14ac:dyDescent="0.2">
      <c r="M63" s="114">
        <f t="array" ref="M63:M70">_xll.ohFilter(RateHelpers!A15:A56,RateHelpers!M15:M56)</f>
        <v>0</v>
      </c>
      <c r="N63" s="114" t="e">
        <f>_xll.qlRateHelperQuoteName(M63)</f>
        <v>#NUM!</v>
      </c>
      <c r="O63" s="112" t="e">
        <f>_xll.qlRateHelperEarliestDate(M63)</f>
        <v>#NUM!</v>
      </c>
      <c r="P63" s="140" t="e">
        <f>1-_xll.qlRateHelperQuoteValue(M63,_xll.ohTrigger(RecalcTrigger,Trigger))/100</f>
        <v>#NUM!</v>
      </c>
      <c r="Q63" s="127"/>
      <c r="R63" s="116" t="e">
        <f>NA()</f>
        <v>#N/A</v>
      </c>
      <c r="S63" s="112" t="e">
        <f>_xll.qlInterestRateIndexFixingDate(IborIndex,O63)</f>
        <v>#NUM!</v>
      </c>
      <c r="T63" s="127" t="e">
        <f>_xll.qlIndexFixing(IborIndex,S63,TRUE,RecalcTrigger)</f>
        <v>#NUM!</v>
      </c>
      <c r="U63" s="143" t="e">
        <f t="shared" ref="U63:U70" si="11">T63-P63</f>
        <v>#NUM!</v>
      </c>
      <c r="V63" s="128" t="e">
        <f t="array" ref="V63">MAX(ABS(U63:U66))</f>
        <v>#NUM!</v>
      </c>
      <c r="X63" s="114" t="str">
        <f t="shared" si="8"/>
        <v>1D</v>
      </c>
      <c r="Y63" s="112">
        <f>_xll.qlCalendarAdvance(Calendar,Y62,X63,"f",FALSE)</f>
        <v>42198</v>
      </c>
      <c r="Z63" s="115">
        <f>_xll.qlCalendarAdvance(Calendar,Y63,NDays&amp;"D")</f>
        <v>42198</v>
      </c>
      <c r="AA63" s="116">
        <v>2.1271430968027836E-2</v>
      </c>
      <c r="AB63" s="113">
        <v>2.1625730557309764E-2</v>
      </c>
    </row>
    <row r="64" spans="10:28" x14ac:dyDescent="0.2">
      <c r="M64" s="114">
        <v>0</v>
      </c>
      <c r="N64" s="114" t="e">
        <f>_xll.qlRateHelperQuoteName(M64)</f>
        <v>#NUM!</v>
      </c>
      <c r="O64" s="112" t="e">
        <f>_xll.qlRateHelperEarliestDate(M64)</f>
        <v>#NUM!</v>
      </c>
      <c r="P64" s="140" t="e">
        <f>1-_xll.qlRateHelperQuoteValue(M64,_xll.ohTrigger(RecalcTrigger,Trigger))/100</f>
        <v>#NUM!</v>
      </c>
      <c r="Q64" s="127"/>
      <c r="R64" s="116" t="e">
        <f>NA()</f>
        <v>#N/A</v>
      </c>
      <c r="S64" s="112" t="e">
        <f>_xll.qlInterestRateIndexFixingDate(IborIndex,O64)</f>
        <v>#NUM!</v>
      </c>
      <c r="T64" s="127" t="e">
        <f>_xll.qlIndexFixing(IborIndex,S64,TRUE,RecalcTrigger)</f>
        <v>#NUM!</v>
      </c>
      <c r="U64" s="143" t="e">
        <f t="shared" si="11"/>
        <v>#NUM!</v>
      </c>
      <c r="X64" s="114" t="str">
        <f t="shared" si="8"/>
        <v>1D</v>
      </c>
      <c r="Y64" s="112">
        <f>_xll.qlCalendarAdvance(Calendar,Y63,X64,"f",FALSE)</f>
        <v>42199</v>
      </c>
      <c r="Z64" s="115">
        <f>_xll.qlCalendarAdvance(Calendar,Y64,NDays&amp;"D")</f>
        <v>42199</v>
      </c>
      <c r="AA64" s="116">
        <v>2.1263888036238746E-2</v>
      </c>
      <c r="AB64" s="113">
        <v>2.1604005552248173E-2</v>
      </c>
    </row>
    <row r="65" spans="10:28" x14ac:dyDescent="0.2">
      <c r="M65" s="114">
        <v>0</v>
      </c>
      <c r="N65" s="114" t="e">
        <f>_xll.qlRateHelperQuoteName(M65)</f>
        <v>#NUM!</v>
      </c>
      <c r="O65" s="112" t="e">
        <f>_xll.qlRateHelperEarliestDate(M65)</f>
        <v>#NUM!</v>
      </c>
      <c r="P65" s="140" t="e">
        <f>1-_xll.qlRateHelperQuoteValue(M65,_xll.ohTrigger(RecalcTrigger,Trigger))/100</f>
        <v>#NUM!</v>
      </c>
      <c r="Q65" s="127"/>
      <c r="R65" s="116" t="e">
        <f>NA()</f>
        <v>#N/A</v>
      </c>
      <c r="S65" s="112" t="e">
        <f>_xll.qlInterestRateIndexFixingDate(IborIndex,O65)</f>
        <v>#NUM!</v>
      </c>
      <c r="T65" s="127" t="e">
        <f>_xll.qlIndexFixing(IborIndex,S65,TRUE,RecalcTrigger)</f>
        <v>#NUM!</v>
      </c>
      <c r="U65" s="143" t="e">
        <f t="shared" si="11"/>
        <v>#NUM!</v>
      </c>
      <c r="X65" s="114" t="str">
        <f t="shared" si="8"/>
        <v>1D</v>
      </c>
      <c r="Y65" s="112">
        <f>_xll.qlCalendarAdvance(Calendar,Y64,X65,"f",FALSE)</f>
        <v>42200</v>
      </c>
      <c r="Z65" s="115">
        <f>_xll.qlCalendarAdvance(Calendar,Y65,NDays&amp;"D")</f>
        <v>42200</v>
      </c>
      <c r="AA65" s="116">
        <v>2.1256554424769539E-2</v>
      </c>
      <c r="AB65" s="113">
        <v>2.1583006502551294E-2</v>
      </c>
    </row>
    <row r="66" spans="10:28" x14ac:dyDescent="0.2">
      <c r="M66" s="114">
        <v>0</v>
      </c>
      <c r="N66" s="114" t="e">
        <f>_xll.qlRateHelperQuoteName(M66)</f>
        <v>#NUM!</v>
      </c>
      <c r="O66" s="112" t="e">
        <f>_xll.qlRateHelperEarliestDate(M66)</f>
        <v>#NUM!</v>
      </c>
      <c r="P66" s="140" t="e">
        <f>1-_xll.qlRateHelperQuoteValue(M66,_xll.ohTrigger(RecalcTrigger,Trigger))/100</f>
        <v>#NUM!</v>
      </c>
      <c r="Q66" s="127"/>
      <c r="R66" s="116" t="e">
        <f>NA()</f>
        <v>#N/A</v>
      </c>
      <c r="S66" s="112" t="e">
        <f>_xll.qlInterestRateIndexFixingDate(IborIndex,O66)</f>
        <v>#NUM!</v>
      </c>
      <c r="T66" s="127" t="e">
        <f>_xll.qlIndexFixing(IborIndex,S66,TRUE,RecalcTrigger)</f>
        <v>#NUM!</v>
      </c>
      <c r="U66" s="143" t="e">
        <f t="shared" si="11"/>
        <v>#NUM!</v>
      </c>
      <c r="X66" s="114" t="str">
        <f t="shared" si="8"/>
        <v>1D</v>
      </c>
      <c r="Y66" s="112">
        <f>_xll.qlCalendarAdvance(Calendar,Y65,X66,"f",FALSE)</f>
        <v>42201</v>
      </c>
      <c r="Z66" s="115">
        <f>_xll.qlCalendarAdvance(Calendar,Y66,NDays&amp;"D")</f>
        <v>42201</v>
      </c>
      <c r="AA66" s="116">
        <v>2.1249424616653644E-2</v>
      </c>
      <c r="AB66" s="113">
        <v>2.1562733408138079E-2</v>
      </c>
    </row>
    <row r="67" spans="10:28" x14ac:dyDescent="0.2">
      <c r="M67" s="114">
        <v>0</v>
      </c>
      <c r="N67" s="114" t="e">
        <f>_xll.qlRateHelperQuoteName(M67)</f>
        <v>#NUM!</v>
      </c>
      <c r="O67" s="112" t="e">
        <f>_xll.qlRateHelperEarliestDate(M67)</f>
        <v>#NUM!</v>
      </c>
      <c r="P67" s="140" t="e">
        <f>1-_xll.qlRateHelperQuoteValue(M67,_xll.ohTrigger(RecalcTrigger,Trigger))/100</f>
        <v>#NUM!</v>
      </c>
      <c r="Q67" s="127"/>
      <c r="R67" s="116" t="e">
        <f>NA()</f>
        <v>#N/A</v>
      </c>
      <c r="S67" s="112" t="e">
        <f>_xll.qlInterestRateIndexFixingDate(IborIndex,O67)</f>
        <v>#NUM!</v>
      </c>
      <c r="T67" s="127" t="e">
        <f>_xll.qlIndexFixing(IborIndex,S67,TRUE,RecalcTrigger)</f>
        <v>#NUM!</v>
      </c>
      <c r="U67" s="143" t="e">
        <f t="shared" si="11"/>
        <v>#NUM!</v>
      </c>
      <c r="V67" s="126"/>
      <c r="X67" s="114" t="str">
        <f t="shared" si="8"/>
        <v>1D</v>
      </c>
      <c r="Y67" s="112">
        <f>_xll.qlCalendarAdvance(Calendar,Y66,X67,"f",FALSE)</f>
        <v>42202</v>
      </c>
      <c r="Z67" s="115">
        <f>_xll.qlCalendarAdvance(Calendar,Y67,NDays&amp;"D")</f>
        <v>42202</v>
      </c>
      <c r="AA67" s="116">
        <v>2.1238148311999546E-2</v>
      </c>
      <c r="AB67" s="113">
        <v>2.1525876433370342E-2</v>
      </c>
    </row>
    <row r="68" spans="10:28" x14ac:dyDescent="0.2">
      <c r="M68" s="114">
        <v>0</v>
      </c>
      <c r="N68" s="114" t="e">
        <f>_xll.qlRateHelperQuoteName(M68)</f>
        <v>#NUM!</v>
      </c>
      <c r="O68" s="112" t="e">
        <f>_xll.qlRateHelperEarliestDate(M68)</f>
        <v>#NUM!</v>
      </c>
      <c r="P68" s="140" t="e">
        <f>1-_xll.qlRateHelperQuoteValue(M68,_xll.ohTrigger(RecalcTrigger,Trigger))/100</f>
        <v>#NUM!</v>
      </c>
      <c r="Q68" s="127"/>
      <c r="R68" s="116" t="e">
        <f>NA()</f>
        <v>#N/A</v>
      </c>
      <c r="S68" s="112" t="e">
        <f>_xll.qlInterestRateIndexFixingDate(IborIndex,O68)</f>
        <v>#NUM!</v>
      </c>
      <c r="T68" s="127" t="e">
        <f>_xll.qlIndexFixing(IborIndex,S68,TRUE,RecalcTrigger)</f>
        <v>#NUM!</v>
      </c>
      <c r="U68" s="143" t="e">
        <f t="shared" si="11"/>
        <v>#NUM!</v>
      </c>
      <c r="X68" s="114" t="str">
        <f t="shared" si="8"/>
        <v>1D</v>
      </c>
      <c r="Y68" s="112">
        <f>_xll.qlCalendarAdvance(Calendar,Y67,X68,"f",FALSE)</f>
        <v>42205</v>
      </c>
      <c r="Z68" s="115">
        <f>_xll.qlCalendarAdvance(Calendar,Y68,NDays&amp;"D")</f>
        <v>42205</v>
      </c>
      <c r="AA68" s="116">
        <v>2.1222833080861942E-2</v>
      </c>
      <c r="AB68" s="113">
        <v>2.1488900581214665E-2</v>
      </c>
    </row>
    <row r="69" spans="10:28" x14ac:dyDescent="0.2">
      <c r="M69" s="114">
        <v>0</v>
      </c>
      <c r="N69" s="114" t="e">
        <f>_xll.qlRateHelperQuoteName(M69)</f>
        <v>#NUM!</v>
      </c>
      <c r="O69" s="112" t="e">
        <f>_xll.qlRateHelperEarliestDate(M69)</f>
        <v>#NUM!</v>
      </c>
      <c r="P69" s="140" t="e">
        <f>1-_xll.qlRateHelperQuoteValue(M69,_xll.ohTrigger(RecalcTrigger,Trigger))/100</f>
        <v>#NUM!</v>
      </c>
      <c r="Q69" s="127"/>
      <c r="R69" s="116" t="e">
        <f>NA()</f>
        <v>#N/A</v>
      </c>
      <c r="S69" s="112" t="e">
        <f>_xll.qlInterestRateIndexFixingDate(IborIndex,O69)</f>
        <v>#NUM!</v>
      </c>
      <c r="T69" s="127" t="e">
        <f>_xll.qlIndexFixing(IborIndex,S69,TRUE,RecalcTrigger)</f>
        <v>#NUM!</v>
      </c>
      <c r="U69" s="143" t="e">
        <f t="shared" si="11"/>
        <v>#NUM!</v>
      </c>
      <c r="X69" s="114" t="str">
        <f t="shared" si="8"/>
        <v>1D</v>
      </c>
      <c r="Y69" s="112">
        <f>_xll.qlCalendarAdvance(Calendar,Y68,X69,"f",FALSE)</f>
        <v>42206</v>
      </c>
      <c r="Z69" s="115">
        <f>_xll.qlCalendarAdvance(Calendar,Y69,NDays&amp;"D")</f>
        <v>42206</v>
      </c>
      <c r="AA69" s="116">
        <v>2.1216639537437524E-2</v>
      </c>
      <c r="AB69" s="113">
        <v>2.1472257261598848E-2</v>
      </c>
    </row>
    <row r="70" spans="10:28" ht="12" thickBot="1" x14ac:dyDescent="0.25">
      <c r="M70" s="129">
        <v>0</v>
      </c>
      <c r="N70" s="129" t="e">
        <f>_xll.qlRateHelperQuoteName(M70)</f>
        <v>#NUM!</v>
      </c>
      <c r="O70" s="119" t="e">
        <f>_xll.qlRateHelperEarliestDate(M70)</f>
        <v>#NUM!</v>
      </c>
      <c r="P70" s="141" t="e">
        <f>1-_xll.qlRateHelperQuoteValue(M70,_xll.ohTrigger(RecalcTrigger,Trigger))/100</f>
        <v>#NUM!</v>
      </c>
      <c r="Q70" s="127"/>
      <c r="R70" s="117" t="e">
        <f>NA()</f>
        <v>#N/A</v>
      </c>
      <c r="S70" s="130" t="e">
        <f>_xll.qlInterestRateIndexFixingDate(IborIndex,O70)</f>
        <v>#NUM!</v>
      </c>
      <c r="T70" s="144" t="e">
        <f>_xll.qlIndexFixing(IborIndex,S70,TRUE,RecalcTrigger)</f>
        <v>#NUM!</v>
      </c>
      <c r="U70" s="143" t="e">
        <f t="shared" si="11"/>
        <v>#NUM!</v>
      </c>
      <c r="V70" s="126"/>
      <c r="X70" s="114" t="str">
        <f t="shared" si="8"/>
        <v>1D</v>
      </c>
      <c r="Y70" s="112">
        <f>_xll.qlCalendarAdvance(Calendar,Y69,X70,"f",FALSE)</f>
        <v>42207</v>
      </c>
      <c r="Z70" s="115">
        <f>_xll.qlCalendarAdvance(Calendar,Y70,NDays&amp;"D")</f>
        <v>42207</v>
      </c>
      <c r="AA70" s="116">
        <v>2.1210616696976499E-2</v>
      </c>
      <c r="AB70" s="113">
        <v>2.1456339896618326E-2</v>
      </c>
    </row>
    <row r="71" spans="10:28" ht="12" thickBot="1" x14ac:dyDescent="0.25">
      <c r="J71" s="72"/>
      <c r="N71" s="150"/>
      <c r="Q71" s="72"/>
      <c r="T71" s="72"/>
      <c r="U71" s="155"/>
      <c r="V71" s="126"/>
      <c r="X71" s="114" t="str">
        <f t="shared" si="8"/>
        <v>1D</v>
      </c>
      <c r="Y71" s="112">
        <f>_xll.qlCalendarAdvance(Calendar,Y70,X71,"f",FALSE)</f>
        <v>42208</v>
      </c>
      <c r="Z71" s="115">
        <f>_xll.qlCalendarAdvance(Calendar,Y71,NDays&amp;"D")</f>
        <v>42208</v>
      </c>
      <c r="AA71" s="116">
        <v>2.120475904295982E-2</v>
      </c>
      <c r="AB71" s="113">
        <v>2.1441148486192052E-2</v>
      </c>
    </row>
    <row r="72" spans="10:28" x14ac:dyDescent="0.2">
      <c r="M72" s="104"/>
      <c r="N72" s="104" t="s">
        <v>137</v>
      </c>
      <c r="O72" s="105" t="s">
        <v>39</v>
      </c>
      <c r="P72" s="105" t="s">
        <v>45</v>
      </c>
      <c r="Q72" s="105"/>
      <c r="R72" s="120" t="s">
        <v>138</v>
      </c>
      <c r="S72" s="105" t="s">
        <v>139</v>
      </c>
      <c r="T72" s="105" t="s">
        <v>128</v>
      </c>
      <c r="U72" s="121" t="s">
        <v>129</v>
      </c>
      <c r="X72" s="114" t="str">
        <f t="shared" si="8"/>
        <v>1D</v>
      </c>
      <c r="Y72" s="112">
        <f>_xll.qlCalendarAdvance(Calendar,Y71,X72,"f",FALSE)</f>
        <v>42209</v>
      </c>
      <c r="Z72" s="115">
        <f>_xll.qlCalendarAdvance(Calendar,Y72,NDays&amp;"D")</f>
        <v>42209</v>
      </c>
      <c r="AA72" s="116">
        <v>2.1195498994053395E-2</v>
      </c>
      <c r="AB72" s="113">
        <v>2.1414441769270768E-2</v>
      </c>
    </row>
    <row r="73" spans="10:28" x14ac:dyDescent="0.2">
      <c r="M73" s="114" t="str">
        <f t="array" ref="M73:M78">_xll.ohFilter(RateHelpers!A57:A62,IF(ISERROR(RateHelpers!C57:C62),FALSE,TRUE))</f>
        <v>obj_00292#0001</v>
      </c>
      <c r="N73" s="114" t="str">
        <f>_xll.qlRateHelperQuoteName(M73)</f>
        <v>AUDQM3AB1Y_Quote</v>
      </c>
      <c r="O73" s="112">
        <f>_xll.qlRateHelperLatestDate(M73,Trigger)</f>
        <v>42502</v>
      </c>
      <c r="P73" s="122">
        <f>_xll.qlRateHelperQuoteValue(M73,_xll.ohTrigger(RecalcTrigger,YieldCurve))</f>
        <v>2.1150000000000002E-2</v>
      </c>
      <c r="Q73" s="125"/>
      <c r="R73" s="123" t="str">
        <f>SUBSTITUTE(SUBSTITUTE(N73,"_Quote",""),"AUDQM3AB","")</f>
        <v>1Y</v>
      </c>
      <c r="S73" s="124" t="str">
        <f>_xll.qlSwapIndex(,FamilyName,R73,1,Currency,Calendar,"3M","Modified Following","actual/365 (fixed)",IborIndex,Discounting,,_xll.ohTrigger(Trigger,RecalcTrigger))</f>
        <v>obj_002dc#0003</v>
      </c>
      <c r="T73" s="125">
        <f>_xll.qlIndexFixing(S73,$Y$19,TRUE,Trigger)</f>
        <v>2.11500000000455E-2</v>
      </c>
      <c r="U73" s="143">
        <f t="shared" ref="U73:U78" si="12">T73-P73</f>
        <v>4.5498327327919696E-14</v>
      </c>
      <c r="X73" s="114" t="str">
        <f t="shared" si="8"/>
        <v>1D</v>
      </c>
      <c r="Y73" s="112">
        <f>_xll.qlCalendarAdvance(Calendar,Y72,X73,"f",FALSE)</f>
        <v>42212</v>
      </c>
      <c r="Z73" s="115">
        <f>_xll.qlCalendarAdvance(Calendar,Y73,NDays&amp;"D")</f>
        <v>42212</v>
      </c>
      <c r="AA73" s="116">
        <v>2.1182869962699705E-2</v>
      </c>
      <c r="AB73" s="113">
        <v>2.1387642388084327E-2</v>
      </c>
    </row>
    <row r="74" spans="10:28" x14ac:dyDescent="0.2">
      <c r="M74" s="114" t="str">
        <v>obj_00285#0001</v>
      </c>
      <c r="N74" s="114" t="str">
        <f>_xll.qlRateHelperQuoteName(M74)</f>
        <v>AUDQM3AB2Y_Quote</v>
      </c>
      <c r="O74" s="112">
        <f>_xll.qlRateHelperLatestDate(M74,Trigger)</f>
        <v>42867</v>
      </c>
      <c r="P74" s="122">
        <f>_xll.qlRateHelperQuoteValue(M74,_xll.ohTrigger(RecalcTrigger,YieldCurve))</f>
        <v>2.205E-2</v>
      </c>
      <c r="Q74" s="125"/>
      <c r="R74" s="123" t="str">
        <f t="shared" ref="R74:R78" si="13">SUBSTITUTE(SUBSTITUTE(N74,"_Quote",""),"AUDQM3AB","")</f>
        <v>2Y</v>
      </c>
      <c r="S74" s="124" t="str">
        <f>_xll.qlSwapIndex(,FamilyName,R74,1,Currency,Calendar,"3M","Modified Following","actual/365 (fixed)",IborIndex,Discounting,,_xll.ohTrigger(Trigger,RecalcTrigger))</f>
        <v>obj_002da#0003</v>
      </c>
      <c r="T74" s="125">
        <f>_xll.qlIndexFixing(S74,$Y$19,TRUE,Trigger)</f>
        <v>2.20499999990218E-2</v>
      </c>
      <c r="U74" s="143">
        <f t="shared" si="12"/>
        <v>-9.7820015976246566E-13</v>
      </c>
      <c r="V74" s="103" t="s">
        <v>130</v>
      </c>
      <c r="X74" s="114" t="str">
        <f t="shared" si="8"/>
        <v>1D</v>
      </c>
      <c r="Y74" s="112">
        <f>_xll.qlCalendarAdvance(Calendar,Y73,X74,"f",FALSE)</f>
        <v>42213</v>
      </c>
      <c r="Z74" s="115">
        <f>_xll.qlCalendarAdvance(Calendar,Y74,NDays&amp;"D")</f>
        <v>42213</v>
      </c>
      <c r="AA74" s="116">
        <v>2.1177755494857023E-2</v>
      </c>
      <c r="AB74" s="113">
        <v>2.1376080749051507E-2</v>
      </c>
    </row>
    <row r="75" spans="10:28" x14ac:dyDescent="0.2">
      <c r="M75" s="114" t="str">
        <v>obj_002a2#0001</v>
      </c>
      <c r="N75" s="114" t="str">
        <f>_xll.qlRateHelperQuoteName(M75)</f>
        <v>AUDQM3AB3Y_Quote</v>
      </c>
      <c r="O75" s="112">
        <f>_xll.qlRateHelperLatestDate(M75,Trigger)</f>
        <v>43234</v>
      </c>
      <c r="P75" s="122">
        <f>_xll.qlRateHelperQuoteValue(M75,_xll.ohTrigger(RecalcTrigger,YieldCurve))</f>
        <v>2.3300000000000001E-2</v>
      </c>
      <c r="Q75" s="125"/>
      <c r="R75" s="123" t="str">
        <f t="shared" si="13"/>
        <v>3Y</v>
      </c>
      <c r="S75" s="124" t="str">
        <f>_xll.qlSwapIndex(,FamilyName,R75,1,Currency,Calendar,"3M","Modified Following","actual/365 (fixed)",IborIndex,Discounting,,_xll.ohTrigger(Trigger,RecalcTrigger))</f>
        <v>obj_002db#0003</v>
      </c>
      <c r="T75" s="125">
        <f>_xll.qlIndexFixing(S75,$Y$19,TRUE,Trigger)</f>
        <v>2.3300000000009164E-2</v>
      </c>
      <c r="U75" s="143">
        <f t="shared" si="12"/>
        <v>9.1628094001094951E-15</v>
      </c>
      <c r="V75" s="128">
        <f t="array" ref="V75">MAX(ABS(U75))</f>
        <v>9.1628094001094951E-15</v>
      </c>
      <c r="X75" s="114" t="str">
        <f t="shared" si="8"/>
        <v>1D</v>
      </c>
      <c r="Y75" s="112">
        <f>_xll.qlCalendarAdvance(Calendar,Y74,X75,"f",FALSE)</f>
        <v>42214</v>
      </c>
      <c r="Z75" s="115">
        <f>_xll.qlCalendarAdvance(Calendar,Y75,NDays&amp;"D")</f>
        <v>42214</v>
      </c>
      <c r="AA75" s="116">
        <v>2.117277311537066E-2</v>
      </c>
      <c r="AB75" s="113">
        <v>2.1365245064167704E-2</v>
      </c>
    </row>
    <row r="76" spans="10:28" x14ac:dyDescent="0.2">
      <c r="M76" s="114" t="e">
        <v>#N/A</v>
      </c>
      <c r="N76" s="114" t="e">
        <f>_xll.qlRateHelperQuoteName(M76)</f>
        <v>#VALUE!</v>
      </c>
      <c r="O76" s="112" t="e">
        <f>_xll.qlRateHelperLatestDate(M76,Trigger)</f>
        <v>#VALUE!</v>
      </c>
      <c r="P76" s="122" t="e">
        <f>_xll.qlRateHelperQuoteValue(M76,_xll.ohTrigger(RecalcTrigger,YieldCurve))</f>
        <v>#VALUE!</v>
      </c>
      <c r="Q76" s="125"/>
      <c r="R76" s="123" t="e">
        <f t="shared" si="13"/>
        <v>#VALUE!</v>
      </c>
      <c r="S76" s="124" t="e">
        <f>_xll.qlSwapIndex(,FamilyName,R76,1,Currency,Calendar,"3M","Modified Following","actual/365 (fixed)",IborIndex,Discounting,,_xll.ohTrigger(Trigger,RecalcTrigger))</f>
        <v>#VALUE!</v>
      </c>
      <c r="T76" s="125" t="e">
        <f>_xll.qlIndexFixing(S76,$Y$19,TRUE,Trigger)</f>
        <v>#VALUE!</v>
      </c>
      <c r="U76" s="143" t="e">
        <f t="shared" si="12"/>
        <v>#VALUE!</v>
      </c>
      <c r="V76" s="126"/>
      <c r="X76" s="114" t="str">
        <f t="shared" si="8"/>
        <v>1D</v>
      </c>
      <c r="Y76" s="112">
        <f>_xll.qlCalendarAdvance(Calendar,Y75,X76,"f",FALSE)</f>
        <v>42215</v>
      </c>
      <c r="Z76" s="115">
        <f>_xll.qlCalendarAdvance(Calendar,Y76,NDays&amp;"D")</f>
        <v>42215</v>
      </c>
      <c r="AA76" s="116">
        <v>2.1167917308047506E-2</v>
      </c>
      <c r="AB76" s="113">
        <v>2.1355135333270825E-2</v>
      </c>
    </row>
    <row r="77" spans="10:28" x14ac:dyDescent="0.2">
      <c r="M77" s="114" t="e">
        <v>#N/A</v>
      </c>
      <c r="N77" s="114" t="e">
        <f>_xll.qlRateHelperQuoteName(M77)</f>
        <v>#VALUE!</v>
      </c>
      <c r="O77" s="112" t="e">
        <f>_xll.qlRateHelperLatestDate(M77,Trigger)</f>
        <v>#VALUE!</v>
      </c>
      <c r="P77" s="122" t="e">
        <f>_xll.qlRateHelperQuoteValue(M77,_xll.ohTrigger(RecalcTrigger,YieldCurve))</f>
        <v>#VALUE!</v>
      </c>
      <c r="Q77" s="125"/>
      <c r="R77" s="123" t="e">
        <f t="shared" si="13"/>
        <v>#VALUE!</v>
      </c>
      <c r="S77" s="124" t="e">
        <f>_xll.qlSwapIndex(,FamilyName,R77,1,Currency,Calendar,"3M","Modified Following","actual/365 (fixed)",IborIndex,Discounting,,_xll.ohTrigger(Trigger,RecalcTrigger))</f>
        <v>#VALUE!</v>
      </c>
      <c r="T77" s="125" t="e">
        <f>_xll.qlIndexFixing(S77,$Y$19,TRUE,Trigger)</f>
        <v>#VALUE!</v>
      </c>
      <c r="U77" s="143" t="e">
        <f t="shared" si="12"/>
        <v>#VALUE!</v>
      </c>
      <c r="X77" s="114" t="str">
        <f t="shared" si="8"/>
        <v>1D</v>
      </c>
      <c r="Y77" s="112">
        <f>_xll.qlCalendarAdvance(Calendar,Y76,X77,"f",FALSE)</f>
        <v>42216</v>
      </c>
      <c r="Z77" s="115">
        <f>_xll.qlCalendarAdvance(Calendar,Y77,NDays&amp;"D")</f>
        <v>42216</v>
      </c>
      <c r="AA77" s="116">
        <v>2.1164621683932575E-2</v>
      </c>
      <c r="AB77" s="113">
        <v>2.1335361195382041E-2</v>
      </c>
    </row>
    <row r="78" spans="10:28" ht="12" thickBot="1" x14ac:dyDescent="0.25">
      <c r="M78" s="114" t="e">
        <v>#N/A</v>
      </c>
      <c r="N78" s="114" t="e">
        <f>_xll.qlRateHelperQuoteName(M78)</f>
        <v>#VALUE!</v>
      </c>
      <c r="O78" s="112" t="e">
        <f>_xll.qlRateHelperLatestDate(M78,Trigger)</f>
        <v>#VALUE!</v>
      </c>
      <c r="P78" s="122" t="e">
        <f>_xll.qlRateHelperQuoteValue(M78,_xll.ohTrigger(RecalcTrigger,YieldCurve))</f>
        <v>#VALUE!</v>
      </c>
      <c r="Q78" s="125"/>
      <c r="R78" s="123" t="e">
        <f t="shared" si="13"/>
        <v>#VALUE!</v>
      </c>
      <c r="S78" s="124" t="e">
        <f>_xll.qlSwapIndex(,FamilyName,R78,1,Currency,Calendar,"3M","Modified Following","actual/365 (fixed)",IborIndex,Discounting,,_xll.ohTrigger(Trigger,RecalcTrigger))</f>
        <v>#VALUE!</v>
      </c>
      <c r="T78" s="125" t="e">
        <f>_xll.qlIndexFixing(S78,$Y$19,TRUE,Trigger)</f>
        <v>#VALUE!</v>
      </c>
      <c r="U78" s="143" t="e">
        <f t="shared" si="12"/>
        <v>#VALUE!</v>
      </c>
      <c r="X78" s="114" t="str">
        <f t="shared" si="8"/>
        <v>1D</v>
      </c>
      <c r="Y78" s="112">
        <f>_xll.qlCalendarAdvance(Calendar,Y77,X78,"f",FALSE)</f>
        <v>42220</v>
      </c>
      <c r="Z78" s="115">
        <f>_xll.qlCalendarAdvance(Calendar,Y78,NDays&amp;"D")</f>
        <v>42220</v>
      </c>
      <c r="AA78" s="116">
        <v>2.1145343789782473E-2</v>
      </c>
      <c r="AB78" s="113">
        <v>2.1315475986564136E-2</v>
      </c>
    </row>
    <row r="79" spans="10:28" x14ac:dyDescent="0.2">
      <c r="M79" s="158"/>
      <c r="N79" s="158"/>
      <c r="O79" s="158"/>
      <c r="P79" s="158"/>
      <c r="Q79" s="158"/>
      <c r="R79" s="158"/>
      <c r="S79" s="158"/>
      <c r="T79" s="158"/>
      <c r="U79" s="158"/>
      <c r="X79" s="114" t="str">
        <f t="shared" si="8"/>
        <v>1D</v>
      </c>
      <c r="Y79" s="112">
        <f>_xll.qlCalendarAdvance(Calendar,Y78,X79,"f",FALSE)</f>
        <v>42221</v>
      </c>
      <c r="Z79" s="115">
        <f>_xll.qlCalendarAdvance(Calendar,Y79,NDays&amp;"D")</f>
        <v>42221</v>
      </c>
      <c r="AA79" s="116">
        <v>2.1141131577470287E-2</v>
      </c>
      <c r="AB79" s="113">
        <v>2.1309721978535201E-2</v>
      </c>
    </row>
    <row r="80" spans="10:28" x14ac:dyDescent="0.2">
      <c r="Q80" s="72"/>
      <c r="T80" s="72"/>
      <c r="X80" s="114" t="str">
        <f t="shared" si="8"/>
        <v>1D</v>
      </c>
      <c r="Y80" s="112">
        <f>_xll.qlCalendarAdvance(Calendar,Y79,X80,"f",FALSE)</f>
        <v>42222</v>
      </c>
      <c r="Z80" s="115">
        <f>_xll.qlCalendarAdvance(Calendar,Y80,NDays&amp;"D")</f>
        <v>42222</v>
      </c>
      <c r="AA80" s="116">
        <v>2.1137007324981763E-2</v>
      </c>
      <c r="AB80" s="113">
        <v>2.1304693924087958E-2</v>
      </c>
    </row>
    <row r="81" spans="17:28" x14ac:dyDescent="0.2">
      <c r="Q81" s="72"/>
      <c r="T81" s="72"/>
      <c r="X81" s="114" t="str">
        <f t="shared" si="8"/>
        <v>1D</v>
      </c>
      <c r="Y81" s="112">
        <f>_xll.qlCalendarAdvance(Calendar,Y80,X81,"f",FALSE)</f>
        <v>42223</v>
      </c>
      <c r="Z81" s="115">
        <f>_xll.qlCalendarAdvance(Calendar,Y81,NDays&amp;"D")</f>
        <v>42223</v>
      </c>
      <c r="AA81" s="116">
        <v>2.1131224819472699E-2</v>
      </c>
      <c r="AB81" s="113">
        <v>2.1298300327852553E-2</v>
      </c>
    </row>
    <row r="82" spans="17:28" x14ac:dyDescent="0.2">
      <c r="Q82" s="72"/>
      <c r="T82" s="72"/>
      <c r="X82" s="114" t="str">
        <f t="shared" si="8"/>
        <v>1D</v>
      </c>
      <c r="Y82" s="112">
        <f>_xll.qlCalendarAdvance(Calendar,Y81,X82,"f",FALSE)</f>
        <v>42226</v>
      </c>
      <c r="Z82" s="115">
        <f>_xll.qlCalendarAdvance(Calendar,Y82,NDays&amp;"D")</f>
        <v>42226</v>
      </c>
      <c r="AA82" s="116">
        <v>2.1121279595209333E-2</v>
      </c>
      <c r="AB82" s="113">
        <v>2.129184124268324E-2</v>
      </c>
    </row>
    <row r="83" spans="17:28" x14ac:dyDescent="0.2">
      <c r="Q83" s="72"/>
      <c r="T83" s="72"/>
      <c r="X83" s="114" t="str">
        <f t="shared" si="8"/>
        <v>1D</v>
      </c>
      <c r="Y83" s="112">
        <f>_xll.qlCalendarAdvance(Calendar,Y82,X83,"f",FALSE)</f>
        <v>42227</v>
      </c>
      <c r="Z83" s="115">
        <f>_xll.qlCalendarAdvance(Calendar,Y83,NDays&amp;"D")</f>
        <v>42227</v>
      </c>
      <c r="AA83" s="116">
        <v>2.1117512403534867E-2</v>
      </c>
      <c r="AB83" s="113">
        <v>2.1290283693313761E-2</v>
      </c>
    </row>
    <row r="84" spans="17:28" x14ac:dyDescent="0.2">
      <c r="Q84" s="72"/>
      <c r="T84" s="72"/>
      <c r="X84" s="114" t="str">
        <f t="shared" si="8"/>
        <v>1D</v>
      </c>
      <c r="Y84" s="112">
        <f>_xll.qlCalendarAdvance(Calendar,Y83,X84,"f",FALSE)</f>
        <v>42228</v>
      </c>
      <c r="Z84" s="115">
        <f>_xll.qlCalendarAdvance(Calendar,Y84,NDays&amp;"D")</f>
        <v>42228</v>
      </c>
      <c r="AA84" s="116">
        <v>2.1113801816773803E-2</v>
      </c>
      <c r="AB84" s="113">
        <v>2.1288655782318866E-2</v>
      </c>
    </row>
    <row r="85" spans="17:28" x14ac:dyDescent="0.2">
      <c r="Q85" s="72"/>
      <c r="T85" s="72"/>
      <c r="X85" s="114" t="str">
        <f t="shared" ref="X85:X148" si="14">X84</f>
        <v>1D</v>
      </c>
      <c r="Y85" s="112">
        <f>_xll.qlCalendarAdvance(Calendar,Y84,X85,"f",FALSE)</f>
        <v>42229</v>
      </c>
      <c r="Z85" s="115">
        <f>_xll.qlCalendarAdvance(Calendar,Y85,NDays&amp;"D")</f>
        <v>42229</v>
      </c>
      <c r="AA85" s="116">
        <v>2.1110151020296924E-2</v>
      </c>
      <c r="AB85" s="113">
        <v>2.1286798246786809E-2</v>
      </c>
    </row>
    <row r="86" spans="17:28" x14ac:dyDescent="0.2">
      <c r="Q86" s="72"/>
      <c r="T86" s="72"/>
      <c r="X86" s="114" t="str">
        <f t="shared" si="14"/>
        <v>1D</v>
      </c>
      <c r="Y86" s="112">
        <f>_xll.qlCalendarAdvance(Calendar,Y85,X86,"f",FALSE)</f>
        <v>42230</v>
      </c>
      <c r="Z86" s="115">
        <f>_xll.qlCalendarAdvance(Calendar,Y86,NDays&amp;"D")</f>
        <v>42230</v>
      </c>
      <c r="AA86" s="116">
        <v>2.1106978883077176E-2</v>
      </c>
      <c r="AB86" s="113">
        <v>2.1283558707994404E-2</v>
      </c>
    </row>
    <row r="87" spans="17:28" x14ac:dyDescent="0.2">
      <c r="Q87" s="72"/>
      <c r="T87" s="72"/>
      <c r="X87" s="114" t="str">
        <f t="shared" si="14"/>
        <v>1D</v>
      </c>
      <c r="Y87" s="112">
        <f>_xll.qlCalendarAdvance(Calendar,Y86,X87,"f",FALSE)</f>
        <v>42233</v>
      </c>
      <c r="Z87" s="115">
        <f>_xll.qlCalendarAdvance(Calendar,Y87,NDays&amp;"D")</f>
        <v>42233</v>
      </c>
      <c r="AA87" s="116">
        <v>2.1096244248826997E-2</v>
      </c>
      <c r="AB87" s="113">
        <v>2.1277071858962771E-2</v>
      </c>
    </row>
    <row r="88" spans="17:28" x14ac:dyDescent="0.2">
      <c r="Q88" s="72"/>
      <c r="T88" s="72"/>
      <c r="X88" s="114" t="str">
        <f t="shared" si="14"/>
        <v>1D</v>
      </c>
      <c r="Y88" s="112">
        <f>_xll.qlCalendarAdvance(Calendar,Y87,X88,"f",FALSE)</f>
        <v>42234</v>
      </c>
      <c r="Z88" s="115">
        <f>_xll.qlCalendarAdvance(Calendar,Y88,NDays&amp;"D")</f>
        <v>42234</v>
      </c>
      <c r="AA88" s="116">
        <v>2.1092966287344517E-2</v>
      </c>
      <c r="AB88" s="113">
        <v>2.1274066200663855E-2</v>
      </c>
    </row>
    <row r="89" spans="17:28" x14ac:dyDescent="0.2">
      <c r="Q89" s="72"/>
      <c r="T89" s="72"/>
      <c r="X89" s="114" t="str">
        <f t="shared" si="14"/>
        <v>1D</v>
      </c>
      <c r="Y89" s="112">
        <f>_xll.qlCalendarAdvance(Calendar,Y88,X89,"f",FALSE)</f>
        <v>42235</v>
      </c>
      <c r="Z89" s="115">
        <f>_xll.qlCalendarAdvance(Calendar,Y89,NDays&amp;"D")</f>
        <v>42235</v>
      </c>
      <c r="AA89" s="116">
        <v>2.1089777669483112E-2</v>
      </c>
      <c r="AB89" s="113">
        <v>2.127083091774673E-2</v>
      </c>
    </row>
    <row r="90" spans="17:28" x14ac:dyDescent="0.2">
      <c r="Q90" s="72"/>
      <c r="T90" s="72"/>
      <c r="X90" s="114" t="str">
        <f t="shared" si="14"/>
        <v>1D</v>
      </c>
      <c r="Y90" s="112">
        <f>_xll.qlCalendarAdvance(Calendar,Y89,X90,"f",FALSE)</f>
        <v>42236</v>
      </c>
      <c r="Z90" s="115">
        <f>_xll.qlCalendarAdvance(Calendar,Y90,NDays&amp;"D")</f>
        <v>42236</v>
      </c>
      <c r="AA90" s="116">
        <v>2.1086683320760025E-2</v>
      </c>
      <c r="AB90" s="113">
        <v>2.126736601037349E-2</v>
      </c>
    </row>
    <row r="91" spans="17:28" x14ac:dyDescent="0.2">
      <c r="Q91" s="72"/>
      <c r="T91" s="72"/>
      <c r="X91" s="114" t="str">
        <f t="shared" si="14"/>
        <v>1D</v>
      </c>
      <c r="Y91" s="112">
        <f>_xll.qlCalendarAdvance(Calendar,Y90,X91,"f",FALSE)</f>
        <v>42237</v>
      </c>
      <c r="Z91" s="115">
        <f>_xll.qlCalendarAdvance(Calendar,Y91,NDays&amp;"D")</f>
        <v>42237</v>
      </c>
      <c r="AA91" s="116">
        <v>2.1084340172745773E-2</v>
      </c>
      <c r="AB91" s="113">
        <v>2.1260909088383444E-2</v>
      </c>
    </row>
    <row r="92" spans="17:28" x14ac:dyDescent="0.2">
      <c r="Q92" s="72"/>
      <c r="T92" s="72"/>
      <c r="X92" s="114" t="str">
        <f t="shared" si="14"/>
        <v>1D</v>
      </c>
      <c r="Y92" s="112">
        <f>_xll.qlCalendarAdvance(Calendar,Y91,X92,"f",FALSE)</f>
        <v>42240</v>
      </c>
      <c r="Z92" s="115">
        <f>_xll.qlCalendarAdvance(Calendar,Y92,NDays&amp;"D")</f>
        <v>42240</v>
      </c>
      <c r="AA92" s="116">
        <v>2.1075347127260897E-2</v>
      </c>
      <c r="AB92" s="113">
        <v>2.1251210135589949E-2</v>
      </c>
    </row>
    <row r="93" spans="17:28" x14ac:dyDescent="0.2">
      <c r="Q93" s="72"/>
      <c r="T93" s="72"/>
      <c r="X93" s="114" t="str">
        <f t="shared" si="14"/>
        <v>1D</v>
      </c>
      <c r="Y93" s="112">
        <f>_xll.qlCalendarAdvance(Calendar,Y92,X93,"f",FALSE)</f>
        <v>42241</v>
      </c>
      <c r="Z93" s="115">
        <f>_xll.qlCalendarAdvance(Calendar,Y93,NDays&amp;"D")</f>
        <v>42241</v>
      </c>
      <c r="AA93" s="116">
        <v>2.1072798006687599E-2</v>
      </c>
      <c r="AB93" s="113">
        <v>2.1246597105611942E-2</v>
      </c>
    </row>
    <row r="94" spans="17:28" x14ac:dyDescent="0.2">
      <c r="Q94" s="72"/>
      <c r="T94" s="72"/>
      <c r="X94" s="114" t="str">
        <f t="shared" si="14"/>
        <v>1D</v>
      </c>
      <c r="Y94" s="112">
        <f>_xll.qlCalendarAdvance(Calendar,Y93,X94,"f",FALSE)</f>
        <v>42242</v>
      </c>
      <c r="Z94" s="115">
        <f>_xll.qlCalendarAdvance(Calendar,Y94,NDays&amp;"D")</f>
        <v>42242</v>
      </c>
      <c r="AA94" s="116">
        <v>2.1070372708202778E-2</v>
      </c>
      <c r="AB94" s="113">
        <v>2.1241754451258865E-2</v>
      </c>
    </row>
    <row r="95" spans="17:28" x14ac:dyDescent="0.2">
      <c r="Q95" s="72"/>
      <c r="T95" s="72"/>
      <c r="X95" s="114" t="str">
        <f t="shared" si="14"/>
        <v>1D</v>
      </c>
      <c r="Y95" s="112">
        <f>_xll.qlCalendarAdvance(Calendar,Y94,X95,"f",FALSE)</f>
        <v>42243</v>
      </c>
      <c r="Z95" s="115">
        <f>_xll.qlCalendarAdvance(Calendar,Y95,NDays&amp;"D")</f>
        <v>42243</v>
      </c>
      <c r="AA95" s="116">
        <v>2.1068076157285794E-2</v>
      </c>
      <c r="AB95" s="113">
        <v>2.123668217228758E-2</v>
      </c>
    </row>
    <row r="96" spans="17:28" x14ac:dyDescent="0.2">
      <c r="Q96" s="72"/>
      <c r="T96" s="72"/>
      <c r="X96" s="114" t="str">
        <f t="shared" si="14"/>
        <v>1D</v>
      </c>
      <c r="Y96" s="112">
        <f>_xll.qlCalendarAdvance(Calendar,Y95,X96,"f",FALSE)</f>
        <v>42244</v>
      </c>
      <c r="Z96" s="115">
        <f>_xll.qlCalendarAdvance(Calendar,Y96,NDays&amp;"D")</f>
        <v>42244</v>
      </c>
      <c r="AA96" s="116">
        <v>2.106796409412404E-2</v>
      </c>
      <c r="AB96" s="113">
        <v>2.1227006561552374E-2</v>
      </c>
    </row>
    <row r="97" spans="17:28" x14ac:dyDescent="0.2">
      <c r="Q97" s="72"/>
      <c r="T97" s="72"/>
      <c r="X97" s="114" t="str">
        <f t="shared" si="14"/>
        <v>1D</v>
      </c>
      <c r="Y97" s="112">
        <f>_xll.qlCalendarAdvance(Calendar,Y96,X97,"f",FALSE)</f>
        <v>42247</v>
      </c>
      <c r="Z97" s="115">
        <f>_xll.qlCalendarAdvance(Calendar,Y97,NDays&amp;"D")</f>
        <v>42247</v>
      </c>
      <c r="AA97" s="116">
        <v>2.105904679456046E-2</v>
      </c>
      <c r="AB97" s="113">
        <v>2.1214096812003369E-2</v>
      </c>
    </row>
    <row r="98" spans="17:28" x14ac:dyDescent="0.2">
      <c r="Q98" s="72"/>
      <c r="T98" s="72"/>
      <c r="X98" s="114" t="str">
        <f t="shared" si="14"/>
        <v>1D</v>
      </c>
      <c r="Y98" s="112">
        <f>_xll.qlCalendarAdvance(Calendar,Y97,X98,"f",FALSE)</f>
        <v>42248</v>
      </c>
      <c r="Z98" s="115">
        <f>_xll.qlCalendarAdvance(Calendar,Y98,NDays&amp;"D")</f>
        <v>42248</v>
      </c>
      <c r="AA98" s="116">
        <v>2.1057361728731745E-2</v>
      </c>
      <c r="AB98" s="113">
        <v>2.1207876410832549E-2</v>
      </c>
    </row>
    <row r="99" spans="17:28" x14ac:dyDescent="0.2">
      <c r="Q99" s="72"/>
      <c r="T99" s="72"/>
      <c r="X99" s="114" t="str">
        <f t="shared" si="14"/>
        <v>1D</v>
      </c>
      <c r="Y99" s="112">
        <f>_xll.qlCalendarAdvance(Calendar,Y98,X99,"f",FALSE)</f>
        <v>42249</v>
      </c>
      <c r="Z99" s="115">
        <f>_xll.qlCalendarAdvance(Calendar,Y99,NDays&amp;"D")</f>
        <v>42249</v>
      </c>
      <c r="AA99" s="116">
        <v>2.105583425074134E-2</v>
      </c>
      <c r="AB99" s="113">
        <v>2.1201426385286659E-2</v>
      </c>
    </row>
    <row r="100" spans="17:28" x14ac:dyDescent="0.2">
      <c r="Q100" s="72"/>
      <c r="T100" s="72"/>
      <c r="X100" s="114" t="str">
        <f t="shared" si="14"/>
        <v>1D</v>
      </c>
      <c r="Y100" s="112">
        <f>_xll.qlCalendarAdvance(Calendar,Y99,X100,"f",FALSE)</f>
        <v>42250</v>
      </c>
      <c r="Z100" s="115">
        <f>_xll.qlCalendarAdvance(Calendar,Y100,NDays&amp;"D")</f>
        <v>42250</v>
      </c>
      <c r="AA100" s="116">
        <v>2.1054469339942705E-2</v>
      </c>
      <c r="AB100" s="113">
        <v>2.1194746735284653E-2</v>
      </c>
    </row>
    <row r="101" spans="17:28" x14ac:dyDescent="0.2">
      <c r="Q101" s="72"/>
      <c r="T101" s="72"/>
      <c r="X101" s="114" t="str">
        <f t="shared" si="14"/>
        <v>1D</v>
      </c>
      <c r="Y101" s="112">
        <f>_xll.qlCalendarAdvance(Calendar,Y100,X101,"f",FALSE)</f>
        <v>42251</v>
      </c>
      <c r="Z101" s="115">
        <f>_xll.qlCalendarAdvance(Calendar,Y101,NDays&amp;"D")</f>
        <v>42251</v>
      </c>
      <c r="AA101" s="116">
        <v>2.1053271975699995E-2</v>
      </c>
      <c r="AB101" s="113">
        <v>2.1181851136875544E-2</v>
      </c>
    </row>
    <row r="102" spans="17:28" x14ac:dyDescent="0.2">
      <c r="Q102" s="72"/>
      <c r="T102" s="72"/>
      <c r="X102" s="114" t="str">
        <f t="shared" si="14"/>
        <v>1D</v>
      </c>
      <c r="Y102" s="112">
        <f>_xll.qlCalendarAdvance(Calendar,Y101,X102,"f",FALSE)</f>
        <v>42254</v>
      </c>
      <c r="Z102" s="115">
        <f>_xll.qlCalendarAdvance(Calendar,Y102,NDays&amp;"D")</f>
        <v>42254</v>
      </c>
      <c r="AA102" s="116">
        <v>2.1050734956207153E-2</v>
      </c>
      <c r="AB102" s="113">
        <v>2.1165731891606976E-2</v>
      </c>
    </row>
    <row r="103" spans="17:28" x14ac:dyDescent="0.2">
      <c r="Q103" s="72"/>
      <c r="T103" s="72"/>
      <c r="X103" s="114" t="str">
        <f t="shared" si="14"/>
        <v>1D</v>
      </c>
      <c r="Y103" s="112">
        <f>_xll.qlCalendarAdvance(Calendar,Y102,X103,"f",FALSE)</f>
        <v>42255</v>
      </c>
      <c r="Z103" s="115">
        <f>_xll.qlCalendarAdvance(Calendar,Y103,NDays&amp;"D")</f>
        <v>42255</v>
      </c>
      <c r="AA103" s="116">
        <v>2.105025757217607E-2</v>
      </c>
      <c r="AB103" s="113">
        <v>2.115790411972962E-2</v>
      </c>
    </row>
    <row r="104" spans="17:28" x14ac:dyDescent="0.2">
      <c r="Q104" s="72"/>
      <c r="T104" s="72"/>
      <c r="X104" s="114" t="str">
        <f t="shared" si="14"/>
        <v>1D</v>
      </c>
      <c r="Y104" s="112">
        <f>_xll.qlCalendarAdvance(Calendar,Y103,X104,"f",FALSE)</f>
        <v>42256</v>
      </c>
      <c r="Z104" s="115">
        <f>_xll.qlCalendarAdvance(Calendar,Y104,NDays&amp;"D")</f>
        <v>42256</v>
      </c>
      <c r="AA104" s="116">
        <v>2.1049972631794183E-2</v>
      </c>
      <c r="AB104" s="113">
        <v>2.1149846723639287E-2</v>
      </c>
    </row>
    <row r="105" spans="17:28" x14ac:dyDescent="0.2">
      <c r="Q105" s="72"/>
      <c r="T105" s="72"/>
      <c r="X105" s="114" t="str">
        <f t="shared" si="14"/>
        <v>1D</v>
      </c>
      <c r="Y105" s="112">
        <f>_xll.qlCalendarAdvance(Calendar,Y104,X105,"f",FALSE)</f>
        <v>42257</v>
      </c>
      <c r="Z105" s="115">
        <f>_xll.qlCalendarAdvance(Calendar,Y105,NDays&amp;"D")</f>
        <v>42257</v>
      </c>
      <c r="AA105" s="116">
        <v>2.1049885114545874E-2</v>
      </c>
      <c r="AB105" s="113">
        <v>2.1141559703254931E-2</v>
      </c>
    </row>
    <row r="106" spans="17:28" x14ac:dyDescent="0.2">
      <c r="Q106" s="72"/>
      <c r="T106" s="72"/>
      <c r="X106" s="114" t="str">
        <f t="shared" si="14"/>
        <v>1D</v>
      </c>
      <c r="Y106" s="112">
        <f>_xll.qlCalendarAdvance(Calendar,Y105,X106,"f",FALSE)</f>
        <v>42258</v>
      </c>
      <c r="Z106" s="115">
        <f>_xll.qlCalendarAdvance(Calendar,Y106,NDays&amp;"D")</f>
        <v>42258</v>
      </c>
      <c r="AA106" s="116">
        <v>2.104999999994759E-2</v>
      </c>
      <c r="AB106" s="113">
        <v>2.1125442826915124E-2</v>
      </c>
    </row>
    <row r="107" spans="17:28" x14ac:dyDescent="0.2">
      <c r="Q107" s="72"/>
      <c r="T107" s="72"/>
      <c r="X107" s="114" t="str">
        <f t="shared" si="14"/>
        <v>1D</v>
      </c>
      <c r="Y107" s="112">
        <f>_xll.qlCalendarAdvance(Calendar,Y106,X107,"f",FALSE)</f>
        <v>42261</v>
      </c>
      <c r="Z107" s="115">
        <f>_xll.qlCalendarAdvance(Calendar,Y107,NDays&amp;"D")</f>
        <v>42261</v>
      </c>
      <c r="AA107" s="116">
        <v>2.1051578831192259E-2</v>
      </c>
      <c r="AB107" s="113">
        <v>2.110619051167828E-2</v>
      </c>
    </row>
    <row r="108" spans="17:28" x14ac:dyDescent="0.2">
      <c r="Q108" s="72"/>
      <c r="T108" s="72"/>
      <c r="X108" s="114" t="str">
        <f t="shared" si="14"/>
        <v>1D</v>
      </c>
      <c r="Y108" s="112">
        <f>_xll.qlCalendarAdvance(Calendar,Y107,X108,"f",FALSE)</f>
        <v>42262</v>
      </c>
      <c r="Z108" s="115">
        <f>_xll.qlCalendarAdvance(Calendar,Y108,NDays&amp;"D")</f>
        <v>42262</v>
      </c>
      <c r="AA108" s="116">
        <v>2.105251113195715E-2</v>
      </c>
      <c r="AB108" s="113">
        <v>2.1097206167310922E-2</v>
      </c>
    </row>
    <row r="109" spans="17:28" x14ac:dyDescent="0.2">
      <c r="Q109" s="72"/>
      <c r="T109" s="72"/>
      <c r="X109" s="114" t="str">
        <f t="shared" si="14"/>
        <v>1D</v>
      </c>
      <c r="Y109" s="112">
        <f>_xll.qlCalendarAdvance(Calendar,Y108,X109,"f",FALSE)</f>
        <v>42263</v>
      </c>
      <c r="Z109" s="115">
        <f>_xll.qlCalendarAdvance(Calendar,Y109,NDays&amp;"D")</f>
        <v>42263</v>
      </c>
      <c r="AA109" s="116">
        <v>2.1053639054797967E-2</v>
      </c>
      <c r="AB109" s="113">
        <v>2.1088442996055612E-2</v>
      </c>
    </row>
    <row r="110" spans="17:28" x14ac:dyDescent="0.2">
      <c r="Q110" s="72"/>
      <c r="T110" s="72"/>
      <c r="X110" s="114" t="str">
        <f t="shared" si="14"/>
        <v>1D</v>
      </c>
      <c r="Y110" s="112">
        <f>_xll.qlCalendarAdvance(Calendar,Y109,X110,"f",FALSE)</f>
        <v>42264</v>
      </c>
      <c r="Z110" s="115">
        <f>_xll.qlCalendarAdvance(Calendar,Y110,NDays&amp;"D")</f>
        <v>42264</v>
      </c>
      <c r="AA110" s="116">
        <v>2.1054955925103723E-2</v>
      </c>
      <c r="AB110" s="113">
        <v>2.1079900997831302E-2</v>
      </c>
    </row>
    <row r="111" spans="17:28" x14ac:dyDescent="0.2">
      <c r="Q111" s="72"/>
      <c r="T111" s="72"/>
      <c r="X111" s="114" t="str">
        <f t="shared" si="14"/>
        <v>1D</v>
      </c>
      <c r="Y111" s="112">
        <f>_xll.qlCalendarAdvance(Calendar,Y110,X111,"f",FALSE)</f>
        <v>42265</v>
      </c>
      <c r="Z111" s="115">
        <f>_xll.qlCalendarAdvance(Calendar,Y111,NDays&amp;"D")</f>
        <v>42265</v>
      </c>
      <c r="AA111" s="116">
        <v>2.1056455068279464E-2</v>
      </c>
      <c r="AB111" s="113">
        <v>2.1064769811572535E-2</v>
      </c>
    </row>
    <row r="112" spans="17:28" x14ac:dyDescent="0.2">
      <c r="Q112" s="72"/>
      <c r="T112" s="72"/>
      <c r="U112" s="93"/>
      <c r="X112" s="114" t="str">
        <f t="shared" si="14"/>
        <v>1D</v>
      </c>
      <c r="Y112" s="112">
        <f>_xll.qlCalendarAdvance(Calendar,Y111,X112,"f",FALSE)</f>
        <v>42268</v>
      </c>
      <c r="Z112" s="115">
        <f>_xll.qlCalendarAdvance(Calendar,Y112,NDays&amp;"D")</f>
        <v>42268</v>
      </c>
      <c r="AA112" s="116">
        <v>2.1061979389315724E-2</v>
      </c>
      <c r="AB112" s="113">
        <v>2.1047944735406166E-2</v>
      </c>
    </row>
    <row r="113" spans="17:28" x14ac:dyDescent="0.2">
      <c r="Q113" s="72"/>
      <c r="T113" s="72"/>
      <c r="U113" s="93"/>
      <c r="X113" s="114" t="str">
        <f t="shared" si="14"/>
        <v>1D</v>
      </c>
      <c r="Y113" s="112">
        <f>_xll.qlCalendarAdvance(Calendar,Y112,X113,"f",FALSE)</f>
        <v>42269</v>
      </c>
      <c r="Z113" s="115">
        <f>_xll.qlCalendarAdvance(Calendar,Y113,NDays&amp;"D")</f>
        <v>42269</v>
      </c>
      <c r="AA113" s="116">
        <v>2.1064140878306849E-2</v>
      </c>
      <c r="AB113" s="113">
        <v>2.1040508602417907E-2</v>
      </c>
    </row>
    <row r="114" spans="17:28" x14ac:dyDescent="0.2">
      <c r="Q114" s="72"/>
      <c r="T114" s="72"/>
      <c r="U114" s="93"/>
      <c r="X114" s="114" t="str">
        <f t="shared" si="14"/>
        <v>1D</v>
      </c>
      <c r="Y114" s="112">
        <f>_xll.qlCalendarAdvance(Calendar,Y113,X114,"f",FALSE)</f>
        <v>42270</v>
      </c>
      <c r="Z114" s="115">
        <f>_xll.qlCalendarAdvance(Calendar,Y114,NDays&amp;"D")</f>
        <v>42270</v>
      </c>
      <c r="AA114" s="116">
        <v>2.1066451267375764E-2</v>
      </c>
      <c r="AB114" s="113">
        <v>2.1033293642379602E-2</v>
      </c>
    </row>
    <row r="115" spans="17:28" x14ac:dyDescent="0.2">
      <c r="Q115" s="72"/>
      <c r="T115" s="72"/>
      <c r="U115" s="93"/>
      <c r="X115" s="114" t="str">
        <f t="shared" si="14"/>
        <v>1D</v>
      </c>
      <c r="Y115" s="112">
        <f>_xll.qlCalendarAdvance(Calendar,Y114,X115,"f",FALSE)</f>
        <v>42271</v>
      </c>
      <c r="Z115" s="115">
        <f>_xll.qlCalendarAdvance(Calendar,Y115,NDays&amp;"D")</f>
        <v>42271</v>
      </c>
      <c r="AA115" s="116">
        <v>2.1068903881979163E-2</v>
      </c>
      <c r="AB115" s="113">
        <v>2.1026299855291253E-2</v>
      </c>
    </row>
    <row r="116" spans="17:28" x14ac:dyDescent="0.2">
      <c r="Q116" s="72"/>
      <c r="T116" s="72"/>
      <c r="U116" s="93"/>
      <c r="X116" s="114" t="str">
        <f t="shared" si="14"/>
        <v>1D</v>
      </c>
      <c r="Y116" s="112">
        <f>_xll.qlCalendarAdvance(Calendar,Y115,X116,"f",FALSE)</f>
        <v>42272</v>
      </c>
      <c r="Z116" s="115">
        <f>_xll.qlCalendarAdvance(Calendar,Y116,NDays&amp;"D")</f>
        <v>42272</v>
      </c>
      <c r="AA116" s="116">
        <v>2.1084713599154502E-2</v>
      </c>
      <c r="AB116" s="113">
        <v>2.1014259268669438E-2</v>
      </c>
    </row>
    <row r="117" spans="17:28" x14ac:dyDescent="0.2">
      <c r="Q117" s="72"/>
      <c r="T117" s="72"/>
      <c r="U117" s="93"/>
      <c r="X117" s="114" t="str">
        <f t="shared" si="14"/>
        <v>1D</v>
      </c>
      <c r="Y117" s="112">
        <f>_xll.qlCalendarAdvance(Calendar,Y116,X117,"f",FALSE)</f>
        <v>42275</v>
      </c>
      <c r="Z117" s="115">
        <f>_xll.qlCalendarAdvance(Calendar,Y117,NDays&amp;"D")</f>
        <v>42275</v>
      </c>
      <c r="AA117" s="116">
        <v>2.108336950467601E-2</v>
      </c>
      <c r="AB117" s="113">
        <v>2.10005364364374E-2</v>
      </c>
    </row>
    <row r="118" spans="17:28" x14ac:dyDescent="0.2">
      <c r="Q118" s="72"/>
      <c r="T118" s="72"/>
      <c r="U118" s="93"/>
      <c r="X118" s="114" t="str">
        <f t="shared" si="14"/>
        <v>1D</v>
      </c>
      <c r="Y118" s="112">
        <f>_xll.qlCalendarAdvance(Calendar,Y117,X118,"f",FALSE)</f>
        <v>42276</v>
      </c>
      <c r="Z118" s="115">
        <f>_xll.qlCalendarAdvance(Calendar,Y118,NDays&amp;"D")</f>
        <v>42276</v>
      </c>
      <c r="AA118" s="116">
        <v>2.1083066728827902E-2</v>
      </c>
      <c r="AB118" s="113">
        <v>2.0994648514098824E-2</v>
      </c>
    </row>
    <row r="119" spans="17:28" x14ac:dyDescent="0.2">
      <c r="Q119" s="72"/>
      <c r="T119" s="72"/>
      <c r="U119" s="93"/>
      <c r="X119" s="114" t="str">
        <f t="shared" si="14"/>
        <v>1D</v>
      </c>
      <c r="Y119" s="112">
        <f>_xll.qlCalendarAdvance(Calendar,Y118,X119,"f",FALSE)</f>
        <v>42277</v>
      </c>
      <c r="Z119" s="115">
        <f>_xll.qlCalendarAdvance(Calendar,Y119,NDays&amp;"D")</f>
        <v>42277</v>
      </c>
      <c r="AA119" s="116">
        <v>2.1089600863960292E-2</v>
      </c>
      <c r="AB119" s="113">
        <v>2.0988981764548109E-2</v>
      </c>
    </row>
    <row r="120" spans="17:28" x14ac:dyDescent="0.2">
      <c r="Q120" s="72"/>
      <c r="T120" s="72"/>
      <c r="U120" s="93"/>
      <c r="X120" s="114" t="str">
        <f t="shared" si="14"/>
        <v>1D</v>
      </c>
      <c r="Y120" s="112">
        <f>_xll.qlCalendarAdvance(Calendar,Y119,X120,"f",FALSE)</f>
        <v>42278</v>
      </c>
      <c r="Z120" s="115">
        <f>_xll.qlCalendarAdvance(Calendar,Y120,NDays&amp;"D")</f>
        <v>42278</v>
      </c>
      <c r="AA120" s="116">
        <v>2.1102718090784171E-2</v>
      </c>
      <c r="AB120" s="113">
        <v>2.0983536188028395E-2</v>
      </c>
    </row>
    <row r="121" spans="17:28" x14ac:dyDescent="0.2">
      <c r="Q121" s="72"/>
      <c r="T121" s="72"/>
      <c r="U121" s="93"/>
      <c r="X121" s="114" t="str">
        <f t="shared" si="14"/>
        <v>1D</v>
      </c>
      <c r="Y121" s="112">
        <f>_xll.qlCalendarAdvance(Calendar,Y120,X121,"f",FALSE)</f>
        <v>42279</v>
      </c>
      <c r="Z121" s="115">
        <f>_xll.qlCalendarAdvance(Calendar,Y121,NDays&amp;"D")</f>
        <v>42279</v>
      </c>
      <c r="AA121" s="116">
        <v>2.1102772803101709E-2</v>
      </c>
      <c r="AB121" s="113">
        <v>2.0972835511720855E-2</v>
      </c>
    </row>
    <row r="122" spans="17:28" x14ac:dyDescent="0.2">
      <c r="Q122" s="72"/>
      <c r="T122" s="72"/>
      <c r="U122" s="93"/>
      <c r="X122" s="114" t="str">
        <f t="shared" si="14"/>
        <v>1D</v>
      </c>
      <c r="Y122" s="112">
        <f>_xll.qlCalendarAdvance(Calendar,Y121,X122,"f",FALSE)</f>
        <v>42283</v>
      </c>
      <c r="Z122" s="115">
        <f>_xll.qlCalendarAdvance(Calendar,Y122,NDays&amp;"D")</f>
        <v>42283</v>
      </c>
      <c r="AA122" s="116">
        <v>2.1110250505121952E-2</v>
      </c>
      <c r="AB122" s="113">
        <v>2.0959625898220313E-2</v>
      </c>
    </row>
    <row r="123" spans="17:28" x14ac:dyDescent="0.2">
      <c r="Q123" s="72"/>
      <c r="T123" s="72"/>
      <c r="U123" s="93"/>
      <c r="X123" s="114" t="str">
        <f t="shared" si="14"/>
        <v>1D</v>
      </c>
      <c r="Y123" s="112">
        <f>_xll.qlCalendarAdvance(Calendar,Y122,X123,"f",FALSE)</f>
        <v>42284</v>
      </c>
      <c r="Z123" s="115">
        <f>_xll.qlCalendarAdvance(Calendar,Y123,NDays&amp;"D")</f>
        <v>42284</v>
      </c>
      <c r="AA123" s="116">
        <v>2.1113907972142923E-2</v>
      </c>
      <c r="AB123" s="113">
        <v>2.0955507358751957E-2</v>
      </c>
    </row>
    <row r="124" spans="17:28" x14ac:dyDescent="0.2">
      <c r="Q124" s="72"/>
      <c r="T124" s="72"/>
      <c r="U124" s="93"/>
      <c r="X124" s="114" t="str">
        <f t="shared" si="14"/>
        <v>1D</v>
      </c>
      <c r="Y124" s="112">
        <f>_xll.qlCalendarAdvance(Calendar,Y123,X124,"f",FALSE)</f>
        <v>42285</v>
      </c>
      <c r="Z124" s="115">
        <f>_xll.qlCalendarAdvance(Calendar,Y124,NDays&amp;"D")</f>
        <v>42285</v>
      </c>
      <c r="AA124" s="116">
        <v>2.1117609506720675E-2</v>
      </c>
      <c r="AB124" s="113">
        <v>2.0951609992314602E-2</v>
      </c>
    </row>
    <row r="125" spans="17:28" x14ac:dyDescent="0.2">
      <c r="Q125" s="72"/>
      <c r="T125" s="72"/>
      <c r="U125" s="93"/>
      <c r="X125" s="114" t="str">
        <f t="shared" si="14"/>
        <v>1D</v>
      </c>
      <c r="Y125" s="112">
        <f>_xll.qlCalendarAdvance(Calendar,Y124,X125,"f",FALSE)</f>
        <v>42286</v>
      </c>
      <c r="Z125" s="115">
        <f>_xll.qlCalendarAdvance(Calendar,Y125,NDays&amp;"D")</f>
        <v>42286</v>
      </c>
      <c r="AA125" s="116">
        <v>2.1127411426988017E-2</v>
      </c>
      <c r="AB125" s="113">
        <v>2.0945754372213948E-2</v>
      </c>
    </row>
    <row r="126" spans="17:28" x14ac:dyDescent="0.2">
      <c r="Q126" s="72"/>
      <c r="T126" s="72"/>
      <c r="U126" s="93"/>
      <c r="X126" s="114" t="str">
        <f t="shared" si="14"/>
        <v>1D</v>
      </c>
      <c r="Y126" s="112">
        <f>_xll.qlCalendarAdvance(Calendar,Y125,X126,"f",FALSE)</f>
        <v>42289</v>
      </c>
      <c r="Z126" s="115">
        <f>_xll.qlCalendarAdvance(Calendar,Y126,NDays&amp;"D")</f>
        <v>42289</v>
      </c>
      <c r="AA126" s="116">
        <v>2.1132724268435585E-2</v>
      </c>
      <c r="AB126" s="113">
        <v>2.0938232254200662E-2</v>
      </c>
    </row>
    <row r="127" spans="17:28" x14ac:dyDescent="0.2">
      <c r="Q127" s="72"/>
      <c r="T127" s="72"/>
      <c r="U127" s="93"/>
      <c r="X127" s="114" t="str">
        <f t="shared" si="14"/>
        <v>1D</v>
      </c>
      <c r="Y127" s="112">
        <f>_xll.qlCalendarAdvance(Calendar,Y126,X127,"f",FALSE)</f>
        <v>42290</v>
      </c>
      <c r="Z127" s="115">
        <f>_xll.qlCalendarAdvance(Calendar,Y127,NDays&amp;"D")</f>
        <v>42290</v>
      </c>
      <c r="AA127" s="116">
        <v>2.1136547101464221E-2</v>
      </c>
      <c r="AB127" s="113">
        <v>2.0935440751702616E-2</v>
      </c>
    </row>
    <row r="128" spans="17:28" x14ac:dyDescent="0.2">
      <c r="Q128" s="72"/>
      <c r="T128" s="72"/>
      <c r="U128" s="93"/>
      <c r="X128" s="114" t="str">
        <f t="shared" si="14"/>
        <v>1D</v>
      </c>
      <c r="Y128" s="112">
        <f>_xll.qlCalendarAdvance(Calendar,Y127,X128,"f",FALSE)</f>
        <v>42291</v>
      </c>
      <c r="Z128" s="115">
        <f>_xll.qlCalendarAdvance(Calendar,Y128,NDays&amp;"D")</f>
        <v>42291</v>
      </c>
      <c r="AA128" s="116">
        <v>2.1140374386144824E-2</v>
      </c>
      <c r="AB128" s="113">
        <v>2.093287042207348E-2</v>
      </c>
    </row>
    <row r="129" spans="17:28" x14ac:dyDescent="0.2">
      <c r="Q129" s="72"/>
      <c r="T129" s="72"/>
      <c r="U129" s="93"/>
      <c r="X129" s="114" t="str">
        <f t="shared" si="14"/>
        <v>1D</v>
      </c>
      <c r="Y129" s="112">
        <f>_xll.qlCalendarAdvance(Calendar,Y128,X129,"f",FALSE)</f>
        <v>42292</v>
      </c>
      <c r="Z129" s="115">
        <f>_xll.qlCalendarAdvance(Calendar,Y129,NDays&amp;"D")</f>
        <v>42292</v>
      </c>
      <c r="AA129" s="116">
        <v>2.1144199519739972E-2</v>
      </c>
      <c r="AB129" s="113">
        <v>2.0930521265151159E-2</v>
      </c>
    </row>
    <row r="130" spans="17:28" x14ac:dyDescent="0.2">
      <c r="Q130" s="72"/>
      <c r="T130" s="72"/>
      <c r="U130" s="93"/>
      <c r="X130" s="114" t="str">
        <f t="shared" si="14"/>
        <v>1D</v>
      </c>
      <c r="Y130" s="112">
        <f>_xll.qlCalendarAdvance(Calendar,Y129,X130,"f",FALSE)</f>
        <v>42293</v>
      </c>
      <c r="Z130" s="115">
        <f>_xll.qlCalendarAdvance(Calendar,Y130,NDays&amp;"D")</f>
        <v>42293</v>
      </c>
      <c r="AA130" s="116">
        <v>2.115312874945223E-2</v>
      </c>
      <c r="AB130" s="113">
        <v>2.0927760000291066E-2</v>
      </c>
    </row>
    <row r="131" spans="17:28" x14ac:dyDescent="0.2">
      <c r="Q131" s="72"/>
      <c r="T131" s="72"/>
      <c r="U131" s="93"/>
      <c r="X131" s="114" t="str">
        <f t="shared" si="14"/>
        <v>1D</v>
      </c>
      <c r="Y131" s="112">
        <f>_xll.qlCalendarAdvance(Calendar,Y130,X131,"f",FALSE)</f>
        <v>42296</v>
      </c>
      <c r="Z131" s="115">
        <f>_xll.qlCalendarAdvance(Calendar,Y131,NDays&amp;"D")</f>
        <v>42296</v>
      </c>
      <c r="AA131" s="116">
        <v>2.1159346487621543E-2</v>
      </c>
      <c r="AB131" s="113">
        <v>2.0923336365421541E-2</v>
      </c>
    </row>
    <row r="132" spans="17:28" x14ac:dyDescent="0.2">
      <c r="Q132" s="72"/>
      <c r="T132" s="72"/>
      <c r="U132" s="93"/>
      <c r="X132" s="114" t="str">
        <f t="shared" si="14"/>
        <v>1D</v>
      </c>
      <c r="Y132" s="112">
        <f>_xll.qlCalendarAdvance(Calendar,Y131,X132,"f",FALSE)</f>
        <v>42297</v>
      </c>
      <c r="Z132" s="115">
        <f>_xll.qlCalendarAdvance(Calendar,Y132,NDays&amp;"D")</f>
        <v>42297</v>
      </c>
      <c r="AA132" s="116">
        <v>2.1163061823838255E-2</v>
      </c>
      <c r="AB132" s="113">
        <v>2.092209307243853E-2</v>
      </c>
    </row>
    <row r="133" spans="17:28" x14ac:dyDescent="0.2">
      <c r="Q133" s="72"/>
      <c r="T133" s="72"/>
      <c r="U133" s="93"/>
      <c r="X133" s="114" t="str">
        <f t="shared" si="14"/>
        <v>1D</v>
      </c>
      <c r="Y133" s="112">
        <f>_xll.qlCalendarAdvance(Calendar,Y132,X133,"f",FALSE)</f>
        <v>42298</v>
      </c>
      <c r="Z133" s="115">
        <f>_xll.qlCalendarAdvance(Calendar,Y133,NDays&amp;"D")</f>
        <v>42298</v>
      </c>
      <c r="AA133" s="116">
        <v>2.1166735392018146E-2</v>
      </c>
      <c r="AB133" s="113">
        <v>2.0921070952243381E-2</v>
      </c>
    </row>
    <row r="134" spans="17:28" x14ac:dyDescent="0.2">
      <c r="Q134" s="72"/>
      <c r="T134" s="72"/>
      <c r="U134" s="93"/>
      <c r="X134" s="114" t="str">
        <f t="shared" si="14"/>
        <v>1D</v>
      </c>
      <c r="Y134" s="112">
        <f>_xll.qlCalendarAdvance(Calendar,Y133,X134,"f",FALSE)</f>
        <v>42299</v>
      </c>
      <c r="Z134" s="115">
        <f>_xll.qlCalendarAdvance(Calendar,Y134,NDays&amp;"D")</f>
        <v>42299</v>
      </c>
      <c r="AA134" s="116">
        <v>2.1170360589250248E-2</v>
      </c>
      <c r="AB134" s="113">
        <v>2.0920270004917141E-2</v>
      </c>
    </row>
    <row r="135" spans="17:28" x14ac:dyDescent="0.2">
      <c r="Q135" s="72"/>
      <c r="T135" s="72"/>
      <c r="U135" s="93"/>
      <c r="X135" s="114" t="str">
        <f t="shared" si="14"/>
        <v>1D</v>
      </c>
      <c r="Y135" s="112">
        <f>_xll.qlCalendarAdvance(Calendar,Y134,X135,"f",FALSE)</f>
        <v>42300</v>
      </c>
      <c r="Z135" s="115">
        <f>_xll.qlCalendarAdvance(Calendar,Y135,NDays&amp;"D")</f>
        <v>42300</v>
      </c>
      <c r="AA135" s="116">
        <v>2.1177707959244705E-2</v>
      </c>
      <c r="AB135" s="113">
        <v>2.0920604338520537E-2</v>
      </c>
    </row>
    <row r="136" spans="17:28" x14ac:dyDescent="0.2">
      <c r="Q136" s="72"/>
      <c r="T136" s="72"/>
      <c r="U136" s="93"/>
      <c r="X136" s="114" t="str">
        <f t="shared" si="14"/>
        <v>1D</v>
      </c>
      <c r="Y136" s="112">
        <f>_xll.qlCalendarAdvance(Calendar,Y135,X136,"f",FALSE)</f>
        <v>42303</v>
      </c>
      <c r="Z136" s="115">
        <f>_xll.qlCalendarAdvance(Calendar,Y136,NDays&amp;"D")</f>
        <v>42303</v>
      </c>
      <c r="AA136" s="116">
        <v>2.1185846743700727E-2</v>
      </c>
      <c r="AB136" s="113">
        <v>2.0919277942842429E-2</v>
      </c>
    </row>
    <row r="137" spans="17:28" x14ac:dyDescent="0.2">
      <c r="Q137" s="72"/>
      <c r="T137" s="72"/>
      <c r="U137" s="93"/>
      <c r="X137" s="114" t="str">
        <f t="shared" si="14"/>
        <v>1D</v>
      </c>
      <c r="Y137" s="112">
        <f>_xll.qlCalendarAdvance(Calendar,Y136,X137,"f",FALSE)</f>
        <v>42304</v>
      </c>
      <c r="Z137" s="115">
        <f>_xll.qlCalendarAdvance(Calendar,Y137,NDays&amp;"D")</f>
        <v>42304</v>
      </c>
      <c r="AA137" s="116">
        <v>2.1187529907851943E-2</v>
      </c>
      <c r="AB137" s="113">
        <v>2.0919582859293406E-2</v>
      </c>
    </row>
    <row r="138" spans="17:28" x14ac:dyDescent="0.2">
      <c r="Q138" s="72"/>
      <c r="T138" s="72"/>
      <c r="U138" s="93"/>
      <c r="X138" s="114" t="str">
        <f t="shared" si="14"/>
        <v>1D</v>
      </c>
      <c r="Y138" s="112">
        <f>_xll.qlCalendarAdvance(Calendar,Y137,X138,"f",FALSE)</f>
        <v>42305</v>
      </c>
      <c r="Z138" s="115">
        <f>_xll.qlCalendarAdvance(Calendar,Y138,NDays&amp;"D")</f>
        <v>42305</v>
      </c>
      <c r="AA138" s="116">
        <v>2.1190726217114632E-2</v>
      </c>
      <c r="AB138" s="113">
        <v>2.0920108948451199E-2</v>
      </c>
    </row>
    <row r="139" spans="17:28" x14ac:dyDescent="0.2">
      <c r="Q139" s="72"/>
      <c r="T139" s="72"/>
      <c r="U139" s="93"/>
      <c r="X139" s="114" t="str">
        <f t="shared" si="14"/>
        <v>1D</v>
      </c>
      <c r="Y139" s="112">
        <f>_xll.qlCalendarAdvance(Calendar,Y138,X139,"f",FALSE)</f>
        <v>42306</v>
      </c>
      <c r="Z139" s="115">
        <f>_xll.qlCalendarAdvance(Calendar,Y139,NDays&amp;"D")</f>
        <v>42306</v>
      </c>
      <c r="AA139" s="116">
        <v>2.1193827934491569E-2</v>
      </c>
      <c r="AB139" s="113">
        <v>2.0920856210396854E-2</v>
      </c>
    </row>
    <row r="140" spans="17:28" x14ac:dyDescent="0.2">
      <c r="Q140" s="72"/>
      <c r="T140" s="72"/>
      <c r="U140" s="93"/>
      <c r="X140" s="114" t="str">
        <f t="shared" si="14"/>
        <v>1D</v>
      </c>
      <c r="Y140" s="112">
        <f>_xll.qlCalendarAdvance(Calendar,Y139,X140,"f",FALSE)</f>
        <v>42307</v>
      </c>
      <c r="Z140" s="115">
        <f>_xll.qlCalendarAdvance(Calendar,Y140,NDays&amp;"D")</f>
        <v>42307</v>
      </c>
      <c r="AA140" s="116">
        <v>2.1195612746050339E-2</v>
      </c>
      <c r="AB140" s="113">
        <v>2.0924287385038303E-2</v>
      </c>
    </row>
    <row r="141" spans="17:28" x14ac:dyDescent="0.2">
      <c r="Q141" s="72"/>
      <c r="T141" s="72"/>
      <c r="U141" s="93"/>
      <c r="X141" s="114" t="str">
        <f t="shared" si="14"/>
        <v>1D</v>
      </c>
      <c r="Y141" s="112">
        <f>_xll.qlCalendarAdvance(Calendar,Y140,X141,"f",FALSE)</f>
        <v>42310</v>
      </c>
      <c r="Z141" s="115">
        <f>_xll.qlCalendarAdvance(Calendar,Y141,NDays&amp;"D")</f>
        <v>42310</v>
      </c>
      <c r="AA141" s="116">
        <v>2.1205156823802116E-2</v>
      </c>
      <c r="AB141" s="113">
        <v>2.0926056986058095E-2</v>
      </c>
    </row>
    <row r="142" spans="17:28" x14ac:dyDescent="0.2">
      <c r="Q142" s="72"/>
      <c r="T142" s="72"/>
      <c r="U142" s="93"/>
      <c r="X142" s="114" t="str">
        <f t="shared" si="14"/>
        <v>1D</v>
      </c>
      <c r="Y142" s="112">
        <f>_xll.qlCalendarAdvance(Calendar,Y141,X142,"f",FALSE)</f>
        <v>42311</v>
      </c>
      <c r="Z142" s="115">
        <f>_xll.qlCalendarAdvance(Calendar,Y142,NDays&amp;"D")</f>
        <v>42311</v>
      </c>
      <c r="AA142" s="116">
        <v>2.1207686535653466E-2</v>
      </c>
      <c r="AB142" s="113">
        <v>2.0927910111780967E-2</v>
      </c>
    </row>
    <row r="143" spans="17:28" x14ac:dyDescent="0.2">
      <c r="Q143" s="72"/>
      <c r="T143" s="72"/>
      <c r="U143" s="93"/>
      <c r="X143" s="114" t="str">
        <f t="shared" si="14"/>
        <v>1D</v>
      </c>
      <c r="Y143" s="112">
        <f>_xll.qlCalendarAdvance(Calendar,Y142,X143,"f",FALSE)</f>
        <v>42312</v>
      </c>
      <c r="Z143" s="115">
        <f>_xll.qlCalendarAdvance(Calendar,Y143,NDays&amp;"D")</f>
        <v>42312</v>
      </c>
      <c r="AA143" s="116">
        <v>2.1210082037118133E-2</v>
      </c>
      <c r="AB143" s="113">
        <v>2.0929984410453795E-2</v>
      </c>
    </row>
    <row r="144" spans="17:28" x14ac:dyDescent="0.2">
      <c r="Q144" s="72"/>
      <c r="T144" s="72"/>
      <c r="U144" s="93"/>
      <c r="X144" s="114" t="str">
        <f t="shared" si="14"/>
        <v>1D</v>
      </c>
      <c r="Y144" s="112">
        <f>_xll.qlCalendarAdvance(Calendar,Y143,X144,"f",FALSE)</f>
        <v>42313</v>
      </c>
      <c r="Z144" s="115">
        <f>_xll.qlCalendarAdvance(Calendar,Y144,NDays&amp;"D")</f>
        <v>42313</v>
      </c>
      <c r="AA144" s="116">
        <v>2.121233672508958E-2</v>
      </c>
      <c r="AB144" s="113">
        <v>2.0932279881833438E-2</v>
      </c>
    </row>
    <row r="145" spans="17:28" x14ac:dyDescent="0.2">
      <c r="Q145" s="72"/>
      <c r="T145" s="72"/>
      <c r="U145" s="93"/>
      <c r="X145" s="114" t="str">
        <f t="shared" si="14"/>
        <v>1D</v>
      </c>
      <c r="Y145" s="112">
        <f>_xll.qlCalendarAdvance(Calendar,Y144,X145,"f",FALSE)</f>
        <v>42314</v>
      </c>
      <c r="Z145" s="115">
        <f>_xll.qlCalendarAdvance(Calendar,Y145,NDays&amp;"D")</f>
        <v>42314</v>
      </c>
      <c r="AA145" s="116">
        <v>2.1214584534259652E-2</v>
      </c>
      <c r="AB145" s="113">
        <v>2.093880914081692E-2</v>
      </c>
    </row>
    <row r="146" spans="17:28" x14ac:dyDescent="0.2">
      <c r="Q146" s="72"/>
      <c r="T146" s="72"/>
      <c r="U146" s="93"/>
      <c r="X146" s="114" t="str">
        <f t="shared" si="14"/>
        <v>1D</v>
      </c>
      <c r="Y146" s="112">
        <f>_xll.qlCalendarAdvance(Calendar,Y145,X146,"f",FALSE)</f>
        <v>42317</v>
      </c>
      <c r="Z146" s="115">
        <f>_xll.qlCalendarAdvance(Calendar,Y146,NDays&amp;"D")</f>
        <v>42317</v>
      </c>
      <c r="AA146" s="116">
        <v>2.1219815279980195E-2</v>
      </c>
      <c r="AB146" s="113">
        <v>2.0943673495554815E-2</v>
      </c>
    </row>
    <row r="147" spans="17:28" x14ac:dyDescent="0.2">
      <c r="Q147" s="72"/>
      <c r="T147" s="72"/>
      <c r="U147" s="93"/>
      <c r="X147" s="114" t="str">
        <f t="shared" si="14"/>
        <v>1D</v>
      </c>
      <c r="Y147" s="112">
        <f>_xll.qlCalendarAdvance(Calendar,Y146,X147,"f",FALSE)</f>
        <v>42318</v>
      </c>
      <c r="Z147" s="115">
        <f>_xll.qlCalendarAdvance(Calendar,Y147,NDays&amp;"D")</f>
        <v>42318</v>
      </c>
      <c r="AA147" s="116">
        <v>2.1221266853978175E-2</v>
      </c>
      <c r="AB147" s="113">
        <v>2.0947074830954815E-2</v>
      </c>
    </row>
    <row r="148" spans="17:28" x14ac:dyDescent="0.2">
      <c r="Q148" s="72"/>
      <c r="T148" s="72"/>
      <c r="U148" s="93"/>
      <c r="X148" s="114" t="str">
        <f t="shared" si="14"/>
        <v>1D</v>
      </c>
      <c r="Y148" s="112">
        <f>_xll.qlCalendarAdvance(Calendar,Y147,X148,"f",FALSE)</f>
        <v>42319</v>
      </c>
      <c r="Z148" s="115">
        <f>_xll.qlCalendarAdvance(Calendar,Y148,NDays&amp;"D")</f>
        <v>42319</v>
      </c>
      <c r="AA148" s="116">
        <v>2.1222537995930029E-2</v>
      </c>
      <c r="AB148" s="113">
        <v>2.0950697339223723E-2</v>
      </c>
    </row>
    <row r="149" spans="17:28" x14ac:dyDescent="0.2">
      <c r="Q149" s="72"/>
      <c r="T149" s="72"/>
      <c r="U149" s="93"/>
      <c r="X149" s="114" t="str">
        <f t="shared" ref="X149:X212" si="15">X148</f>
        <v>1D</v>
      </c>
      <c r="Y149" s="112">
        <f>_xll.qlCalendarAdvance(Calendar,Y148,X149,"f",FALSE)</f>
        <v>42320</v>
      </c>
      <c r="Z149" s="115">
        <f>_xll.qlCalendarAdvance(Calendar,Y149,NDays&amp;"D")</f>
        <v>42320</v>
      </c>
      <c r="AA149" s="116">
        <v>2.1223622102780313E-2</v>
      </c>
      <c r="AB149" s="113">
        <v>2.0954541020280493E-2</v>
      </c>
    </row>
    <row r="150" spans="17:28" x14ac:dyDescent="0.2">
      <c r="Q150" s="72"/>
      <c r="T150" s="72"/>
      <c r="U150" s="93"/>
      <c r="X150" s="114" t="str">
        <f t="shared" si="15"/>
        <v>1D</v>
      </c>
      <c r="Y150" s="112">
        <f>_xll.qlCalendarAdvance(Calendar,Y149,X150,"f",FALSE)</f>
        <v>42321</v>
      </c>
      <c r="Z150" s="115">
        <f>_xll.qlCalendarAdvance(Calendar,Y150,NDays&amp;"D")</f>
        <v>42321</v>
      </c>
      <c r="AA150" s="116">
        <v>2.1222448066278012E-2</v>
      </c>
      <c r="AB150" s="113">
        <v>2.0964169609719589E-2</v>
      </c>
    </row>
    <row r="151" spans="17:28" x14ac:dyDescent="0.2">
      <c r="Q151" s="72"/>
      <c r="T151" s="72"/>
      <c r="U151" s="93"/>
      <c r="X151" s="114" t="str">
        <f t="shared" si="15"/>
        <v>1D</v>
      </c>
      <c r="Y151" s="112">
        <f>_xll.qlCalendarAdvance(Calendar,Y150,X151,"f",FALSE)</f>
        <v>42324</v>
      </c>
      <c r="Z151" s="115">
        <f>_xll.qlCalendarAdvance(Calendar,Y151,NDays&amp;"D")</f>
        <v>42324</v>
      </c>
      <c r="AA151" s="116">
        <v>2.1225956118785333E-2</v>
      </c>
      <c r="AB151" s="113">
        <v>2.0972127473034563E-2</v>
      </c>
    </row>
    <row r="152" spans="17:28" x14ac:dyDescent="0.2">
      <c r="Q152" s="72"/>
      <c r="T152" s="72"/>
      <c r="U152" s="93"/>
      <c r="X152" s="114" t="str">
        <f t="shared" si="15"/>
        <v>1D</v>
      </c>
      <c r="Y152" s="112">
        <f>_xll.qlCalendarAdvance(Calendar,Y151,X152,"f",FALSE)</f>
        <v>42325</v>
      </c>
      <c r="Z152" s="115">
        <f>_xll.qlCalendarAdvance(Calendar,Y152,NDays&amp;"D")</f>
        <v>42325</v>
      </c>
      <c r="AA152" s="116">
        <v>2.1226006005066887E-2</v>
      </c>
      <c r="AB152" s="113">
        <v>2.0977077018354828E-2</v>
      </c>
    </row>
    <row r="153" spans="17:28" x14ac:dyDescent="0.2">
      <c r="Q153" s="72"/>
      <c r="T153" s="72"/>
      <c r="U153" s="93"/>
      <c r="X153" s="114" t="str">
        <f t="shared" si="15"/>
        <v>1D</v>
      </c>
      <c r="Y153" s="112">
        <f>_xll.qlCalendarAdvance(Calendar,Y152,X153,"f",FALSE)</f>
        <v>42326</v>
      </c>
      <c r="Z153" s="115">
        <f>_xll.qlCalendarAdvance(Calendar,Y153,NDays&amp;"D")</f>
        <v>42326</v>
      </c>
      <c r="AA153" s="116">
        <v>2.1225829238422499E-2</v>
      </c>
      <c r="AB153" s="113">
        <v>2.0982247736544002E-2</v>
      </c>
    </row>
    <row r="154" spans="17:28" x14ac:dyDescent="0.2">
      <c r="Q154" s="72"/>
      <c r="T154" s="72"/>
      <c r="U154" s="93"/>
      <c r="X154" s="114" t="str">
        <f t="shared" si="15"/>
        <v>1D</v>
      </c>
      <c r="Y154" s="112">
        <f>_xll.qlCalendarAdvance(Calendar,Y153,X154,"f",FALSE)</f>
        <v>42327</v>
      </c>
      <c r="Z154" s="115">
        <f>_xll.qlCalendarAdvance(Calendar,Y154,NDays&amp;"D")</f>
        <v>42327</v>
      </c>
      <c r="AA154" s="116">
        <v>2.1225419215996692E-2</v>
      </c>
      <c r="AB154" s="113">
        <v>2.0987639627602084E-2</v>
      </c>
    </row>
    <row r="155" spans="17:28" x14ac:dyDescent="0.2">
      <c r="Q155" s="72"/>
      <c r="T155" s="72"/>
      <c r="U155" s="93"/>
      <c r="X155" s="114" t="str">
        <f t="shared" si="15"/>
        <v>1D</v>
      </c>
      <c r="Y155" s="112">
        <f>_xll.qlCalendarAdvance(Calendar,Y154,X155,"f",FALSE)</f>
        <v>42328</v>
      </c>
      <c r="Z155" s="115">
        <f>_xll.qlCalendarAdvance(Calendar,Y155,NDays&amp;"D")</f>
        <v>42328</v>
      </c>
      <c r="AA155" s="116">
        <v>2.1220305882494593E-2</v>
      </c>
      <c r="AB155" s="113">
        <v>2.1000368798500167E-2</v>
      </c>
    </row>
    <row r="156" spans="17:28" x14ac:dyDescent="0.2">
      <c r="Q156" s="72"/>
      <c r="T156" s="72"/>
      <c r="U156" s="93"/>
      <c r="X156" s="114" t="str">
        <f t="shared" si="15"/>
        <v>1D</v>
      </c>
      <c r="Y156" s="112">
        <f>_xll.qlCalendarAdvance(Calendar,Y155,X156,"f",FALSE)</f>
        <v>42331</v>
      </c>
      <c r="Z156" s="115">
        <f>_xll.qlCalendarAdvance(Calendar,Y156,NDays&amp;"D")</f>
        <v>42331</v>
      </c>
      <c r="AA156" s="116">
        <v>2.1221314512954653E-2</v>
      </c>
      <c r="AB156" s="113">
        <v>2.1011418920928726E-2</v>
      </c>
    </row>
    <row r="157" spans="17:28" x14ac:dyDescent="0.2">
      <c r="Q157" s="72"/>
      <c r="T157" s="72"/>
      <c r="U157" s="93"/>
      <c r="X157" s="114" t="str">
        <f t="shared" si="15"/>
        <v>1D</v>
      </c>
      <c r="Y157" s="112">
        <f>_xll.qlCalendarAdvance(Calendar,Y156,X157,"f",FALSE)</f>
        <v>42332</v>
      </c>
      <c r="Z157" s="115">
        <f>_xll.qlCalendarAdvance(Calendar,Y157,NDays&amp;"D")</f>
        <v>42332</v>
      </c>
      <c r="AA157" s="116">
        <v>2.1219639170433503E-2</v>
      </c>
      <c r="AB157" s="113">
        <v>2.1017916676655535E-2</v>
      </c>
    </row>
    <row r="158" spans="17:28" x14ac:dyDescent="0.2">
      <c r="Q158" s="72"/>
      <c r="T158" s="72"/>
      <c r="U158" s="93"/>
      <c r="X158" s="114" t="str">
        <f t="shared" si="15"/>
        <v>1D</v>
      </c>
      <c r="Y158" s="112">
        <f>_xll.qlCalendarAdvance(Calendar,Y157,X158,"f",FALSE)</f>
        <v>42333</v>
      </c>
      <c r="Z158" s="115">
        <f>_xll.qlCalendarAdvance(Calendar,Y158,NDays&amp;"D")</f>
        <v>42333</v>
      </c>
      <c r="AA158" s="116">
        <v>2.121769095604201E-2</v>
      </c>
      <c r="AB158" s="113">
        <v>2.1024635605251252E-2</v>
      </c>
    </row>
    <row r="159" spans="17:28" x14ac:dyDescent="0.2">
      <c r="Q159" s="72"/>
      <c r="T159" s="72"/>
      <c r="U159" s="93"/>
      <c r="X159" s="114" t="str">
        <f t="shared" si="15"/>
        <v>1D</v>
      </c>
      <c r="Y159" s="112">
        <f>_xll.qlCalendarAdvance(Calendar,Y158,X159,"f",FALSE)</f>
        <v>42334</v>
      </c>
      <c r="Z159" s="115">
        <f>_xll.qlCalendarAdvance(Calendar,Y159,NDays&amp;"D")</f>
        <v>42334</v>
      </c>
      <c r="AA159" s="116">
        <v>2.1215463267310559E-2</v>
      </c>
      <c r="AB159" s="113">
        <v>2.1031575706796923E-2</v>
      </c>
    </row>
    <row r="160" spans="17:28" x14ac:dyDescent="0.2">
      <c r="Q160" s="72"/>
      <c r="T160" s="72"/>
      <c r="U160" s="93"/>
      <c r="X160" s="114" t="str">
        <f t="shared" si="15"/>
        <v>1D</v>
      </c>
      <c r="Y160" s="112">
        <f>_xll.qlCalendarAdvance(Calendar,Y159,X160,"f",FALSE)</f>
        <v>42335</v>
      </c>
      <c r="Z160" s="115">
        <f>_xll.qlCalendarAdvance(Calendar,Y160,NDays&amp;"D")</f>
        <v>42335</v>
      </c>
      <c r="AA160" s="116">
        <v>2.1205941150786008E-2</v>
      </c>
      <c r="AB160" s="113">
        <v>2.1047406716857196E-2</v>
      </c>
    </row>
    <row r="161" spans="17:28" x14ac:dyDescent="0.2">
      <c r="Q161" s="72"/>
      <c r="T161" s="72"/>
      <c r="U161" s="93"/>
      <c r="X161" s="114" t="str">
        <f t="shared" si="15"/>
        <v>1D</v>
      </c>
      <c r="Y161" s="112">
        <f>_xll.qlCalendarAdvance(Calendar,Y160,X161,"f",FALSE)</f>
        <v>42338</v>
      </c>
      <c r="Z161" s="115">
        <f>_xll.qlCalendarAdvance(Calendar,Y161,NDays&amp;"D")</f>
        <v>42338</v>
      </c>
      <c r="AA161" s="116">
        <v>2.1207498824915218E-2</v>
      </c>
      <c r="AB161" s="113">
        <v>2.1061547842965433E-2</v>
      </c>
    </row>
    <row r="162" spans="17:28" x14ac:dyDescent="0.2">
      <c r="Q162" s="72"/>
      <c r="T162" s="72"/>
      <c r="U162" s="93"/>
      <c r="X162" s="114" t="str">
        <f t="shared" si="15"/>
        <v>1D</v>
      </c>
      <c r="Y162" s="112">
        <f>_xll.qlCalendarAdvance(Calendar,Y161,X162,"f",FALSE)</f>
        <v>42339</v>
      </c>
      <c r="Z162" s="115">
        <f>_xll.qlCalendarAdvance(Calendar,Y162,NDays&amp;"D")</f>
        <v>42339</v>
      </c>
      <c r="AA162" s="116">
        <v>2.1203963488063013E-2</v>
      </c>
      <c r="AB162" s="113">
        <v>2.1069593809504017E-2</v>
      </c>
    </row>
    <row r="163" spans="17:28" x14ac:dyDescent="0.2">
      <c r="Q163" s="72"/>
      <c r="T163" s="72"/>
      <c r="U163" s="93"/>
      <c r="X163" s="114" t="str">
        <f t="shared" si="15"/>
        <v>1D</v>
      </c>
      <c r="Y163" s="112">
        <f>_xll.qlCalendarAdvance(Calendar,Y162,X163,"f",FALSE)</f>
        <v>42340</v>
      </c>
      <c r="Z163" s="115">
        <f>_xll.qlCalendarAdvance(Calendar,Y163,NDays&amp;"D")</f>
        <v>42340</v>
      </c>
      <c r="AA163" s="116">
        <v>2.120010980701292E-2</v>
      </c>
      <c r="AB163" s="113">
        <v>2.1077860949154648E-2</v>
      </c>
    </row>
    <row r="164" spans="17:28" x14ac:dyDescent="0.2">
      <c r="Q164" s="72"/>
      <c r="T164" s="72"/>
      <c r="U164" s="93"/>
      <c r="X164" s="114" t="str">
        <f t="shared" si="15"/>
        <v>1D</v>
      </c>
      <c r="Y164" s="112">
        <f>_xll.qlCalendarAdvance(Calendar,Y163,X164,"f",FALSE)</f>
        <v>42341</v>
      </c>
      <c r="Z164" s="115">
        <f>_xll.qlCalendarAdvance(Calendar,Y164,NDays&amp;"D")</f>
        <v>42341</v>
      </c>
      <c r="AA164" s="116">
        <v>2.1195931107668726E-2</v>
      </c>
      <c r="AB164" s="113">
        <v>2.1086349261755233E-2</v>
      </c>
    </row>
    <row r="165" spans="17:28" x14ac:dyDescent="0.2">
      <c r="Q165" s="72"/>
      <c r="T165" s="72"/>
      <c r="U165" s="93"/>
      <c r="X165" s="114" t="str">
        <f t="shared" si="15"/>
        <v>1D</v>
      </c>
      <c r="Y165" s="112">
        <f>_xll.qlCalendarAdvance(Calendar,Y164,X165,"f",FALSE)</f>
        <v>42342</v>
      </c>
      <c r="Z165" s="115">
        <f>_xll.qlCalendarAdvance(Calendar,Y165,NDays&amp;"D")</f>
        <v>42342</v>
      </c>
      <c r="AA165" s="116">
        <v>2.1191420716039321E-2</v>
      </c>
      <c r="AB165" s="113">
        <v>2.1105283377406879E-2</v>
      </c>
    </row>
    <row r="166" spans="17:28" x14ac:dyDescent="0.2">
      <c r="Q166" s="72"/>
      <c r="T166" s="72"/>
      <c r="U166" s="93"/>
      <c r="X166" s="114" t="str">
        <f t="shared" si="15"/>
        <v>1D</v>
      </c>
      <c r="Y166" s="112">
        <f>_xll.qlCalendarAdvance(Calendar,Y165,X166,"f",FALSE)</f>
        <v>42345</v>
      </c>
      <c r="Z166" s="115">
        <f>_xll.qlCalendarAdvance(Calendar,Y166,NDays&amp;"D")</f>
        <v>42345</v>
      </c>
      <c r="AA166" s="116">
        <v>2.1175832649212831E-2</v>
      </c>
      <c r="AB166" s="113">
        <v>2.1122514243359092E-2</v>
      </c>
    </row>
    <row r="167" spans="17:28" x14ac:dyDescent="0.2">
      <c r="Q167" s="72"/>
      <c r="T167" s="72"/>
      <c r="U167" s="93"/>
      <c r="X167" s="114" t="str">
        <f t="shared" si="15"/>
        <v>1D</v>
      </c>
      <c r="Y167" s="112">
        <f>_xll.qlCalendarAdvance(Calendar,Y166,X167,"f",FALSE)</f>
        <v>42346</v>
      </c>
      <c r="Z167" s="115">
        <f>_xll.qlCalendarAdvance(Calendar,Y167,NDays&amp;"D")</f>
        <v>42346</v>
      </c>
      <c r="AA167" s="116">
        <v>2.116992875082209E-2</v>
      </c>
      <c r="AB167" s="113">
        <v>2.1132108421519913E-2</v>
      </c>
    </row>
    <row r="168" spans="17:28" x14ac:dyDescent="0.2">
      <c r="Q168" s="72"/>
      <c r="T168" s="72"/>
      <c r="U168" s="93"/>
      <c r="X168" s="114" t="str">
        <f t="shared" si="15"/>
        <v>1D</v>
      </c>
      <c r="Y168" s="112">
        <f>_xll.qlCalendarAdvance(Calendar,Y167,X168,"f",FALSE)</f>
        <v>42347</v>
      </c>
      <c r="Z168" s="115">
        <f>_xll.qlCalendarAdvance(Calendar,Y168,NDays&amp;"D")</f>
        <v>42347</v>
      </c>
      <c r="AA168" s="116">
        <v>2.1163659791960214E-2</v>
      </c>
      <c r="AB168" s="113">
        <v>2.1141923772873827E-2</v>
      </c>
    </row>
    <row r="169" spans="17:28" x14ac:dyDescent="0.2">
      <c r="Q169" s="72"/>
      <c r="T169" s="72"/>
      <c r="U169" s="93"/>
      <c r="X169" s="114" t="str">
        <f t="shared" si="15"/>
        <v>1D</v>
      </c>
      <c r="Y169" s="112">
        <f>_xll.qlCalendarAdvance(Calendar,Y168,X169,"f",FALSE)</f>
        <v>42348</v>
      </c>
      <c r="Z169" s="115">
        <f>_xll.qlCalendarAdvance(Calendar,Y169,NDays&amp;"D")</f>
        <v>42348</v>
      </c>
      <c r="AA169" s="116">
        <v>2.1157019099384212E-2</v>
      </c>
      <c r="AB169" s="113">
        <v>2.1151960297420835E-2</v>
      </c>
    </row>
    <row r="170" spans="17:28" x14ac:dyDescent="0.2">
      <c r="Q170" s="72"/>
      <c r="T170" s="72"/>
      <c r="U170" s="93"/>
      <c r="X170" s="114" t="str">
        <f t="shared" si="15"/>
        <v>1D</v>
      </c>
      <c r="Y170" s="112">
        <f>_xll.qlCalendarAdvance(Calendar,Y169,X170,"f",FALSE)</f>
        <v>42349</v>
      </c>
      <c r="Z170" s="115">
        <f>_xll.qlCalendarAdvance(Calendar,Y170,NDays&amp;"D")</f>
        <v>42349</v>
      </c>
      <c r="AA170" s="116">
        <v>2.1149999999999815E-2</v>
      </c>
      <c r="AB170" s="113">
        <v>2.1173092288574818E-2</v>
      </c>
    </row>
    <row r="171" spans="17:28" x14ac:dyDescent="0.2">
      <c r="Q171" s="72"/>
      <c r="T171" s="72"/>
      <c r="U171" s="93"/>
      <c r="X171" s="114" t="str">
        <f t="shared" si="15"/>
        <v>1D</v>
      </c>
      <c r="Y171" s="112">
        <f>_xll.qlCalendarAdvance(Calendar,Y170,X171,"f",FALSE)</f>
        <v>42352</v>
      </c>
      <c r="Z171" s="115">
        <f>_xll.qlCalendarAdvance(Calendar,Y171,NDays&amp;"D")</f>
        <v>42352</v>
      </c>
      <c r="AA171" s="116">
        <v>2.1126689347134912E-2</v>
      </c>
      <c r="AB171" s="113">
        <v>2.1190591808953885E-2</v>
      </c>
    </row>
    <row r="172" spans="17:28" x14ac:dyDescent="0.2">
      <c r="Q172" s="72"/>
      <c r="T172" s="72"/>
      <c r="U172" s="93"/>
      <c r="X172" s="114" t="str">
        <f t="shared" si="15"/>
        <v>1D</v>
      </c>
      <c r="Y172" s="112">
        <f>_xll.qlCalendarAdvance(Calendar,Y171,X172,"f",FALSE)</f>
        <v>42353</v>
      </c>
      <c r="Z172" s="115">
        <f>_xll.qlCalendarAdvance(Calendar,Y172,NDays&amp;"D")</f>
        <v>42353</v>
      </c>
      <c r="AA172" s="116">
        <v>2.1118204749572933E-2</v>
      </c>
      <c r="AB172" s="113">
        <v>2.1199317127867934E-2</v>
      </c>
    </row>
    <row r="173" spans="17:28" x14ac:dyDescent="0.2">
      <c r="Q173" s="72"/>
      <c r="T173" s="72"/>
      <c r="U173" s="93"/>
      <c r="X173" s="114" t="str">
        <f t="shared" si="15"/>
        <v>1D</v>
      </c>
      <c r="Y173" s="112">
        <f>_xll.qlCalendarAdvance(Calendar,Y172,X173,"f",FALSE)</f>
        <v>42354</v>
      </c>
      <c r="Z173" s="115">
        <f>_xll.qlCalendarAdvance(Calendar,Y173,NDays&amp;"D")</f>
        <v>42354</v>
      </c>
      <c r="AA173" s="116">
        <v>2.1109382883329263E-2</v>
      </c>
      <c r="AB173" s="113">
        <v>2.1207659352034947E-2</v>
      </c>
    </row>
    <row r="174" spans="17:28" x14ac:dyDescent="0.2">
      <c r="Q174" s="72"/>
      <c r="T174" s="72"/>
      <c r="U174" s="93"/>
      <c r="X174" s="114" t="str">
        <f t="shared" si="15"/>
        <v>1D</v>
      </c>
      <c r="Y174" s="112">
        <f>_xll.qlCalendarAdvance(Calendar,Y173,X174,"f",FALSE)</f>
        <v>42355</v>
      </c>
      <c r="Z174" s="115">
        <f>_xll.qlCalendarAdvance(Calendar,Y174,NDays&amp;"D")</f>
        <v>42355</v>
      </c>
      <c r="AA174" s="116">
        <v>2.1100235701154824E-2</v>
      </c>
      <c r="AB174" s="113">
        <v>2.1215618481454923E-2</v>
      </c>
    </row>
    <row r="175" spans="17:28" x14ac:dyDescent="0.2">
      <c r="Q175" s="72"/>
      <c r="T175" s="72"/>
      <c r="U175" s="93"/>
      <c r="X175" s="114" t="str">
        <f t="shared" si="15"/>
        <v>1D</v>
      </c>
      <c r="Y175" s="112">
        <f>_xll.qlCalendarAdvance(Calendar,Y174,X175,"f",FALSE)</f>
        <v>42356</v>
      </c>
      <c r="Z175" s="115">
        <f>_xll.qlCalendarAdvance(Calendar,Y175,NDays&amp;"D")</f>
        <v>42356</v>
      </c>
      <c r="AA175" s="116">
        <v>2.1090775155775583E-2</v>
      </c>
      <c r="AB175" s="113">
        <v>2.1231494641479703E-2</v>
      </c>
    </row>
    <row r="176" spans="17:28" x14ac:dyDescent="0.2">
      <c r="Q176" s="72"/>
      <c r="T176" s="72"/>
      <c r="U176" s="93"/>
      <c r="X176" s="114" t="str">
        <f t="shared" si="15"/>
        <v>1D</v>
      </c>
      <c r="Y176" s="112">
        <f>_xll.qlCalendarAdvance(Calendar,Y175,X176,"f",FALSE)</f>
        <v>42359</v>
      </c>
      <c r="Z176" s="115">
        <f>_xll.qlCalendarAdvance(Calendar,Y176,NDays&amp;"D")</f>
        <v>42359</v>
      </c>
      <c r="AA176" s="116">
        <v>2.1060632867033819E-2</v>
      </c>
      <c r="AB176" s="113">
        <v>2.1243624050610865E-2</v>
      </c>
    </row>
    <row r="177" spans="17:28" x14ac:dyDescent="0.2">
      <c r="Q177" s="72"/>
      <c r="T177" s="72"/>
      <c r="U177" s="93"/>
      <c r="X177" s="114" t="str">
        <f t="shared" si="15"/>
        <v>1D</v>
      </c>
      <c r="Y177" s="112">
        <f>_xll.qlCalendarAdvance(Calendar,Y176,X177,"f",FALSE)</f>
        <v>42360</v>
      </c>
      <c r="Z177" s="115">
        <f>_xll.qlCalendarAdvance(Calendar,Y177,NDays&amp;"D")</f>
        <v>42360</v>
      </c>
      <c r="AA177" s="116">
        <v>2.1050038395196511E-2</v>
      </c>
      <c r="AB177" s="113">
        <v>2.1249667705809383E-2</v>
      </c>
    </row>
    <row r="178" spans="17:28" x14ac:dyDescent="0.2">
      <c r="Q178" s="72"/>
      <c r="T178" s="72"/>
      <c r="U178" s="93"/>
      <c r="X178" s="114" t="str">
        <f t="shared" si="15"/>
        <v>1D</v>
      </c>
      <c r="Y178" s="112">
        <f>_xll.qlCalendarAdvance(Calendar,Y177,X178,"f",FALSE)</f>
        <v>42361</v>
      </c>
      <c r="Z178" s="115">
        <f>_xll.qlCalendarAdvance(Calendar,Y178,NDays&amp;"D")</f>
        <v>42361</v>
      </c>
      <c r="AA178" s="116">
        <v>2.1039190323039733E-2</v>
      </c>
      <c r="AB178" s="113">
        <v>2.1255328265936679E-2</v>
      </c>
    </row>
    <row r="179" spans="17:28" x14ac:dyDescent="0.2">
      <c r="Q179" s="72"/>
      <c r="T179" s="72"/>
      <c r="U179" s="93"/>
      <c r="X179" s="114" t="str">
        <f t="shared" si="15"/>
        <v>1D</v>
      </c>
      <c r="Y179" s="112">
        <f>_xll.qlCalendarAdvance(Calendar,Y178,X179,"f",FALSE)</f>
        <v>42362</v>
      </c>
      <c r="Z179" s="115">
        <f>_xll.qlCalendarAdvance(Calendar,Y179,NDays&amp;"D")</f>
        <v>42362</v>
      </c>
      <c r="AA179" s="116">
        <v>2.1028100602934988E-2</v>
      </c>
      <c r="AB179" s="113">
        <v>2.1272107314261435E-2</v>
      </c>
    </row>
    <row r="180" spans="17:28" x14ac:dyDescent="0.2">
      <c r="Q180" s="72"/>
      <c r="T180" s="72"/>
      <c r="U180" s="93"/>
      <c r="X180" s="114" t="str">
        <f t="shared" si="15"/>
        <v>1D</v>
      </c>
      <c r="Y180" s="112">
        <f>_xll.qlCalendarAdvance(Calendar,Y179,X180,"f",FALSE)</f>
        <v>42367</v>
      </c>
      <c r="Z180" s="115">
        <f>_xll.qlCalendarAdvance(Calendar,Y180,NDays&amp;"D")</f>
        <v>42367</v>
      </c>
      <c r="AA180" s="116">
        <v>2.0969445609759933E-2</v>
      </c>
      <c r="AB180" s="113">
        <v>2.1281246632636197E-2</v>
      </c>
    </row>
    <row r="181" spans="17:28" x14ac:dyDescent="0.2">
      <c r="Q181" s="72"/>
      <c r="T181" s="72"/>
      <c r="U181" s="93"/>
      <c r="X181" s="114" t="str">
        <f t="shared" si="15"/>
        <v>1D</v>
      </c>
      <c r="Y181" s="112">
        <f>_xll.qlCalendarAdvance(Calendar,Y180,X181,"f",FALSE)</f>
        <v>42368</v>
      </c>
      <c r="Z181" s="115">
        <f>_xll.qlCalendarAdvance(Calendar,Y181,NDays&amp;"D")</f>
        <v>42368</v>
      </c>
      <c r="AA181" s="116">
        <v>2.0957156996454795E-2</v>
      </c>
      <c r="AB181" s="113">
        <v>2.1284225527913314E-2</v>
      </c>
    </row>
    <row r="182" spans="17:28" x14ac:dyDescent="0.2">
      <c r="Q182" s="72"/>
      <c r="T182" s="72"/>
      <c r="U182" s="93"/>
      <c r="X182" s="114" t="str">
        <f t="shared" si="15"/>
        <v>1D</v>
      </c>
      <c r="Y182" s="112">
        <f>_xll.qlCalendarAdvance(Calendar,Y181,X182,"f",FALSE)</f>
        <v>42369</v>
      </c>
      <c r="Z182" s="115">
        <f>_xll.qlCalendarAdvance(Calendar,Y182,NDays&amp;"D")</f>
        <v>42369</v>
      </c>
      <c r="AA182" s="116">
        <v>2.0944710399011954E-2</v>
      </c>
      <c r="AB182" s="113">
        <v>2.129162005003904E-2</v>
      </c>
    </row>
    <row r="183" spans="17:28" x14ac:dyDescent="0.2">
      <c r="Q183" s="72"/>
      <c r="T183" s="72"/>
      <c r="U183" s="93"/>
      <c r="X183" s="114" t="str">
        <f t="shared" si="15"/>
        <v>1D</v>
      </c>
      <c r="Y183" s="112">
        <f>_xll.qlCalendarAdvance(Calendar,Y182,X183,"f",FALSE)</f>
        <v>42373</v>
      </c>
      <c r="Z183" s="115">
        <f>_xll.qlCalendarAdvance(Calendar,Y183,NDays&amp;"D")</f>
        <v>42373</v>
      </c>
      <c r="AA183" s="116">
        <v>2.0893583195921942E-2</v>
      </c>
      <c r="AB183" s="113">
        <v>2.129337357863581E-2</v>
      </c>
    </row>
    <row r="184" spans="17:28" x14ac:dyDescent="0.2">
      <c r="Q184" s="72"/>
      <c r="T184" s="72"/>
      <c r="U184" s="93"/>
      <c r="X184" s="114" t="str">
        <f t="shared" si="15"/>
        <v>1D</v>
      </c>
      <c r="Y184" s="112">
        <f>_xll.qlCalendarAdvance(Calendar,Y183,X184,"f",FALSE)</f>
        <v>42374</v>
      </c>
      <c r="Z184" s="115">
        <f>_xll.qlCalendarAdvance(Calendar,Y184,NDays&amp;"D")</f>
        <v>42374</v>
      </c>
      <c r="AA184" s="116">
        <v>2.0880525947631363E-2</v>
      </c>
      <c r="AB184" s="113">
        <v>2.1294053903647692E-2</v>
      </c>
    </row>
    <row r="185" spans="17:28" x14ac:dyDescent="0.2">
      <c r="Q185" s="72"/>
      <c r="T185" s="72"/>
      <c r="U185" s="93"/>
      <c r="X185" s="114" t="str">
        <f t="shared" si="15"/>
        <v>1D</v>
      </c>
      <c r="Y185" s="112">
        <f>_xll.qlCalendarAdvance(Calendar,Y184,X185,"f",FALSE)</f>
        <v>42375</v>
      </c>
      <c r="Z185" s="115">
        <f>_xll.qlCalendarAdvance(Calendar,Y185,NDays&amp;"D")</f>
        <v>42375</v>
      </c>
      <c r="AA185" s="116">
        <v>2.0867382422157573E-2</v>
      </c>
      <c r="AB185" s="113">
        <v>2.1294351133588352E-2</v>
      </c>
    </row>
    <row r="186" spans="17:28" x14ac:dyDescent="0.2">
      <c r="Q186" s="72"/>
      <c r="T186" s="72"/>
      <c r="U186" s="93"/>
      <c r="X186" s="114" t="str">
        <f t="shared" si="15"/>
        <v>1D</v>
      </c>
      <c r="Y186" s="112">
        <f>_xll.qlCalendarAdvance(Calendar,Y185,X186,"f",FALSE)</f>
        <v>42376</v>
      </c>
      <c r="Z186" s="115">
        <f>_xll.qlCalendarAdvance(Calendar,Y186,NDays&amp;"D")</f>
        <v>42376</v>
      </c>
      <c r="AA186" s="116">
        <v>2.0854164570154078E-2</v>
      </c>
      <c r="AB186" s="113">
        <v>2.129426526845779E-2</v>
      </c>
    </row>
    <row r="187" spans="17:28" x14ac:dyDescent="0.2">
      <c r="Q187" s="72"/>
      <c r="T187" s="72"/>
      <c r="U187" s="93"/>
      <c r="X187" s="114" t="str">
        <f t="shared" si="15"/>
        <v>1D</v>
      </c>
      <c r="Y187" s="112">
        <f>_xll.qlCalendarAdvance(Calendar,Y186,X187,"f",FALSE)</f>
        <v>42377</v>
      </c>
      <c r="Z187" s="115">
        <f>_xll.qlCalendarAdvance(Calendar,Y187,NDays&amp;"D")</f>
        <v>42377</v>
      </c>
      <c r="AA187" s="116">
        <v>2.0840884342120305E-2</v>
      </c>
      <c r="AB187" s="113">
        <v>2.1294058726873958E-2</v>
      </c>
    </row>
    <row r="188" spans="17:28" x14ac:dyDescent="0.2">
      <c r="Q188" s="72"/>
      <c r="T188" s="72"/>
      <c r="U188" s="93"/>
      <c r="X188" s="114" t="str">
        <f t="shared" si="15"/>
        <v>1D</v>
      </c>
      <c r="Y188" s="112">
        <f>_xll.qlCalendarAdvance(Calendar,Y187,X188,"f",FALSE)</f>
        <v>42380</v>
      </c>
      <c r="Z188" s="115">
        <f>_xll.qlCalendarAdvance(Calendar,Y188,NDays&amp;"D")</f>
        <v>42380</v>
      </c>
      <c r="AA188" s="116">
        <v>2.0800788904530285E-2</v>
      </c>
      <c r="AB188" s="113">
        <v>2.1290090857304378E-2</v>
      </c>
    </row>
    <row r="189" spans="17:28" x14ac:dyDescent="0.2">
      <c r="Q189" s="72"/>
      <c r="T189" s="72"/>
      <c r="U189" s="93"/>
      <c r="X189" s="114" t="str">
        <f t="shared" si="15"/>
        <v>1D</v>
      </c>
      <c r="Y189" s="112">
        <f>_xll.qlCalendarAdvance(Calendar,Y188,X189,"f",FALSE)</f>
        <v>42381</v>
      </c>
      <c r="Z189" s="115">
        <f>_xll.qlCalendarAdvance(Calendar,Y189,NDays&amp;"D")</f>
        <v>42381</v>
      </c>
      <c r="AA189" s="116">
        <v>2.0787378674281941E-2</v>
      </c>
      <c r="AB189" s="113">
        <v>2.1288089516898756E-2</v>
      </c>
    </row>
    <row r="190" spans="17:28" x14ac:dyDescent="0.2">
      <c r="Q190" s="72"/>
      <c r="T190" s="72"/>
      <c r="U190" s="93"/>
      <c r="X190" s="114" t="str">
        <f t="shared" si="15"/>
        <v>1D</v>
      </c>
      <c r="Y190" s="112">
        <f>_xll.qlCalendarAdvance(Calendar,Y189,X190,"f",FALSE)</f>
        <v>42382</v>
      </c>
      <c r="Z190" s="115">
        <f>_xll.qlCalendarAdvance(Calendar,Y190,NDays&amp;"D")</f>
        <v>42382</v>
      </c>
      <c r="AA190" s="116">
        <v>2.0773965818168833E-2</v>
      </c>
      <c r="AB190" s="113">
        <v>2.1285705081421913E-2</v>
      </c>
    </row>
    <row r="191" spans="17:28" x14ac:dyDescent="0.2">
      <c r="Q191" s="72"/>
      <c r="T191" s="72"/>
      <c r="U191" s="93"/>
      <c r="X191" s="114" t="str">
        <f t="shared" si="15"/>
        <v>1D</v>
      </c>
      <c r="Y191" s="112">
        <f>_xll.qlCalendarAdvance(Calendar,Y190,X191,"f",FALSE)</f>
        <v>42383</v>
      </c>
      <c r="Z191" s="115">
        <f>_xll.qlCalendarAdvance(Calendar,Y191,NDays&amp;"D")</f>
        <v>42383</v>
      </c>
      <c r="AA191" s="116">
        <v>2.0760562285747228E-2</v>
      </c>
      <c r="AB191" s="113">
        <v>2.1282937550873848E-2</v>
      </c>
    </row>
    <row r="192" spans="17:28" x14ac:dyDescent="0.2">
      <c r="Q192" s="72"/>
      <c r="T192" s="72"/>
      <c r="U192" s="93"/>
      <c r="X192" s="114" t="str">
        <f t="shared" si="15"/>
        <v>1D</v>
      </c>
      <c r="Y192" s="112">
        <f>_xll.qlCalendarAdvance(Calendar,Y191,X192,"f",FALSE)</f>
        <v>42384</v>
      </c>
      <c r="Z192" s="115">
        <f>_xll.qlCalendarAdvance(Calendar,Y192,NDays&amp;"D")</f>
        <v>42384</v>
      </c>
      <c r="AA192" s="116">
        <v>2.0747180026417528E-2</v>
      </c>
      <c r="AB192" s="113">
        <v>2.1277365732020513E-2</v>
      </c>
    </row>
    <row r="193" spans="17:28" x14ac:dyDescent="0.2">
      <c r="Q193" s="72"/>
      <c r="T193" s="72"/>
      <c r="U193" s="93"/>
      <c r="X193" s="114" t="str">
        <f t="shared" si="15"/>
        <v>1D</v>
      </c>
      <c r="Y193" s="112">
        <f>_xll.qlCalendarAdvance(Calendar,Y192,X193,"f",FALSE)</f>
        <v>42387</v>
      </c>
      <c r="Z193" s="115">
        <f>_xll.qlCalendarAdvance(Calendar,Y193,NDays&amp;"D")</f>
        <v>42387</v>
      </c>
      <c r="AA193" s="116">
        <v>2.0707280378597988E-2</v>
      </c>
      <c r="AB193" s="113">
        <v>2.1268036478779839E-2</v>
      </c>
    </row>
    <row r="194" spans="17:28" x14ac:dyDescent="0.2">
      <c r="Q194" s="72"/>
      <c r="T194" s="72"/>
      <c r="U194" s="93"/>
      <c r="X194" s="114" t="str">
        <f t="shared" si="15"/>
        <v>1D</v>
      </c>
      <c r="Y194" s="112">
        <f>_xll.qlCalendarAdvance(Calendar,Y193,X194,"f",FALSE)</f>
        <v>42388</v>
      </c>
      <c r="Z194" s="115">
        <f>_xll.qlCalendarAdvance(Calendar,Y194,NDays&amp;"D")</f>
        <v>42388</v>
      </c>
      <c r="AA194" s="116">
        <v>2.0694102702472059E-2</v>
      </c>
      <c r="AB194" s="113">
        <v>2.1263353473199853E-2</v>
      </c>
    </row>
    <row r="195" spans="17:28" x14ac:dyDescent="0.2">
      <c r="Q195" s="72"/>
      <c r="T195" s="72"/>
      <c r="U195" s="93"/>
      <c r="X195" s="114" t="str">
        <f t="shared" si="15"/>
        <v>1D</v>
      </c>
      <c r="Y195" s="112">
        <f>_xll.qlCalendarAdvance(Calendar,Y194,X195,"f",FALSE)</f>
        <v>42389</v>
      </c>
      <c r="Z195" s="115">
        <f>_xll.qlCalendarAdvance(Calendar,Y195,NDays&amp;"D")</f>
        <v>42389</v>
      </c>
      <c r="AA195" s="116">
        <v>2.0681006044079048E-2</v>
      </c>
      <c r="AB195" s="113">
        <v>2.1258287372791784E-2</v>
      </c>
    </row>
    <row r="196" spans="17:28" x14ac:dyDescent="0.2">
      <c r="Q196" s="72"/>
      <c r="T196" s="72"/>
      <c r="U196" s="93"/>
      <c r="X196" s="114" t="str">
        <f t="shared" si="15"/>
        <v>1D</v>
      </c>
      <c r="Y196" s="112">
        <f>_xll.qlCalendarAdvance(Calendar,Y195,X196,"f",FALSE)</f>
        <v>42390</v>
      </c>
      <c r="Z196" s="115">
        <f>_xll.qlCalendarAdvance(Calendar,Y196,NDays&amp;"D")</f>
        <v>42390</v>
      </c>
      <c r="AA196" s="116">
        <v>2.0668002351885987E-2</v>
      </c>
      <c r="AB196" s="113">
        <v>2.1252838177312494E-2</v>
      </c>
    </row>
    <row r="197" spans="17:28" x14ac:dyDescent="0.2">
      <c r="Q197" s="72"/>
      <c r="T197" s="72"/>
      <c r="U197" s="93"/>
      <c r="X197" s="114" t="str">
        <f t="shared" si="15"/>
        <v>1D</v>
      </c>
      <c r="Y197" s="112">
        <f>_xll.qlCalendarAdvance(Calendar,Y196,X197,"f",FALSE)</f>
        <v>42391</v>
      </c>
      <c r="Z197" s="115">
        <f>_xll.qlCalendarAdvance(Calendar,Y197,NDays&amp;"D")</f>
        <v>42391</v>
      </c>
      <c r="AA197" s="116">
        <v>2.0655103574212963E-2</v>
      </c>
      <c r="AB197" s="113">
        <v>2.1241898897829868E-2</v>
      </c>
    </row>
    <row r="198" spans="17:28" x14ac:dyDescent="0.2">
      <c r="Q198" s="72"/>
      <c r="T198" s="72"/>
      <c r="U198" s="93"/>
      <c r="X198" s="114" t="str">
        <f t="shared" si="15"/>
        <v>1D</v>
      </c>
      <c r="Y198" s="112">
        <f>_xll.qlCalendarAdvance(Calendar,Y197,X198,"f",FALSE)</f>
        <v>42394</v>
      </c>
      <c r="Z198" s="115">
        <f>_xll.qlCalendarAdvance(Calendar,Y198,NDays&amp;"D")</f>
        <v>42394</v>
      </c>
      <c r="AA198" s="116">
        <v>2.0612747221054543E-2</v>
      </c>
      <c r="AB198" s="113">
        <v>2.1224145149977836E-2</v>
      </c>
    </row>
    <row r="199" spans="17:28" x14ac:dyDescent="0.2">
      <c r="Q199" s="72"/>
      <c r="T199" s="72"/>
      <c r="U199" s="93"/>
      <c r="X199" s="114" t="str">
        <f t="shared" si="15"/>
        <v>1D</v>
      </c>
      <c r="Y199" s="112">
        <f>_xll.qlCalendarAdvance(Calendar,Y198,X199,"f",FALSE)</f>
        <v>42396</v>
      </c>
      <c r="Z199" s="115">
        <f>_xll.qlCalendarAdvance(Calendar,Y199,NDays&amp;"D")</f>
        <v>42396</v>
      </c>
      <c r="AA199" s="116">
        <v>2.0592601584861397E-2</v>
      </c>
      <c r="AB199" s="113">
        <v>2.121209801175028E-2</v>
      </c>
    </row>
    <row r="200" spans="17:28" x14ac:dyDescent="0.2">
      <c r="Q200" s="72"/>
      <c r="T200" s="72"/>
      <c r="U200" s="93"/>
      <c r="X200" s="114" t="str">
        <f t="shared" si="15"/>
        <v>1D</v>
      </c>
      <c r="Y200" s="112">
        <f>_xll.qlCalendarAdvance(Calendar,Y199,X200,"f",FALSE)</f>
        <v>42397</v>
      </c>
      <c r="Z200" s="115">
        <f>_xll.qlCalendarAdvance(Calendar,Y200,NDays&amp;"D")</f>
        <v>42397</v>
      </c>
      <c r="AA200" s="116">
        <v>2.0580583201133314E-2</v>
      </c>
      <c r="AB200" s="113">
        <v>2.1203967152231273E-2</v>
      </c>
    </row>
    <row r="201" spans="17:28" x14ac:dyDescent="0.2">
      <c r="Q201" s="72"/>
      <c r="T201" s="72"/>
      <c r="U201" s="93"/>
      <c r="X201" s="114" t="str">
        <f t="shared" si="15"/>
        <v>1D</v>
      </c>
      <c r="Y201" s="112">
        <f>_xll.qlCalendarAdvance(Calendar,Y200,X201,"f",FALSE)</f>
        <v>42398</v>
      </c>
      <c r="Z201" s="115">
        <f>_xll.qlCalendarAdvance(Calendar,Y201,NDays&amp;"D")</f>
        <v>42398</v>
      </c>
      <c r="AA201" s="116">
        <v>2.0568753366303264E-2</v>
      </c>
      <c r="AB201" s="113">
        <v>2.1187658240754418E-2</v>
      </c>
    </row>
    <row r="202" spans="17:28" x14ac:dyDescent="0.2">
      <c r="Q202" s="72"/>
      <c r="T202" s="72"/>
      <c r="U202" s="93"/>
      <c r="X202" s="114" t="str">
        <f t="shared" si="15"/>
        <v>1D</v>
      </c>
      <c r="Y202" s="112">
        <f>_xll.qlCalendarAdvance(Calendar,Y201,X202,"f",FALSE)</f>
        <v>42401</v>
      </c>
      <c r="Z202" s="115">
        <f>_xll.qlCalendarAdvance(Calendar,Y202,NDays&amp;"D")</f>
        <v>42401</v>
      </c>
      <c r="AA202" s="116">
        <v>2.0534514627348708E-2</v>
      </c>
      <c r="AB202" s="113">
        <v>2.1167612766522792E-2</v>
      </c>
    </row>
    <row r="203" spans="17:28" x14ac:dyDescent="0.2">
      <c r="Q203" s="72"/>
      <c r="T203" s="72"/>
      <c r="U203" s="93"/>
      <c r="X203" s="114" t="str">
        <f t="shared" si="15"/>
        <v>1D</v>
      </c>
      <c r="Y203" s="112">
        <f>_xll.qlCalendarAdvance(Calendar,Y202,X203,"f",FALSE)</f>
        <v>42402</v>
      </c>
      <c r="Z203" s="115">
        <f>_xll.qlCalendarAdvance(Calendar,Y203,NDays&amp;"D")</f>
        <v>42402</v>
      </c>
      <c r="AA203" s="116">
        <v>2.0526289813021084E-2</v>
      </c>
      <c r="AB203" s="113">
        <v>2.115756643334965E-2</v>
      </c>
    </row>
    <row r="204" spans="17:28" x14ac:dyDescent="0.2">
      <c r="Q204" s="72"/>
      <c r="T204" s="72"/>
      <c r="U204" s="93"/>
      <c r="X204" s="114" t="str">
        <f t="shared" si="15"/>
        <v>1D</v>
      </c>
      <c r="Y204" s="112">
        <f>_xll.qlCalendarAdvance(Calendar,Y203,X204,"f",FALSE)</f>
        <v>42403</v>
      </c>
      <c r="Z204" s="115">
        <f>_xll.qlCalendarAdvance(Calendar,Y204,NDays&amp;"D")</f>
        <v>42403</v>
      </c>
      <c r="AA204" s="116">
        <v>2.0515324736708994E-2</v>
      </c>
      <c r="AB204" s="113">
        <v>2.1147137005672612E-2</v>
      </c>
    </row>
    <row r="205" spans="17:28" x14ac:dyDescent="0.2">
      <c r="Q205" s="72"/>
      <c r="T205" s="72"/>
      <c r="U205" s="93"/>
      <c r="X205" s="114" t="str">
        <f t="shared" si="15"/>
        <v>1D</v>
      </c>
      <c r="Y205" s="112">
        <f>_xll.qlCalendarAdvance(Calendar,Y204,X205,"f",FALSE)</f>
        <v>42404</v>
      </c>
      <c r="Z205" s="115">
        <f>_xll.qlCalendarAdvance(Calendar,Y205,NDays&amp;"D")</f>
        <v>42404</v>
      </c>
      <c r="AA205" s="116">
        <v>2.0504614966057353E-2</v>
      </c>
      <c r="AB205" s="113">
        <v>2.113632448316749E-2</v>
      </c>
    </row>
    <row r="206" spans="17:28" x14ac:dyDescent="0.2">
      <c r="Q206" s="72"/>
      <c r="T206" s="72"/>
      <c r="U206" s="93"/>
      <c r="X206" s="114" t="str">
        <f t="shared" si="15"/>
        <v>1D</v>
      </c>
      <c r="Y206" s="112">
        <f>_xll.qlCalendarAdvance(Calendar,Y205,X206,"f",FALSE)</f>
        <v>42405</v>
      </c>
      <c r="Z206" s="115">
        <f>_xll.qlCalendarAdvance(Calendar,Y206,NDays&amp;"D")</f>
        <v>42405</v>
      </c>
      <c r="AA206" s="116">
        <v>2.0494172579885075E-2</v>
      </c>
      <c r="AB206" s="113">
        <v>2.1114643785810443E-2</v>
      </c>
    </row>
    <row r="207" spans="17:28" x14ac:dyDescent="0.2">
      <c r="Q207" s="72"/>
      <c r="T207" s="72"/>
      <c r="U207" s="93"/>
      <c r="X207" s="114" t="str">
        <f t="shared" si="15"/>
        <v>1D</v>
      </c>
      <c r="Y207" s="112">
        <f>_xll.qlCalendarAdvance(Calendar,Y206,X207,"f",FALSE)</f>
        <v>42408</v>
      </c>
      <c r="Z207" s="115">
        <f>_xll.qlCalendarAdvance(Calendar,Y207,NDays&amp;"D")</f>
        <v>42408</v>
      </c>
      <c r="AA207" s="116">
        <v>2.0463453557701669E-2</v>
      </c>
      <c r="AB207" s="113">
        <v>2.1089243448432216E-2</v>
      </c>
    </row>
    <row r="208" spans="17:28" x14ac:dyDescent="0.2">
      <c r="Q208" s="72"/>
      <c r="T208" s="72"/>
      <c r="U208" s="93"/>
      <c r="X208" s="114" t="str">
        <f t="shared" si="15"/>
        <v>1D</v>
      </c>
      <c r="Y208" s="112">
        <f>_xll.qlCalendarAdvance(Calendar,Y207,X208,"f",FALSE)</f>
        <v>42409</v>
      </c>
      <c r="Z208" s="115">
        <f>_xll.qlCalendarAdvance(Calendar,Y208,NDays&amp;"D")</f>
        <v>42409</v>
      </c>
      <c r="AA208" s="116">
        <v>2.0455318453979559E-2</v>
      </c>
      <c r="AB208" s="113">
        <v>2.1076515453488653E-2</v>
      </c>
    </row>
    <row r="209" spans="17:28" x14ac:dyDescent="0.2">
      <c r="Q209" s="72"/>
      <c r="T209" s="72"/>
      <c r="U209" s="93"/>
      <c r="X209" s="114" t="str">
        <f t="shared" si="15"/>
        <v>1D</v>
      </c>
      <c r="Y209" s="112">
        <f>_xll.qlCalendarAdvance(Calendar,Y208,X209,"f",FALSE)</f>
        <v>42410</v>
      </c>
      <c r="Z209" s="115">
        <f>_xll.qlCalendarAdvance(Calendar,Y209,NDays&amp;"D")</f>
        <v>42410</v>
      </c>
      <c r="AA209" s="116">
        <v>2.0446394170224709E-2</v>
      </c>
      <c r="AB209" s="113">
        <v>2.1063404364284333E-2</v>
      </c>
    </row>
    <row r="210" spans="17:28" x14ac:dyDescent="0.2">
      <c r="Q210" s="72"/>
      <c r="T210" s="72"/>
      <c r="U210" s="93"/>
      <c r="X210" s="114" t="str">
        <f t="shared" si="15"/>
        <v>1D</v>
      </c>
      <c r="Y210" s="112">
        <f>_xll.qlCalendarAdvance(Calendar,Y209,X210,"f",FALSE)</f>
        <v>42411</v>
      </c>
      <c r="Z210" s="115">
        <f>_xll.qlCalendarAdvance(Calendar,Y210,NDays&amp;"D")</f>
        <v>42411</v>
      </c>
      <c r="AA210" s="116">
        <v>2.0437809742628064E-2</v>
      </c>
      <c r="AB210" s="113">
        <v>2.1049910180738207E-2</v>
      </c>
    </row>
    <row r="211" spans="17:28" x14ac:dyDescent="0.2">
      <c r="Q211" s="72"/>
      <c r="T211" s="72"/>
      <c r="U211" s="93"/>
      <c r="X211" s="114" t="str">
        <f t="shared" si="15"/>
        <v>1D</v>
      </c>
      <c r="Y211" s="112">
        <f>_xll.qlCalendarAdvance(Calendar,Y210,X211,"f",FALSE)</f>
        <v>42412</v>
      </c>
      <c r="Z211" s="115">
        <f>_xll.qlCalendarAdvance(Calendar,Y211,NDays&amp;"D")</f>
        <v>42412</v>
      </c>
      <c r="AA211" s="116">
        <v>2.0429577249683441E-2</v>
      </c>
      <c r="AB211" s="113">
        <v>2.1022855566875297E-2</v>
      </c>
    </row>
    <row r="212" spans="17:28" x14ac:dyDescent="0.2">
      <c r="Q212" s="72"/>
      <c r="T212" s="72"/>
      <c r="U212" s="93"/>
      <c r="X212" s="114" t="str">
        <f t="shared" si="15"/>
        <v>1D</v>
      </c>
      <c r="Y212" s="112">
        <f>_xll.qlCalendarAdvance(Calendar,Y211,X212,"f",FALSE)</f>
        <v>42415</v>
      </c>
      <c r="Z212" s="115">
        <f>_xll.qlCalendarAdvance(Calendar,Y212,NDays&amp;"D")</f>
        <v>42415</v>
      </c>
      <c r="AA212" s="116">
        <v>2.0405872454265214E-2</v>
      </c>
      <c r="AB212" s="113">
        <v>2.0992102504027166E-2</v>
      </c>
    </row>
    <row r="213" spans="17:28" x14ac:dyDescent="0.2">
      <c r="Q213" s="72"/>
      <c r="T213" s="72"/>
      <c r="U213" s="93"/>
      <c r="X213" s="114" t="str">
        <f t="shared" ref="X213:X276" si="16">X212</f>
        <v>1D</v>
      </c>
      <c r="Y213" s="112">
        <f>_xll.qlCalendarAdvance(Calendar,Y212,X213,"f",FALSE)</f>
        <v>42416</v>
      </c>
      <c r="Z213" s="115">
        <f>_xll.qlCalendarAdvance(Calendar,Y213,NDays&amp;"D")</f>
        <v>42416</v>
      </c>
      <c r="AA213" s="116">
        <v>2.0400320535654735E-2</v>
      </c>
      <c r="AB213" s="113">
        <v>2.0976692849420386E-2</v>
      </c>
    </row>
    <row r="214" spans="17:28" x14ac:dyDescent="0.2">
      <c r="Q214" s="72"/>
      <c r="T214" s="72"/>
      <c r="U214" s="93"/>
      <c r="X214" s="114" t="str">
        <f t="shared" si="16"/>
        <v>1D</v>
      </c>
      <c r="Y214" s="112">
        <f>_xll.qlCalendarAdvance(Calendar,Y213,X214,"f",FALSE)</f>
        <v>42417</v>
      </c>
      <c r="Z214" s="115">
        <f>_xll.qlCalendarAdvance(Calendar,Y214,NDays&amp;"D")</f>
        <v>42417</v>
      </c>
      <c r="AA214" s="116">
        <v>2.0393945344158899E-2</v>
      </c>
      <c r="AB214" s="113">
        <v>2.0960900100795987E-2</v>
      </c>
    </row>
    <row r="215" spans="17:28" x14ac:dyDescent="0.2">
      <c r="Q215" s="72"/>
      <c r="T215" s="72"/>
      <c r="U215" s="93"/>
      <c r="X215" s="114" t="str">
        <f t="shared" si="16"/>
        <v>1D</v>
      </c>
      <c r="Y215" s="112">
        <f>_xll.qlCalendarAdvance(Calendar,Y214,X215,"f",FALSE)</f>
        <v>42418</v>
      </c>
      <c r="Z215" s="115">
        <f>_xll.qlCalendarAdvance(Calendar,Y215,NDays&amp;"D")</f>
        <v>42418</v>
      </c>
      <c r="AA215" s="116">
        <v>2.0387953468894278E-2</v>
      </c>
      <c r="AB215" s="113">
        <v>2.0944724258153968E-2</v>
      </c>
    </row>
    <row r="216" spans="17:28" x14ac:dyDescent="0.2">
      <c r="Q216" s="72"/>
      <c r="T216" s="72"/>
      <c r="U216" s="93"/>
      <c r="X216" s="114" t="str">
        <f t="shared" si="16"/>
        <v>1D</v>
      </c>
      <c r="Y216" s="112">
        <f>_xll.qlCalendarAdvance(Calendar,Y215,X216,"f",FALSE)</f>
        <v>42419</v>
      </c>
      <c r="Z216" s="115">
        <f>_xll.qlCalendarAdvance(Calendar,Y216,NDays&amp;"D")</f>
        <v>42419</v>
      </c>
      <c r="AA216" s="116">
        <v>2.038234877072018E-2</v>
      </c>
      <c r="AB216" s="113">
        <v>2.0912293626363192E-2</v>
      </c>
    </row>
    <row r="217" spans="17:28" x14ac:dyDescent="0.2">
      <c r="Q217" s="72"/>
      <c r="T217" s="72"/>
      <c r="U217" s="93"/>
      <c r="X217" s="114" t="str">
        <f t="shared" si="16"/>
        <v>1D</v>
      </c>
      <c r="Y217" s="112">
        <f>_xll.qlCalendarAdvance(Calendar,Y216,X217,"f",FALSE)</f>
        <v>42422</v>
      </c>
      <c r="Z217" s="115">
        <f>_xll.qlCalendarAdvance(Calendar,Y217,NDays&amp;"D")</f>
        <v>42422</v>
      </c>
      <c r="AA217" s="116">
        <v>2.0370660674079454E-2</v>
      </c>
      <c r="AB217" s="113">
        <v>2.0876189948463297E-2</v>
      </c>
    </row>
    <row r="218" spans="17:28" x14ac:dyDescent="0.2">
      <c r="Q218" s="72"/>
      <c r="T218" s="72"/>
      <c r="U218" s="93"/>
      <c r="X218" s="114" t="str">
        <f t="shared" si="16"/>
        <v>1D</v>
      </c>
      <c r="Y218" s="112">
        <f>_xll.qlCalendarAdvance(Calendar,Y217,X218,"f",FALSE)</f>
        <v>42423</v>
      </c>
      <c r="Z218" s="115">
        <f>_xll.qlCalendarAdvance(Calendar,Y218,NDays&amp;"D")</f>
        <v>42423</v>
      </c>
      <c r="AA218" s="116">
        <v>2.0363878969250848E-2</v>
      </c>
      <c r="AB218" s="113">
        <v>2.0858098636462596E-2</v>
      </c>
    </row>
    <row r="219" spans="17:28" x14ac:dyDescent="0.2">
      <c r="Q219" s="72"/>
      <c r="T219" s="72"/>
      <c r="U219" s="93"/>
      <c r="X219" s="114" t="str">
        <f t="shared" si="16"/>
        <v>1D</v>
      </c>
      <c r="Y219" s="112">
        <f>_xll.qlCalendarAdvance(Calendar,Y218,X219,"f",FALSE)</f>
        <v>42424</v>
      </c>
      <c r="Z219" s="115">
        <f>_xll.qlCalendarAdvance(Calendar,Y219,NDays&amp;"D")</f>
        <v>42424</v>
      </c>
      <c r="AA219" s="116">
        <v>2.0360268072618568E-2</v>
      </c>
      <c r="AB219" s="113">
        <v>2.0839624230849507E-2</v>
      </c>
    </row>
    <row r="220" spans="17:28" x14ac:dyDescent="0.2">
      <c r="Q220" s="72"/>
      <c r="T220" s="72"/>
      <c r="U220" s="93"/>
      <c r="X220" s="114" t="str">
        <f t="shared" si="16"/>
        <v>1D</v>
      </c>
      <c r="Y220" s="112">
        <f>_xll.qlCalendarAdvance(Calendar,Y219,X220,"f",FALSE)</f>
        <v>42425</v>
      </c>
      <c r="Z220" s="115">
        <f>_xll.qlCalendarAdvance(Calendar,Y220,NDays&amp;"D")</f>
        <v>42425</v>
      </c>
      <c r="AA220" s="116">
        <v>2.0357067520210211E-2</v>
      </c>
      <c r="AB220" s="113">
        <v>2.0820766731542983E-2</v>
      </c>
    </row>
    <row r="221" spans="17:28" x14ac:dyDescent="0.2">
      <c r="Q221" s="72"/>
      <c r="T221" s="72"/>
      <c r="U221" s="93"/>
      <c r="X221" s="114" t="str">
        <f t="shared" si="16"/>
        <v>1D</v>
      </c>
      <c r="Y221" s="112">
        <f>_xll.qlCalendarAdvance(Calendar,Y220,X221,"f",FALSE)</f>
        <v>42426</v>
      </c>
      <c r="Z221" s="115">
        <f>_xll.qlCalendarAdvance(Calendar,Y221,NDays&amp;"D")</f>
        <v>42426</v>
      </c>
      <c r="AA221" s="116">
        <v>2.0354281173582081E-2</v>
      </c>
      <c r="AB221" s="113">
        <v>2.0782958015495383E-2</v>
      </c>
    </row>
    <row r="222" spans="17:28" x14ac:dyDescent="0.2">
      <c r="Q222" s="72"/>
      <c r="T222" s="72"/>
      <c r="U222" s="93"/>
      <c r="X222" s="114" t="str">
        <f t="shared" si="16"/>
        <v>1D</v>
      </c>
      <c r="Y222" s="112">
        <f>_xll.qlCalendarAdvance(Calendar,Y221,X222,"f",FALSE)</f>
        <v>42429</v>
      </c>
      <c r="Z222" s="115">
        <f>_xll.qlCalendarAdvance(Calendar,Y222,NDays&amp;"D")</f>
        <v>42429</v>
      </c>
      <c r="AA222" s="116">
        <v>2.0357328585894497E-2</v>
      </c>
      <c r="AB222" s="113">
        <v>2.0741505799408699E-2</v>
      </c>
    </row>
    <row r="223" spans="17:28" x14ac:dyDescent="0.2">
      <c r="Q223" s="72"/>
      <c r="T223" s="72"/>
      <c r="U223" s="93"/>
      <c r="X223" s="114" t="str">
        <f t="shared" si="16"/>
        <v>1D</v>
      </c>
      <c r="Y223" s="112">
        <f>_xll.qlCalendarAdvance(Calendar,Y222,X223,"f",FALSE)</f>
        <v>42430</v>
      </c>
      <c r="Z223" s="115">
        <f>_xll.qlCalendarAdvance(Calendar,Y223,NDays&amp;"D")</f>
        <v>42430</v>
      </c>
      <c r="AA223" s="116">
        <v>2.0356655268991514E-2</v>
      </c>
      <c r="AB223" s="113">
        <v>2.0720732832931743E-2</v>
      </c>
    </row>
    <row r="224" spans="17:28" x14ac:dyDescent="0.2">
      <c r="Q224" s="72"/>
      <c r="T224" s="72"/>
      <c r="U224" s="93"/>
      <c r="X224" s="114" t="str">
        <f t="shared" si="16"/>
        <v>1D</v>
      </c>
      <c r="Y224" s="112">
        <f>_xll.qlCalendarAdvance(Calendar,Y223,X224,"f",FALSE)</f>
        <v>42431</v>
      </c>
      <c r="Z224" s="115">
        <f>_xll.qlCalendarAdvance(Calendar,Y224,NDays&amp;"D")</f>
        <v>42431</v>
      </c>
      <c r="AA224" s="116">
        <v>2.0356405278661279E-2</v>
      </c>
      <c r="AB224" s="113">
        <v>2.0699576773166584E-2</v>
      </c>
    </row>
    <row r="225" spans="17:28" x14ac:dyDescent="0.2">
      <c r="Q225" s="72"/>
      <c r="T225" s="72"/>
      <c r="U225" s="93"/>
      <c r="X225" s="114" t="str">
        <f t="shared" si="16"/>
        <v>1D</v>
      </c>
      <c r="Y225" s="112">
        <f>_xll.qlCalendarAdvance(Calendar,Y224,X225,"f",FALSE)</f>
        <v>42432</v>
      </c>
      <c r="Z225" s="115">
        <f>_xll.qlCalendarAdvance(Calendar,Y225,NDays&amp;"D")</f>
        <v>42432</v>
      </c>
      <c r="AA225" s="116">
        <v>2.035658239379939E-2</v>
      </c>
      <c r="AB225" s="113">
        <v>2.0678037620275314E-2</v>
      </c>
    </row>
    <row r="226" spans="17:28" x14ac:dyDescent="0.2">
      <c r="Q226" s="72"/>
      <c r="T226" s="72"/>
      <c r="U226" s="93"/>
      <c r="X226" s="114" t="str">
        <f t="shared" si="16"/>
        <v>1D</v>
      </c>
      <c r="Y226" s="112">
        <f>_xll.qlCalendarAdvance(Calendar,Y225,X226,"f",FALSE)</f>
        <v>42433</v>
      </c>
      <c r="Z226" s="115">
        <f>_xll.qlCalendarAdvance(Calendar,Y226,NDays&amp;"D")</f>
        <v>42433</v>
      </c>
      <c r="AA226" s="116">
        <v>2.0368049917546201E-2</v>
      </c>
      <c r="AB226" s="113">
        <v>2.0634848794111042E-2</v>
      </c>
    </row>
    <row r="227" spans="17:28" x14ac:dyDescent="0.2">
      <c r="Q227" s="72"/>
      <c r="T227" s="72"/>
      <c r="U227" s="93"/>
      <c r="X227" s="114" t="str">
        <f t="shared" si="16"/>
        <v>1D</v>
      </c>
      <c r="Y227" s="112">
        <f>_xll.qlCalendarAdvance(Calendar,Y226,X227,"f",FALSE)</f>
        <v>42436</v>
      </c>
      <c r="Z227" s="115">
        <f>_xll.qlCalendarAdvance(Calendar,Y227,NDays&amp;"D")</f>
        <v>42436</v>
      </c>
      <c r="AA227" s="116">
        <v>2.0361637491842728E-2</v>
      </c>
      <c r="AB227" s="113">
        <v>2.0588050077935405E-2</v>
      </c>
    </row>
    <row r="228" spans="17:28" x14ac:dyDescent="0.2">
      <c r="Q228" s="72"/>
      <c r="T228" s="72"/>
      <c r="U228" s="93"/>
      <c r="X228" s="114" t="str">
        <f t="shared" si="16"/>
        <v>1D</v>
      </c>
      <c r="Y228" s="112">
        <f>_xll.qlCalendarAdvance(Calendar,Y227,X228,"f",FALSE)</f>
        <v>42437</v>
      </c>
      <c r="Z228" s="115">
        <f>_xll.qlCalendarAdvance(Calendar,Y228,NDays&amp;"D")</f>
        <v>42437</v>
      </c>
      <c r="AA228" s="116">
        <v>2.0364006822705717E-2</v>
      </c>
      <c r="AB228" s="113">
        <v>2.0564595460061952E-2</v>
      </c>
    </row>
    <row r="229" spans="17:28" x14ac:dyDescent="0.2">
      <c r="Q229" s="72"/>
      <c r="T229" s="72"/>
      <c r="U229" s="93"/>
      <c r="X229" s="114" t="str">
        <f t="shared" si="16"/>
        <v>1D</v>
      </c>
      <c r="Y229" s="112">
        <f>_xll.qlCalendarAdvance(Calendar,Y228,X229,"f",FALSE)</f>
        <v>42438</v>
      </c>
      <c r="Z229" s="115">
        <f>_xll.qlCalendarAdvance(Calendar,Y229,NDays&amp;"D")</f>
        <v>42438</v>
      </c>
      <c r="AA229" s="116">
        <v>2.036682593543581E-2</v>
      </c>
      <c r="AB229" s="113">
        <v>2.054075774946762E-2</v>
      </c>
    </row>
    <row r="230" spans="17:28" x14ac:dyDescent="0.2">
      <c r="Q230" s="72"/>
      <c r="T230" s="72"/>
      <c r="U230" s="93"/>
      <c r="X230" s="114" t="str">
        <f t="shared" si="16"/>
        <v>1D</v>
      </c>
      <c r="Y230" s="112">
        <f>_xll.qlCalendarAdvance(Calendar,Y229,X230,"f",FALSE)</f>
        <v>42439</v>
      </c>
      <c r="Z230" s="115">
        <f>_xll.qlCalendarAdvance(Calendar,Y230,NDays&amp;"D")</f>
        <v>42439</v>
      </c>
      <c r="AA230" s="116">
        <v>2.0370098609976042E-2</v>
      </c>
      <c r="AB230" s="113">
        <v>2.0516536946152408E-2</v>
      </c>
    </row>
    <row r="231" spans="17:28" x14ac:dyDescent="0.2">
      <c r="Q231" s="72"/>
      <c r="T231" s="72"/>
      <c r="U231" s="93"/>
      <c r="X231" s="114" t="str">
        <f t="shared" si="16"/>
        <v>1D</v>
      </c>
      <c r="Y231" s="112">
        <f>_xll.qlCalendarAdvance(Calendar,Y230,X231,"f",FALSE)</f>
        <v>42440</v>
      </c>
      <c r="Z231" s="115">
        <f>_xll.qlCalendarAdvance(Calendar,Y231,NDays&amp;"D")</f>
        <v>42440</v>
      </c>
      <c r="AA231" s="116">
        <v>2.0393653599235777E-2</v>
      </c>
      <c r="AB231" s="113">
        <v>2.0469589015777261E-2</v>
      </c>
    </row>
    <row r="232" spans="17:28" x14ac:dyDescent="0.2">
      <c r="Q232" s="72"/>
      <c r="T232" s="72"/>
      <c r="U232" s="93"/>
      <c r="X232" s="114" t="str">
        <f t="shared" si="16"/>
        <v>1D</v>
      </c>
      <c r="Y232" s="112">
        <f>_xll.qlCalendarAdvance(Calendar,Y231,X232,"f",FALSE)</f>
        <v>42443</v>
      </c>
      <c r="Z232" s="115">
        <f>_xll.qlCalendarAdvance(Calendar,Y232,NDays&amp;"D")</f>
        <v>42443</v>
      </c>
      <c r="AA232" s="116">
        <v>2.0387747344547871E-2</v>
      </c>
      <c r="AB232" s="113">
        <v>2.0422494330146757E-2</v>
      </c>
    </row>
    <row r="233" spans="17:28" x14ac:dyDescent="0.2">
      <c r="Q233" s="72"/>
      <c r="T233" s="72"/>
      <c r="U233" s="93"/>
      <c r="X233" s="114" t="str">
        <f t="shared" si="16"/>
        <v>1D</v>
      </c>
      <c r="Y233" s="112">
        <f>_xll.qlCalendarAdvance(Calendar,Y232,X233,"f",FALSE)</f>
        <v>42444</v>
      </c>
      <c r="Z233" s="115">
        <f>_xll.qlCalendarAdvance(Calendar,Y233,NDays&amp;"D")</f>
        <v>42444</v>
      </c>
      <c r="AA233" s="116">
        <v>2.0393271647943013E-2</v>
      </c>
      <c r="AB233" s="113">
        <v>2.0400685537981245E-2</v>
      </c>
    </row>
    <row r="234" spans="17:28" x14ac:dyDescent="0.2">
      <c r="Q234" s="72"/>
      <c r="T234" s="72"/>
      <c r="U234" s="93"/>
      <c r="X234" s="114" t="str">
        <f t="shared" si="16"/>
        <v>1D</v>
      </c>
      <c r="Y234" s="112">
        <f>_xll.qlCalendarAdvance(Calendar,Y233,X234,"f",FALSE)</f>
        <v>42445</v>
      </c>
      <c r="Z234" s="115">
        <f>_xll.qlCalendarAdvance(Calendar,Y234,NDays&amp;"D")</f>
        <v>42445</v>
      </c>
      <c r="AA234" s="116">
        <v>2.0399224919247394E-2</v>
      </c>
      <c r="AB234" s="113">
        <v>2.0379575521418669E-2</v>
      </c>
    </row>
    <row r="235" spans="17:28" x14ac:dyDescent="0.2">
      <c r="Q235" s="72"/>
      <c r="T235" s="72"/>
      <c r="U235" s="93"/>
      <c r="X235" s="114" t="str">
        <f t="shared" si="16"/>
        <v>1D</v>
      </c>
      <c r="Y235" s="112">
        <f>_xll.qlCalendarAdvance(Calendar,Y234,X235,"f",FALSE)</f>
        <v>42446</v>
      </c>
      <c r="Z235" s="115">
        <f>_xll.qlCalendarAdvance(Calendar,Y235,NDays&amp;"D")</f>
        <v>42446</v>
      </c>
      <c r="AA235" s="116">
        <v>2.0405599120140241E-2</v>
      </c>
      <c r="AB235" s="113">
        <v>2.0359164280296937E-2</v>
      </c>
    </row>
    <row r="236" spans="17:28" x14ac:dyDescent="0.2">
      <c r="Q236" s="72"/>
      <c r="T236" s="72"/>
      <c r="U236" s="93"/>
      <c r="X236" s="114" t="str">
        <f t="shared" si="16"/>
        <v>1D</v>
      </c>
      <c r="Y236" s="112">
        <f>_xll.qlCalendarAdvance(Calendar,Y235,X236,"f",FALSE)</f>
        <v>42447</v>
      </c>
      <c r="Z236" s="115">
        <f>_xll.qlCalendarAdvance(Calendar,Y236,NDays&amp;"D")</f>
        <v>42447</v>
      </c>
      <c r="AA236" s="116">
        <v>2.0427337583392189E-2</v>
      </c>
      <c r="AB236" s="113">
        <v>2.0321802384066039E-2</v>
      </c>
    </row>
    <row r="237" spans="17:28" x14ac:dyDescent="0.2">
      <c r="Q237" s="72"/>
      <c r="T237" s="72"/>
      <c r="U237" s="93"/>
      <c r="X237" s="114" t="str">
        <f t="shared" si="16"/>
        <v>1D</v>
      </c>
      <c r="Y237" s="112">
        <f>_xll.qlCalendarAdvance(Calendar,Y236,X237,"f",FALSE)</f>
        <v>42450</v>
      </c>
      <c r="Z237" s="115">
        <f>_xll.qlCalendarAdvance(Calendar,Y237,NDays&amp;"D")</f>
        <v>42450</v>
      </c>
      <c r="AA237" s="116">
        <v>2.0435144455981415E-2</v>
      </c>
      <c r="AB237" s="113">
        <v>2.028450706867857E-2</v>
      </c>
    </row>
    <row r="238" spans="17:28" x14ac:dyDescent="0.2">
      <c r="Q238" s="72"/>
      <c r="T238" s="72"/>
      <c r="U238" s="93"/>
      <c r="X238" s="114" t="str">
        <f t="shared" si="16"/>
        <v>1D</v>
      </c>
      <c r="Y238" s="112">
        <f>_xll.qlCalendarAdvance(Calendar,Y237,X238,"f",FALSE)</f>
        <v>42451</v>
      </c>
      <c r="Z238" s="115">
        <f>_xll.qlCalendarAdvance(Calendar,Y238,NDays&amp;"D")</f>
        <v>42451</v>
      </c>
      <c r="AA238" s="116">
        <v>2.0443502732674295E-2</v>
      </c>
      <c r="AB238" s="113">
        <v>2.0267589703302225E-2</v>
      </c>
    </row>
    <row r="239" spans="17:28" x14ac:dyDescent="0.2">
      <c r="Q239" s="72"/>
      <c r="T239" s="72"/>
      <c r="U239" s="93"/>
      <c r="X239" s="114" t="str">
        <f t="shared" si="16"/>
        <v>1D</v>
      </c>
      <c r="Y239" s="112">
        <f>_xll.qlCalendarAdvance(Calendar,Y238,X239,"f",FALSE)</f>
        <v>42452</v>
      </c>
      <c r="Z239" s="115">
        <f>_xll.qlCalendarAdvance(Calendar,Y239,NDays&amp;"D")</f>
        <v>42452</v>
      </c>
      <c r="AA239" s="116">
        <v>2.0452233710510116E-2</v>
      </c>
      <c r="AB239" s="113">
        <v>2.0251371112880445E-2</v>
      </c>
    </row>
    <row r="240" spans="17:28" x14ac:dyDescent="0.2">
      <c r="Q240" s="72"/>
      <c r="T240" s="72"/>
      <c r="U240" s="93"/>
      <c r="X240" s="114" t="str">
        <f t="shared" si="16"/>
        <v>1D</v>
      </c>
      <c r="Y240" s="112">
        <f>_xll.qlCalendarAdvance(Calendar,Y239,X240,"f",FALSE)</f>
        <v>42453</v>
      </c>
      <c r="Z240" s="115">
        <f>_xll.qlCalendarAdvance(Calendar,Y240,NDays&amp;"D")</f>
        <v>42453</v>
      </c>
      <c r="AA240" s="116">
        <v>2.0461329351585678E-2</v>
      </c>
      <c r="AB240" s="113">
        <v>2.0209844407508282E-2</v>
      </c>
    </row>
    <row r="241" spans="17:28" x14ac:dyDescent="0.2">
      <c r="Q241" s="72"/>
      <c r="T241" s="72"/>
      <c r="U241" s="93"/>
      <c r="X241" s="114" t="str">
        <f t="shared" si="16"/>
        <v>1D</v>
      </c>
      <c r="Y241" s="112">
        <f>_xll.qlCalendarAdvance(Calendar,Y240,X241,"f",FALSE)</f>
        <v>42458</v>
      </c>
      <c r="Z241" s="115">
        <f>_xll.qlCalendarAdvance(Calendar,Y241,NDays&amp;"D")</f>
        <v>42458</v>
      </c>
      <c r="AA241" s="116">
        <v>2.0511996180456397E-2</v>
      </c>
      <c r="AB241" s="113">
        <v>2.0168733837263586E-2</v>
      </c>
    </row>
    <row r="242" spans="17:28" x14ac:dyDescent="0.2">
      <c r="Q242" s="72"/>
      <c r="T242" s="72"/>
      <c r="U242" s="93"/>
      <c r="X242" s="114" t="str">
        <f t="shared" si="16"/>
        <v>1D</v>
      </c>
      <c r="Y242" s="112">
        <f>_xll.qlCalendarAdvance(Calendar,Y241,X242,"f",FALSE)</f>
        <v>42459</v>
      </c>
      <c r="Z242" s="115">
        <f>_xll.qlCalendarAdvance(Calendar,Y242,NDays&amp;"D")</f>
        <v>42459</v>
      </c>
      <c r="AA242" s="116">
        <v>2.0523111006048745E-2</v>
      </c>
      <c r="AB242" s="113">
        <v>2.0157406668362965E-2</v>
      </c>
    </row>
    <row r="243" spans="17:28" x14ac:dyDescent="0.2">
      <c r="Q243" s="72"/>
      <c r="T243" s="72"/>
      <c r="U243" s="93"/>
      <c r="X243" s="114" t="str">
        <f t="shared" si="16"/>
        <v>1D</v>
      </c>
      <c r="Y243" s="112">
        <f>_xll.qlCalendarAdvance(Calendar,Y242,X243,"f",FALSE)</f>
        <v>42460</v>
      </c>
      <c r="Z243" s="115">
        <f>_xll.qlCalendarAdvance(Calendar,Y243,NDays&amp;"D")</f>
        <v>42460</v>
      </c>
      <c r="AA243" s="116">
        <v>2.0525996171056174E-2</v>
      </c>
      <c r="AB243" s="113">
        <v>2.0146778273687493E-2</v>
      </c>
    </row>
    <row r="244" spans="17:28" x14ac:dyDescent="0.2">
      <c r="Q244" s="72"/>
      <c r="T244" s="72"/>
      <c r="U244" s="93"/>
      <c r="X244" s="114" t="str">
        <f t="shared" si="16"/>
        <v>1D</v>
      </c>
      <c r="Y244" s="112">
        <f>_xll.qlCalendarAdvance(Calendar,Y243,X244,"f",FALSE)</f>
        <v>42461</v>
      </c>
      <c r="Z244" s="115">
        <f>_xll.qlCalendarAdvance(Calendar,Y244,NDays&amp;"D")</f>
        <v>42461</v>
      </c>
      <c r="AA244" s="116">
        <v>2.0537661674224297E-2</v>
      </c>
      <c r="AB244" s="113">
        <v>2.0128960698066654E-2</v>
      </c>
    </row>
    <row r="245" spans="17:28" x14ac:dyDescent="0.2">
      <c r="Q245" s="72"/>
      <c r="T245" s="72"/>
      <c r="U245" s="93"/>
      <c r="X245" s="114" t="str">
        <f t="shared" si="16"/>
        <v>1D</v>
      </c>
      <c r="Y245" s="112">
        <f>_xll.qlCalendarAdvance(Calendar,Y244,X245,"f",FALSE)</f>
        <v>42464</v>
      </c>
      <c r="Z245" s="115">
        <f>_xll.qlCalendarAdvance(Calendar,Y245,NDays&amp;"D")</f>
        <v>42464</v>
      </c>
      <c r="AA245" s="116">
        <v>2.0574401243999497E-2</v>
      </c>
      <c r="AB245" s="113">
        <v>2.0111252436102456E-2</v>
      </c>
    </row>
    <row r="246" spans="17:28" x14ac:dyDescent="0.2">
      <c r="Q246" s="72"/>
      <c r="T246" s="72"/>
      <c r="U246" s="93"/>
      <c r="X246" s="114" t="str">
        <f t="shared" si="16"/>
        <v>1D</v>
      </c>
      <c r="Y246" s="112">
        <f>_xll.qlCalendarAdvance(Calendar,Y245,X246,"f",FALSE)</f>
        <v>42465</v>
      </c>
      <c r="Z246" s="115">
        <f>_xll.qlCalendarAdvance(Calendar,Y246,NDays&amp;"D")</f>
        <v>42465</v>
      </c>
      <c r="AA246" s="116">
        <v>2.05872017011429E-2</v>
      </c>
      <c r="AB246" s="113">
        <v>2.0104117911661223E-2</v>
      </c>
    </row>
    <row r="247" spans="17:28" x14ac:dyDescent="0.2">
      <c r="Q247" s="72"/>
      <c r="T247" s="72"/>
      <c r="U247" s="93"/>
      <c r="X247" s="114" t="str">
        <f t="shared" si="16"/>
        <v>1D</v>
      </c>
      <c r="Y247" s="112">
        <f>_xll.qlCalendarAdvance(Calendar,Y246,X247,"f",FALSE)</f>
        <v>42466</v>
      </c>
      <c r="Z247" s="115">
        <f>_xll.qlCalendarAdvance(Calendar,Y247,NDays&amp;"D")</f>
        <v>42466</v>
      </c>
      <c r="AA247" s="116">
        <v>2.0600265582022412E-2</v>
      </c>
      <c r="AB247" s="113">
        <v>2.0097682161283048E-2</v>
      </c>
    </row>
    <row r="248" spans="17:28" x14ac:dyDescent="0.2">
      <c r="Q248" s="72"/>
      <c r="T248" s="72"/>
      <c r="U248" s="93"/>
      <c r="X248" s="114" t="str">
        <f t="shared" si="16"/>
        <v>1D</v>
      </c>
      <c r="Y248" s="112">
        <f>_xll.qlCalendarAdvance(Calendar,Y247,X248,"f",FALSE)</f>
        <v>42467</v>
      </c>
      <c r="Z248" s="115">
        <f>_xll.qlCalendarAdvance(Calendar,Y248,NDays&amp;"D")</f>
        <v>42467</v>
      </c>
      <c r="AA248" s="116">
        <v>2.0613584760633331E-2</v>
      </c>
      <c r="AB248" s="113">
        <v>2.0091945184643745E-2</v>
      </c>
    </row>
    <row r="249" spans="17:28" x14ac:dyDescent="0.2">
      <c r="Q249" s="72"/>
      <c r="T249" s="72"/>
      <c r="U249" s="93"/>
      <c r="X249" s="114" t="str">
        <f t="shared" si="16"/>
        <v>1D</v>
      </c>
      <c r="Y249" s="112">
        <f>_xll.qlCalendarAdvance(Calendar,Y248,X249,"f",FALSE)</f>
        <v>42468</v>
      </c>
      <c r="Z249" s="115">
        <f>_xll.qlCalendarAdvance(Calendar,Y249,NDays&amp;"D")</f>
        <v>42468</v>
      </c>
      <c r="AA249" s="116">
        <v>2.0627151110919294E-2</v>
      </c>
      <c r="AB249" s="113">
        <v>2.0083905480983526E-2</v>
      </c>
    </row>
    <row r="250" spans="17:28" x14ac:dyDescent="0.2">
      <c r="Q250" s="72"/>
      <c r="T250" s="72"/>
      <c r="U250" s="93"/>
      <c r="X250" s="114" t="str">
        <f t="shared" si="16"/>
        <v>1D</v>
      </c>
      <c r="Y250" s="112">
        <f>_xll.qlCalendarAdvance(Calendar,Y249,X250,"f",FALSE)</f>
        <v>42471</v>
      </c>
      <c r="Z250" s="115">
        <f>_xll.qlCalendarAdvance(Calendar,Y250,NDays&amp;"D")</f>
        <v>42471</v>
      </c>
      <c r="AA250" s="116">
        <v>2.066925193026101E-2</v>
      </c>
      <c r="AB250" s="113">
        <v>2.007598501636676E-2</v>
      </c>
    </row>
    <row r="251" spans="17:28" x14ac:dyDescent="0.2">
      <c r="Q251" s="72"/>
      <c r="T251" s="72"/>
      <c r="U251" s="93"/>
      <c r="X251" s="114" t="str">
        <f t="shared" si="16"/>
        <v>1D</v>
      </c>
      <c r="Y251" s="112">
        <f>_xll.qlCalendarAdvance(Calendar,Y250,X251,"f",FALSE)</f>
        <v>42472</v>
      </c>
      <c r="Z251" s="115">
        <f>_xll.qlCalendarAdvance(Calendar,Y251,NDays&amp;"D")</f>
        <v>42472</v>
      </c>
      <c r="AA251" s="116">
        <v>2.0683725705323574E-2</v>
      </c>
      <c r="AB251" s="113">
        <v>2.0073741908664955E-2</v>
      </c>
    </row>
    <row r="252" spans="17:28" x14ac:dyDescent="0.2">
      <c r="Q252" s="72"/>
      <c r="T252" s="72"/>
      <c r="U252" s="93"/>
      <c r="X252" s="114" t="str">
        <f t="shared" si="16"/>
        <v>1D</v>
      </c>
      <c r="Y252" s="112">
        <f>_xll.qlCalendarAdvance(Calendar,Y251,X252,"f",FALSE)</f>
        <v>42473</v>
      </c>
      <c r="Z252" s="115">
        <f>_xll.qlCalendarAdvance(Calendar,Y252,NDays&amp;"D")</f>
        <v>42473</v>
      </c>
      <c r="AA252" s="116">
        <v>2.0698406020726669E-2</v>
      </c>
      <c r="AB252" s="113">
        <v>2.0072197574783068E-2</v>
      </c>
    </row>
    <row r="253" spans="17:28" x14ac:dyDescent="0.2">
      <c r="Q253" s="72"/>
      <c r="T253" s="72"/>
      <c r="U253" s="93"/>
      <c r="X253" s="114" t="str">
        <f t="shared" si="16"/>
        <v>1D</v>
      </c>
      <c r="Y253" s="112">
        <f>_xll.qlCalendarAdvance(Calendar,Y252,X253,"f",FALSE)</f>
        <v>42474</v>
      </c>
      <c r="Z253" s="115">
        <f>_xll.qlCalendarAdvance(Calendar,Y253,NDays&amp;"D")</f>
        <v>42474</v>
      </c>
      <c r="AA253" s="116">
        <v>2.0713284749963284E-2</v>
      </c>
      <c r="AB253" s="113">
        <v>2.0071352014559007E-2</v>
      </c>
    </row>
    <row r="254" spans="17:28" x14ac:dyDescent="0.2">
      <c r="Q254" s="72"/>
      <c r="T254" s="72"/>
      <c r="U254" s="93"/>
      <c r="X254" s="114" t="str">
        <f t="shared" si="16"/>
        <v>1D</v>
      </c>
      <c r="Y254" s="112">
        <f>_xll.qlCalendarAdvance(Calendar,Y253,X254,"f",FALSE)</f>
        <v>42475</v>
      </c>
      <c r="Z254" s="115">
        <f>_xll.qlCalendarAdvance(Calendar,Y254,NDays&amp;"D")</f>
        <v>42475</v>
      </c>
      <c r="AA254" s="116">
        <v>2.0728353766436454E-2</v>
      </c>
      <c r="AB254" s="113">
        <v>2.0073093954131965E-2</v>
      </c>
    </row>
    <row r="255" spans="17:28" x14ac:dyDescent="0.2">
      <c r="Q255" s="72"/>
      <c r="T255" s="72"/>
      <c r="U255" s="93"/>
      <c r="X255" s="114" t="str">
        <f t="shared" si="16"/>
        <v>1D</v>
      </c>
      <c r="Y255" s="112">
        <f>_xll.qlCalendarAdvance(Calendar,Y254,X255,"f",FALSE)</f>
        <v>42478</v>
      </c>
      <c r="Z255" s="115">
        <f>_xll.qlCalendarAdvance(Calendar,Y255,NDays&amp;"D")</f>
        <v>42478</v>
      </c>
      <c r="AA255" s="116">
        <v>2.0774621271883311E-2</v>
      </c>
      <c r="AB255" s="113">
        <v>2.007495751113253E-2</v>
      </c>
    </row>
    <row r="256" spans="17:28" x14ac:dyDescent="0.2">
      <c r="Q256" s="72"/>
      <c r="T256" s="72"/>
      <c r="U256" s="93"/>
      <c r="X256" s="114" t="str">
        <f t="shared" si="16"/>
        <v>1D</v>
      </c>
      <c r="Y256" s="112">
        <f>_xll.qlCalendarAdvance(Calendar,Y255,X256,"f",FALSE)</f>
        <v>42479</v>
      </c>
      <c r="Z256" s="115">
        <f>_xll.qlCalendarAdvance(Calendar,Y256,NDays&amp;"D")</f>
        <v>42479</v>
      </c>
      <c r="AA256" s="116">
        <v>2.0790370169405745E-2</v>
      </c>
      <c r="AB256" s="113">
        <v>2.0077605819521782E-2</v>
      </c>
    </row>
    <row r="257" spans="17:28" x14ac:dyDescent="0.2">
      <c r="Q257" s="72"/>
      <c r="T257" s="72"/>
      <c r="U257" s="93"/>
      <c r="X257" s="114" t="str">
        <f t="shared" si="16"/>
        <v>1D</v>
      </c>
      <c r="Y257" s="112">
        <f>_xll.qlCalendarAdvance(Calendar,Y256,X257,"f",FALSE)</f>
        <v>42480</v>
      </c>
      <c r="Z257" s="115">
        <f>_xll.qlCalendarAdvance(Calendar,Y257,NDays&amp;"D")</f>
        <v>42480</v>
      </c>
      <c r="AA257" s="116">
        <v>2.0806268719702366E-2</v>
      </c>
      <c r="AB257" s="113">
        <v>2.0080952901811999E-2</v>
      </c>
    </row>
    <row r="258" spans="17:28" x14ac:dyDescent="0.2">
      <c r="Q258" s="72"/>
      <c r="T258" s="72"/>
      <c r="U258" s="93"/>
      <c r="X258" s="114" t="str">
        <f t="shared" si="16"/>
        <v>1D</v>
      </c>
      <c r="Y258" s="112">
        <f>_xll.qlCalendarAdvance(Calendar,Y257,X258,"f",FALSE)</f>
        <v>42481</v>
      </c>
      <c r="Z258" s="115">
        <f>_xll.qlCalendarAdvance(Calendar,Y258,NDays&amp;"D")</f>
        <v>42481</v>
      </c>
      <c r="AA258" s="116">
        <v>2.0822308795561684E-2</v>
      </c>
      <c r="AB258" s="113">
        <v>2.0084998757760042E-2</v>
      </c>
    </row>
    <row r="259" spans="17:28" x14ac:dyDescent="0.2">
      <c r="Q259" s="72"/>
      <c r="T259" s="72"/>
      <c r="U259" s="93"/>
      <c r="X259" s="114" t="str">
        <f t="shared" si="16"/>
        <v>1D</v>
      </c>
      <c r="Y259" s="112">
        <f>_xll.qlCalendarAdvance(Calendar,Y258,X259,"f",FALSE)</f>
        <v>42482</v>
      </c>
      <c r="Z259" s="115">
        <f>_xll.qlCalendarAdvance(Calendar,Y259,NDays&amp;"D")</f>
        <v>42482</v>
      </c>
      <c r="AA259" s="116">
        <v>2.0838482269655536E-2</v>
      </c>
      <c r="AB259" s="113">
        <v>2.0100267412768436E-2</v>
      </c>
    </row>
    <row r="260" spans="17:28" x14ac:dyDescent="0.2">
      <c r="Q260" s="72"/>
      <c r="T260" s="72"/>
      <c r="U260" s="93"/>
      <c r="X260" s="114" t="str">
        <f t="shared" si="16"/>
        <v>1D</v>
      </c>
      <c r="Y260" s="112">
        <f>_xll.qlCalendarAdvance(Calendar,Y259,X260,"f",FALSE)</f>
        <v>42486</v>
      </c>
      <c r="Z260" s="115">
        <f>_xll.qlCalendarAdvance(Calendar,Y260,NDays&amp;"D")</f>
        <v>42486</v>
      </c>
      <c r="AA260" s="116">
        <v>2.0904347597719742E-2</v>
      </c>
      <c r="AB260" s="113">
        <v>2.0115709645447399E-2</v>
      </c>
    </row>
    <row r="261" spans="17:28" x14ac:dyDescent="0.2">
      <c r="Q261" s="72"/>
      <c r="T261" s="72"/>
      <c r="U261" s="93"/>
      <c r="X261" s="114" t="str">
        <f t="shared" si="16"/>
        <v>1D</v>
      </c>
      <c r="Y261" s="112">
        <f>_xll.qlCalendarAdvance(Calendar,Y260,X261,"f",FALSE)</f>
        <v>42487</v>
      </c>
      <c r="Z261" s="115">
        <f>_xll.qlCalendarAdvance(Calendar,Y261,NDays&amp;"D")</f>
        <v>42487</v>
      </c>
      <c r="AA261" s="116">
        <v>2.0921066148924222E-2</v>
      </c>
      <c r="AB261" s="113">
        <v>2.0123948144720183E-2</v>
      </c>
    </row>
    <row r="262" spans="17:28" x14ac:dyDescent="0.2">
      <c r="Q262" s="72"/>
      <c r="T262" s="72"/>
      <c r="U262" s="93"/>
      <c r="X262" s="114" t="str">
        <f t="shared" si="16"/>
        <v>1D</v>
      </c>
      <c r="Y262" s="112">
        <f>_xll.qlCalendarAdvance(Calendar,Y261,X262,"f",FALSE)</f>
        <v>42488</v>
      </c>
      <c r="Z262" s="115">
        <f>_xll.qlCalendarAdvance(Calendar,Y262,NDays&amp;"D")</f>
        <v>42488</v>
      </c>
      <c r="AA262" s="116">
        <v>2.0937869331870244E-2</v>
      </c>
      <c r="AB262" s="113">
        <v>2.0132885418056023E-2</v>
      </c>
    </row>
    <row r="263" spans="17:28" x14ac:dyDescent="0.2">
      <c r="Q263" s="72"/>
      <c r="T263" s="72"/>
      <c r="U263" s="93"/>
      <c r="X263" s="114" t="str">
        <f t="shared" si="16"/>
        <v>1D</v>
      </c>
      <c r="Y263" s="112">
        <f>_xll.qlCalendarAdvance(Calendar,Y262,X263,"f",FALSE)</f>
        <v>42489</v>
      </c>
      <c r="Z263" s="115">
        <f>_xll.qlCalendarAdvance(Calendar,Y263,NDays&amp;"D")</f>
        <v>42489</v>
      </c>
      <c r="AA263" s="116">
        <v>2.0954749018366633E-2</v>
      </c>
      <c r="AB263" s="113">
        <v>2.0154201963613248E-2</v>
      </c>
    </row>
    <row r="264" spans="17:28" x14ac:dyDescent="0.2">
      <c r="Q264" s="72"/>
      <c r="T264" s="72"/>
      <c r="U264" s="93"/>
      <c r="X264" s="114" t="str">
        <f t="shared" si="16"/>
        <v>1D</v>
      </c>
      <c r="Y264" s="112">
        <f>_xll.qlCalendarAdvance(Calendar,Y263,X264,"f",FALSE)</f>
        <v>42492</v>
      </c>
      <c r="Z264" s="115">
        <f>_xll.qlCalendarAdvance(Calendar,Y264,NDays&amp;"D")</f>
        <v>42492</v>
      </c>
      <c r="AA264" s="116">
        <v>2.1014810436607179E-2</v>
      </c>
      <c r="AB264" s="113">
        <v>2.0175622252678327E-2</v>
      </c>
    </row>
    <row r="265" spans="17:28" x14ac:dyDescent="0.2">
      <c r="Q265" s="72"/>
      <c r="T265" s="72"/>
      <c r="U265" s="93"/>
      <c r="X265" s="114" t="str">
        <f t="shared" si="16"/>
        <v>1D</v>
      </c>
      <c r="Y265" s="112">
        <f>_xll.qlCalendarAdvance(Calendar,Y264,X265,"f",FALSE)</f>
        <v>42493</v>
      </c>
      <c r="Z265" s="115">
        <f>_xll.qlCalendarAdvance(Calendar,Y265,NDays&amp;"D")</f>
        <v>42493</v>
      </c>
      <c r="AA265" s="116">
        <v>2.1031901173039814E-2</v>
      </c>
      <c r="AB265" s="113">
        <v>2.0188053396977823E-2</v>
      </c>
    </row>
    <row r="266" spans="17:28" x14ac:dyDescent="0.2">
      <c r="Q266" s="72"/>
      <c r="T266" s="72"/>
      <c r="U266" s="93"/>
      <c r="X266" s="114" t="str">
        <f t="shared" si="16"/>
        <v>1D</v>
      </c>
      <c r="Y266" s="112">
        <f>_xll.qlCalendarAdvance(Calendar,Y265,X266,"f",FALSE)</f>
        <v>42494</v>
      </c>
      <c r="Z266" s="115">
        <f>_xll.qlCalendarAdvance(Calendar,Y266,NDays&amp;"D")</f>
        <v>42494</v>
      </c>
      <c r="AA266" s="116">
        <v>2.1049026977555951E-2</v>
      </c>
      <c r="AB266" s="113">
        <v>2.0201183315664561E-2</v>
      </c>
    </row>
    <row r="267" spans="17:28" x14ac:dyDescent="0.2">
      <c r="Q267" s="72"/>
      <c r="T267" s="72"/>
      <c r="U267" s="93"/>
      <c r="X267" s="114" t="str">
        <f t="shared" si="16"/>
        <v>1D</v>
      </c>
      <c r="Y267" s="112">
        <f>_xll.qlCalendarAdvance(Calendar,Y266,X267,"f",FALSE)</f>
        <v>42495</v>
      </c>
      <c r="Z267" s="115">
        <f>_xll.qlCalendarAdvance(Calendar,Y267,NDays&amp;"D")</f>
        <v>42495</v>
      </c>
      <c r="AA267" s="116">
        <v>2.1066179809036072E-2</v>
      </c>
      <c r="AB267" s="113">
        <v>2.0215012008900635E-2</v>
      </c>
    </row>
    <row r="268" spans="17:28" x14ac:dyDescent="0.2">
      <c r="Q268" s="72"/>
      <c r="T268" s="72"/>
      <c r="U268" s="93"/>
      <c r="X268" s="114" t="str">
        <f t="shared" si="16"/>
        <v>1D</v>
      </c>
      <c r="Y268" s="112">
        <f>_xll.qlCalendarAdvance(Calendar,Y267,X268,"f",FALSE)</f>
        <v>42496</v>
      </c>
      <c r="Z268" s="115">
        <f>_xll.qlCalendarAdvance(Calendar,Y268,NDays&amp;"D")</f>
        <v>42496</v>
      </c>
      <c r="AA268" s="116">
        <v>2.1101288463084261E-2</v>
      </c>
      <c r="AB268" s="113">
        <v>2.0246121568430201E-2</v>
      </c>
    </row>
    <row r="269" spans="17:28" x14ac:dyDescent="0.2">
      <c r="Q269" s="72"/>
      <c r="T269" s="72"/>
      <c r="U269" s="93"/>
      <c r="X269" s="114" t="str">
        <f t="shared" si="16"/>
        <v>1D</v>
      </c>
      <c r="Y269" s="112">
        <f>_xll.qlCalendarAdvance(Calendar,Y268,X269,"f",FALSE)</f>
        <v>42499</v>
      </c>
      <c r="Z269" s="115">
        <f>_xll.qlCalendarAdvance(Calendar,Y269,NDays&amp;"D")</f>
        <v>42499</v>
      </c>
      <c r="AA269" s="116">
        <v>2.1134900577349645E-2</v>
      </c>
      <c r="AB269" s="113">
        <v>2.0277314527905599E-2</v>
      </c>
    </row>
    <row r="270" spans="17:28" x14ac:dyDescent="0.2">
      <c r="Q270" s="72"/>
      <c r="T270" s="72"/>
      <c r="U270" s="93"/>
      <c r="X270" s="114" t="str">
        <f t="shared" si="16"/>
        <v>1D</v>
      </c>
      <c r="Y270" s="112">
        <f>_xll.qlCalendarAdvance(Calendar,Y269,X270,"f",FALSE)</f>
        <v>42500</v>
      </c>
      <c r="Z270" s="115">
        <f>_xll.qlCalendarAdvance(Calendar,Y270,NDays&amp;"D")</f>
        <v>42500</v>
      </c>
      <c r="AA270" s="116">
        <v>2.1152067922004861E-2</v>
      </c>
      <c r="AB270" s="113">
        <v>2.0294637094617762E-2</v>
      </c>
    </row>
    <row r="271" spans="17:28" x14ac:dyDescent="0.2">
      <c r="Q271" s="72"/>
      <c r="T271" s="72"/>
      <c r="U271" s="93"/>
      <c r="X271" s="114" t="str">
        <f t="shared" si="16"/>
        <v>1D</v>
      </c>
      <c r="Y271" s="112">
        <f>_xll.qlCalendarAdvance(Calendar,Y270,X271,"f",FALSE)</f>
        <v>42501</v>
      </c>
      <c r="Z271" s="115">
        <f>_xll.qlCalendarAdvance(Calendar,Y271,NDays&amp;"D")</f>
        <v>42501</v>
      </c>
      <c r="AA271" s="116">
        <v>2.1169214043997273E-2</v>
      </c>
      <c r="AB271" s="113">
        <v>2.0312658436527631E-2</v>
      </c>
    </row>
    <row r="272" spans="17:28" x14ac:dyDescent="0.2">
      <c r="Q272" s="72"/>
      <c r="T272" s="72"/>
      <c r="U272" s="93"/>
      <c r="X272" s="114" t="str">
        <f t="shared" si="16"/>
        <v>1D</v>
      </c>
      <c r="Y272" s="112">
        <f>_xll.qlCalendarAdvance(Calendar,Y271,X272,"f",FALSE)</f>
        <v>42502</v>
      </c>
      <c r="Z272" s="115">
        <f>_xll.qlCalendarAdvance(Calendar,Y272,NDays&amp;"D")</f>
        <v>42502</v>
      </c>
      <c r="AA272" s="116">
        <v>2.1186330901239215E-2</v>
      </c>
      <c r="AB272" s="113">
        <v>2.03312558937363E-2</v>
      </c>
    </row>
    <row r="273" spans="17:28" x14ac:dyDescent="0.2">
      <c r="Q273" s="72"/>
      <c r="T273" s="72"/>
      <c r="U273" s="93"/>
      <c r="X273" s="114" t="str">
        <f t="shared" si="16"/>
        <v>1D</v>
      </c>
      <c r="Y273" s="112">
        <f>_xll.qlCalendarAdvance(Calendar,Y272,X273,"f",FALSE)</f>
        <v>42503</v>
      </c>
      <c r="Z273" s="115">
        <f>_xll.qlCalendarAdvance(Calendar,Y273,NDays&amp;"D")</f>
        <v>42503</v>
      </c>
      <c r="AA273" s="116">
        <v>2.1221107482273568E-2</v>
      </c>
      <c r="AB273" s="113">
        <v>2.0369708859610352E-2</v>
      </c>
    </row>
    <row r="274" spans="17:28" x14ac:dyDescent="0.2">
      <c r="Q274" s="72"/>
      <c r="T274" s="72"/>
      <c r="U274" s="93"/>
      <c r="X274" s="114" t="str">
        <f t="shared" si="16"/>
        <v>1D</v>
      </c>
      <c r="Y274" s="112">
        <f>_xll.qlCalendarAdvance(Calendar,Y273,X274,"f",FALSE)</f>
        <v>42506</v>
      </c>
      <c r="Z274" s="115">
        <f>_xll.qlCalendarAdvance(Calendar,Y274,NDays&amp;"D")</f>
        <v>42506</v>
      </c>
      <c r="AA274" s="116">
        <v>2.1254430616942883E-2</v>
      </c>
      <c r="AB274" s="113">
        <v>2.0405764532933635E-2</v>
      </c>
    </row>
    <row r="275" spans="17:28" x14ac:dyDescent="0.2">
      <c r="Q275" s="72"/>
      <c r="T275" s="72"/>
      <c r="U275" s="93"/>
      <c r="X275" s="114" t="str">
        <f t="shared" si="16"/>
        <v>1D</v>
      </c>
      <c r="Y275" s="112">
        <f>_xll.qlCalendarAdvance(Calendar,Y274,X275,"f",FALSE)</f>
        <v>42507</v>
      </c>
      <c r="Z275" s="115">
        <f>_xll.qlCalendarAdvance(Calendar,Y275,NDays&amp;"D")</f>
        <v>42507</v>
      </c>
      <c r="AA275" s="116">
        <v>2.1271362274864321E-2</v>
      </c>
      <c r="AB275" s="113">
        <v>2.0424298735627344E-2</v>
      </c>
    </row>
    <row r="276" spans="17:28" x14ac:dyDescent="0.2">
      <c r="Q276" s="72"/>
      <c r="T276" s="72"/>
      <c r="U276" s="93"/>
      <c r="X276" s="114" t="str">
        <f t="shared" si="16"/>
        <v>1D</v>
      </c>
      <c r="Y276" s="112">
        <f>_xll.qlCalendarAdvance(Calendar,Y275,X276,"f",FALSE)</f>
        <v>42508</v>
      </c>
      <c r="Z276" s="115">
        <f>_xll.qlCalendarAdvance(Calendar,Y276,NDays&amp;"D")</f>
        <v>42508</v>
      </c>
      <c r="AA276" s="116">
        <v>2.1288256623431676E-2</v>
      </c>
      <c r="AB276" s="113">
        <v>2.0442795755422072E-2</v>
      </c>
    </row>
    <row r="277" spans="17:28" x14ac:dyDescent="0.2">
      <c r="Q277" s="72"/>
      <c r="T277" s="72"/>
      <c r="U277" s="93"/>
      <c r="X277" s="114" t="str">
        <f t="shared" ref="X277:X340" si="17">X276</f>
        <v>1D</v>
      </c>
      <c r="Y277" s="112">
        <f>_xll.qlCalendarAdvance(Calendar,Y276,X277,"f",FALSE)</f>
        <v>42509</v>
      </c>
      <c r="Z277" s="115">
        <f>_xll.qlCalendarAdvance(Calendar,Y277,NDays&amp;"D")</f>
        <v>42509</v>
      </c>
      <c r="AA277" s="116">
        <v>2.130511366216924E-2</v>
      </c>
      <c r="AB277" s="113">
        <v>2.0461255592398864E-2</v>
      </c>
    </row>
    <row r="278" spans="17:28" x14ac:dyDescent="0.2">
      <c r="Q278" s="72"/>
      <c r="T278" s="72"/>
      <c r="U278" s="93"/>
      <c r="X278" s="114" t="str">
        <f t="shared" si="17"/>
        <v>1D</v>
      </c>
      <c r="Y278" s="112">
        <f>_xll.qlCalendarAdvance(Calendar,Y277,X278,"f",FALSE)</f>
        <v>42510</v>
      </c>
      <c r="Z278" s="115">
        <f>_xll.qlCalendarAdvance(Calendar,Y278,NDays&amp;"D")</f>
        <v>42510</v>
      </c>
      <c r="AA278" s="116">
        <v>2.1339381651216169E-2</v>
      </c>
      <c r="AB278" s="113">
        <v>2.0499202495570062E-2</v>
      </c>
    </row>
    <row r="279" spans="17:28" x14ac:dyDescent="0.2">
      <c r="Q279" s="72"/>
      <c r="T279" s="72"/>
      <c r="U279" s="93"/>
      <c r="X279" s="114" t="str">
        <f t="shared" si="17"/>
        <v>1D</v>
      </c>
      <c r="Y279" s="112">
        <f>_xll.qlCalendarAdvance(Calendar,Y278,X279,"f",FALSE)</f>
        <v>42513</v>
      </c>
      <c r="Z279" s="115">
        <f>_xll.qlCalendarAdvance(Calendar,Y279,NDays&amp;"D")</f>
        <v>42513</v>
      </c>
      <c r="AA279" s="116">
        <v>2.1372168709369126E-2</v>
      </c>
      <c r="AB279" s="113">
        <v>2.0534723111397257E-2</v>
      </c>
    </row>
    <row r="280" spans="17:28" x14ac:dyDescent="0.2">
      <c r="Q280" s="72"/>
      <c r="T280" s="72"/>
      <c r="U280" s="93"/>
      <c r="X280" s="114" t="str">
        <f t="shared" si="17"/>
        <v>1D</v>
      </c>
      <c r="Y280" s="112">
        <f>_xll.qlCalendarAdvance(Calendar,Y279,X280,"f",FALSE)</f>
        <v>42514</v>
      </c>
      <c r="Z280" s="115">
        <f>_xll.qlCalendarAdvance(Calendar,Y280,NDays&amp;"D")</f>
        <v>42514</v>
      </c>
      <c r="AA280" s="116">
        <v>2.138883919187588E-2</v>
      </c>
      <c r="AB280" s="113">
        <v>2.0552997033960185E-2</v>
      </c>
    </row>
    <row r="281" spans="17:28" x14ac:dyDescent="0.2">
      <c r="Q281" s="72"/>
      <c r="T281" s="72"/>
      <c r="U281" s="93"/>
      <c r="X281" s="114" t="str">
        <f t="shared" si="17"/>
        <v>1D</v>
      </c>
      <c r="Y281" s="112">
        <f>_xll.qlCalendarAdvance(Calendar,Y280,X281,"f",FALSE)</f>
        <v>42515</v>
      </c>
      <c r="Z281" s="115">
        <f>_xll.qlCalendarAdvance(Calendar,Y281,NDays&amp;"D")</f>
        <v>42515</v>
      </c>
      <c r="AA281" s="116">
        <v>2.140547236172767E-2</v>
      </c>
      <c r="AB281" s="113">
        <v>2.0571233773624131E-2</v>
      </c>
    </row>
    <row r="282" spans="17:28" x14ac:dyDescent="0.2">
      <c r="Q282" s="72"/>
      <c r="T282" s="72"/>
      <c r="U282" s="93"/>
      <c r="X282" s="114" t="str">
        <f t="shared" si="17"/>
        <v>1D</v>
      </c>
      <c r="Y282" s="112">
        <f>_xll.qlCalendarAdvance(Calendar,Y281,X282,"f",FALSE)</f>
        <v>42516</v>
      </c>
      <c r="Z282" s="115">
        <f>_xll.qlCalendarAdvance(Calendar,Y282,NDays&amp;"D")</f>
        <v>42516</v>
      </c>
      <c r="AA282" s="116">
        <v>2.1422068218455846E-2</v>
      </c>
      <c r="AB282" s="113">
        <v>2.0589433330308049E-2</v>
      </c>
    </row>
    <row r="283" spans="17:28" x14ac:dyDescent="0.2">
      <c r="Q283" s="72"/>
      <c r="T283" s="72"/>
      <c r="U283" s="93"/>
      <c r="X283" s="114" t="str">
        <f t="shared" si="17"/>
        <v>1D</v>
      </c>
      <c r="Y283" s="112">
        <f>_xll.qlCalendarAdvance(Calendar,Y282,X283,"f",FALSE)</f>
        <v>42517</v>
      </c>
      <c r="Z283" s="115">
        <f>_xll.qlCalendarAdvance(Calendar,Y283,NDays&amp;"D")</f>
        <v>42517</v>
      </c>
      <c r="AA283" s="116">
        <v>2.1455827431379998E-2</v>
      </c>
      <c r="AB283" s="113">
        <v>2.0626874056230985E-2</v>
      </c>
    </row>
    <row r="284" spans="17:28" x14ac:dyDescent="0.2">
      <c r="Q284" s="72"/>
      <c r="T284" s="72"/>
      <c r="U284" s="93"/>
      <c r="X284" s="114" t="str">
        <f t="shared" si="17"/>
        <v>1D</v>
      </c>
      <c r="Y284" s="112">
        <f>_xll.qlCalendarAdvance(Calendar,Y283,X284,"f",FALSE)</f>
        <v>42520</v>
      </c>
      <c r="Z284" s="115">
        <f>_xll.qlCalendarAdvance(Calendar,Y284,NDays&amp;"D")</f>
        <v>42520</v>
      </c>
      <c r="AA284" s="116">
        <v>2.1488078504831427E-2</v>
      </c>
      <c r="AB284" s="113">
        <v>2.06618597280539E-2</v>
      </c>
    </row>
    <row r="285" spans="17:28" x14ac:dyDescent="0.2">
      <c r="Q285" s="72"/>
      <c r="T285" s="72"/>
      <c r="U285" s="93"/>
      <c r="X285" s="114" t="str">
        <f t="shared" si="17"/>
        <v>1D</v>
      </c>
      <c r="Y285" s="112">
        <f>_xll.qlCalendarAdvance(Calendar,Y284,X285,"f",FALSE)</f>
        <v>42521</v>
      </c>
      <c r="Z285" s="115">
        <f>_xll.qlCalendarAdvance(Calendar,Y285,NDays&amp;"D")</f>
        <v>42521</v>
      </c>
      <c r="AA285" s="116">
        <v>2.1504487788971537E-2</v>
      </c>
      <c r="AB285" s="113">
        <v>2.0679873370242907E-2</v>
      </c>
    </row>
    <row r="286" spans="17:28" x14ac:dyDescent="0.2">
      <c r="Q286" s="72"/>
      <c r="T286" s="72"/>
      <c r="U286" s="93"/>
      <c r="X286" s="114" t="str">
        <f t="shared" si="17"/>
        <v>1D</v>
      </c>
      <c r="Y286" s="112">
        <f>_xll.qlCalendarAdvance(Calendar,Y285,X286,"f",FALSE)</f>
        <v>42522</v>
      </c>
      <c r="Z286" s="115">
        <f>_xll.qlCalendarAdvance(Calendar,Y286,NDays&amp;"D")</f>
        <v>42522</v>
      </c>
      <c r="AA286" s="116">
        <v>2.1520859757207786E-2</v>
      </c>
      <c r="AB286" s="113">
        <v>2.0697849829451886E-2</v>
      </c>
    </row>
    <row r="287" spans="17:28" x14ac:dyDescent="0.2">
      <c r="Q287" s="72"/>
      <c r="T287" s="72"/>
      <c r="U287" s="93"/>
      <c r="X287" s="114" t="str">
        <f t="shared" si="17"/>
        <v>1D</v>
      </c>
      <c r="Y287" s="112">
        <f>_xll.qlCalendarAdvance(Calendar,Y286,X287,"f",FALSE)</f>
        <v>42523</v>
      </c>
      <c r="Z287" s="115">
        <f>_xll.qlCalendarAdvance(Calendar,Y287,NDays&amp;"D")</f>
        <v>42523</v>
      </c>
      <c r="AA287" s="116">
        <v>2.1537194409077687E-2</v>
      </c>
      <c r="AB287" s="113">
        <v>2.0715789105680837E-2</v>
      </c>
    </row>
    <row r="288" spans="17:28" x14ac:dyDescent="0.2">
      <c r="Q288" s="72"/>
      <c r="T288" s="72"/>
      <c r="U288" s="93"/>
      <c r="X288" s="114" t="str">
        <f t="shared" si="17"/>
        <v>1D</v>
      </c>
      <c r="Y288" s="112">
        <f>_xll.qlCalendarAdvance(Calendar,Y287,X288,"f",FALSE)</f>
        <v>42524</v>
      </c>
      <c r="Z288" s="115">
        <f>_xll.qlCalendarAdvance(Calendar,Y288,NDays&amp;"D")</f>
        <v>42524</v>
      </c>
      <c r="AA288" s="116">
        <v>2.1570444658957584E-2</v>
      </c>
      <c r="AB288" s="113">
        <v>2.0752723535838829E-2</v>
      </c>
    </row>
    <row r="289" spans="17:28" x14ac:dyDescent="0.2">
      <c r="Q289" s="72"/>
      <c r="T289" s="72"/>
      <c r="U289" s="93"/>
      <c r="X289" s="114" t="str">
        <f t="shared" si="17"/>
        <v>1D</v>
      </c>
      <c r="Y289" s="112">
        <f>_xll.qlCalendarAdvance(Calendar,Y288,X289,"f",FALSE)</f>
        <v>42527</v>
      </c>
      <c r="Z289" s="115">
        <f>_xll.qlCalendarAdvance(Calendar,Y289,NDays&amp;"D")</f>
        <v>42527</v>
      </c>
      <c r="AA289" s="116">
        <v>2.1602159843744372E-2</v>
      </c>
      <c r="AB289" s="113">
        <v>2.0787174381120543E-2</v>
      </c>
    </row>
    <row r="290" spans="17:28" x14ac:dyDescent="0.2">
      <c r="Q290" s="72"/>
      <c r="T290" s="72"/>
      <c r="U290" s="93"/>
      <c r="X290" s="114" t="str">
        <f t="shared" si="17"/>
        <v>1D</v>
      </c>
      <c r="Y290" s="112">
        <f>_xll.qlCalendarAdvance(Calendar,Y289,X290,"f",FALSE)</f>
        <v>42528</v>
      </c>
      <c r="Z290" s="115">
        <f>_xll.qlCalendarAdvance(Calendar,Y290,NDays&amp;"D")</f>
        <v>42528</v>
      </c>
      <c r="AA290" s="116">
        <v>2.1618307906924424E-2</v>
      </c>
      <c r="AB290" s="113">
        <v>2.0804927742530399E-2</v>
      </c>
    </row>
    <row r="291" spans="17:28" x14ac:dyDescent="0.2">
      <c r="Q291" s="72"/>
      <c r="T291" s="72"/>
      <c r="U291" s="93"/>
      <c r="X291" s="114" t="str">
        <f t="shared" si="17"/>
        <v>1D</v>
      </c>
      <c r="Y291" s="112">
        <f>_xll.qlCalendarAdvance(Calendar,Y290,X291,"f",FALSE)</f>
        <v>42529</v>
      </c>
      <c r="Z291" s="115">
        <f>_xll.qlCalendarAdvance(Calendar,Y291,NDays&amp;"D")</f>
        <v>42529</v>
      </c>
      <c r="AA291" s="116">
        <v>2.1634418651002813E-2</v>
      </c>
      <c r="AB291" s="113">
        <v>2.0822643920960227E-2</v>
      </c>
    </row>
    <row r="292" spans="17:28" x14ac:dyDescent="0.2">
      <c r="Q292" s="72"/>
      <c r="T292" s="72"/>
      <c r="U292" s="93"/>
      <c r="X292" s="114" t="str">
        <f t="shared" si="17"/>
        <v>1D</v>
      </c>
      <c r="Y292" s="112">
        <f>_xll.qlCalendarAdvance(Calendar,Y291,X292,"f",FALSE)</f>
        <v>42530</v>
      </c>
      <c r="Z292" s="115">
        <f>_xll.qlCalendarAdvance(Calendar,Y292,NDays&amp;"D")</f>
        <v>42530</v>
      </c>
      <c r="AA292" s="116">
        <v>2.1650492075524098E-2</v>
      </c>
      <c r="AB292" s="113">
        <v>2.0840322916491072E-2</v>
      </c>
    </row>
    <row r="293" spans="17:28" x14ac:dyDescent="0.2">
      <c r="Q293" s="72"/>
      <c r="T293" s="72"/>
      <c r="U293" s="93"/>
      <c r="X293" s="114" t="str">
        <f t="shared" si="17"/>
        <v>1D</v>
      </c>
      <c r="Y293" s="112">
        <f>_xll.qlCalendarAdvance(Calendar,Y292,X293,"f",FALSE)</f>
        <v>42531</v>
      </c>
      <c r="Z293" s="115">
        <f>_xll.qlCalendarAdvance(Calendar,Y293,NDays&amp;"D")</f>
        <v>42531</v>
      </c>
      <c r="AA293" s="116">
        <v>2.1683233172713395E-2</v>
      </c>
      <c r="AB293" s="113">
        <v>2.0886126977637809E-2</v>
      </c>
    </row>
    <row r="294" spans="17:28" x14ac:dyDescent="0.2">
      <c r="Q294" s="72"/>
      <c r="T294" s="72"/>
      <c r="U294" s="93"/>
      <c r="X294" s="114" t="str">
        <f t="shared" si="17"/>
        <v>1D</v>
      </c>
      <c r="Y294" s="112">
        <f>_xll.qlCalendarAdvance(Calendar,Y293,X294,"f",FALSE)</f>
        <v>42535</v>
      </c>
      <c r="Z294" s="115">
        <f>_xll.qlCalendarAdvance(Calendar,Y294,NDays&amp;"D")</f>
        <v>42535</v>
      </c>
      <c r="AA294" s="116">
        <v>2.1730299389021868E-2</v>
      </c>
      <c r="AB294" s="113">
        <v>2.0928160148958597E-2</v>
      </c>
    </row>
    <row r="295" spans="17:28" x14ac:dyDescent="0.2">
      <c r="Q295" s="72"/>
      <c r="T295" s="72"/>
      <c r="U295" s="93"/>
      <c r="X295" s="114" t="str">
        <f t="shared" si="17"/>
        <v>1D</v>
      </c>
      <c r="Y295" s="112">
        <f>_xll.qlCalendarAdvance(Calendar,Y294,X295,"f",FALSE)</f>
        <v>42536</v>
      </c>
      <c r="Z295" s="115">
        <f>_xll.qlCalendarAdvance(Calendar,Y295,NDays&amp;"D")</f>
        <v>42536</v>
      </c>
      <c r="AA295" s="116">
        <v>2.1746148886760384E-2</v>
      </c>
      <c r="AB295" s="113">
        <v>2.094561604644718E-2</v>
      </c>
    </row>
    <row r="296" spans="17:28" x14ac:dyDescent="0.2">
      <c r="Q296" s="72"/>
      <c r="T296" s="72"/>
      <c r="U296" s="93"/>
      <c r="X296" s="114" t="str">
        <f t="shared" si="17"/>
        <v>1D</v>
      </c>
      <c r="Y296" s="112">
        <f>_xll.qlCalendarAdvance(Calendar,Y295,X296,"f",FALSE)</f>
        <v>42537</v>
      </c>
      <c r="Z296" s="115">
        <f>_xll.qlCalendarAdvance(Calendar,Y296,NDays&amp;"D")</f>
        <v>42537</v>
      </c>
      <c r="AA296" s="116">
        <v>2.1761961061802129E-2</v>
      </c>
      <c r="AB296" s="113">
        <v>2.0963034760874688E-2</v>
      </c>
    </row>
    <row r="297" spans="17:28" x14ac:dyDescent="0.2">
      <c r="Q297" s="72"/>
      <c r="T297" s="72"/>
      <c r="U297" s="93"/>
      <c r="X297" s="114" t="str">
        <f t="shared" si="17"/>
        <v>1D</v>
      </c>
      <c r="Y297" s="112">
        <f>_xll.qlCalendarAdvance(Calendar,Y296,X297,"f",FALSE)</f>
        <v>42538</v>
      </c>
      <c r="Z297" s="115">
        <f>_xll.qlCalendarAdvance(Calendar,Y297,NDays&amp;"D")</f>
        <v>42538</v>
      </c>
      <c r="AA297" s="116">
        <v>2.1794192813979502E-2</v>
      </c>
      <c r="AB297" s="113">
        <v>2.0998956229364433E-2</v>
      </c>
    </row>
    <row r="298" spans="17:28" x14ac:dyDescent="0.2">
      <c r="Q298" s="72"/>
      <c r="T298" s="72"/>
      <c r="U298" s="93"/>
      <c r="X298" s="114" t="str">
        <f t="shared" si="17"/>
        <v>1D</v>
      </c>
      <c r="Y298" s="112">
        <f>_xll.qlCalendarAdvance(Calendar,Y297,X298,"f",FALSE)</f>
        <v>42541</v>
      </c>
      <c r="Z298" s="115">
        <f>_xll.qlCalendarAdvance(Calendar,Y298,NDays&amp;"D")</f>
        <v>42541</v>
      </c>
      <c r="AA298" s="116">
        <v>2.1824836526146234E-2</v>
      </c>
      <c r="AB298" s="113">
        <v>2.1032337788460254E-2</v>
      </c>
    </row>
    <row r="299" spans="17:28" x14ac:dyDescent="0.2">
      <c r="Q299" s="72"/>
      <c r="T299" s="72"/>
      <c r="U299" s="93"/>
      <c r="X299" s="114" t="str">
        <f t="shared" si="17"/>
        <v>1D</v>
      </c>
      <c r="Y299" s="112">
        <f>_xll.qlCalendarAdvance(Calendar,Y298,X299,"f",FALSE)</f>
        <v>42542</v>
      </c>
      <c r="Z299" s="115">
        <f>_xll.qlCalendarAdvance(Calendar,Y299,NDays&amp;"D")</f>
        <v>42542</v>
      </c>
      <c r="AA299" s="116">
        <v>2.184046208106627E-2</v>
      </c>
      <c r="AB299" s="113">
        <v>2.1049570587663435E-2</v>
      </c>
    </row>
    <row r="300" spans="17:28" x14ac:dyDescent="0.2">
      <c r="Q300" s="72"/>
      <c r="T300" s="72"/>
      <c r="U300" s="93"/>
      <c r="X300" s="114" t="str">
        <f t="shared" si="17"/>
        <v>1D</v>
      </c>
      <c r="Y300" s="112">
        <f>_xll.qlCalendarAdvance(Calendar,Y299,X300,"f",FALSE)</f>
        <v>42543</v>
      </c>
      <c r="Z300" s="115">
        <f>_xll.qlCalendarAdvance(Calendar,Y300,NDays&amp;"D")</f>
        <v>42543</v>
      </c>
      <c r="AA300" s="116">
        <v>2.1856050310641438E-2</v>
      </c>
      <c r="AB300" s="113">
        <v>2.1066766203967635E-2</v>
      </c>
    </row>
    <row r="301" spans="17:28" x14ac:dyDescent="0.2">
      <c r="Q301" s="72"/>
      <c r="T301" s="72"/>
      <c r="U301" s="93"/>
      <c r="X301" s="114" t="str">
        <f t="shared" si="17"/>
        <v>1D</v>
      </c>
      <c r="Y301" s="112">
        <f>_xll.qlCalendarAdvance(Calendar,Y300,X301,"f",FALSE)</f>
        <v>42544</v>
      </c>
      <c r="Z301" s="115">
        <f>_xll.qlCalendarAdvance(Calendar,Y301,NDays&amp;"D")</f>
        <v>42544</v>
      </c>
      <c r="AA301" s="116">
        <v>2.1871601214433028E-2</v>
      </c>
      <c r="AB301" s="113">
        <v>2.1083924637129714E-2</v>
      </c>
    </row>
    <row r="302" spans="17:28" x14ac:dyDescent="0.2">
      <c r="Q302" s="72"/>
      <c r="T302" s="72"/>
      <c r="U302" s="93"/>
      <c r="X302" s="114" t="str">
        <f t="shared" si="17"/>
        <v>1D</v>
      </c>
      <c r="Y302" s="112">
        <f>_xll.qlCalendarAdvance(Calendar,Y301,X302,"f",FALSE)</f>
        <v>42545</v>
      </c>
      <c r="Z302" s="115">
        <f>_xll.qlCalendarAdvance(Calendar,Y302,NDays&amp;"D")</f>
        <v>42545</v>
      </c>
      <c r="AA302" s="116">
        <v>2.1903323426655595E-2</v>
      </c>
      <c r="AB302" s="113">
        <v>2.1119339432232879E-2</v>
      </c>
    </row>
    <row r="303" spans="17:28" x14ac:dyDescent="0.2">
      <c r="Q303" s="72"/>
      <c r="T303" s="72"/>
      <c r="U303" s="93"/>
      <c r="X303" s="114" t="str">
        <f t="shared" si="17"/>
        <v>1D</v>
      </c>
      <c r="Y303" s="112">
        <f>_xll.qlCalendarAdvance(Calendar,Y302,X303,"f",FALSE)</f>
        <v>42548</v>
      </c>
      <c r="Z303" s="115">
        <f>_xll.qlCalendarAdvance(Calendar,Y303,NDays&amp;"D")</f>
        <v>42548</v>
      </c>
      <c r="AA303" s="116">
        <v>2.1933431563036194E-2</v>
      </c>
      <c r="AB303" s="113">
        <v>2.1152186539167284E-2</v>
      </c>
    </row>
    <row r="304" spans="17:28" x14ac:dyDescent="0.2">
      <c r="Q304" s="72"/>
      <c r="T304" s="72"/>
      <c r="U304" s="93"/>
      <c r="X304" s="114" t="str">
        <f t="shared" si="17"/>
        <v>1D</v>
      </c>
      <c r="Y304" s="112">
        <f>_xll.qlCalendarAdvance(Calendar,Y303,X304,"f",FALSE)</f>
        <v>42549</v>
      </c>
      <c r="Z304" s="115">
        <f>_xll.qlCalendarAdvance(Calendar,Y304,NDays&amp;"D")</f>
        <v>42549</v>
      </c>
      <c r="AA304" s="116">
        <v>2.1948795831375115E-2</v>
      </c>
      <c r="AB304" s="113">
        <v>2.1169159056942943E-2</v>
      </c>
    </row>
    <row r="305" spans="17:28" x14ac:dyDescent="0.2">
      <c r="Q305" s="72"/>
      <c r="T305" s="72"/>
      <c r="U305" s="93"/>
      <c r="X305" s="114" t="str">
        <f t="shared" si="17"/>
        <v>1D</v>
      </c>
      <c r="Y305" s="112">
        <f>_xll.qlCalendarAdvance(Calendar,Y304,X305,"f",FALSE)</f>
        <v>42550</v>
      </c>
      <c r="Z305" s="115">
        <f>_xll.qlCalendarAdvance(Calendar,Y305,NDays&amp;"D")</f>
        <v>42550</v>
      </c>
      <c r="AA305" s="116">
        <v>2.1964122771323764E-2</v>
      </c>
      <c r="AB305" s="113">
        <v>2.1186094391738575E-2</v>
      </c>
    </row>
    <row r="306" spans="17:28" x14ac:dyDescent="0.2">
      <c r="Q306" s="72"/>
      <c r="T306" s="72"/>
      <c r="U306" s="93"/>
      <c r="X306" s="114" t="str">
        <f t="shared" si="17"/>
        <v>1D</v>
      </c>
      <c r="Y306" s="112">
        <f>_xll.qlCalendarAdvance(Calendar,Y305,X306,"f",FALSE)</f>
        <v>42551</v>
      </c>
      <c r="Z306" s="115">
        <f>_xll.qlCalendarAdvance(Calendar,Y306,NDays&amp;"D")</f>
        <v>42551</v>
      </c>
      <c r="AA306" s="116">
        <v>2.1979412382451363E-2</v>
      </c>
      <c r="AB306" s="113">
        <v>2.1202992543311039E-2</v>
      </c>
    </row>
    <row r="307" spans="17:28" x14ac:dyDescent="0.2">
      <c r="Q307" s="72"/>
      <c r="T307" s="72"/>
      <c r="U307" s="93"/>
      <c r="X307" s="114" t="str">
        <f t="shared" si="17"/>
        <v>1D</v>
      </c>
      <c r="Y307" s="112">
        <f>_xll.qlCalendarAdvance(Calendar,Y306,X307,"f",FALSE)</f>
        <v>42552</v>
      </c>
      <c r="Z307" s="115">
        <f>_xll.qlCalendarAdvance(Calendar,Y307,NDays&amp;"D")</f>
        <v>42552</v>
      </c>
      <c r="AA307" s="116">
        <v>2.201858763668953E-2</v>
      </c>
      <c r="AB307" s="113">
        <v>2.1237900531922614E-2</v>
      </c>
    </row>
    <row r="308" spans="17:28" x14ac:dyDescent="0.2">
      <c r="Q308" s="72"/>
      <c r="T308" s="72"/>
      <c r="U308" s="93"/>
      <c r="X308" s="114" t="str">
        <f t="shared" si="17"/>
        <v>1D</v>
      </c>
      <c r="Y308" s="112">
        <f>_xll.qlCalendarAdvance(Calendar,Y307,X308,"f",FALSE)</f>
        <v>42555</v>
      </c>
      <c r="Z308" s="115">
        <f>_xll.qlCalendarAdvance(Calendar,Y308,NDays&amp;"D")</f>
        <v>42555</v>
      </c>
      <c r="AA308" s="116">
        <v>2.2040197530179755E-2</v>
      </c>
      <c r="AB308" s="113">
        <v>2.1270213318828057E-2</v>
      </c>
    </row>
    <row r="309" spans="17:28" x14ac:dyDescent="0.2">
      <c r="Q309" s="72"/>
      <c r="T309" s="72"/>
      <c r="U309" s="93"/>
      <c r="X309" s="114" t="str">
        <f t="shared" si="17"/>
        <v>1D</v>
      </c>
      <c r="Y309" s="112">
        <f>_xll.qlCalendarAdvance(Calendar,Y308,X309,"f",FALSE)</f>
        <v>42556</v>
      </c>
      <c r="Z309" s="115">
        <f>_xll.qlCalendarAdvance(Calendar,Y309,NDays&amp;"D")</f>
        <v>42556</v>
      </c>
      <c r="AA309" s="116">
        <v>2.2055300490780954E-2</v>
      </c>
      <c r="AB309" s="113">
        <v>2.1286925554933056E-2</v>
      </c>
    </row>
    <row r="310" spans="17:28" x14ac:dyDescent="0.2">
      <c r="Q310" s="72"/>
      <c r="T310" s="72"/>
      <c r="U310" s="93"/>
      <c r="X310" s="114" t="str">
        <f t="shared" si="17"/>
        <v>1D</v>
      </c>
      <c r="Y310" s="112">
        <f>_xll.qlCalendarAdvance(Calendar,Y309,X310,"f",FALSE)</f>
        <v>42557</v>
      </c>
      <c r="Z310" s="115">
        <f>_xll.qlCalendarAdvance(Calendar,Y310,NDays&amp;"D")</f>
        <v>42557</v>
      </c>
      <c r="AA310" s="116">
        <v>2.207036611999846E-2</v>
      </c>
      <c r="AB310" s="113">
        <v>2.1303600607895934E-2</v>
      </c>
    </row>
    <row r="311" spans="17:28" x14ac:dyDescent="0.2">
      <c r="Q311" s="72"/>
      <c r="T311" s="72"/>
      <c r="U311" s="93"/>
      <c r="X311" s="114" t="str">
        <f t="shared" si="17"/>
        <v>1D</v>
      </c>
      <c r="Y311" s="112">
        <f>_xll.qlCalendarAdvance(Calendar,Y310,X311,"f",FALSE)</f>
        <v>42558</v>
      </c>
      <c r="Z311" s="115">
        <f>_xll.qlCalendarAdvance(Calendar,Y311,NDays&amp;"D")</f>
        <v>42558</v>
      </c>
      <c r="AA311" s="116">
        <v>2.2085394417410299E-2</v>
      </c>
      <c r="AB311" s="113">
        <v>2.1320238477716691E-2</v>
      </c>
    </row>
    <row r="312" spans="17:28" x14ac:dyDescent="0.2">
      <c r="Q312" s="72"/>
      <c r="T312" s="72"/>
      <c r="U312" s="93"/>
      <c r="X312" s="114" t="str">
        <f t="shared" si="17"/>
        <v>1D</v>
      </c>
      <c r="Y312" s="112">
        <f>_xll.qlCalendarAdvance(Calendar,Y311,X312,"f",FALSE)</f>
        <v>42559</v>
      </c>
      <c r="Z312" s="115">
        <f>_xll.qlCalendarAdvance(Calendar,Y312,NDays&amp;"D")</f>
        <v>42559</v>
      </c>
      <c r="AA312" s="116">
        <v>2.211609695470303E-2</v>
      </c>
      <c r="AB312" s="113">
        <v>2.1354639523111601E-2</v>
      </c>
    </row>
    <row r="313" spans="17:28" x14ac:dyDescent="0.2">
      <c r="Q313" s="72"/>
      <c r="T313" s="72"/>
      <c r="U313" s="93"/>
      <c r="X313" s="114" t="str">
        <f t="shared" si="17"/>
        <v>1D</v>
      </c>
      <c r="Y313" s="112">
        <f>_xll.qlCalendarAdvance(Calendar,Y312,X313,"f",FALSE)</f>
        <v>42562</v>
      </c>
      <c r="Z313" s="115">
        <f>_xll.qlCalendarAdvance(Calendar,Y313,NDays&amp;"D")</f>
        <v>42562</v>
      </c>
      <c r="AA313" s="116">
        <v>2.2145134280565127E-2</v>
      </c>
      <c r="AB313" s="113">
        <v>2.1386418125659556E-2</v>
      </c>
    </row>
    <row r="314" spans="17:28" x14ac:dyDescent="0.2">
      <c r="Q314" s="72"/>
      <c r="T314" s="72"/>
      <c r="U314" s="93"/>
      <c r="X314" s="114" t="str">
        <f t="shared" si="17"/>
        <v>1D</v>
      </c>
      <c r="Y314" s="112">
        <f>_xll.qlCalendarAdvance(Calendar,Y313,X314,"f",FALSE)</f>
        <v>42563</v>
      </c>
      <c r="Z314" s="115">
        <f>_xll.qlCalendarAdvance(Calendar,Y314,NDays&amp;"D")</f>
        <v>42563</v>
      </c>
      <c r="AA314" s="116">
        <v>2.2159975912632312E-2</v>
      </c>
      <c r="AB314" s="113">
        <v>2.1402870079769709E-2</v>
      </c>
    </row>
    <row r="315" spans="17:28" x14ac:dyDescent="0.2">
      <c r="Q315" s="72"/>
      <c r="T315" s="72"/>
      <c r="U315" s="93"/>
      <c r="X315" s="114" t="str">
        <f t="shared" si="17"/>
        <v>1D</v>
      </c>
      <c r="Y315" s="112">
        <f>_xll.qlCalendarAdvance(Calendar,Y314,X315,"f",FALSE)</f>
        <v>42564</v>
      </c>
      <c r="Z315" s="115">
        <f>_xll.qlCalendarAdvance(Calendar,Y315,NDays&amp;"D")</f>
        <v>42564</v>
      </c>
      <c r="AA315" s="116">
        <v>2.2174780210375229E-2</v>
      </c>
      <c r="AB315" s="113">
        <v>2.1419284850737741E-2</v>
      </c>
    </row>
    <row r="316" spans="17:28" x14ac:dyDescent="0.2">
      <c r="Q316" s="72"/>
      <c r="T316" s="72"/>
      <c r="U316" s="93"/>
      <c r="X316" s="114" t="str">
        <f t="shared" si="17"/>
        <v>1D</v>
      </c>
      <c r="Y316" s="112">
        <f>_xll.qlCalendarAdvance(Calendar,Y315,X316,"f",FALSE)</f>
        <v>42565</v>
      </c>
      <c r="Z316" s="115">
        <f>_xll.qlCalendarAdvance(Calendar,Y316,NDays&amp;"D")</f>
        <v>42565</v>
      </c>
      <c r="AA316" s="116">
        <v>2.2189547173377192E-2</v>
      </c>
      <c r="AB316" s="113">
        <v>2.1435662438482606E-2</v>
      </c>
    </row>
    <row r="317" spans="17:28" x14ac:dyDescent="0.2">
      <c r="Q317" s="72"/>
      <c r="T317" s="72"/>
      <c r="U317" s="93"/>
      <c r="X317" s="114" t="str">
        <f t="shared" si="17"/>
        <v>1D</v>
      </c>
      <c r="Y317" s="112">
        <f>_xll.qlCalendarAdvance(Calendar,Y316,X317,"f",FALSE)</f>
        <v>42566</v>
      </c>
      <c r="Z317" s="115">
        <f>_xll.qlCalendarAdvance(Calendar,Y317,NDays&amp;"D")</f>
        <v>42566</v>
      </c>
      <c r="AA317" s="116">
        <v>2.2196528066812857E-2</v>
      </c>
      <c r="AB317" s="113">
        <v>2.1469556400585864E-2</v>
      </c>
    </row>
    <row r="318" spans="17:28" x14ac:dyDescent="0.2">
      <c r="Q318" s="72"/>
      <c r="T318" s="72"/>
      <c r="U318" s="93"/>
      <c r="X318" s="114" t="str">
        <f t="shared" si="17"/>
        <v>1D</v>
      </c>
      <c r="Y318" s="112">
        <f>_xll.qlCalendarAdvance(Calendar,Y317,X318,"f",FALSE)</f>
        <v>42569</v>
      </c>
      <c r="Z318" s="115">
        <f>_xll.qlCalendarAdvance(Calendar,Y318,NDays&amp;"D")</f>
        <v>42569</v>
      </c>
      <c r="AA318" s="116">
        <v>2.224824166969825E-2</v>
      </c>
      <c r="AB318" s="113">
        <v>2.1500800957959809E-2</v>
      </c>
    </row>
    <row r="319" spans="17:28" x14ac:dyDescent="0.2">
      <c r="Q319" s="72"/>
      <c r="T319" s="72"/>
      <c r="U319" s="93"/>
      <c r="X319" s="114" t="str">
        <f t="shared" si="17"/>
        <v>1D</v>
      </c>
      <c r="Y319" s="112">
        <f>_xll.qlCalendarAdvance(Calendar,Y318,X319,"f",FALSE)</f>
        <v>42570</v>
      </c>
      <c r="Z319" s="115">
        <f>_xll.qlCalendarAdvance(Calendar,Y319,NDays&amp;"D")</f>
        <v>42570</v>
      </c>
      <c r="AA319" s="116">
        <v>2.226282195279454E-2</v>
      </c>
      <c r="AB319" s="113">
        <v>2.1516992629831977E-2</v>
      </c>
    </row>
    <row r="320" spans="17:28" x14ac:dyDescent="0.2">
      <c r="Q320" s="72"/>
      <c r="T320" s="72"/>
      <c r="U320" s="93"/>
      <c r="X320" s="114" t="str">
        <f t="shared" si="17"/>
        <v>1D</v>
      </c>
      <c r="Y320" s="112">
        <f>_xll.qlCalendarAdvance(Calendar,Y319,X320,"f",FALSE)</f>
        <v>42571</v>
      </c>
      <c r="Z320" s="115">
        <f>_xll.qlCalendarAdvance(Calendar,Y320,NDays&amp;"D")</f>
        <v>42571</v>
      </c>
      <c r="AA320" s="116">
        <v>2.2277364898677085E-2</v>
      </c>
      <c r="AB320" s="113">
        <v>2.1533147118562024E-2</v>
      </c>
    </row>
    <row r="321" spans="17:28" x14ac:dyDescent="0.2">
      <c r="Q321" s="72"/>
      <c r="T321" s="72"/>
      <c r="U321" s="93"/>
      <c r="X321" s="114" t="str">
        <f t="shared" si="17"/>
        <v>1D</v>
      </c>
      <c r="Y321" s="112">
        <f>_xll.qlCalendarAdvance(Calendar,Y320,X321,"f",FALSE)</f>
        <v>42572</v>
      </c>
      <c r="Z321" s="115">
        <f>_xll.qlCalendarAdvance(Calendar,Y321,NDays&amp;"D")</f>
        <v>42572</v>
      </c>
      <c r="AA321" s="116">
        <v>2.2291870506935371E-2</v>
      </c>
      <c r="AB321" s="113">
        <v>2.1549264424068904E-2</v>
      </c>
    </row>
    <row r="322" spans="17:28" x14ac:dyDescent="0.2">
      <c r="Q322" s="72"/>
      <c r="T322" s="72"/>
      <c r="U322" s="93"/>
      <c r="X322" s="114" t="str">
        <f t="shared" si="17"/>
        <v>1D</v>
      </c>
      <c r="Y322" s="112">
        <f>_xll.qlCalendarAdvance(Calendar,Y321,X322,"f",FALSE)</f>
        <v>42573</v>
      </c>
      <c r="Z322" s="115">
        <f>_xll.qlCalendarAdvance(Calendar,Y322,NDays&amp;"D")</f>
        <v>42573</v>
      </c>
      <c r="AA322" s="116">
        <v>2.2321552559479665E-2</v>
      </c>
      <c r="AB322" s="113">
        <v>2.1582651159104408E-2</v>
      </c>
    </row>
    <row r="323" spans="17:28" x14ac:dyDescent="0.2">
      <c r="Q323" s="72"/>
      <c r="T323" s="72"/>
      <c r="U323" s="93"/>
      <c r="X323" s="114" t="str">
        <f t="shared" si="17"/>
        <v>1D</v>
      </c>
      <c r="Y323" s="112">
        <f>_xll.qlCalendarAdvance(Calendar,Y322,X323,"f",FALSE)</f>
        <v>42576</v>
      </c>
      <c r="Z323" s="115">
        <f>_xll.qlCalendarAdvance(Calendar,Y323,NDays&amp;"D")</f>
        <v>42576</v>
      </c>
      <c r="AA323" s="116">
        <v>2.2349519555601015E-2</v>
      </c>
      <c r="AB323" s="113">
        <v>2.1613361813945797E-2</v>
      </c>
    </row>
    <row r="324" spans="17:28" x14ac:dyDescent="0.2">
      <c r="Q324" s="72"/>
      <c r="T324" s="72"/>
      <c r="U324" s="93"/>
      <c r="X324" s="114" t="str">
        <f t="shared" si="17"/>
        <v>1D</v>
      </c>
      <c r="Y324" s="112">
        <f>_xll.qlCalendarAdvance(Calendar,Y323,X324,"f",FALSE)</f>
        <v>42577</v>
      </c>
      <c r="Z324" s="115">
        <f>_xll.qlCalendarAdvance(Calendar,Y324,NDays&amp;"D")</f>
        <v>42577</v>
      </c>
      <c r="AA324" s="116">
        <v>2.2363838469649833E-2</v>
      </c>
      <c r="AB324" s="113">
        <v>2.1629293203417888E-2</v>
      </c>
    </row>
    <row r="325" spans="17:28" x14ac:dyDescent="0.2">
      <c r="Q325" s="72"/>
      <c r="T325" s="72"/>
      <c r="U325" s="93"/>
      <c r="X325" s="114" t="str">
        <f t="shared" si="17"/>
        <v>1D</v>
      </c>
      <c r="Y325" s="112">
        <f>_xll.qlCalendarAdvance(Calendar,Y324,X325,"f",FALSE)</f>
        <v>42578</v>
      </c>
      <c r="Z325" s="115">
        <f>_xll.qlCalendarAdvance(Calendar,Y325,NDays&amp;"D")</f>
        <v>42578</v>
      </c>
      <c r="AA325" s="116">
        <v>2.2378120043645651E-2</v>
      </c>
      <c r="AB325" s="113">
        <v>2.1645187409585764E-2</v>
      </c>
    </row>
    <row r="326" spans="17:28" x14ac:dyDescent="0.2">
      <c r="Q326" s="72"/>
      <c r="T326" s="72"/>
      <c r="U326" s="93"/>
      <c r="X326" s="114" t="str">
        <f t="shared" si="17"/>
        <v>1D</v>
      </c>
      <c r="Y326" s="112">
        <f>_xll.qlCalendarAdvance(Calendar,Y325,X326,"f",FALSE)</f>
        <v>42579</v>
      </c>
      <c r="Z326" s="115">
        <f>_xll.qlCalendarAdvance(Calendar,Y326,NDays&amp;"D")</f>
        <v>42579</v>
      </c>
      <c r="AA326" s="116">
        <v>2.2392364277186751E-2</v>
      </c>
      <c r="AB326" s="113">
        <v>2.166104443261152E-2</v>
      </c>
    </row>
    <row r="327" spans="17:28" x14ac:dyDescent="0.2">
      <c r="Q327" s="72"/>
      <c r="T327" s="72"/>
      <c r="U327" s="93"/>
      <c r="X327" s="114" t="str">
        <f t="shared" si="17"/>
        <v>1D</v>
      </c>
      <c r="Y327" s="112">
        <f>_xll.qlCalendarAdvance(Calendar,Y326,X327,"f",FALSE)</f>
        <v>42580</v>
      </c>
      <c r="Z327" s="115">
        <f>_xll.qlCalendarAdvance(Calendar,Y327,NDays&amp;"D")</f>
        <v>42580</v>
      </c>
      <c r="AA327" s="116">
        <v>2.2421535777712418E-2</v>
      </c>
      <c r="AB327" s="113">
        <v>2.1702436403850389E-2</v>
      </c>
    </row>
    <row r="328" spans="17:28" x14ac:dyDescent="0.2">
      <c r="Q328" s="72"/>
      <c r="T328" s="72"/>
      <c r="U328" s="93"/>
      <c r="X328" s="114" t="str">
        <f t="shared" si="17"/>
        <v>1D</v>
      </c>
      <c r="Y328" s="112">
        <f>_xll.qlCalendarAdvance(Calendar,Y327,X328,"f",FALSE)</f>
        <v>42584</v>
      </c>
      <c r="Z328" s="115">
        <f>_xll.qlCalendarAdvance(Calendar,Y328,NDays&amp;"D")</f>
        <v>42584</v>
      </c>
      <c r="AA328" s="116">
        <v>2.2463025324096351E-2</v>
      </c>
      <c r="AB328" s="113">
        <v>2.1739771798744423E-2</v>
      </c>
    </row>
    <row r="329" spans="17:28" x14ac:dyDescent="0.2">
      <c r="Q329" s="72"/>
      <c r="T329" s="72"/>
      <c r="U329" s="93"/>
      <c r="X329" s="114" t="str">
        <f t="shared" si="17"/>
        <v>1D</v>
      </c>
      <c r="Y329" s="112">
        <f>_xll.qlCalendarAdvance(Calendar,Y328,X329,"f",FALSE)</f>
        <v>42585</v>
      </c>
      <c r="Z329" s="115">
        <f>_xll.qlCalendarAdvance(Calendar,Y329,NDays&amp;"D")</f>
        <v>42585</v>
      </c>
      <c r="AA329" s="116">
        <v>2.2477045506538496E-2</v>
      </c>
      <c r="AB329" s="113">
        <v>2.1755405722269083E-2</v>
      </c>
    </row>
    <row r="330" spans="17:28" x14ac:dyDescent="0.2">
      <c r="Q330" s="72"/>
      <c r="T330" s="72"/>
      <c r="U330" s="93"/>
      <c r="X330" s="114" t="str">
        <f t="shared" si="17"/>
        <v>1D</v>
      </c>
      <c r="Y330" s="112">
        <f>_xll.qlCalendarAdvance(Calendar,Y329,X330,"f",FALSE)</f>
        <v>42586</v>
      </c>
      <c r="Z330" s="115">
        <f>_xll.qlCalendarAdvance(Calendar,Y330,NDays&amp;"D")</f>
        <v>42586</v>
      </c>
      <c r="AA330" s="116">
        <v>2.2491028345747455E-2</v>
      </c>
      <c r="AB330" s="113">
        <v>2.1771002462408484E-2</v>
      </c>
    </row>
    <row r="331" spans="17:28" x14ac:dyDescent="0.2">
      <c r="Q331" s="72"/>
      <c r="T331" s="72"/>
      <c r="U331" s="93"/>
      <c r="X331" s="114" t="str">
        <f t="shared" si="17"/>
        <v>1D</v>
      </c>
      <c r="Y331" s="112">
        <f>_xll.qlCalendarAdvance(Calendar,Y330,X331,"f",FALSE)</f>
        <v>42587</v>
      </c>
      <c r="Z331" s="115">
        <f>_xll.qlCalendarAdvance(Calendar,Y331,NDays&amp;"D")</f>
        <v>42587</v>
      </c>
      <c r="AA331" s="116">
        <v>2.2519689084754262E-2</v>
      </c>
      <c r="AB331" s="113">
        <v>2.1803374299228889E-2</v>
      </c>
    </row>
    <row r="332" spans="17:28" x14ac:dyDescent="0.2">
      <c r="Q332" s="72"/>
      <c r="T332" s="72"/>
      <c r="U332" s="93"/>
      <c r="X332" s="114" t="str">
        <f t="shared" si="17"/>
        <v>1D</v>
      </c>
      <c r="Y332" s="112">
        <f>_xll.qlCalendarAdvance(Calendar,Y331,X332,"f",FALSE)</f>
        <v>42590</v>
      </c>
      <c r="Z332" s="115">
        <f>_xll.qlCalendarAdvance(Calendar,Y332,NDays&amp;"D")</f>
        <v>42590</v>
      </c>
      <c r="AA332" s="116">
        <v>2.2546586262388105E-2</v>
      </c>
      <c r="AB332" s="113">
        <v>2.1833017590491277E-2</v>
      </c>
    </row>
    <row r="333" spans="17:28" x14ac:dyDescent="0.2">
      <c r="Q333" s="72"/>
      <c r="T333" s="72"/>
      <c r="U333" s="93"/>
      <c r="X333" s="114" t="str">
        <f t="shared" si="17"/>
        <v>1D</v>
      </c>
      <c r="Y333" s="112">
        <f>_xll.qlCalendarAdvance(Calendar,Y332,X333,"f",FALSE)</f>
        <v>42591</v>
      </c>
      <c r="Z333" s="115">
        <f>_xll.qlCalendarAdvance(Calendar,Y333,NDays&amp;"D")</f>
        <v>42591</v>
      </c>
      <c r="AA333" s="116">
        <v>2.256038237954908E-2</v>
      </c>
      <c r="AB333" s="113">
        <v>2.1848428414271703E-2</v>
      </c>
    </row>
    <row r="334" spans="17:28" x14ac:dyDescent="0.2">
      <c r="Q334" s="72"/>
      <c r="T334" s="72"/>
      <c r="U334" s="93"/>
      <c r="X334" s="114" t="str">
        <f t="shared" si="17"/>
        <v>1D</v>
      </c>
      <c r="Y334" s="112">
        <f>_xll.qlCalendarAdvance(Calendar,Y333,X334,"f",FALSE)</f>
        <v>42592</v>
      </c>
      <c r="Z334" s="115">
        <f>_xll.qlCalendarAdvance(Calendar,Y334,NDays&amp;"D")</f>
        <v>42592</v>
      </c>
      <c r="AA334" s="116">
        <v>2.2574141151132689E-2</v>
      </c>
      <c r="AB334" s="113">
        <v>2.1863802054747916E-2</v>
      </c>
    </row>
    <row r="335" spans="17:28" x14ac:dyDescent="0.2">
      <c r="Q335" s="72"/>
      <c r="T335" s="72"/>
      <c r="U335" s="93"/>
      <c r="X335" s="114" t="str">
        <f t="shared" si="17"/>
        <v>1D</v>
      </c>
      <c r="Y335" s="112">
        <f>_xll.qlCalendarAdvance(Calendar,Y334,X335,"f",FALSE)</f>
        <v>42593</v>
      </c>
      <c r="Z335" s="115">
        <f>_xll.qlCalendarAdvance(Calendar,Y335,NDays&amp;"D")</f>
        <v>42593</v>
      </c>
      <c r="AA335" s="116">
        <v>2.258786257675308E-2</v>
      </c>
      <c r="AB335" s="113">
        <v>2.1879138512000962E-2</v>
      </c>
    </row>
    <row r="336" spans="17:28" x14ac:dyDescent="0.2">
      <c r="Q336" s="72"/>
      <c r="T336" s="72"/>
      <c r="U336" s="93"/>
      <c r="X336" s="114" t="str">
        <f t="shared" si="17"/>
        <v>1D</v>
      </c>
      <c r="Y336" s="112">
        <f>_xll.qlCalendarAdvance(Calendar,Y335,X336,"f",FALSE)</f>
        <v>42594</v>
      </c>
      <c r="Z336" s="115">
        <f>_xll.qlCalendarAdvance(Calendar,Y336,NDays&amp;"D")</f>
        <v>42594</v>
      </c>
      <c r="AA336" s="116">
        <v>2.2616012342505785E-2</v>
      </c>
      <c r="AB336" s="113">
        <v>2.1911002670893152E-2</v>
      </c>
    </row>
    <row r="337" spans="17:28" x14ac:dyDescent="0.2">
      <c r="Q337" s="72"/>
      <c r="T337" s="72"/>
      <c r="U337" s="93"/>
      <c r="X337" s="114" t="str">
        <f t="shared" si="17"/>
        <v>1D</v>
      </c>
      <c r="Y337" s="112">
        <f>_xll.qlCalendarAdvance(Calendar,Y336,X337,"f",FALSE)</f>
        <v>42597</v>
      </c>
      <c r="Z337" s="115">
        <f>_xll.qlCalendarAdvance(Calendar,Y337,NDays&amp;"D")</f>
        <v>42597</v>
      </c>
      <c r="AA337" s="116">
        <v>2.2642374811902177E-2</v>
      </c>
      <c r="AB337" s="113">
        <v>2.1940112507727871E-2</v>
      </c>
    </row>
    <row r="338" spans="17:28" x14ac:dyDescent="0.2">
      <c r="Q338" s="72"/>
      <c r="T338" s="72"/>
      <c r="U338" s="93"/>
      <c r="X338" s="114" t="str">
        <f t="shared" si="17"/>
        <v>1D</v>
      </c>
      <c r="Y338" s="112">
        <f>_xll.qlCalendarAdvance(Calendar,Y337,X338,"f",FALSE)</f>
        <v>42598</v>
      </c>
      <c r="Z338" s="115">
        <f>_xll.qlCalendarAdvance(Calendar,Y338,NDays&amp;"D")</f>
        <v>42598</v>
      </c>
      <c r="AA338" s="116">
        <v>2.2655909501941619E-2</v>
      </c>
      <c r="AB338" s="113">
        <v>2.1955263048297757E-2</v>
      </c>
    </row>
    <row r="339" spans="17:28" x14ac:dyDescent="0.2">
      <c r="Q339" s="72"/>
      <c r="T339" s="72"/>
      <c r="U339" s="93"/>
      <c r="X339" s="114" t="str">
        <f t="shared" si="17"/>
        <v>1D</v>
      </c>
      <c r="Y339" s="112">
        <f>_xll.qlCalendarAdvance(Calendar,Y338,X339,"f",FALSE)</f>
        <v>42599</v>
      </c>
      <c r="Z339" s="115">
        <f>_xll.qlCalendarAdvance(Calendar,Y339,NDays&amp;"D")</f>
        <v>42599</v>
      </c>
      <c r="AA339" s="116">
        <v>2.2669406843719476E-2</v>
      </c>
      <c r="AB339" s="113">
        <v>2.1970376405644476E-2</v>
      </c>
    </row>
    <row r="340" spans="17:28" x14ac:dyDescent="0.2">
      <c r="Q340" s="72"/>
      <c r="T340" s="72"/>
      <c r="U340" s="93"/>
      <c r="X340" s="114" t="str">
        <f t="shared" si="17"/>
        <v>1D</v>
      </c>
      <c r="Y340" s="112">
        <f>_xll.qlCalendarAdvance(Calendar,Y339,X340,"f",FALSE)</f>
        <v>42600</v>
      </c>
      <c r="Z340" s="115">
        <f>_xll.qlCalendarAdvance(Calendar,Y340,NDays&amp;"D")</f>
        <v>42600</v>
      </c>
      <c r="AA340" s="116">
        <v>2.2682866836856948E-2</v>
      </c>
      <c r="AB340" s="113">
        <v>2.1985452579605935E-2</v>
      </c>
    </row>
    <row r="341" spans="17:28" x14ac:dyDescent="0.2">
      <c r="Q341" s="72"/>
      <c r="T341" s="72"/>
      <c r="U341" s="93"/>
      <c r="X341" s="114" t="str">
        <f t="shared" ref="X341:X404" si="18">X340</f>
        <v>1D</v>
      </c>
      <c r="Y341" s="112">
        <f>_xll.qlCalendarAdvance(Calendar,Y340,X341,"f",FALSE)</f>
        <v>42601</v>
      </c>
      <c r="Z341" s="115">
        <f>_xll.qlCalendarAdvance(Calendar,Y341,NDays&amp;"D")</f>
        <v>42601</v>
      </c>
      <c r="AA341" s="116">
        <v>2.2710505415440358E-2</v>
      </c>
      <c r="AB341" s="113">
        <v>2.2016808903826405E-2</v>
      </c>
    </row>
    <row r="342" spans="17:28" x14ac:dyDescent="0.2">
      <c r="Q342" s="72"/>
      <c r="T342" s="72"/>
      <c r="U342" s="93"/>
      <c r="X342" s="114" t="str">
        <f t="shared" si="18"/>
        <v>1D</v>
      </c>
      <c r="Y342" s="112">
        <f>_xll.qlCalendarAdvance(Calendar,Y341,X342,"f",FALSE)</f>
        <v>42604</v>
      </c>
      <c r="Z342" s="115">
        <f>_xll.qlCalendarAdvance(Calendar,Y342,NDays&amp;"D")</f>
        <v>42604</v>
      </c>
      <c r="AA342" s="116">
        <v>2.2736333315446257E-2</v>
      </c>
      <c r="AB342" s="113">
        <v>2.2045385442085452E-2</v>
      </c>
    </row>
    <row r="343" spans="17:28" x14ac:dyDescent="0.2">
      <c r="Q343" s="72"/>
      <c r="T343" s="72"/>
      <c r="U343" s="93"/>
      <c r="X343" s="114" t="str">
        <f t="shared" si="18"/>
        <v>1D</v>
      </c>
      <c r="Y343" s="112">
        <f>_xll.qlCalendarAdvance(Calendar,Y342,X343,"f",FALSE)</f>
        <v>42605</v>
      </c>
      <c r="Z343" s="115">
        <f>_xll.qlCalendarAdvance(Calendar,Y343,NDays&amp;"D")</f>
        <v>42605</v>
      </c>
      <c r="AA343" s="116">
        <v>2.2749606559726163E-2</v>
      </c>
      <c r="AB343" s="113">
        <v>2.2060275699363752E-2</v>
      </c>
    </row>
    <row r="344" spans="17:28" x14ac:dyDescent="0.2">
      <c r="Q344" s="72"/>
      <c r="T344" s="72"/>
      <c r="U344" s="93"/>
      <c r="X344" s="114" t="str">
        <f t="shared" si="18"/>
        <v>1D</v>
      </c>
      <c r="Y344" s="112">
        <f>_xll.qlCalendarAdvance(Calendar,Y343,X344,"f",FALSE)</f>
        <v>42606</v>
      </c>
      <c r="Z344" s="115">
        <f>_xll.qlCalendarAdvance(Calendar,Y344,NDays&amp;"D")</f>
        <v>42606</v>
      </c>
      <c r="AA344" s="116">
        <v>2.2762842453110482E-2</v>
      </c>
      <c r="AB344" s="113">
        <v>2.2075128773175745E-2</v>
      </c>
    </row>
    <row r="345" spans="17:28" x14ac:dyDescent="0.2">
      <c r="Q345" s="72"/>
      <c r="T345" s="72"/>
      <c r="U345" s="93"/>
      <c r="X345" s="114" t="str">
        <f t="shared" si="18"/>
        <v>1D</v>
      </c>
      <c r="Y345" s="112">
        <f>_xll.qlCalendarAdvance(Calendar,Y344,X345,"f",FALSE)</f>
        <v>42607</v>
      </c>
      <c r="Z345" s="115">
        <f>_xll.qlCalendarAdvance(Calendar,Y345,NDays&amp;"D")</f>
        <v>42607</v>
      </c>
      <c r="AA345" s="116">
        <v>2.2776040995228338E-2</v>
      </c>
      <c r="AB345" s="113">
        <v>2.2089944663683525E-2</v>
      </c>
    </row>
    <row r="346" spans="17:28" x14ac:dyDescent="0.2">
      <c r="Q346" s="72"/>
      <c r="T346" s="72"/>
      <c r="U346" s="93"/>
      <c r="X346" s="114" t="str">
        <f t="shared" si="18"/>
        <v>1D</v>
      </c>
      <c r="Y346" s="112">
        <f>_xll.qlCalendarAdvance(Calendar,Y345,X346,"f",FALSE)</f>
        <v>42608</v>
      </c>
      <c r="Z346" s="115">
        <f>_xll.qlCalendarAdvance(Calendar,Y346,NDays&amp;"D")</f>
        <v>42608</v>
      </c>
      <c r="AA346" s="116">
        <v>2.2803168170605004E-2</v>
      </c>
      <c r="AB346" s="113">
        <v>2.2120792993273929E-2</v>
      </c>
    </row>
    <row r="347" spans="17:28" x14ac:dyDescent="0.2">
      <c r="Q347" s="72"/>
      <c r="T347" s="72"/>
      <c r="U347" s="93"/>
      <c r="X347" s="114" t="str">
        <f t="shared" si="18"/>
        <v>1D</v>
      </c>
      <c r="Y347" s="112">
        <f>_xll.qlCalendarAdvance(Calendar,Y346,X347,"f",FALSE)</f>
        <v>42611</v>
      </c>
      <c r="Z347" s="115">
        <f>_xll.qlCalendarAdvance(Calendar,Y347,NDays&amp;"D")</f>
        <v>42611</v>
      </c>
      <c r="AA347" s="116">
        <v>2.2828461643629075E-2</v>
      </c>
      <c r="AB347" s="113">
        <v>2.214883639202414E-2</v>
      </c>
    </row>
    <row r="348" spans="17:28" x14ac:dyDescent="0.2">
      <c r="Q348" s="72"/>
      <c r="T348" s="72"/>
      <c r="U348" s="93"/>
      <c r="X348" s="114" t="str">
        <f t="shared" si="18"/>
        <v>1D</v>
      </c>
      <c r="Y348" s="112">
        <f>_xll.qlCalendarAdvance(Calendar,Y347,X348,"f",FALSE)</f>
        <v>42612</v>
      </c>
      <c r="Z348" s="115">
        <f>_xll.qlCalendarAdvance(Calendar,Y348,NDays&amp;"D")</f>
        <v>42612</v>
      </c>
      <c r="AA348" s="116">
        <v>2.2841473423869104E-2</v>
      </c>
      <c r="AB348" s="113">
        <v>2.2163466365605622E-2</v>
      </c>
    </row>
    <row r="349" spans="17:28" x14ac:dyDescent="0.2">
      <c r="Q349" s="72"/>
      <c r="T349" s="72"/>
      <c r="U349" s="93"/>
      <c r="X349" s="114" t="str">
        <f t="shared" si="18"/>
        <v>1D</v>
      </c>
      <c r="Y349" s="112">
        <f>_xll.qlCalendarAdvance(Calendar,Y348,X349,"f",FALSE)</f>
        <v>42613</v>
      </c>
      <c r="Z349" s="115">
        <f>_xll.qlCalendarAdvance(Calendar,Y349,NDays&amp;"D")</f>
        <v>42613</v>
      </c>
      <c r="AA349" s="116">
        <v>2.2847536706742801E-2</v>
      </c>
      <c r="AB349" s="113">
        <v>2.217805915588289E-2</v>
      </c>
    </row>
    <row r="350" spans="17:28" x14ac:dyDescent="0.2">
      <c r="Q350" s="72"/>
      <c r="T350" s="72"/>
      <c r="U350" s="93"/>
      <c r="X350" s="114" t="str">
        <f t="shared" si="18"/>
        <v>1D</v>
      </c>
      <c r="Y350" s="112">
        <f>_xll.qlCalendarAdvance(Calendar,Y349,X350,"f",FALSE)</f>
        <v>42614</v>
      </c>
      <c r="Z350" s="115">
        <f>_xll.qlCalendarAdvance(Calendar,Y350,NDays&amp;"D")</f>
        <v>42614</v>
      </c>
      <c r="AA350" s="116">
        <v>2.286049164867706E-2</v>
      </c>
      <c r="AB350" s="113">
        <v>2.2192614762693852E-2</v>
      </c>
    </row>
    <row r="351" spans="17:28" x14ac:dyDescent="0.2">
      <c r="Q351" s="72"/>
      <c r="T351" s="72"/>
      <c r="U351" s="93"/>
      <c r="X351" s="114" t="str">
        <f t="shared" si="18"/>
        <v>1D</v>
      </c>
      <c r="Y351" s="112">
        <f>_xll.qlCalendarAdvance(Calendar,Y350,X351,"f",FALSE)</f>
        <v>42615</v>
      </c>
      <c r="Z351" s="115">
        <f>_xll.qlCalendarAdvance(Calendar,Y351,NDays&amp;"D")</f>
        <v>42615</v>
      </c>
      <c r="AA351" s="116">
        <v>2.287340923846188E-2</v>
      </c>
      <c r="AB351" s="113">
        <v>2.2222954934535043E-2</v>
      </c>
    </row>
    <row r="352" spans="17:28" x14ac:dyDescent="0.2">
      <c r="Q352" s="72"/>
      <c r="T352" s="72"/>
      <c r="U352" s="93"/>
      <c r="X352" s="114" t="str">
        <f t="shared" si="18"/>
        <v>1D</v>
      </c>
      <c r="Y352" s="112">
        <f>_xll.qlCalendarAdvance(Calendar,Y351,X352,"f",FALSE)</f>
        <v>42618</v>
      </c>
      <c r="Z352" s="115">
        <f>_xll.qlCalendarAdvance(Calendar,Y352,NDays&amp;"D")</f>
        <v>42618</v>
      </c>
      <c r="AA352" s="116">
        <v>2.2911937891338489E-2</v>
      </c>
      <c r="AB352" s="113">
        <v>2.2250465356004057E-2</v>
      </c>
    </row>
    <row r="353" spans="17:28" x14ac:dyDescent="0.2">
      <c r="Q353" s="72"/>
      <c r="T353" s="72"/>
      <c r="U353" s="93"/>
      <c r="X353" s="114" t="str">
        <f t="shared" si="18"/>
        <v>1D</v>
      </c>
      <c r="Y353" s="112">
        <f>_xll.qlCalendarAdvance(Calendar,Y352,X353,"f",FALSE)</f>
        <v>42619</v>
      </c>
      <c r="Z353" s="115">
        <f>_xll.qlCalendarAdvance(Calendar,Y353,NDays&amp;"D")</f>
        <v>42619</v>
      </c>
      <c r="AA353" s="116">
        <v>2.2924706068947025E-2</v>
      </c>
      <c r="AB353" s="113">
        <v>2.2264835045726628E-2</v>
      </c>
    </row>
    <row r="354" spans="17:28" x14ac:dyDescent="0.2">
      <c r="Q354" s="72"/>
      <c r="T354" s="72"/>
      <c r="U354" s="93"/>
      <c r="X354" s="114" t="str">
        <f t="shared" si="18"/>
        <v>1D</v>
      </c>
      <c r="Y354" s="112">
        <f>_xll.qlCalendarAdvance(Calendar,Y353,X354,"f",FALSE)</f>
        <v>42620</v>
      </c>
      <c r="Z354" s="115">
        <f>_xll.qlCalendarAdvance(Calendar,Y354,NDays&amp;"D")</f>
        <v>42620</v>
      </c>
      <c r="AA354" s="116">
        <v>2.2937436892621316E-2</v>
      </c>
      <c r="AB354" s="113">
        <v>2.2279167552063939E-2</v>
      </c>
    </row>
    <row r="355" spans="17:28" x14ac:dyDescent="0.2">
      <c r="Q355" s="72"/>
      <c r="T355" s="72"/>
      <c r="U355" s="93"/>
      <c r="X355" s="114" t="str">
        <f t="shared" si="18"/>
        <v>1D</v>
      </c>
      <c r="Y355" s="112">
        <f>_xll.qlCalendarAdvance(Calendar,Y354,X355,"f",FALSE)</f>
        <v>42621</v>
      </c>
      <c r="Z355" s="115">
        <f>_xll.qlCalendarAdvance(Calendar,Y355,NDays&amp;"D")</f>
        <v>42621</v>
      </c>
      <c r="AA355" s="116">
        <v>2.2950130362007787E-2</v>
      </c>
      <c r="AB355" s="113">
        <v>2.2293462875097037E-2</v>
      </c>
    </row>
    <row r="356" spans="17:28" x14ac:dyDescent="0.2">
      <c r="Q356" s="72"/>
      <c r="T356" s="72"/>
      <c r="U356" s="93"/>
      <c r="X356" s="114" t="str">
        <f t="shared" si="18"/>
        <v>1D</v>
      </c>
      <c r="Y356" s="112">
        <f>_xll.qlCalendarAdvance(Calendar,Y355,X356,"f",FALSE)</f>
        <v>42622</v>
      </c>
      <c r="Z356" s="115">
        <f>_xll.qlCalendarAdvance(Calendar,Y356,NDays&amp;"D")</f>
        <v>42622</v>
      </c>
      <c r="AA356" s="116">
        <v>2.2962786476753757E-2</v>
      </c>
      <c r="AB356" s="113">
        <v>2.2323294723071156E-2</v>
      </c>
    </row>
    <row r="357" spans="17:28" x14ac:dyDescent="0.2">
      <c r="Q357" s="72"/>
      <c r="T357" s="72"/>
      <c r="U357" s="93"/>
      <c r="X357" s="114" t="str">
        <f t="shared" si="18"/>
        <v>1D</v>
      </c>
      <c r="Y357" s="112">
        <f>_xll.qlCalendarAdvance(Calendar,Y356,X357,"f",FALSE)</f>
        <v>42625</v>
      </c>
      <c r="Z357" s="115">
        <f>_xll.qlCalendarAdvance(Calendar,Y357,NDays&amp;"D")</f>
        <v>42625</v>
      </c>
      <c r="AA357" s="116">
        <v>2.3000530689630694E-2</v>
      </c>
      <c r="AB357" s="113">
        <v>2.2350272332485321E-2</v>
      </c>
    </row>
    <row r="358" spans="17:28" x14ac:dyDescent="0.2">
      <c r="Q358" s="72"/>
      <c r="T358" s="72"/>
      <c r="U358" s="93"/>
      <c r="X358" s="114" t="str">
        <f t="shared" si="18"/>
        <v>1D</v>
      </c>
      <c r="Y358" s="112">
        <f>_xll.qlCalendarAdvance(Calendar,Y357,X358,"f",FALSE)</f>
        <v>42626</v>
      </c>
      <c r="Z358" s="115">
        <f>_xll.qlCalendarAdvance(Calendar,Y358,NDays&amp;"D")</f>
        <v>42626</v>
      </c>
      <c r="AA358" s="116">
        <v>2.3013037382304719E-2</v>
      </c>
      <c r="AB358" s="113">
        <v>2.2364381738186889E-2</v>
      </c>
    </row>
    <row r="359" spans="17:28" x14ac:dyDescent="0.2">
      <c r="Q359" s="72"/>
      <c r="T359" s="72"/>
      <c r="U359" s="93"/>
      <c r="X359" s="114" t="str">
        <f t="shared" si="18"/>
        <v>1D</v>
      </c>
      <c r="Y359" s="112">
        <f>_xll.qlCalendarAdvance(Calendar,Y358,X359,"f",FALSE)</f>
        <v>42627</v>
      </c>
      <c r="Z359" s="115">
        <f>_xll.qlCalendarAdvance(Calendar,Y359,NDays&amp;"D")</f>
        <v>42627</v>
      </c>
      <c r="AA359" s="116">
        <v>2.3025506718589064E-2</v>
      </c>
      <c r="AB359" s="113">
        <v>2.2378453960422151E-2</v>
      </c>
    </row>
    <row r="360" spans="17:28" x14ac:dyDescent="0.2">
      <c r="Q360" s="72"/>
      <c r="T360" s="72"/>
      <c r="U360" s="93"/>
      <c r="X360" s="114" t="str">
        <f t="shared" si="18"/>
        <v>1D</v>
      </c>
      <c r="Y360" s="112">
        <f>_xll.qlCalendarAdvance(Calendar,Y359,X360,"f",FALSE)</f>
        <v>42628</v>
      </c>
      <c r="Z360" s="115">
        <f>_xll.qlCalendarAdvance(Calendar,Y360,NDays&amp;"D")</f>
        <v>42628</v>
      </c>
      <c r="AA360" s="116">
        <v>2.303793869813639E-2</v>
      </c>
      <c r="AB360" s="113">
        <v>2.2392488999272153E-2</v>
      </c>
    </row>
    <row r="361" spans="17:28" x14ac:dyDescent="0.2">
      <c r="Q361" s="72"/>
      <c r="T361" s="72"/>
      <c r="U361" s="93"/>
      <c r="X361" s="114" t="str">
        <f t="shared" si="18"/>
        <v>1D</v>
      </c>
      <c r="Y361" s="112">
        <f>_xll.qlCalendarAdvance(Calendar,Y360,X361,"f",FALSE)</f>
        <v>42629</v>
      </c>
      <c r="Z361" s="115">
        <f>_xll.qlCalendarAdvance(Calendar,Y361,NDays&amp;"D")</f>
        <v>42629</v>
      </c>
      <c r="AA361" s="116">
        <v>2.3050333320602027E-2</v>
      </c>
      <c r="AB361" s="113">
        <v>2.2421812354343672E-2</v>
      </c>
    </row>
    <row r="362" spans="17:28" x14ac:dyDescent="0.2">
      <c r="Q362" s="72"/>
      <c r="T362" s="72"/>
      <c r="U362" s="93"/>
      <c r="X362" s="114" t="str">
        <f t="shared" si="18"/>
        <v>1D</v>
      </c>
      <c r="Y362" s="112">
        <f>_xll.qlCalendarAdvance(Calendar,Y361,X362,"f",FALSE)</f>
        <v>42632</v>
      </c>
      <c r="Z362" s="115">
        <f>_xll.qlCalendarAdvance(Calendar,Y362,NDays&amp;"D")</f>
        <v>42632</v>
      </c>
      <c r="AA362" s="116">
        <v>2.3087293042064777E-2</v>
      </c>
      <c r="AB362" s="113">
        <v>2.2448257319928056E-2</v>
      </c>
    </row>
    <row r="363" spans="17:28" x14ac:dyDescent="0.2">
      <c r="Q363" s="72"/>
      <c r="T363" s="72"/>
      <c r="U363" s="93"/>
      <c r="X363" s="114" t="str">
        <f t="shared" si="18"/>
        <v>1D</v>
      </c>
      <c r="Y363" s="112">
        <f>_xll.qlCalendarAdvance(Calendar,Y362,X363,"f",FALSE)</f>
        <v>42633</v>
      </c>
      <c r="Z363" s="115">
        <f>_xll.qlCalendarAdvance(Calendar,Y363,NDays&amp;"D")</f>
        <v>42633</v>
      </c>
      <c r="AA363" s="116">
        <v>2.309953823276676E-2</v>
      </c>
      <c r="AB363" s="113">
        <v>2.2462106441365481E-2</v>
      </c>
    </row>
    <row r="364" spans="17:28" x14ac:dyDescent="0.2">
      <c r="Q364" s="72"/>
      <c r="T364" s="72"/>
      <c r="U364" s="93"/>
      <c r="X364" s="114" t="str">
        <f t="shared" si="18"/>
        <v>1D</v>
      </c>
      <c r="Y364" s="112">
        <f>_xll.qlCalendarAdvance(Calendar,Y363,X364,"f",FALSE)</f>
        <v>42634</v>
      </c>
      <c r="Z364" s="115">
        <f>_xll.qlCalendarAdvance(Calendar,Y364,NDays&amp;"D")</f>
        <v>42634</v>
      </c>
      <c r="AA364" s="116">
        <v>2.3111746064674393E-2</v>
      </c>
      <c r="AB364" s="113">
        <v>2.2475918379336601E-2</v>
      </c>
    </row>
    <row r="365" spans="17:28" x14ac:dyDescent="0.2">
      <c r="Q365" s="72"/>
      <c r="T365" s="72"/>
      <c r="U365" s="93"/>
      <c r="X365" s="114" t="str">
        <f t="shared" si="18"/>
        <v>1D</v>
      </c>
      <c r="Y365" s="112">
        <f>_xll.qlCalendarAdvance(Calendar,Y364,X365,"f",FALSE)</f>
        <v>42635</v>
      </c>
      <c r="Z365" s="115">
        <f>_xll.qlCalendarAdvance(Calendar,Y365,NDays&amp;"D")</f>
        <v>42635</v>
      </c>
      <c r="AA365" s="116">
        <v>2.3123916537448351E-2</v>
      </c>
      <c r="AB365" s="113">
        <v>2.2489693133922461E-2</v>
      </c>
    </row>
    <row r="366" spans="17:28" x14ac:dyDescent="0.2">
      <c r="Q366" s="72"/>
      <c r="T366" s="72"/>
      <c r="U366" s="93"/>
      <c r="X366" s="114" t="str">
        <f t="shared" si="18"/>
        <v>1D</v>
      </c>
      <c r="Y366" s="112">
        <f>_xll.qlCalendarAdvance(Calendar,Y365,X366,"f",FALSE)</f>
        <v>42636</v>
      </c>
      <c r="Z366" s="115">
        <f>_xll.qlCalendarAdvance(Calendar,Y366,NDays&amp;"D")</f>
        <v>42636</v>
      </c>
      <c r="AA366" s="116">
        <v>2.3136049650749311E-2</v>
      </c>
      <c r="AB366" s="113">
        <v>2.2518507823922066E-2</v>
      </c>
    </row>
    <row r="367" spans="17:28" x14ac:dyDescent="0.2">
      <c r="Q367" s="72"/>
      <c r="T367" s="72"/>
      <c r="U367" s="93"/>
      <c r="X367" s="114" t="str">
        <f t="shared" si="18"/>
        <v>1D</v>
      </c>
      <c r="Y367" s="112">
        <f>_xll.qlCalendarAdvance(Calendar,Y366,X367,"f",FALSE)</f>
        <v>42639</v>
      </c>
      <c r="Z367" s="115">
        <f>_xll.qlCalendarAdvance(Calendar,Y367,NDays&amp;"D")</f>
        <v>42639</v>
      </c>
      <c r="AA367" s="116">
        <v>2.3185104871101335E-2</v>
      </c>
      <c r="AB367" s="113">
        <v>2.2544420316954472E-2</v>
      </c>
    </row>
    <row r="368" spans="17:28" x14ac:dyDescent="0.2">
      <c r="Q368" s="72"/>
      <c r="T368" s="72"/>
      <c r="U368" s="93"/>
      <c r="X368" s="114" t="str">
        <f t="shared" si="18"/>
        <v>1D</v>
      </c>
      <c r="Y368" s="112">
        <f>_xll.qlCalendarAdvance(Calendar,Y367,X368,"f",FALSE)</f>
        <v>42640</v>
      </c>
      <c r="Z368" s="115">
        <f>_xll.qlCalendarAdvance(Calendar,Y368,NDays&amp;"D")</f>
        <v>42640</v>
      </c>
      <c r="AA368" s="116">
        <v>2.319063645157686E-2</v>
      </c>
      <c r="AB368" s="113">
        <v>2.2558009153965664E-2</v>
      </c>
    </row>
    <row r="369" spans="17:28" x14ac:dyDescent="0.2">
      <c r="Q369" s="72"/>
      <c r="T369" s="72"/>
      <c r="U369" s="93"/>
      <c r="X369" s="114" t="str">
        <f t="shared" si="18"/>
        <v>1D</v>
      </c>
      <c r="Y369" s="112">
        <f>_xll.qlCalendarAdvance(Calendar,Y368,X369,"f",FALSE)</f>
        <v>42641</v>
      </c>
      <c r="Z369" s="115">
        <f>_xll.qlCalendarAdvance(Calendar,Y369,NDays&amp;"D")</f>
        <v>42641</v>
      </c>
      <c r="AA369" s="116">
        <v>2.3196154813402054E-2</v>
      </c>
      <c r="AB369" s="113">
        <v>2.2571560807429503E-2</v>
      </c>
    </row>
    <row r="370" spans="17:28" x14ac:dyDescent="0.2">
      <c r="Q370" s="72"/>
      <c r="T370" s="72"/>
      <c r="U370" s="93"/>
      <c r="X370" s="114" t="str">
        <f t="shared" si="18"/>
        <v>1D</v>
      </c>
      <c r="Y370" s="112">
        <f>_xll.qlCalendarAdvance(Calendar,Y369,X370,"f",FALSE)</f>
        <v>42642</v>
      </c>
      <c r="Z370" s="115">
        <f>_xll.qlCalendarAdvance(Calendar,Y370,NDays&amp;"D")</f>
        <v>42642</v>
      </c>
      <c r="AA370" s="116">
        <v>2.3208063762822001E-2</v>
      </c>
      <c r="AB370" s="113">
        <v>2.2585075277427036E-2</v>
      </c>
    </row>
    <row r="371" spans="17:28" x14ac:dyDescent="0.2">
      <c r="Q371" s="72"/>
      <c r="T371" s="72"/>
      <c r="U371" s="93"/>
      <c r="X371" s="114" t="str">
        <f t="shared" si="18"/>
        <v>1D</v>
      </c>
      <c r="Y371" s="112">
        <f>_xll.qlCalendarAdvance(Calendar,Y370,X371,"f",FALSE)</f>
        <v>42643</v>
      </c>
      <c r="Z371" s="115">
        <f>_xll.qlCalendarAdvance(Calendar,Y371,NDays&amp;"D")</f>
        <v>42643</v>
      </c>
      <c r="AA371" s="116">
        <v>2.3219935350431077E-2</v>
      </c>
      <c r="AB371" s="113">
        <v>2.2620778105460482E-2</v>
      </c>
    </row>
    <row r="372" spans="17:28" x14ac:dyDescent="0.2">
      <c r="Q372" s="72"/>
      <c r="T372" s="72"/>
      <c r="U372" s="93"/>
      <c r="X372" s="114" t="str">
        <f t="shared" si="18"/>
        <v>1D</v>
      </c>
      <c r="Y372" s="112">
        <f>_xll.qlCalendarAdvance(Calendar,Y371,X372,"f",FALSE)</f>
        <v>42647</v>
      </c>
      <c r="Z372" s="115">
        <f>_xll.qlCalendarAdvance(Calendar,Y372,NDays&amp;"D")</f>
        <v>42647</v>
      </c>
      <c r="AA372" s="116">
        <v>2.3273350500210697E-2</v>
      </c>
      <c r="AB372" s="113">
        <v>2.265208987436651E-2</v>
      </c>
    </row>
    <row r="373" spans="17:28" x14ac:dyDescent="0.2">
      <c r="Q373" s="72"/>
      <c r="T373" s="72"/>
      <c r="U373" s="93"/>
      <c r="X373" s="114" t="str">
        <f t="shared" si="18"/>
        <v>1D</v>
      </c>
      <c r="Y373" s="112">
        <f>_xll.qlCalendarAdvance(Calendar,Y372,X373,"f",FALSE)</f>
        <v>42648</v>
      </c>
      <c r="Z373" s="115">
        <f>_xll.qlCalendarAdvance(Calendar,Y373,NDays&amp;"D")</f>
        <v>42648</v>
      </c>
      <c r="AA373" s="116">
        <v>2.3285017333054894E-2</v>
      </c>
      <c r="AB373" s="113">
        <v>2.2665381243160976E-2</v>
      </c>
    </row>
    <row r="374" spans="17:28" x14ac:dyDescent="0.2">
      <c r="Q374" s="72"/>
      <c r="T374" s="72"/>
      <c r="U374" s="93"/>
      <c r="X374" s="114" t="str">
        <f t="shared" si="18"/>
        <v>1D</v>
      </c>
      <c r="Y374" s="112">
        <f>_xll.qlCalendarAdvance(Calendar,Y373,X374,"f",FALSE)</f>
        <v>42649</v>
      </c>
      <c r="Z374" s="115">
        <f>_xll.qlCalendarAdvance(Calendar,Y374,NDays&amp;"D")</f>
        <v>42649</v>
      </c>
      <c r="AA374" s="116">
        <v>2.3296646799956206E-2</v>
      </c>
      <c r="AB374" s="113">
        <v>2.2678635428408089E-2</v>
      </c>
    </row>
    <row r="375" spans="17:28" x14ac:dyDescent="0.2">
      <c r="Q375" s="72"/>
      <c r="T375" s="72"/>
      <c r="U375" s="93"/>
      <c r="X375" s="114" t="str">
        <f t="shared" si="18"/>
        <v>1D</v>
      </c>
      <c r="Y375" s="112">
        <f>_xll.qlCalendarAdvance(Calendar,Y374,X375,"f",FALSE)</f>
        <v>42650</v>
      </c>
      <c r="Z375" s="115">
        <f>_xll.qlCalendarAdvance(Calendar,Y375,NDays&amp;"D")</f>
        <v>42650</v>
      </c>
      <c r="AA375" s="116">
        <v>2.3320700907256839E-2</v>
      </c>
      <c r="AB375" s="113">
        <v>2.2706432260760637E-2</v>
      </c>
    </row>
    <row r="376" spans="17:28" x14ac:dyDescent="0.2">
      <c r="Q376" s="72"/>
      <c r="T376" s="72"/>
      <c r="U376" s="93"/>
      <c r="X376" s="114" t="str">
        <f t="shared" si="18"/>
        <v>1D</v>
      </c>
      <c r="Y376" s="112">
        <f>_xll.qlCalendarAdvance(Calendar,Y375,X376,"f",FALSE)</f>
        <v>42653</v>
      </c>
      <c r="Z376" s="115">
        <f>_xll.qlCalendarAdvance(Calendar,Y376,NDays&amp;"D")</f>
        <v>42653</v>
      </c>
      <c r="AA376" s="116">
        <v>2.3342791001610984E-2</v>
      </c>
      <c r="AB376" s="113">
        <v>2.2731280333841974E-2</v>
      </c>
    </row>
    <row r="377" spans="17:28" x14ac:dyDescent="0.2">
      <c r="Q377" s="72"/>
      <c r="T377" s="72"/>
      <c r="U377" s="93"/>
      <c r="X377" s="114" t="str">
        <f t="shared" si="18"/>
        <v>1D</v>
      </c>
      <c r="Y377" s="112">
        <f>_xll.qlCalendarAdvance(Calendar,Y376,X377,"f",FALSE)</f>
        <v>42654</v>
      </c>
      <c r="Z377" s="115">
        <f>_xll.qlCalendarAdvance(Calendar,Y377,NDays&amp;"D")</f>
        <v>42654</v>
      </c>
      <c r="AA377" s="116">
        <v>2.3354233633916578E-2</v>
      </c>
      <c r="AB377" s="113">
        <v>2.2744348601352327E-2</v>
      </c>
    </row>
    <row r="378" spans="17:28" x14ac:dyDescent="0.2">
      <c r="Q378" s="72"/>
      <c r="T378" s="72"/>
      <c r="U378" s="93"/>
      <c r="X378" s="114" t="str">
        <f t="shared" si="18"/>
        <v>1D</v>
      </c>
      <c r="Y378" s="112">
        <f>_xll.qlCalendarAdvance(Calendar,Y377,X378,"f",FALSE)</f>
        <v>42655</v>
      </c>
      <c r="Z378" s="115">
        <f>_xll.qlCalendarAdvance(Calendar,Y378,NDays&amp;"D")</f>
        <v>42655</v>
      </c>
      <c r="AA378" s="116">
        <v>2.3365638898332413E-2</v>
      </c>
      <c r="AB378" s="113">
        <v>2.275737968523428E-2</v>
      </c>
    </row>
    <row r="379" spans="17:28" x14ac:dyDescent="0.2">
      <c r="Q379" s="72"/>
      <c r="T379" s="72"/>
      <c r="U379" s="93"/>
      <c r="X379" s="114" t="str">
        <f t="shared" si="18"/>
        <v>1D</v>
      </c>
      <c r="Y379" s="112">
        <f>_xll.qlCalendarAdvance(Calendar,Y378,X379,"f",FALSE)</f>
        <v>42656</v>
      </c>
      <c r="Z379" s="115">
        <f>_xll.qlCalendarAdvance(Calendar,Y379,NDays&amp;"D")</f>
        <v>42656</v>
      </c>
      <c r="AA379" s="116">
        <v>2.3377006794539586E-2</v>
      </c>
      <c r="AB379" s="113">
        <v>2.2770373585568882E-2</v>
      </c>
    </row>
    <row r="380" spans="17:28" x14ac:dyDescent="0.2">
      <c r="Q380" s="72"/>
      <c r="T380" s="72"/>
      <c r="U380" s="93"/>
      <c r="X380" s="114" t="str">
        <f t="shared" si="18"/>
        <v>1D</v>
      </c>
      <c r="Y380" s="112">
        <f>_xll.qlCalendarAdvance(Calendar,Y379,X380,"f",FALSE)</f>
        <v>42657</v>
      </c>
      <c r="Z380" s="115">
        <f>_xll.qlCalendarAdvance(Calendar,Y380,NDays&amp;"D")</f>
        <v>42657</v>
      </c>
      <c r="AA380" s="116">
        <v>2.3382214403794323E-2</v>
      </c>
      <c r="AB380" s="113">
        <v>2.2797661219564985E-2</v>
      </c>
    </row>
    <row r="381" spans="17:28" x14ac:dyDescent="0.2">
      <c r="Q381" s="72"/>
      <c r="T381" s="72"/>
      <c r="U381" s="93"/>
      <c r="X381" s="114" t="str">
        <f t="shared" si="18"/>
        <v>1D</v>
      </c>
      <c r="Y381" s="112">
        <f>_xll.qlCalendarAdvance(Calendar,Y380,X381,"f",FALSE)</f>
        <v>42660</v>
      </c>
      <c r="Z381" s="115">
        <f>_xll.qlCalendarAdvance(Calendar,Y381,NDays&amp;"D")</f>
        <v>42660</v>
      </c>
      <c r="AA381" s="116">
        <v>2.3422104690905443E-2</v>
      </c>
      <c r="AB381" s="113">
        <v>2.2821977351028533E-2</v>
      </c>
    </row>
    <row r="382" spans="17:28" x14ac:dyDescent="0.2">
      <c r="Q382" s="72"/>
      <c r="T382" s="72"/>
      <c r="U382" s="93"/>
      <c r="X382" s="114" t="str">
        <f t="shared" si="18"/>
        <v>1D</v>
      </c>
      <c r="Y382" s="112">
        <f>_xll.qlCalendarAdvance(Calendar,Y381,X382,"f",FALSE)</f>
        <v>42661</v>
      </c>
      <c r="Z382" s="115">
        <f>_xll.qlCalendarAdvance(Calendar,Y382,NDays&amp;"D")</f>
        <v>42661</v>
      </c>
      <c r="AA382" s="116">
        <v>2.3433285741296394E-2</v>
      </c>
      <c r="AB382" s="113">
        <v>2.2834785333383234E-2</v>
      </c>
    </row>
    <row r="383" spans="17:28" x14ac:dyDescent="0.2">
      <c r="Q383" s="72"/>
      <c r="T383" s="72"/>
      <c r="U383" s="93"/>
      <c r="X383" s="114" t="str">
        <f t="shared" si="18"/>
        <v>1D</v>
      </c>
      <c r="Y383" s="112">
        <f>_xll.qlCalendarAdvance(Calendar,Y382,X383,"f",FALSE)</f>
        <v>42662</v>
      </c>
      <c r="Z383" s="115">
        <f>_xll.qlCalendarAdvance(Calendar,Y383,NDays&amp;"D")</f>
        <v>42662</v>
      </c>
      <c r="AA383" s="116">
        <v>2.3444429421576738E-2</v>
      </c>
      <c r="AB383" s="113">
        <v>2.2847556132190583E-2</v>
      </c>
    </row>
    <row r="384" spans="17:28" x14ac:dyDescent="0.2">
      <c r="Q384" s="72"/>
      <c r="T384" s="72"/>
      <c r="U384" s="93"/>
      <c r="X384" s="114" t="str">
        <f t="shared" si="18"/>
        <v>1D</v>
      </c>
      <c r="Y384" s="112">
        <f>_xll.qlCalendarAdvance(Calendar,Y383,X384,"f",FALSE)</f>
        <v>42663</v>
      </c>
      <c r="Z384" s="115">
        <f>_xll.qlCalendarAdvance(Calendar,Y384,NDays&amp;"D")</f>
        <v>42663</v>
      </c>
      <c r="AA384" s="116">
        <v>2.3455535731433746E-2</v>
      </c>
      <c r="AB384" s="113">
        <v>2.2860289747369533E-2</v>
      </c>
    </row>
    <row r="385" spans="17:28" x14ac:dyDescent="0.2">
      <c r="Q385" s="72"/>
      <c r="T385" s="72"/>
      <c r="U385" s="93"/>
      <c r="X385" s="114" t="str">
        <f t="shared" si="18"/>
        <v>1D</v>
      </c>
      <c r="Y385" s="112">
        <f>_xll.qlCalendarAdvance(Calendar,Y384,X385,"f",FALSE)</f>
        <v>42664</v>
      </c>
      <c r="Z385" s="115">
        <f>_xll.qlCalendarAdvance(Calendar,Y385,NDays&amp;"D")</f>
        <v>42664</v>
      </c>
      <c r="AA385" s="116">
        <v>2.3478563667015562E-2</v>
      </c>
      <c r="AB385" s="113">
        <v>2.288706799979057E-2</v>
      </c>
    </row>
    <row r="386" spans="17:28" x14ac:dyDescent="0.2">
      <c r="Q386" s="72"/>
      <c r="T386" s="72"/>
      <c r="U386" s="93"/>
      <c r="X386" s="114" t="str">
        <f t="shared" si="18"/>
        <v>1D</v>
      </c>
      <c r="Y386" s="112">
        <f>_xll.qlCalendarAdvance(Calendar,Y385,X386,"f",FALSE)</f>
        <v>42667</v>
      </c>
      <c r="Z386" s="115">
        <f>_xll.qlCalendarAdvance(Calendar,Y386,NDays&amp;"D")</f>
        <v>42667</v>
      </c>
      <c r="AA386" s="116">
        <v>2.3499587260398403E-2</v>
      </c>
      <c r="AB386" s="113">
        <v>2.2910852372044488E-2</v>
      </c>
    </row>
    <row r="387" spans="17:28" x14ac:dyDescent="0.2">
      <c r="Q387" s="72"/>
      <c r="T387" s="72"/>
      <c r="U387" s="93"/>
      <c r="X387" s="114" t="str">
        <f t="shared" si="18"/>
        <v>1D</v>
      </c>
      <c r="Y387" s="112">
        <f>_xll.qlCalendarAdvance(Calendar,Y386,X387,"f",FALSE)</f>
        <v>42668</v>
      </c>
      <c r="Z387" s="115">
        <f>_xll.qlCalendarAdvance(Calendar,Y387,NDays&amp;"D")</f>
        <v>42668</v>
      </c>
      <c r="AA387" s="116">
        <v>2.3510506713476795E-2</v>
      </c>
      <c r="AB387" s="113">
        <v>2.2923400069162492E-2</v>
      </c>
    </row>
    <row r="388" spans="17:28" x14ac:dyDescent="0.2">
      <c r="Q388" s="72"/>
      <c r="T388" s="72"/>
      <c r="U388" s="93"/>
      <c r="X388" s="114" t="str">
        <f t="shared" si="18"/>
        <v>1D</v>
      </c>
      <c r="Y388" s="112">
        <f>_xll.qlCalendarAdvance(Calendar,Y387,X388,"f",FALSE)</f>
        <v>42669</v>
      </c>
      <c r="Z388" s="115">
        <f>_xll.qlCalendarAdvance(Calendar,Y388,NDays&amp;"D")</f>
        <v>42669</v>
      </c>
      <c r="AA388" s="116">
        <v>2.3527284248954741E-2</v>
      </c>
      <c r="AB388" s="113">
        <v>2.2935910582733143E-2</v>
      </c>
    </row>
    <row r="389" spans="17:28" x14ac:dyDescent="0.2">
      <c r="Q389" s="72"/>
      <c r="T389" s="72"/>
      <c r="U389" s="93"/>
      <c r="X389" s="114" t="str">
        <f t="shared" si="18"/>
        <v>1D</v>
      </c>
      <c r="Y389" s="112">
        <f>_xll.qlCalendarAdvance(Calendar,Y388,X389,"f",FALSE)</f>
        <v>42670</v>
      </c>
      <c r="Z389" s="115">
        <f>_xll.qlCalendarAdvance(Calendar,Y389,NDays&amp;"D")</f>
        <v>42670</v>
      </c>
      <c r="AA389" s="116">
        <v>2.353223350248243E-2</v>
      </c>
      <c r="AB389" s="113">
        <v>2.294838391259435E-2</v>
      </c>
    </row>
    <row r="390" spans="17:28" x14ac:dyDescent="0.2">
      <c r="Q390" s="72"/>
      <c r="T390" s="72"/>
      <c r="U390" s="93"/>
      <c r="X390" s="114" t="str">
        <f t="shared" si="18"/>
        <v>1D</v>
      </c>
      <c r="Y390" s="112">
        <f>_xll.qlCalendarAdvance(Calendar,Y389,X390,"f",FALSE)</f>
        <v>42671</v>
      </c>
      <c r="Z390" s="115">
        <f>_xll.qlCalendarAdvance(Calendar,Y390,NDays&amp;"D")</f>
        <v>42671</v>
      </c>
      <c r="AA390" s="116">
        <v>2.3554748003998673E-2</v>
      </c>
      <c r="AB390" s="113">
        <v>2.2974652597439103E-2</v>
      </c>
    </row>
    <row r="391" spans="17:28" x14ac:dyDescent="0.2">
      <c r="Q391" s="72"/>
      <c r="T391" s="72"/>
      <c r="U391" s="93"/>
      <c r="X391" s="114" t="str">
        <f t="shared" si="18"/>
        <v>1D</v>
      </c>
      <c r="Y391" s="112">
        <f>_xll.qlCalendarAdvance(Calendar,Y390,X391,"f",FALSE)</f>
        <v>42674</v>
      </c>
      <c r="Z391" s="115">
        <f>_xll.qlCalendarAdvance(Calendar,Y391,NDays&amp;"D")</f>
        <v>42674</v>
      </c>
      <c r="AA391" s="116">
        <v>2.3575238603374814E-2</v>
      </c>
      <c r="AB391" s="113">
        <v>2.2997905395755192E-2</v>
      </c>
    </row>
    <row r="392" spans="17:28" x14ac:dyDescent="0.2">
      <c r="Q392" s="72"/>
      <c r="T392" s="72"/>
      <c r="U392" s="93"/>
      <c r="X392" s="114" t="str">
        <f t="shared" si="18"/>
        <v>1D</v>
      </c>
      <c r="Y392" s="112">
        <f>_xll.qlCalendarAdvance(Calendar,Y391,X392,"f",FALSE)</f>
        <v>42675</v>
      </c>
      <c r="Z392" s="115">
        <f>_xll.qlCalendarAdvance(Calendar,Y392,NDays&amp;"D")</f>
        <v>42675</v>
      </c>
      <c r="AA392" s="116">
        <v>2.358589644409952E-2</v>
      </c>
      <c r="AB392" s="113">
        <v>2.3010192807393359E-2</v>
      </c>
    </row>
    <row r="393" spans="17:28" x14ac:dyDescent="0.2">
      <c r="Q393" s="72"/>
      <c r="T393" s="72"/>
      <c r="U393" s="93"/>
      <c r="X393" s="114" t="str">
        <f t="shared" si="18"/>
        <v>1D</v>
      </c>
      <c r="Y393" s="112">
        <f>_xll.qlCalendarAdvance(Calendar,Y392,X393,"f",FALSE)</f>
        <v>42676</v>
      </c>
      <c r="Z393" s="115">
        <f>_xll.qlCalendarAdvance(Calendar,Y393,NDays&amp;"D")</f>
        <v>42676</v>
      </c>
      <c r="AA393" s="116">
        <v>2.3596516910425212E-2</v>
      </c>
      <c r="AB393" s="113">
        <v>2.3022443035403128E-2</v>
      </c>
    </row>
    <row r="394" spans="17:28" x14ac:dyDescent="0.2">
      <c r="Q394" s="72"/>
      <c r="T394" s="72"/>
      <c r="U394" s="93"/>
      <c r="X394" s="114" t="str">
        <f t="shared" si="18"/>
        <v>1D</v>
      </c>
      <c r="Y394" s="112">
        <f>_xll.qlCalendarAdvance(Calendar,Y393,X394,"f",FALSE)</f>
        <v>42677</v>
      </c>
      <c r="Z394" s="115">
        <f>_xll.qlCalendarAdvance(Calendar,Y394,NDays&amp;"D")</f>
        <v>42677</v>
      </c>
      <c r="AA394" s="116">
        <v>2.36071000020515E-2</v>
      </c>
      <c r="AB394" s="113">
        <v>2.3034656079865545E-2</v>
      </c>
    </row>
    <row r="395" spans="17:28" x14ac:dyDescent="0.2">
      <c r="Q395" s="72"/>
      <c r="T395" s="72"/>
      <c r="U395" s="93"/>
      <c r="X395" s="114" t="str">
        <f t="shared" si="18"/>
        <v>1D</v>
      </c>
      <c r="Y395" s="112">
        <f>_xll.qlCalendarAdvance(Calendar,Y394,X395,"f",FALSE)</f>
        <v>42678</v>
      </c>
      <c r="Z395" s="115">
        <f>_xll.qlCalendarAdvance(Calendar,Y395,NDays&amp;"D")</f>
        <v>42678</v>
      </c>
      <c r="AA395" s="116">
        <v>2.3629100835248412E-2</v>
      </c>
      <c r="AB395" s="113">
        <v>2.3060415008539319E-2</v>
      </c>
    </row>
    <row r="396" spans="17:28" x14ac:dyDescent="0.2">
      <c r="Q396" s="72"/>
      <c r="T396" s="72"/>
      <c r="U396" s="93"/>
      <c r="X396" s="114" t="str">
        <f t="shared" si="18"/>
        <v>1D</v>
      </c>
      <c r="Y396" s="112">
        <f>_xll.qlCalendarAdvance(Calendar,Y395,X396,"f",FALSE)</f>
        <v>42681</v>
      </c>
      <c r="Z396" s="115">
        <f>_xll.qlCalendarAdvance(Calendar,Y396,NDays&amp;"D")</f>
        <v>42681</v>
      </c>
      <c r="AA396" s="116">
        <v>2.3649058615639991E-2</v>
      </c>
      <c r="AB396" s="113">
        <v>2.3083136420701811E-2</v>
      </c>
    </row>
    <row r="397" spans="17:28" x14ac:dyDescent="0.2">
      <c r="Q397" s="72"/>
      <c r="T397" s="72"/>
      <c r="U397" s="93"/>
      <c r="X397" s="114" t="str">
        <f t="shared" si="18"/>
        <v>1D</v>
      </c>
      <c r="Y397" s="112">
        <f>_xll.qlCalendarAdvance(Calendar,Y396,X397,"f",FALSE)</f>
        <v>42682</v>
      </c>
      <c r="Z397" s="115">
        <f>_xll.qlCalendarAdvance(Calendar,Y397,NDays&amp;"D")</f>
        <v>42682</v>
      </c>
      <c r="AA397" s="116">
        <v>2.3659454829332825E-2</v>
      </c>
      <c r="AB397" s="113">
        <v>2.3095163546779096E-2</v>
      </c>
    </row>
    <row r="398" spans="17:28" x14ac:dyDescent="0.2">
      <c r="Q398" s="72"/>
      <c r="T398" s="72"/>
      <c r="U398" s="93"/>
      <c r="X398" s="114" t="str">
        <f t="shared" si="18"/>
        <v>1D</v>
      </c>
      <c r="Y398" s="112">
        <f>_xll.qlCalendarAdvance(Calendar,Y397,X398,"f",FALSE)</f>
        <v>42683</v>
      </c>
      <c r="Z398" s="115">
        <f>_xll.qlCalendarAdvance(Calendar,Y398,NDays&amp;"D")</f>
        <v>42683</v>
      </c>
      <c r="AA398" s="116">
        <v>2.3669813666559084E-2</v>
      </c>
      <c r="AB398" s="113">
        <v>2.3107153489146937E-2</v>
      </c>
    </row>
    <row r="399" spans="17:28" x14ac:dyDescent="0.2">
      <c r="Q399" s="72"/>
      <c r="T399" s="72"/>
      <c r="U399" s="93"/>
      <c r="X399" s="114" t="str">
        <f t="shared" si="18"/>
        <v>1D</v>
      </c>
      <c r="Y399" s="112">
        <f>_xll.qlCalendarAdvance(Calendar,Y398,X399,"f",FALSE)</f>
        <v>42684</v>
      </c>
      <c r="Z399" s="115">
        <f>_xll.qlCalendarAdvance(Calendar,Y399,NDays&amp;"D")</f>
        <v>42684</v>
      </c>
      <c r="AA399" s="116">
        <v>2.3680135127025419E-2</v>
      </c>
      <c r="AB399" s="113">
        <v>2.3119106247886378E-2</v>
      </c>
    </row>
    <row r="400" spans="17:28" x14ac:dyDescent="0.2">
      <c r="Q400" s="72"/>
      <c r="T400" s="72"/>
      <c r="U400" s="93"/>
      <c r="X400" s="114" t="str">
        <f t="shared" si="18"/>
        <v>1D</v>
      </c>
      <c r="Y400" s="112">
        <f>_xll.qlCalendarAdvance(Calendar,Y399,X400,"f",FALSE)</f>
        <v>42685</v>
      </c>
      <c r="Z400" s="115">
        <f>_xll.qlCalendarAdvance(Calendar,Y400,NDays&amp;"D")</f>
        <v>42685</v>
      </c>
      <c r="AA400" s="116">
        <v>2.3701622056131442E-2</v>
      </c>
      <c r="AB400" s="113">
        <v>2.314435522930906E-2</v>
      </c>
    </row>
    <row r="401" spans="17:28" x14ac:dyDescent="0.2">
      <c r="Q401" s="72"/>
      <c r="T401" s="72"/>
      <c r="U401" s="93"/>
      <c r="X401" s="114" t="str">
        <f t="shared" si="18"/>
        <v>1D</v>
      </c>
      <c r="Y401" s="112">
        <f>_xll.qlCalendarAdvance(Calendar,Y400,X401,"f",FALSE)</f>
        <v>42688</v>
      </c>
      <c r="Z401" s="115">
        <f>_xll.qlCalendarAdvance(Calendar,Y401,NDays&amp;"D")</f>
        <v>42688</v>
      </c>
      <c r="AA401" s="116">
        <v>2.3721047195519616E-2</v>
      </c>
      <c r="AB401" s="113">
        <v>2.3166545445749698E-2</v>
      </c>
    </row>
    <row r="402" spans="17:28" x14ac:dyDescent="0.2">
      <c r="Q402" s="72"/>
      <c r="T402" s="72"/>
      <c r="U402" s="93"/>
      <c r="X402" s="114" t="str">
        <f t="shared" si="18"/>
        <v>1D</v>
      </c>
      <c r="Y402" s="112">
        <f>_xll.qlCalendarAdvance(Calendar,Y401,X402,"f",FALSE)</f>
        <v>42689</v>
      </c>
      <c r="Z402" s="115">
        <f>_xll.qlCalendarAdvance(Calendar,Y402,NDays&amp;"D")</f>
        <v>42689</v>
      </c>
      <c r="AA402" s="116">
        <v>2.3731181767861809E-2</v>
      </c>
      <c r="AB402" s="113">
        <v>2.3178312286022962E-2</v>
      </c>
    </row>
    <row r="403" spans="17:28" x14ac:dyDescent="0.2">
      <c r="Q403" s="72"/>
      <c r="T403" s="72"/>
      <c r="U403" s="93"/>
      <c r="X403" s="114" t="str">
        <f t="shared" si="18"/>
        <v>1D</v>
      </c>
      <c r="Y403" s="112">
        <f>_xll.qlCalendarAdvance(Calendar,Y402,X403,"f",FALSE)</f>
        <v>42690</v>
      </c>
      <c r="Z403" s="115">
        <f>_xll.qlCalendarAdvance(Calendar,Y403,NDays&amp;"D")</f>
        <v>42690</v>
      </c>
      <c r="AA403" s="116">
        <v>2.3741278961720964E-2</v>
      </c>
      <c r="AB403" s="113">
        <v>2.3190041942586781E-2</v>
      </c>
    </row>
    <row r="404" spans="17:28" x14ac:dyDescent="0.2">
      <c r="Q404" s="72"/>
      <c r="T404" s="72"/>
      <c r="U404" s="93"/>
      <c r="X404" s="114" t="str">
        <f t="shared" si="18"/>
        <v>1D</v>
      </c>
      <c r="Y404" s="112">
        <f>_xll.qlCalendarAdvance(Calendar,Y403,X404,"f",FALSE)</f>
        <v>42691</v>
      </c>
      <c r="Z404" s="115">
        <f>_xll.qlCalendarAdvance(Calendar,Y404,NDays&amp;"D")</f>
        <v>42691</v>
      </c>
      <c r="AA404" s="116">
        <v>2.3751338776812538E-2</v>
      </c>
      <c r="AB404" s="113">
        <v>2.3201734415441155E-2</v>
      </c>
    </row>
    <row r="405" spans="17:28" x14ac:dyDescent="0.2">
      <c r="Q405" s="72"/>
      <c r="T405" s="72"/>
      <c r="U405" s="93"/>
      <c r="X405" s="114" t="str">
        <f t="shared" ref="X405:X468" si="19">X404</f>
        <v>1D</v>
      </c>
      <c r="Y405" s="112">
        <f>_xll.qlCalendarAdvance(Calendar,Y404,X405,"f",FALSE)</f>
        <v>42692</v>
      </c>
      <c r="Z405" s="115">
        <f>_xll.qlCalendarAdvance(Calendar,Y405,NDays&amp;"D")</f>
        <v>42692</v>
      </c>
      <c r="AA405" s="116">
        <v>2.3772311564589803E-2</v>
      </c>
      <c r="AB405" s="113">
        <v>2.3226473255912133E-2</v>
      </c>
    </row>
    <row r="406" spans="17:28" x14ac:dyDescent="0.2">
      <c r="Q406" s="72"/>
      <c r="T406" s="72"/>
      <c r="U406" s="93"/>
      <c r="X406" s="114" t="str">
        <f t="shared" si="19"/>
        <v>1D</v>
      </c>
      <c r="Y406" s="112">
        <f>_xll.qlCalendarAdvance(Calendar,Y405,X406,"f",FALSE)</f>
        <v>42695</v>
      </c>
      <c r="Z406" s="115">
        <f>_xll.qlCalendarAdvance(Calendar,Y406,NDays&amp;"D")</f>
        <v>42695</v>
      </c>
      <c r="AA406" s="116">
        <v>2.3791204243862375E-2</v>
      </c>
      <c r="AB406" s="113">
        <v>2.3248132469602112E-2</v>
      </c>
    </row>
    <row r="407" spans="17:28" x14ac:dyDescent="0.2">
      <c r="Q407" s="72"/>
      <c r="T407" s="72"/>
      <c r="U407" s="93"/>
      <c r="X407" s="114" t="str">
        <f t="shared" si="19"/>
        <v>1D</v>
      </c>
      <c r="Y407" s="112">
        <f>_xll.qlCalendarAdvance(Calendar,Y406,X407,"f",FALSE)</f>
        <v>42696</v>
      </c>
      <c r="Z407" s="115">
        <f>_xll.qlCalendarAdvance(Calendar,Y407,NDays&amp;"D")</f>
        <v>42696</v>
      </c>
      <c r="AA407" s="116">
        <v>2.3801077160895471E-2</v>
      </c>
      <c r="AB407" s="113">
        <v>2.3259639023828216E-2</v>
      </c>
    </row>
    <row r="408" spans="17:28" x14ac:dyDescent="0.2">
      <c r="Q408" s="72"/>
      <c r="T408" s="72"/>
      <c r="U408" s="93"/>
      <c r="X408" s="114" t="str">
        <f t="shared" si="19"/>
        <v>1D</v>
      </c>
      <c r="Y408" s="112">
        <f>_xll.qlCalendarAdvance(Calendar,Y407,X408,"f",FALSE)</f>
        <v>42697</v>
      </c>
      <c r="Z408" s="115">
        <f>_xll.qlCalendarAdvance(Calendar,Y408,NDays&amp;"D")</f>
        <v>42697</v>
      </c>
      <c r="AA408" s="116">
        <v>2.3810912697480154E-2</v>
      </c>
      <c r="AB408" s="113">
        <v>2.3271108394344875E-2</v>
      </c>
    </row>
    <row r="409" spans="17:28" x14ac:dyDescent="0.2">
      <c r="Q409" s="72"/>
      <c r="T409" s="72"/>
      <c r="U409" s="93"/>
      <c r="X409" s="114" t="str">
        <f t="shared" si="19"/>
        <v>1D</v>
      </c>
      <c r="Y409" s="112">
        <f>_xll.qlCalendarAdvance(Calendar,Y408,X409,"f",FALSE)</f>
        <v>42698</v>
      </c>
      <c r="Z409" s="115">
        <f>_xll.qlCalendarAdvance(Calendar,Y409,NDays&amp;"D")</f>
        <v>42698</v>
      </c>
      <c r="AA409" s="116">
        <v>2.3820710853339814E-2</v>
      </c>
      <c r="AB409" s="113">
        <v>2.3282540581152089E-2</v>
      </c>
    </row>
    <row r="410" spans="17:28" x14ac:dyDescent="0.2">
      <c r="Q410" s="72"/>
      <c r="T410" s="72"/>
      <c r="U410" s="93"/>
      <c r="X410" s="114" t="str">
        <f t="shared" si="19"/>
        <v>1D</v>
      </c>
      <c r="Y410" s="112">
        <f>_xll.qlCalendarAdvance(Calendar,Y409,X410,"f",FALSE)</f>
        <v>42699</v>
      </c>
      <c r="Z410" s="115">
        <f>_xll.qlCalendarAdvance(Calendar,Y410,NDays&amp;"D")</f>
        <v>42699</v>
      </c>
      <c r="AA410" s="116">
        <v>2.3841169261146943E-2</v>
      </c>
      <c r="AB410" s="113">
        <v>2.3306769084701456E-2</v>
      </c>
    </row>
    <row r="411" spans="17:28" x14ac:dyDescent="0.2">
      <c r="Q411" s="72"/>
      <c r="T411" s="72"/>
      <c r="U411" s="93"/>
      <c r="X411" s="114" t="str">
        <f t="shared" si="19"/>
        <v>1D</v>
      </c>
      <c r="Y411" s="112">
        <f>_xll.qlCalendarAdvance(Calendar,Y410,X411,"f",FALSE)</f>
        <v>42702</v>
      </c>
      <c r="Z411" s="115">
        <f>_xll.qlCalendarAdvance(Calendar,Y411,NDays&amp;"D")</f>
        <v>42702</v>
      </c>
      <c r="AA411" s="116">
        <v>2.3859529664037312E-2</v>
      </c>
      <c r="AB411" s="113">
        <v>2.3327897490962313E-2</v>
      </c>
    </row>
    <row r="412" spans="17:28" x14ac:dyDescent="0.2">
      <c r="Q412" s="72"/>
      <c r="T412" s="72"/>
      <c r="U412" s="93"/>
      <c r="X412" s="114" t="str">
        <f t="shared" si="19"/>
        <v>1D</v>
      </c>
      <c r="Y412" s="112">
        <f>_xll.qlCalendarAdvance(Calendar,Y411,X412,"f",FALSE)</f>
        <v>42703</v>
      </c>
      <c r="Z412" s="115">
        <f>_xll.qlCalendarAdvance(Calendar,Y412,NDays&amp;"D")</f>
        <v>42703</v>
      </c>
      <c r="AA412" s="116">
        <v>2.3863846588522118E-2</v>
      </c>
      <c r="AB412" s="113">
        <v>2.333914375906021E-2</v>
      </c>
    </row>
    <row r="413" spans="17:28" x14ac:dyDescent="0.2">
      <c r="Q413" s="72"/>
      <c r="T413" s="72"/>
      <c r="U413" s="93"/>
      <c r="X413" s="114" t="str">
        <f t="shared" si="19"/>
        <v>1D</v>
      </c>
      <c r="Y413" s="112">
        <f>_xll.qlCalendarAdvance(Calendar,Y412,X413,"f",FALSE)</f>
        <v>42704</v>
      </c>
      <c r="Z413" s="115">
        <f>_xll.qlCalendarAdvance(Calendar,Y413,NDays&amp;"D")</f>
        <v>42704</v>
      </c>
      <c r="AA413" s="116">
        <v>2.3868150422169662E-2</v>
      </c>
      <c r="AB413" s="113">
        <v>2.3350352843448663E-2</v>
      </c>
    </row>
    <row r="414" spans="17:28" x14ac:dyDescent="0.2">
      <c r="Q414" s="72"/>
      <c r="T414" s="72"/>
      <c r="U414" s="93"/>
      <c r="X414" s="114" t="str">
        <f t="shared" si="19"/>
        <v>1D</v>
      </c>
      <c r="Y414" s="112">
        <f>_xll.qlCalendarAdvance(Calendar,Y413,X414,"f",FALSE)</f>
        <v>42705</v>
      </c>
      <c r="Z414" s="115">
        <f>_xll.qlCalendarAdvance(Calendar,Y414,NDays&amp;"D")</f>
        <v>42705</v>
      </c>
      <c r="AA414" s="116">
        <v>2.3877723040683425E-2</v>
      </c>
      <c r="AB414" s="113">
        <v>2.3361524743965578E-2</v>
      </c>
    </row>
    <row r="415" spans="17:28" x14ac:dyDescent="0.2">
      <c r="Q415" s="72"/>
      <c r="T415" s="72"/>
      <c r="U415" s="93"/>
      <c r="X415" s="114" t="str">
        <f t="shared" si="19"/>
        <v>1D</v>
      </c>
      <c r="Y415" s="112">
        <f>_xll.qlCalendarAdvance(Calendar,Y414,X415,"f",FALSE)</f>
        <v>42706</v>
      </c>
      <c r="Z415" s="115">
        <f>_xll.qlCalendarAdvance(Calendar,Y415,NDays&amp;"D")</f>
        <v>42706</v>
      </c>
      <c r="AA415" s="116">
        <v>2.3887258280939752E-2</v>
      </c>
      <c r="AB415" s="113">
        <v>2.3385242712029946E-2</v>
      </c>
    </row>
    <row r="416" spans="17:28" x14ac:dyDescent="0.2">
      <c r="Q416" s="72"/>
      <c r="T416" s="72"/>
      <c r="U416" s="93"/>
      <c r="X416" s="114" t="str">
        <f t="shared" si="19"/>
        <v>1D</v>
      </c>
      <c r="Y416" s="112">
        <f>_xll.qlCalendarAdvance(Calendar,Y415,X416,"f",FALSE)</f>
        <v>42709</v>
      </c>
      <c r="Z416" s="115">
        <f>_xll.qlCalendarAdvance(Calendar,Y416,NDays&amp;"D")</f>
        <v>42709</v>
      </c>
      <c r="AA416" s="116">
        <v>2.3920837472071188E-2</v>
      </c>
      <c r="AB416" s="113">
        <v>2.3405840508695652E-2</v>
      </c>
    </row>
    <row r="417" spans="17:28" x14ac:dyDescent="0.2">
      <c r="Q417" s="72"/>
      <c r="T417" s="72"/>
      <c r="U417" s="93"/>
      <c r="X417" s="114" t="str">
        <f t="shared" si="19"/>
        <v>1D</v>
      </c>
      <c r="Y417" s="112">
        <f>_xll.qlCalendarAdvance(Calendar,Y416,X417,"f",FALSE)</f>
        <v>42710</v>
      </c>
      <c r="Z417" s="115">
        <f>_xll.qlCalendarAdvance(Calendar,Y417,NDays&amp;"D")</f>
        <v>42710</v>
      </c>
      <c r="AA417" s="116">
        <v>2.3925025454169475E-2</v>
      </c>
      <c r="AB417" s="113">
        <v>2.3416826490503251E-2</v>
      </c>
    </row>
    <row r="418" spans="17:28" x14ac:dyDescent="0.2">
      <c r="Q418" s="72"/>
      <c r="T418" s="72"/>
      <c r="U418" s="93"/>
      <c r="X418" s="114" t="str">
        <f t="shared" si="19"/>
        <v>1D</v>
      </c>
      <c r="Y418" s="112">
        <f>_xll.qlCalendarAdvance(Calendar,Y417,X418,"f",FALSE)</f>
        <v>42711</v>
      </c>
      <c r="Z418" s="115">
        <f>_xll.qlCalendarAdvance(Calendar,Y418,NDays&amp;"D")</f>
        <v>42711</v>
      </c>
      <c r="AA418" s="116">
        <v>2.3934373799228571E-2</v>
      </c>
      <c r="AB418" s="113">
        <v>2.3427775288520358E-2</v>
      </c>
    </row>
    <row r="419" spans="17:28" x14ac:dyDescent="0.2">
      <c r="Q419" s="72"/>
      <c r="T419" s="72"/>
      <c r="U419" s="93"/>
      <c r="X419" s="114" t="str">
        <f t="shared" si="19"/>
        <v>1D</v>
      </c>
      <c r="Y419" s="112">
        <f>_xll.qlCalendarAdvance(Calendar,Y418,X419,"f",FALSE)</f>
        <v>42712</v>
      </c>
      <c r="Z419" s="115">
        <f>_xll.qlCalendarAdvance(Calendar,Y419,NDays&amp;"D")</f>
        <v>42712</v>
      </c>
      <c r="AA419" s="116">
        <v>2.3943684764473235E-2</v>
      </c>
      <c r="AB419" s="113">
        <v>2.3438686902665928E-2</v>
      </c>
    </row>
    <row r="420" spans="17:28" x14ac:dyDescent="0.2">
      <c r="Q420" s="72"/>
      <c r="T420" s="72"/>
      <c r="U420" s="93"/>
      <c r="X420" s="114" t="str">
        <f t="shared" si="19"/>
        <v>1D</v>
      </c>
      <c r="Y420" s="112">
        <f>_xll.qlCalendarAdvance(Calendar,Y419,X420,"f",FALSE)</f>
        <v>42713</v>
      </c>
      <c r="Z420" s="115">
        <f>_xll.qlCalendarAdvance(Calendar,Y420,NDays&amp;"D")</f>
        <v>42713</v>
      </c>
      <c r="AA420" s="116">
        <v>2.3952958349646825E-2</v>
      </c>
      <c r="AB420" s="113">
        <v>2.3461894134412613E-2</v>
      </c>
    </row>
    <row r="421" spans="17:28" x14ac:dyDescent="0.2">
      <c r="Q421" s="72"/>
      <c r="T421" s="72"/>
      <c r="U421" s="93"/>
      <c r="X421" s="114" t="str">
        <f t="shared" si="19"/>
        <v>1D</v>
      </c>
      <c r="Y421" s="112">
        <f>_xll.qlCalendarAdvance(Calendar,Y420,X421,"f",FALSE)</f>
        <v>42716</v>
      </c>
      <c r="Z421" s="115">
        <f>_xll.qlCalendarAdvance(Calendar,Y421,NDays&amp;"D")</f>
        <v>42716</v>
      </c>
      <c r="AA421" s="116">
        <v>2.3985625968308902E-2</v>
      </c>
      <c r="AB421" s="113">
        <v>2.3481961521667483E-2</v>
      </c>
    </row>
    <row r="422" spans="17:28" x14ac:dyDescent="0.2">
      <c r="Q422" s="72"/>
      <c r="T422" s="72"/>
      <c r="U422" s="93"/>
      <c r="X422" s="114" t="str">
        <f t="shared" si="19"/>
        <v>1D</v>
      </c>
      <c r="Y422" s="112">
        <f>_xll.qlCalendarAdvance(Calendar,Y421,X422,"f",FALSE)</f>
        <v>42717</v>
      </c>
      <c r="Z422" s="115">
        <f>_xll.qlCalendarAdvance(Calendar,Y422,NDays&amp;"D")</f>
        <v>42717</v>
      </c>
      <c r="AA422" s="116">
        <v>2.3989678884549726E-2</v>
      </c>
      <c r="AB422" s="113">
        <v>2.3492687216941643E-2</v>
      </c>
    </row>
    <row r="423" spans="17:28" x14ac:dyDescent="0.2">
      <c r="Q423" s="72"/>
      <c r="T423" s="72"/>
      <c r="U423" s="93"/>
      <c r="X423" s="114" t="str">
        <f t="shared" si="19"/>
        <v>1D</v>
      </c>
      <c r="Y423" s="112">
        <f>_xll.qlCalendarAdvance(Calendar,Y422,X423,"f",FALSE)</f>
        <v>42718</v>
      </c>
      <c r="Z423" s="115">
        <f>_xll.qlCalendarAdvance(Calendar,Y423,NDays&amp;"D")</f>
        <v>42718</v>
      </c>
      <c r="AA423" s="116">
        <v>2.3998765565565069E-2</v>
      </c>
      <c r="AB423" s="113">
        <v>2.3503375728425313E-2</v>
      </c>
    </row>
    <row r="424" spans="17:28" x14ac:dyDescent="0.2">
      <c r="Q424" s="72"/>
      <c r="T424" s="72"/>
      <c r="U424" s="93"/>
      <c r="X424" s="114" t="str">
        <f t="shared" si="19"/>
        <v>1D</v>
      </c>
      <c r="Y424" s="112">
        <f>_xll.qlCalendarAdvance(Calendar,Y423,X424,"f",FALSE)</f>
        <v>42719</v>
      </c>
      <c r="Z424" s="115">
        <f>_xll.qlCalendarAdvance(Calendar,Y424,NDays&amp;"D")</f>
        <v>42719</v>
      </c>
      <c r="AA424" s="116">
        <v>2.4007814864994668E-2</v>
      </c>
      <c r="AB424" s="113">
        <v>2.3514027056118492E-2</v>
      </c>
    </row>
    <row r="425" spans="17:28" x14ac:dyDescent="0.2">
      <c r="Q425" s="72"/>
      <c r="T425" s="72"/>
      <c r="U425" s="93"/>
      <c r="X425" s="114" t="str">
        <f t="shared" si="19"/>
        <v>1D</v>
      </c>
      <c r="Y425" s="112">
        <f>_xll.qlCalendarAdvance(Calendar,Y424,X425,"f",FALSE)</f>
        <v>42720</v>
      </c>
      <c r="Z425" s="115">
        <f>_xll.qlCalendarAdvance(Calendar,Y425,NDays&amp;"D")</f>
        <v>42720</v>
      </c>
      <c r="AA425" s="116">
        <v>2.4016826782589984E-2</v>
      </c>
      <c r="AB425" s="113">
        <v>2.3536723348391485E-2</v>
      </c>
    </row>
    <row r="426" spans="17:28" x14ac:dyDescent="0.2">
      <c r="Q426" s="72"/>
      <c r="T426" s="72"/>
      <c r="U426" s="93"/>
      <c r="X426" s="114" t="str">
        <f t="shared" si="19"/>
        <v>1D</v>
      </c>
      <c r="Y426" s="112">
        <f>_xll.qlCalendarAdvance(Calendar,Y425,X426,"f",FALSE)</f>
        <v>42723</v>
      </c>
      <c r="Z426" s="115">
        <f>_xll.qlCalendarAdvance(Calendar,Y426,NDays&amp;"D")</f>
        <v>42723</v>
      </c>
      <c r="AA426" s="116">
        <v>2.4048582676668959E-2</v>
      </c>
      <c r="AB426" s="113">
        <v>2.355626052866211E-2</v>
      </c>
    </row>
    <row r="427" spans="17:28" x14ac:dyDescent="0.2">
      <c r="Q427" s="72"/>
      <c r="T427" s="72"/>
      <c r="U427" s="93"/>
      <c r="X427" s="114" t="str">
        <f t="shared" si="19"/>
        <v>1D</v>
      </c>
      <c r="Y427" s="112">
        <f>_xll.qlCalendarAdvance(Calendar,Y426,X427,"f",FALSE)</f>
        <v>42724</v>
      </c>
      <c r="Z427" s="115">
        <f>_xll.qlCalendarAdvance(Calendar,Y427,NDays&amp;"D")</f>
        <v>42724</v>
      </c>
      <c r="AA427" s="116">
        <v>2.4052500629686412E-2</v>
      </c>
      <c r="AB427" s="113">
        <v>2.3566725937321786E-2</v>
      </c>
    </row>
    <row r="428" spans="17:28" x14ac:dyDescent="0.2">
      <c r="Q428" s="72"/>
      <c r="T428" s="72"/>
      <c r="U428" s="93"/>
      <c r="X428" s="114" t="str">
        <f t="shared" si="19"/>
        <v>1D</v>
      </c>
      <c r="Y428" s="112">
        <f>_xll.qlCalendarAdvance(Calendar,Y427,X428,"f",FALSE)</f>
        <v>42725</v>
      </c>
      <c r="Z428" s="115">
        <f>_xll.qlCalendarAdvance(Calendar,Y428,NDays&amp;"D")</f>
        <v>42725</v>
      </c>
      <c r="AA428" s="116">
        <v>2.4061325634412805E-2</v>
      </c>
      <c r="AB428" s="113">
        <v>2.3577154162109926E-2</v>
      </c>
    </row>
    <row r="429" spans="17:28" x14ac:dyDescent="0.2">
      <c r="Q429" s="72"/>
      <c r="T429" s="72"/>
      <c r="U429" s="93"/>
      <c r="X429" s="114" t="str">
        <f t="shared" si="19"/>
        <v>1D</v>
      </c>
      <c r="Y429" s="112">
        <f>_xll.qlCalendarAdvance(Calendar,Y428,X429,"f",FALSE)</f>
        <v>42726</v>
      </c>
      <c r="Z429" s="115">
        <f>_xll.qlCalendarAdvance(Calendar,Y429,NDays&amp;"D")</f>
        <v>42726</v>
      </c>
      <c r="AA429" s="116">
        <v>2.4070113255833477E-2</v>
      </c>
      <c r="AB429" s="113">
        <v>2.3587545203107574E-2</v>
      </c>
    </row>
    <row r="430" spans="17:28" x14ac:dyDescent="0.2">
      <c r="Q430" s="72"/>
      <c r="T430" s="72"/>
      <c r="U430" s="93"/>
      <c r="X430" s="114" t="str">
        <f t="shared" si="19"/>
        <v>1D</v>
      </c>
      <c r="Y430" s="112">
        <f>_xll.qlCalendarAdvance(Calendar,Y429,X430,"f",FALSE)</f>
        <v>42727</v>
      </c>
      <c r="Z430" s="115">
        <f>_xll.qlCalendarAdvance(Calendar,Y430,NDays&amp;"D")</f>
        <v>42727</v>
      </c>
      <c r="AA430" s="116">
        <v>2.4078863493707088E-2</v>
      </c>
      <c r="AB430" s="113">
        <v>2.3621514848005454E-2</v>
      </c>
    </row>
    <row r="431" spans="17:28" x14ac:dyDescent="0.2">
      <c r="Q431" s="72"/>
      <c r="T431" s="72"/>
      <c r="U431" s="93"/>
      <c r="X431" s="114" t="str">
        <f t="shared" si="19"/>
        <v>1D</v>
      </c>
      <c r="Y431" s="112">
        <f>_xll.qlCalendarAdvance(Calendar,Y430,X431,"f",FALSE)</f>
        <v>42732</v>
      </c>
      <c r="Z431" s="115">
        <f>_xll.qlCalendarAdvance(Calendar,Y431,NDays&amp;"D")</f>
        <v>42732</v>
      </c>
      <c r="AA431" s="116">
        <v>2.4122053921473745E-2</v>
      </c>
      <c r="AB431" s="113">
        <v>2.3649110588439548E-2</v>
      </c>
    </row>
    <row r="432" spans="17:28" x14ac:dyDescent="0.2">
      <c r="Q432" s="72"/>
      <c r="T432" s="72"/>
      <c r="U432" s="93"/>
      <c r="X432" s="114" t="str">
        <f t="shared" si="19"/>
        <v>1D</v>
      </c>
      <c r="Y432" s="112">
        <f>_xll.qlCalendarAdvance(Calendar,Y431,X432,"f",FALSE)</f>
        <v>42733</v>
      </c>
      <c r="Z432" s="115">
        <f>_xll.qlCalendarAdvance(Calendar,Y432,NDays&amp;"D")</f>
        <v>42733</v>
      </c>
      <c r="AA432" s="116">
        <v>2.4130579853044627E-2</v>
      </c>
      <c r="AB432" s="113">
        <v>2.3659241342579573E-2</v>
      </c>
    </row>
    <row r="433" spans="17:28" x14ac:dyDescent="0.2">
      <c r="Q433" s="72"/>
      <c r="T433" s="72"/>
      <c r="U433" s="93"/>
      <c r="X433" s="114" t="str">
        <f t="shared" si="19"/>
        <v>1D</v>
      </c>
      <c r="Y433" s="112">
        <f>_xll.qlCalendarAdvance(Calendar,Y432,X433,"f",FALSE)</f>
        <v>42734</v>
      </c>
      <c r="Z433" s="115">
        <f>_xll.qlCalendarAdvance(Calendar,Y433,NDays&amp;"D")</f>
        <v>42734</v>
      </c>
      <c r="AA433" s="116">
        <v>2.4143813482319806E-2</v>
      </c>
      <c r="AB433" s="113">
        <v>2.3680915137738182E-2</v>
      </c>
    </row>
    <row r="434" spans="17:28" x14ac:dyDescent="0.2">
      <c r="Q434" s="72"/>
      <c r="T434" s="72"/>
      <c r="U434" s="93"/>
      <c r="X434" s="114" t="str">
        <f t="shared" si="19"/>
        <v>1D</v>
      </c>
      <c r="Y434" s="112">
        <f>_xll.qlCalendarAdvance(Calendar,Y433,X434,"f",FALSE)</f>
        <v>42737</v>
      </c>
      <c r="Z434" s="115">
        <f>_xll.qlCalendarAdvance(Calendar,Y434,NDays&amp;"D")</f>
        <v>42737</v>
      </c>
      <c r="AA434" s="116">
        <v>2.416900038915866E-2</v>
      </c>
      <c r="AB434" s="113">
        <v>2.3699392520505347E-2</v>
      </c>
    </row>
    <row r="435" spans="17:28" x14ac:dyDescent="0.2">
      <c r="Q435" s="72"/>
      <c r="T435" s="72"/>
      <c r="U435" s="93"/>
      <c r="X435" s="114" t="str">
        <f t="shared" si="19"/>
        <v>1D</v>
      </c>
      <c r="Y435" s="112">
        <f>_xll.qlCalendarAdvance(Calendar,Y434,X435,"f",FALSE)</f>
        <v>42738</v>
      </c>
      <c r="Z435" s="115">
        <f>_xll.qlCalendarAdvance(Calendar,Y435,NDays&amp;"D")</f>
        <v>42738</v>
      </c>
      <c r="AA435" s="116">
        <v>2.4172648728091429E-2</v>
      </c>
      <c r="AB435" s="113">
        <v>2.3709337355368731E-2</v>
      </c>
    </row>
    <row r="436" spans="17:28" x14ac:dyDescent="0.2">
      <c r="Q436" s="72"/>
      <c r="T436" s="72"/>
      <c r="U436" s="93"/>
      <c r="X436" s="114" t="str">
        <f t="shared" si="19"/>
        <v>1D</v>
      </c>
      <c r="Y436" s="112">
        <f>_xll.qlCalendarAdvance(Calendar,Y435,X436,"f",FALSE)</f>
        <v>42739</v>
      </c>
      <c r="Z436" s="115">
        <f>_xll.qlCalendarAdvance(Calendar,Y436,NDays&amp;"D")</f>
        <v>42739</v>
      </c>
      <c r="AA436" s="116">
        <v>2.418095034491816E-2</v>
      </c>
      <c r="AB436" s="113">
        <v>2.3719245006360579E-2</v>
      </c>
    </row>
    <row r="437" spans="17:28" x14ac:dyDescent="0.2">
      <c r="Q437" s="72"/>
      <c r="T437" s="72"/>
      <c r="U437" s="93"/>
      <c r="X437" s="114" t="str">
        <f t="shared" si="19"/>
        <v>1D</v>
      </c>
      <c r="Y437" s="112">
        <f>_xll.qlCalendarAdvance(Calendar,Y436,X437,"f",FALSE)</f>
        <v>42740</v>
      </c>
      <c r="Z437" s="115">
        <f>_xll.qlCalendarAdvance(Calendar,Y437,NDays&amp;"D")</f>
        <v>42740</v>
      </c>
      <c r="AA437" s="116">
        <v>2.4189214575151392E-2</v>
      </c>
      <c r="AB437" s="113">
        <v>2.3729115473480888E-2</v>
      </c>
    </row>
    <row r="438" spans="17:28" x14ac:dyDescent="0.2">
      <c r="Q438" s="72"/>
      <c r="T438" s="72"/>
      <c r="U438" s="93"/>
      <c r="X438" s="114" t="str">
        <f t="shared" si="19"/>
        <v>1D</v>
      </c>
      <c r="Y438" s="112">
        <f>_xll.qlCalendarAdvance(Calendar,Y437,X438,"f",FALSE)</f>
        <v>42741</v>
      </c>
      <c r="Z438" s="115">
        <f>_xll.qlCalendarAdvance(Calendar,Y438,NDays&amp;"D")</f>
        <v>42741</v>
      </c>
      <c r="AA438" s="116">
        <v>2.4197441418559694E-2</v>
      </c>
      <c r="AB438" s="113">
        <v>2.3750277706622306E-2</v>
      </c>
    </row>
    <row r="439" spans="17:28" x14ac:dyDescent="0.2">
      <c r="Q439" s="72"/>
      <c r="T439" s="72"/>
      <c r="U439" s="93"/>
      <c r="X439" s="114" t="str">
        <f t="shared" si="19"/>
        <v>1D</v>
      </c>
      <c r="Y439" s="112">
        <f>_xll.qlCalendarAdvance(Calendar,Y438,X439,"f",FALSE)</f>
        <v>42744</v>
      </c>
      <c r="Z439" s="115">
        <f>_xll.qlCalendarAdvance(Calendar,Y439,NDays&amp;"D")</f>
        <v>42744</v>
      </c>
      <c r="AA439" s="116">
        <v>2.422646122922302E-2</v>
      </c>
      <c r="AB439" s="113">
        <v>2.3768225503165707E-2</v>
      </c>
    </row>
    <row r="440" spans="17:28" x14ac:dyDescent="0.2">
      <c r="Q440" s="72"/>
      <c r="T440" s="72"/>
      <c r="U440" s="93"/>
      <c r="X440" s="114" t="str">
        <f t="shared" si="19"/>
        <v>1D</v>
      </c>
      <c r="Y440" s="112">
        <f>_xll.qlCalendarAdvance(Calendar,Y439,X440,"f",FALSE)</f>
        <v>42745</v>
      </c>
      <c r="Z440" s="115">
        <f>_xll.qlCalendarAdvance(Calendar,Y440,NDays&amp;"D")</f>
        <v>42745</v>
      </c>
      <c r="AA440" s="116">
        <v>2.4229974919460811E-2</v>
      </c>
      <c r="AB440" s="113">
        <v>2.377791005092833E-2</v>
      </c>
    </row>
    <row r="441" spans="17:28" x14ac:dyDescent="0.2">
      <c r="Q441" s="72"/>
      <c r="T441" s="72"/>
      <c r="U441" s="93"/>
      <c r="X441" s="114" t="str">
        <f t="shared" si="19"/>
        <v>1D</v>
      </c>
      <c r="Y441" s="112">
        <f>_xll.qlCalendarAdvance(Calendar,Y440,X441,"f",FALSE)</f>
        <v>42746</v>
      </c>
      <c r="Z441" s="115">
        <f>_xll.qlCalendarAdvance(Calendar,Y441,NDays&amp;"D")</f>
        <v>42746</v>
      </c>
      <c r="AA441" s="116">
        <v>2.4238014825381928E-2</v>
      </c>
      <c r="AB441" s="113">
        <v>2.3787557414738369E-2</v>
      </c>
    </row>
    <row r="442" spans="17:28" x14ac:dyDescent="0.2">
      <c r="Q442" s="72"/>
      <c r="T442" s="72"/>
      <c r="U442" s="93"/>
      <c r="X442" s="114" t="str">
        <f t="shared" si="19"/>
        <v>1D</v>
      </c>
      <c r="Y442" s="112">
        <f>_xll.qlCalendarAdvance(Calendar,Y441,X442,"f",FALSE)</f>
        <v>42747</v>
      </c>
      <c r="Z442" s="115">
        <f>_xll.qlCalendarAdvance(Calendar,Y442,NDays&amp;"D")</f>
        <v>42747</v>
      </c>
      <c r="AA442" s="116">
        <v>2.4246017343139952E-2</v>
      </c>
      <c r="AB442" s="113">
        <v>2.3797167594676871E-2</v>
      </c>
    </row>
    <row r="443" spans="17:28" x14ac:dyDescent="0.2">
      <c r="Q443" s="72"/>
      <c r="T443" s="72"/>
      <c r="U443" s="93"/>
      <c r="X443" s="114" t="str">
        <f t="shared" si="19"/>
        <v>1D</v>
      </c>
      <c r="Y443" s="112">
        <f>_xll.qlCalendarAdvance(Calendar,Y442,X443,"f",FALSE)</f>
        <v>42748</v>
      </c>
      <c r="Z443" s="115">
        <f>_xll.qlCalendarAdvance(Calendar,Y443,NDays&amp;"D")</f>
        <v>42748</v>
      </c>
      <c r="AA443" s="116">
        <v>2.425398247251245E-2</v>
      </c>
      <c r="AB443" s="113">
        <v>2.3817818054162242E-2</v>
      </c>
    </row>
    <row r="444" spans="17:28" x14ac:dyDescent="0.2">
      <c r="Q444" s="72"/>
      <c r="T444" s="72"/>
      <c r="U444" s="93"/>
      <c r="X444" s="114" t="str">
        <f t="shared" si="19"/>
        <v>1D</v>
      </c>
      <c r="Y444" s="112">
        <f>_xll.qlCalendarAdvance(Calendar,Y443,X444,"f",FALSE)</f>
        <v>42751</v>
      </c>
      <c r="Z444" s="115">
        <f>_xll.qlCalendarAdvance(Calendar,Y444,NDays&amp;"D")</f>
        <v>42751</v>
      </c>
      <c r="AA444" s="116">
        <v>2.4286514429183653E-2</v>
      </c>
      <c r="AB444" s="113">
        <v>2.3835236475634458E-2</v>
      </c>
    </row>
    <row r="445" spans="17:28" x14ac:dyDescent="0.2">
      <c r="Q445" s="72"/>
      <c r="T445" s="72"/>
      <c r="U445" s="93"/>
      <c r="X445" s="114" t="str">
        <f t="shared" si="19"/>
        <v>1D</v>
      </c>
      <c r="Y445" s="112">
        <f>_xll.qlCalendarAdvance(Calendar,Y444,X445,"f",FALSE)</f>
        <v>42752</v>
      </c>
      <c r="Z445" s="115">
        <f>_xll.qlCalendarAdvance(Calendar,Y445,NDays&amp;"D")</f>
        <v>42752</v>
      </c>
      <c r="AA445" s="116">
        <v>2.4289887348920521E-2</v>
      </c>
      <c r="AB445" s="113">
        <v>2.384466073605318E-2</v>
      </c>
    </row>
    <row r="446" spans="17:28" x14ac:dyDescent="0.2">
      <c r="Q446" s="72"/>
      <c r="T446" s="72"/>
      <c r="U446" s="93"/>
      <c r="X446" s="114" t="str">
        <f t="shared" si="19"/>
        <v>1D</v>
      </c>
      <c r="Y446" s="112">
        <f>_xll.qlCalendarAdvance(Calendar,Y445,X446,"f",FALSE)</f>
        <v>42753</v>
      </c>
      <c r="Z446" s="115">
        <f>_xll.qlCalendarAdvance(Calendar,Y446,NDays&amp;"D")</f>
        <v>42753</v>
      </c>
      <c r="AA446" s="116">
        <v>2.4293247285971042E-2</v>
      </c>
      <c r="AB446" s="113">
        <v>2.3854047812681412E-2</v>
      </c>
    </row>
    <row r="447" spans="17:28" x14ac:dyDescent="0.2">
      <c r="Q447" s="72"/>
      <c r="T447" s="72"/>
      <c r="U447" s="93"/>
      <c r="X447" s="114" t="str">
        <f t="shared" si="19"/>
        <v>1D</v>
      </c>
      <c r="Y447" s="112">
        <f>_xll.qlCalendarAdvance(Calendar,Y446,X447,"f",FALSE)</f>
        <v>42754</v>
      </c>
      <c r="Z447" s="115">
        <f>_xll.qlCalendarAdvance(Calendar,Y447,NDays&amp;"D")</f>
        <v>42754</v>
      </c>
      <c r="AA447" s="116">
        <v>2.4300988080470199E-2</v>
      </c>
      <c r="AB447" s="113">
        <v>2.3863397705276013E-2</v>
      </c>
    </row>
    <row r="448" spans="17:28" x14ac:dyDescent="0.2">
      <c r="Q448" s="72"/>
      <c r="T448" s="72"/>
      <c r="U448" s="93"/>
      <c r="X448" s="114" t="str">
        <f t="shared" si="19"/>
        <v>1D</v>
      </c>
      <c r="Y448" s="112">
        <f>_xll.qlCalendarAdvance(Calendar,Y447,X448,"f",FALSE)</f>
        <v>42755</v>
      </c>
      <c r="Z448" s="115">
        <f>_xll.qlCalendarAdvance(Calendar,Y448,NDays&amp;"D")</f>
        <v>42755</v>
      </c>
      <c r="AA448" s="116">
        <v>2.4308691485073669E-2</v>
      </c>
      <c r="AB448" s="113">
        <v>2.3883536177305247E-2</v>
      </c>
    </row>
    <row r="449" spans="17:28" x14ac:dyDescent="0.2">
      <c r="Q449" s="72"/>
      <c r="T449" s="72"/>
      <c r="U449" s="93"/>
      <c r="X449" s="114" t="str">
        <f t="shared" si="19"/>
        <v>1D</v>
      </c>
      <c r="Y449" s="112">
        <f>_xll.qlCalendarAdvance(Calendar,Y448,X449,"f",FALSE)</f>
        <v>42758</v>
      </c>
      <c r="Z449" s="115">
        <f>_xll.qlCalendarAdvance(Calendar,Y449,NDays&amp;"D")</f>
        <v>42758</v>
      </c>
      <c r="AA449" s="116">
        <v>2.4335886485541681E-2</v>
      </c>
      <c r="AB449" s="113">
        <v>2.3900425436776951E-2</v>
      </c>
    </row>
    <row r="450" spans="17:28" x14ac:dyDescent="0.2">
      <c r="Q450" s="72"/>
      <c r="T450" s="72"/>
      <c r="U450" s="93"/>
      <c r="X450" s="114" t="str">
        <f t="shared" si="19"/>
        <v>1D</v>
      </c>
      <c r="Y450" s="112">
        <f>_xll.qlCalendarAdvance(Calendar,Y449,X450,"f",FALSE)</f>
        <v>42759</v>
      </c>
      <c r="Z450" s="115">
        <f>_xll.qlCalendarAdvance(Calendar,Y450,NDays&amp;"D")</f>
        <v>42759</v>
      </c>
      <c r="AA450" s="116">
        <v>2.4339131200295568E-2</v>
      </c>
      <c r="AB450" s="113">
        <v>2.3909589409932819E-2</v>
      </c>
    </row>
    <row r="451" spans="17:28" x14ac:dyDescent="0.2">
      <c r="Q451" s="72"/>
      <c r="T451" s="72"/>
      <c r="U451" s="93"/>
      <c r="X451" s="114" t="str">
        <f t="shared" si="19"/>
        <v>1D</v>
      </c>
      <c r="Y451" s="112">
        <f>_xll.qlCalendarAdvance(Calendar,Y450,X451,"f",FALSE)</f>
        <v>42760</v>
      </c>
      <c r="Z451" s="115">
        <f>_xll.qlCalendarAdvance(Calendar,Y451,NDays&amp;"D")</f>
        <v>42760</v>
      </c>
      <c r="AA451" s="116">
        <v>2.4350920387986062E-2</v>
      </c>
      <c r="AB451" s="113">
        <v>2.392404500490386E-2</v>
      </c>
    </row>
    <row r="452" spans="17:28" x14ac:dyDescent="0.2">
      <c r="Q452" s="72"/>
      <c r="T452" s="72"/>
      <c r="U452" s="93"/>
      <c r="X452" s="114" t="str">
        <f t="shared" si="19"/>
        <v>1D</v>
      </c>
      <c r="Y452" s="112">
        <f>_xll.qlCalendarAdvance(Calendar,Y451,X452,"f",FALSE)</f>
        <v>42762</v>
      </c>
      <c r="Z452" s="115">
        <f>_xll.qlCalendarAdvance(Calendar,Y452,NDays&amp;"D")</f>
        <v>42762</v>
      </c>
      <c r="AA452" s="116">
        <v>2.4361568382519141E-2</v>
      </c>
      <c r="AB452" s="113">
        <v>2.3947432073106643E-2</v>
      </c>
    </row>
    <row r="453" spans="17:28" x14ac:dyDescent="0.2">
      <c r="Q453" s="72"/>
      <c r="T453" s="72"/>
      <c r="U453" s="93"/>
      <c r="X453" s="114" t="str">
        <f t="shared" si="19"/>
        <v>1D</v>
      </c>
      <c r="Y453" s="112">
        <f>_xll.qlCalendarAdvance(Calendar,Y452,X453,"f",FALSE)</f>
        <v>42765</v>
      </c>
      <c r="Z453" s="115">
        <f>_xll.qlCalendarAdvance(Calendar,Y453,NDays&amp;"D")</f>
        <v>42765</v>
      </c>
      <c r="AA453" s="116">
        <v>2.4375269679149734E-2</v>
      </c>
      <c r="AB453" s="113">
        <v>2.3963792385782723E-2</v>
      </c>
    </row>
    <row r="454" spans="17:28" x14ac:dyDescent="0.2">
      <c r="Q454" s="72"/>
      <c r="T454" s="72"/>
      <c r="U454" s="93"/>
      <c r="X454" s="114" t="str">
        <f t="shared" si="19"/>
        <v>1D</v>
      </c>
      <c r="Y454" s="112">
        <f>_xll.qlCalendarAdvance(Calendar,Y453,X454,"f",FALSE)</f>
        <v>42766</v>
      </c>
      <c r="Z454" s="115">
        <f>_xll.qlCalendarAdvance(Calendar,Y454,NDays&amp;"D")</f>
        <v>42766</v>
      </c>
      <c r="AA454" s="116">
        <v>2.4378398758316745E-2</v>
      </c>
      <c r="AB454" s="113">
        <v>2.3972696071270505E-2</v>
      </c>
    </row>
    <row r="455" spans="17:28" x14ac:dyDescent="0.2">
      <c r="Q455" s="72"/>
      <c r="T455" s="72"/>
      <c r="U455" s="93"/>
      <c r="X455" s="114" t="str">
        <f t="shared" si="19"/>
        <v>1D</v>
      </c>
      <c r="Y455" s="112">
        <f>_xll.qlCalendarAdvance(Calendar,Y454,X455,"f",FALSE)</f>
        <v>42767</v>
      </c>
      <c r="Z455" s="115">
        <f>_xll.qlCalendarAdvance(Calendar,Y455,NDays&amp;"D")</f>
        <v>42767</v>
      </c>
      <c r="AA455" s="116">
        <v>2.4394058582123974E-2</v>
      </c>
      <c r="AB455" s="113">
        <v>2.3981562572967796E-2</v>
      </c>
    </row>
    <row r="456" spans="17:28" x14ac:dyDescent="0.2">
      <c r="Q456" s="72"/>
      <c r="T456" s="72"/>
      <c r="U456" s="93"/>
      <c r="X456" s="114" t="str">
        <f t="shared" si="19"/>
        <v>1D</v>
      </c>
      <c r="Y456" s="112">
        <f>_xll.qlCalendarAdvance(Calendar,Y455,X456,"f",FALSE)</f>
        <v>42768</v>
      </c>
      <c r="Z456" s="115">
        <f>_xll.qlCalendarAdvance(Calendar,Y456,NDays&amp;"D")</f>
        <v>42768</v>
      </c>
      <c r="AA456" s="116">
        <v>2.4401294113743609E-2</v>
      </c>
      <c r="AB456" s="113">
        <v>2.3990391890550411E-2</v>
      </c>
    </row>
    <row r="457" spans="17:28" x14ac:dyDescent="0.2">
      <c r="Q457" s="72"/>
      <c r="T457" s="72"/>
      <c r="U457" s="93"/>
      <c r="X457" s="114" t="str">
        <f t="shared" si="19"/>
        <v>1D</v>
      </c>
      <c r="Y457" s="112">
        <f>_xll.qlCalendarAdvance(Calendar,Y456,X457,"f",FALSE)</f>
        <v>42769</v>
      </c>
      <c r="Z457" s="115">
        <f>_xll.qlCalendarAdvance(Calendar,Y457,NDays&amp;"D")</f>
        <v>42769</v>
      </c>
      <c r="AA457" s="116">
        <v>2.4408492255041332E-2</v>
      </c>
      <c r="AB457" s="113">
        <v>2.4009505738675777E-2</v>
      </c>
    </row>
    <row r="458" spans="17:28" x14ac:dyDescent="0.2">
      <c r="Q458" s="72"/>
      <c r="T458" s="72"/>
      <c r="U458" s="93"/>
      <c r="X458" s="114" t="str">
        <f t="shared" si="19"/>
        <v>1D</v>
      </c>
      <c r="Y458" s="112">
        <f>_xll.qlCalendarAdvance(Calendar,Y457,X458,"f",FALSE)</f>
        <v>42772</v>
      </c>
      <c r="Z458" s="115">
        <f>_xll.qlCalendarAdvance(Calendar,Y458,NDays&amp;"D")</f>
        <v>42772</v>
      </c>
      <c r="AA458" s="116">
        <v>2.443798268397019E-2</v>
      </c>
      <c r="AB458" s="113">
        <v>2.4025337321598172E-2</v>
      </c>
    </row>
    <row r="459" spans="17:28" x14ac:dyDescent="0.2">
      <c r="Q459" s="72"/>
      <c r="T459" s="72"/>
      <c r="U459" s="93"/>
      <c r="X459" s="114" t="str">
        <f t="shared" si="19"/>
        <v>1D</v>
      </c>
      <c r="Y459" s="112">
        <f>_xll.qlCalendarAdvance(Calendar,Y458,X459,"f",FALSE)</f>
        <v>42773</v>
      </c>
      <c r="Z459" s="115">
        <f>_xll.qlCalendarAdvance(Calendar,Y459,NDays&amp;"D")</f>
        <v>42773</v>
      </c>
      <c r="AA459" s="116">
        <v>2.4440958859067375E-2</v>
      </c>
      <c r="AB459" s="113">
        <v>2.4033980719498915E-2</v>
      </c>
    </row>
    <row r="460" spans="17:28" x14ac:dyDescent="0.2">
      <c r="Q460" s="72"/>
      <c r="T460" s="72"/>
      <c r="U460" s="93"/>
      <c r="X460" s="114" t="str">
        <f t="shared" si="19"/>
        <v>1D</v>
      </c>
      <c r="Y460" s="112">
        <f>_xll.qlCalendarAdvance(Calendar,Y459,X460,"f",FALSE)</f>
        <v>42774</v>
      </c>
      <c r="Z460" s="115">
        <f>_xll.qlCalendarAdvance(Calendar,Y460,NDays&amp;"D")</f>
        <v>42774</v>
      </c>
      <c r="AA460" s="116">
        <v>2.4443922099885173E-2</v>
      </c>
      <c r="AB460" s="113">
        <v>2.4042586933447074E-2</v>
      </c>
    </row>
    <row r="461" spans="17:28" x14ac:dyDescent="0.2">
      <c r="Q461" s="72"/>
      <c r="T461" s="72"/>
      <c r="U461" s="93"/>
      <c r="X461" s="114" t="str">
        <f t="shared" si="19"/>
        <v>1D</v>
      </c>
      <c r="Y461" s="112">
        <f>_xll.qlCalendarAdvance(Calendar,Y460,X461,"f",FALSE)</f>
        <v>42775</v>
      </c>
      <c r="Z461" s="115">
        <f>_xll.qlCalendarAdvance(Calendar,Y461,NDays&amp;"D")</f>
        <v>42775</v>
      </c>
      <c r="AA461" s="116">
        <v>2.445089589517634E-2</v>
      </c>
      <c r="AB461" s="113">
        <v>2.4051155963361603E-2</v>
      </c>
    </row>
    <row r="462" spans="17:28" x14ac:dyDescent="0.2">
      <c r="Q462" s="72"/>
      <c r="T462" s="72"/>
      <c r="U462" s="93"/>
      <c r="X462" s="114" t="str">
        <f t="shared" si="19"/>
        <v>1D</v>
      </c>
      <c r="Y462" s="112">
        <f>_xll.qlCalendarAdvance(Calendar,Y461,X462,"f",FALSE)</f>
        <v>42776</v>
      </c>
      <c r="Z462" s="115">
        <f>_xll.qlCalendarAdvance(Calendar,Y462,NDays&amp;"D")</f>
        <v>42776</v>
      </c>
      <c r="AA462" s="116">
        <v>2.4457832298796039E-2</v>
      </c>
      <c r="AB462" s="113">
        <v>2.4069757171257072E-2</v>
      </c>
    </row>
    <row r="463" spans="17:28" x14ac:dyDescent="0.2">
      <c r="Q463" s="72"/>
      <c r="T463" s="72"/>
      <c r="U463" s="93"/>
      <c r="X463" s="114" t="str">
        <f t="shared" si="19"/>
        <v>1D</v>
      </c>
      <c r="Y463" s="112">
        <f>_xll.qlCalendarAdvance(Calendar,Y462,X463,"f",FALSE)</f>
        <v>42779</v>
      </c>
      <c r="Z463" s="115">
        <f>_xll.qlCalendarAdvance(Calendar,Y463,NDays&amp;"D")</f>
        <v>42779</v>
      </c>
      <c r="AA463" s="116">
        <v>2.4486284442231023E-2</v>
      </c>
      <c r="AB463" s="113">
        <v>2.4085060243412837E-2</v>
      </c>
    </row>
    <row r="464" spans="17:28" x14ac:dyDescent="0.2">
      <c r="Q464" s="72"/>
      <c r="T464" s="72"/>
      <c r="U464" s="93"/>
      <c r="X464" s="114" t="str">
        <f t="shared" si="19"/>
        <v>1D</v>
      </c>
      <c r="Y464" s="112">
        <f>_xll.qlCalendarAdvance(Calendar,Y463,X464,"f",FALSE)</f>
        <v>42780</v>
      </c>
      <c r="Z464" s="115">
        <f>_xll.qlCalendarAdvance(Calendar,Y464,NDays&amp;"D")</f>
        <v>42780</v>
      </c>
      <c r="AA464" s="116">
        <v>2.4489126537958664E-2</v>
      </c>
      <c r="AB464" s="113">
        <v>2.4093443353483401E-2</v>
      </c>
    </row>
    <row r="465" spans="17:28" x14ac:dyDescent="0.2">
      <c r="Q465" s="72"/>
      <c r="T465" s="72"/>
      <c r="U465" s="93"/>
      <c r="X465" s="114" t="str">
        <f t="shared" si="19"/>
        <v>1D</v>
      </c>
      <c r="Y465" s="112">
        <f>_xll.qlCalendarAdvance(Calendar,Y464,X465,"f",FALSE)</f>
        <v>42781</v>
      </c>
      <c r="Z465" s="115">
        <f>_xll.qlCalendarAdvance(Calendar,Y465,NDays&amp;"D")</f>
        <v>42781</v>
      </c>
      <c r="AA465" s="116">
        <v>2.4491955716305313E-2</v>
      </c>
      <c r="AB465" s="113">
        <v>2.4101789279601382E-2</v>
      </c>
    </row>
    <row r="466" spans="17:28" x14ac:dyDescent="0.2">
      <c r="Q466" s="72"/>
      <c r="T466" s="72"/>
      <c r="U466" s="93"/>
      <c r="X466" s="114" t="str">
        <f t="shared" si="19"/>
        <v>1D</v>
      </c>
      <c r="Y466" s="112">
        <f>_xll.qlCalendarAdvance(Calendar,Y465,X466,"f",FALSE)</f>
        <v>42782</v>
      </c>
      <c r="Z466" s="115">
        <f>_xll.qlCalendarAdvance(Calendar,Y466,NDays&amp;"D")</f>
        <v>42782</v>
      </c>
      <c r="AA466" s="116">
        <v>2.4498670891852661E-2</v>
      </c>
      <c r="AB466" s="113">
        <v>2.4110098021685733E-2</v>
      </c>
    </row>
    <row r="467" spans="17:28" x14ac:dyDescent="0.2">
      <c r="Q467" s="72"/>
      <c r="T467" s="72"/>
      <c r="U467" s="93"/>
      <c r="X467" s="114" t="str">
        <f t="shared" si="19"/>
        <v>1D</v>
      </c>
      <c r="Y467" s="112">
        <f>_xll.qlCalendarAdvance(Calendar,Y466,X467,"f",FALSE)</f>
        <v>42783</v>
      </c>
      <c r="Z467" s="115">
        <f>_xll.qlCalendarAdvance(Calendar,Y467,NDays&amp;"D")</f>
        <v>42783</v>
      </c>
      <c r="AA467" s="116">
        <v>2.4505350702037632E-2</v>
      </c>
      <c r="AB467" s="113">
        <v>2.4128186368067944E-2</v>
      </c>
    </row>
    <row r="468" spans="17:28" x14ac:dyDescent="0.2">
      <c r="Q468" s="72"/>
      <c r="T468" s="72"/>
      <c r="U468" s="93"/>
      <c r="X468" s="114" t="str">
        <f t="shared" si="19"/>
        <v>1D</v>
      </c>
      <c r="Y468" s="112">
        <f>_xll.qlCalendarAdvance(Calendar,Y467,X468,"f",FALSE)</f>
        <v>42786</v>
      </c>
      <c r="Z468" s="115">
        <f>_xll.qlCalendarAdvance(Calendar,Y468,NDays&amp;"D")</f>
        <v>42786</v>
      </c>
      <c r="AA468" s="116">
        <v>2.4532831906131532E-2</v>
      </c>
      <c r="AB468" s="113">
        <v>2.4142961150254161E-2</v>
      </c>
    </row>
    <row r="469" spans="17:28" x14ac:dyDescent="0.2">
      <c r="Q469" s="72"/>
      <c r="T469" s="72"/>
      <c r="U469" s="93"/>
      <c r="X469" s="114" t="str">
        <f t="shared" ref="X469:X532" si="20">X468</f>
        <v>1D</v>
      </c>
      <c r="Y469" s="112">
        <f>_xll.qlCalendarAdvance(Calendar,Y468,X469,"f",FALSE)</f>
        <v>42787</v>
      </c>
      <c r="Z469" s="115">
        <f>_xll.qlCalendarAdvance(Calendar,Y469,NDays&amp;"D")</f>
        <v>42787</v>
      </c>
      <c r="AA469" s="116">
        <v>2.4535540897636248E-2</v>
      </c>
      <c r="AB469" s="113">
        <v>2.4151083972332454E-2</v>
      </c>
    </row>
    <row r="470" spans="17:28" x14ac:dyDescent="0.2">
      <c r="Q470" s="72"/>
      <c r="T470" s="72"/>
      <c r="U470" s="93"/>
      <c r="X470" s="114" t="str">
        <f t="shared" si="20"/>
        <v>1D</v>
      </c>
      <c r="Y470" s="112">
        <f>_xll.qlCalendarAdvance(Calendar,Y469,X470,"f",FALSE)</f>
        <v>42788</v>
      </c>
      <c r="Z470" s="115">
        <f>_xll.qlCalendarAdvance(Calendar,Y470,NDays&amp;"D")</f>
        <v>42788</v>
      </c>
      <c r="AA470" s="116">
        <v>2.4538237008171357E-2</v>
      </c>
      <c r="AB470" s="113">
        <v>2.4159169610539211E-2</v>
      </c>
    </row>
    <row r="471" spans="17:28" x14ac:dyDescent="0.2">
      <c r="Q471" s="72"/>
      <c r="T471" s="72"/>
      <c r="U471" s="93"/>
      <c r="X471" s="114" t="str">
        <f t="shared" si="20"/>
        <v>1D</v>
      </c>
      <c r="Y471" s="112">
        <f>_xll.qlCalendarAdvance(Calendar,Y470,X471,"f",FALSE)</f>
        <v>42789</v>
      </c>
      <c r="Z471" s="115">
        <f>_xll.qlCalendarAdvance(Calendar,Y471,NDays&amp;"D")</f>
        <v>42789</v>
      </c>
      <c r="AA471" s="116">
        <v>2.4544715267625229E-2</v>
      </c>
      <c r="AB471" s="113">
        <v>2.4167218064712337E-2</v>
      </c>
    </row>
    <row r="472" spans="17:28" x14ac:dyDescent="0.2">
      <c r="Q472" s="72"/>
      <c r="T472" s="72"/>
      <c r="U472" s="93"/>
      <c r="X472" s="114" t="str">
        <f t="shared" si="20"/>
        <v>1D</v>
      </c>
      <c r="Y472" s="112">
        <f>_xll.qlCalendarAdvance(Calendar,Y471,X472,"f",FALSE)</f>
        <v>42790</v>
      </c>
      <c r="Z472" s="115">
        <f>_xll.qlCalendarAdvance(Calendar,Y472,NDays&amp;"D")</f>
        <v>42790</v>
      </c>
      <c r="AA472" s="116">
        <v>2.4551161708902085E-2</v>
      </c>
      <c r="AB472" s="113">
        <v>2.4184793326595958E-2</v>
      </c>
    </row>
    <row r="473" spans="17:28" x14ac:dyDescent="0.2">
      <c r="Q473" s="72"/>
      <c r="T473" s="72"/>
      <c r="U473" s="93"/>
      <c r="X473" s="114" t="str">
        <f t="shared" si="20"/>
        <v>1D</v>
      </c>
      <c r="Y473" s="112">
        <f>_xll.qlCalendarAdvance(Calendar,Y472,X473,"f",FALSE)</f>
        <v>42793</v>
      </c>
      <c r="Z473" s="115">
        <f>_xll.qlCalendarAdvance(Calendar,Y473,NDays&amp;"D")</f>
        <v>42793</v>
      </c>
      <c r="AA473" s="116">
        <v>2.4577789797075405E-2</v>
      </c>
      <c r="AB473" s="113">
        <v>2.4199040041149589E-2</v>
      </c>
    </row>
    <row r="474" spans="17:28" x14ac:dyDescent="0.2">
      <c r="Q474" s="72"/>
      <c r="T474" s="72"/>
      <c r="U474" s="93"/>
      <c r="X474" s="114" t="str">
        <f t="shared" si="20"/>
        <v>1D</v>
      </c>
      <c r="Y474" s="112">
        <f>_xll.qlCalendarAdvance(Calendar,Y473,X474,"f",FALSE)</f>
        <v>42794</v>
      </c>
      <c r="Z474" s="115">
        <f>_xll.qlCalendarAdvance(Calendar,Y474,NDays&amp;"D")</f>
        <v>42794</v>
      </c>
      <c r="AA474" s="116">
        <v>2.4587811763786258E-2</v>
      </c>
      <c r="AB474" s="113">
        <v>2.4206902575316658E-2</v>
      </c>
    </row>
    <row r="475" spans="17:28" x14ac:dyDescent="0.2">
      <c r="Q475" s="72"/>
      <c r="T475" s="72"/>
      <c r="U475" s="93"/>
      <c r="X475" s="114" t="str">
        <f t="shared" si="20"/>
        <v>1D</v>
      </c>
      <c r="Y475" s="112">
        <f>_xll.qlCalendarAdvance(Calendar,Y474,X475,"f",FALSE)</f>
        <v>42795</v>
      </c>
      <c r="Z475" s="115">
        <f>_xll.qlCalendarAdvance(Calendar,Y475,NDays&amp;"D")</f>
        <v>42795</v>
      </c>
      <c r="AA475" s="116">
        <v>2.4594076113707935E-2</v>
      </c>
      <c r="AB475" s="113">
        <v>2.4214727925369051E-2</v>
      </c>
    </row>
    <row r="476" spans="17:28" x14ac:dyDescent="0.2">
      <c r="Q476" s="72"/>
      <c r="T476" s="72"/>
      <c r="U476" s="93"/>
      <c r="X476" s="114" t="str">
        <f t="shared" si="20"/>
        <v>1D</v>
      </c>
      <c r="Y476" s="112">
        <f>_xll.qlCalendarAdvance(Calendar,Y475,X476,"f",FALSE)</f>
        <v>42796</v>
      </c>
      <c r="Z476" s="115">
        <f>_xll.qlCalendarAdvance(Calendar,Y476,NDays&amp;"D")</f>
        <v>42796</v>
      </c>
      <c r="AA476" s="116">
        <v>2.4600312870792566E-2</v>
      </c>
      <c r="AB476" s="113">
        <v>2.4222516091387813E-2</v>
      </c>
    </row>
    <row r="477" spans="17:28" x14ac:dyDescent="0.2">
      <c r="Q477" s="72"/>
      <c r="T477" s="72"/>
      <c r="U477" s="93"/>
      <c r="X477" s="114" t="str">
        <f t="shared" si="20"/>
        <v>1D</v>
      </c>
      <c r="Y477" s="112">
        <f>_xll.qlCalendarAdvance(Calendar,Y476,X477,"f",FALSE)</f>
        <v>42797</v>
      </c>
      <c r="Z477" s="115">
        <f>_xll.qlCalendarAdvance(Calendar,Y477,NDays&amp;"D")</f>
        <v>42797</v>
      </c>
      <c r="AA477" s="116">
        <v>2.4613893361999491E-2</v>
      </c>
      <c r="AB477" s="113">
        <v>2.4239578044247628E-2</v>
      </c>
    </row>
    <row r="478" spans="17:28" x14ac:dyDescent="0.2">
      <c r="Q478" s="72"/>
      <c r="T478" s="72"/>
      <c r="U478" s="93"/>
      <c r="X478" s="114" t="str">
        <f t="shared" si="20"/>
        <v>1D</v>
      </c>
      <c r="Y478" s="112">
        <f>_xll.qlCalendarAdvance(Calendar,Y477,X478,"f",FALSE)</f>
        <v>42800</v>
      </c>
      <c r="Z478" s="115">
        <f>_xll.qlCalendarAdvance(Calendar,Y478,NDays&amp;"D")</f>
        <v>42800</v>
      </c>
      <c r="AA478" s="116">
        <v>2.4624993777815133E-2</v>
      </c>
      <c r="AB478" s="113">
        <v>2.4253296915450751E-2</v>
      </c>
    </row>
    <row r="479" spans="17:28" x14ac:dyDescent="0.2">
      <c r="Q479" s="72"/>
      <c r="T479" s="72"/>
      <c r="U479" s="93"/>
      <c r="X479" s="114" t="str">
        <f t="shared" si="20"/>
        <v>1D</v>
      </c>
      <c r="Y479" s="112">
        <f>_xll.qlCalendarAdvance(Calendar,Y478,X479,"f",FALSE)</f>
        <v>42801</v>
      </c>
      <c r="Z479" s="115">
        <f>_xll.qlCalendarAdvance(Calendar,Y479,NDays&amp;"D")</f>
        <v>42801</v>
      </c>
      <c r="AA479" s="116">
        <v>2.4631099926045064E-2</v>
      </c>
      <c r="AB479" s="113">
        <v>2.4260899161463456E-2</v>
      </c>
    </row>
    <row r="480" spans="17:28" x14ac:dyDescent="0.2">
      <c r="Q480" s="72"/>
      <c r="T480" s="72"/>
      <c r="U480" s="93"/>
      <c r="X480" s="114" t="str">
        <f t="shared" si="20"/>
        <v>1D</v>
      </c>
      <c r="Y480" s="112">
        <f>_xll.qlCalendarAdvance(Calendar,Y479,X480,"f",FALSE)</f>
        <v>42802</v>
      </c>
      <c r="Z480" s="115">
        <f>_xll.qlCalendarAdvance(Calendar,Y480,NDays&amp;"D")</f>
        <v>42802</v>
      </c>
      <c r="AA480" s="116">
        <v>2.463718142359677E-2</v>
      </c>
      <c r="AB480" s="113">
        <v>2.4268464223280439E-2</v>
      </c>
    </row>
    <row r="481" spans="17:28" x14ac:dyDescent="0.2">
      <c r="Q481" s="72"/>
      <c r="T481" s="72"/>
      <c r="U481" s="93"/>
      <c r="X481" s="114" t="str">
        <f t="shared" si="20"/>
        <v>1D</v>
      </c>
      <c r="Y481" s="112">
        <f>_xll.qlCalendarAdvance(Calendar,Y480,X481,"f",FALSE)</f>
        <v>42803</v>
      </c>
      <c r="Z481" s="115">
        <f>_xll.qlCalendarAdvance(Calendar,Y481,NDays&amp;"D")</f>
        <v>42803</v>
      </c>
      <c r="AA481" s="116">
        <v>2.4643238760844295E-2</v>
      </c>
      <c r="AB481" s="113">
        <v>2.4275992101225885E-2</v>
      </c>
    </row>
    <row r="482" spans="17:28" x14ac:dyDescent="0.2">
      <c r="Q482" s="72"/>
      <c r="T482" s="72"/>
      <c r="U482" s="93"/>
      <c r="X482" s="114" t="str">
        <f t="shared" si="20"/>
        <v>1D</v>
      </c>
      <c r="Y482" s="112">
        <f>_xll.qlCalendarAdvance(Calendar,Y481,X482,"f",FALSE)</f>
        <v>42804</v>
      </c>
      <c r="Z482" s="115">
        <f>_xll.qlCalendarAdvance(Calendar,Y482,NDays&amp;"D")</f>
        <v>42804</v>
      </c>
      <c r="AA482" s="116">
        <v>2.4660173460389408E-2</v>
      </c>
      <c r="AB482" s="113">
        <v>2.4292540518510524E-2</v>
      </c>
    </row>
    <row r="483" spans="17:28" x14ac:dyDescent="0.2">
      <c r="Q483" s="72"/>
      <c r="T483" s="72"/>
      <c r="U483" s="93"/>
      <c r="X483" s="114" t="str">
        <f t="shared" si="20"/>
        <v>1D</v>
      </c>
      <c r="Y483" s="112">
        <f>_xll.qlCalendarAdvance(Calendar,Y482,X483,"f",FALSE)</f>
        <v>42807</v>
      </c>
      <c r="Z483" s="115">
        <f>_xll.qlCalendarAdvance(Calendar,Y483,NDays&amp;"D")</f>
        <v>42807</v>
      </c>
      <c r="AA483" s="116">
        <v>2.4667236314354562E-2</v>
      </c>
      <c r="AB483" s="113">
        <v>2.4305731772266137E-2</v>
      </c>
    </row>
    <row r="484" spans="17:28" x14ac:dyDescent="0.2">
      <c r="Q484" s="72"/>
      <c r="T484" s="72"/>
      <c r="U484" s="93"/>
      <c r="X484" s="114" t="str">
        <f t="shared" si="20"/>
        <v>1D</v>
      </c>
      <c r="Y484" s="112">
        <f>_xll.qlCalendarAdvance(Calendar,Y483,X484,"f",FALSE)</f>
        <v>42808</v>
      </c>
      <c r="Z484" s="115">
        <f>_xll.qlCalendarAdvance(Calendar,Y484,NDays&amp;"D")</f>
        <v>42808</v>
      </c>
      <c r="AA484" s="116">
        <v>2.4673180205784372E-2</v>
      </c>
      <c r="AB484" s="113">
        <v>2.4313073729962387E-2</v>
      </c>
    </row>
    <row r="485" spans="17:28" x14ac:dyDescent="0.2">
      <c r="Q485" s="72"/>
      <c r="T485" s="72"/>
      <c r="U485" s="93"/>
      <c r="X485" s="114" t="str">
        <f t="shared" si="20"/>
        <v>1D</v>
      </c>
      <c r="Y485" s="112">
        <f>_xll.qlCalendarAdvance(Calendar,Y484,X485,"f",FALSE)</f>
        <v>42809</v>
      </c>
      <c r="Z485" s="115">
        <f>_xll.qlCalendarAdvance(Calendar,Y485,NDays&amp;"D")</f>
        <v>42809</v>
      </c>
      <c r="AA485" s="116">
        <v>2.467910287921506E-2</v>
      </c>
      <c r="AB485" s="113">
        <v>2.432037850354396E-2</v>
      </c>
    </row>
    <row r="486" spans="17:28" x14ac:dyDescent="0.2">
      <c r="Q486" s="72"/>
      <c r="T486" s="72"/>
      <c r="U486" s="93"/>
      <c r="X486" s="114" t="str">
        <f t="shared" si="20"/>
        <v>1D</v>
      </c>
      <c r="Y486" s="112">
        <f>_xll.qlCalendarAdvance(Calendar,Y485,X486,"f",FALSE)</f>
        <v>42810</v>
      </c>
      <c r="Z486" s="115">
        <f>_xll.qlCalendarAdvance(Calendar,Y486,NDays&amp;"D")</f>
        <v>42810</v>
      </c>
      <c r="AA486" s="116">
        <v>2.4685004825043579E-2</v>
      </c>
      <c r="AB486" s="113">
        <v>2.4327646093091904E-2</v>
      </c>
    </row>
    <row r="487" spans="17:28" x14ac:dyDescent="0.2">
      <c r="Q487" s="72"/>
      <c r="T487" s="72"/>
      <c r="U487" s="93"/>
      <c r="X487" s="114" t="str">
        <f t="shared" si="20"/>
        <v>1D</v>
      </c>
      <c r="Y487" s="112">
        <f>_xll.qlCalendarAdvance(Calendar,Y486,X487,"f",FALSE)</f>
        <v>42811</v>
      </c>
      <c r="Z487" s="115">
        <f>_xll.qlCalendarAdvance(Calendar,Y487,NDays&amp;"D")</f>
        <v>42811</v>
      </c>
      <c r="AA487" s="116">
        <v>2.4698085661409557E-2</v>
      </c>
      <c r="AB487" s="113">
        <v>2.4343680747061319E-2</v>
      </c>
    </row>
    <row r="488" spans="17:28" x14ac:dyDescent="0.2">
      <c r="Q488" s="72"/>
      <c r="T488" s="72"/>
      <c r="U488" s="93"/>
      <c r="X488" s="114" t="str">
        <f t="shared" si="20"/>
        <v>1D</v>
      </c>
      <c r="Y488" s="112">
        <f>_xll.qlCalendarAdvance(Calendar,Y487,X488,"f",FALSE)</f>
        <v>42814</v>
      </c>
      <c r="Z488" s="115">
        <f>_xll.qlCalendarAdvance(Calendar,Y488,NDays&amp;"D")</f>
        <v>42814</v>
      </c>
      <c r="AA488" s="116">
        <v>2.4708415140359513E-2</v>
      </c>
      <c r="AB488" s="113">
        <v>2.4356344610785285E-2</v>
      </c>
    </row>
    <row r="489" spans="17:28" x14ac:dyDescent="0.2">
      <c r="Q489" s="72"/>
      <c r="T489" s="72"/>
      <c r="U489" s="93"/>
      <c r="X489" s="114" t="str">
        <f t="shared" si="20"/>
        <v>1D</v>
      </c>
      <c r="Y489" s="112">
        <f>_xll.qlCalendarAdvance(Calendar,Y488,X489,"f",FALSE)</f>
        <v>42815</v>
      </c>
      <c r="Z489" s="115">
        <f>_xll.qlCalendarAdvance(Calendar,Y489,NDays&amp;"D")</f>
        <v>42815</v>
      </c>
      <c r="AA489" s="116">
        <v>2.471422080422481E-2</v>
      </c>
      <c r="AB489" s="113">
        <v>2.4363426280084033E-2</v>
      </c>
    </row>
    <row r="490" spans="17:28" x14ac:dyDescent="0.2">
      <c r="Q490" s="72"/>
      <c r="T490" s="72"/>
      <c r="U490" s="93"/>
      <c r="X490" s="114" t="str">
        <f t="shared" si="20"/>
        <v>1D</v>
      </c>
      <c r="Y490" s="112">
        <f>_xll.qlCalendarAdvance(Calendar,Y489,X490,"f",FALSE)</f>
        <v>42816</v>
      </c>
      <c r="Z490" s="115">
        <f>_xll.qlCalendarAdvance(Calendar,Y490,NDays&amp;"D")</f>
        <v>42816</v>
      </c>
      <c r="AA490" s="116">
        <v>2.4720008682929537E-2</v>
      </c>
      <c r="AB490" s="113">
        <v>2.4370470765268104E-2</v>
      </c>
    </row>
    <row r="491" spans="17:28" x14ac:dyDescent="0.2">
      <c r="Q491" s="72"/>
      <c r="T491" s="72"/>
      <c r="U491" s="93"/>
      <c r="X491" s="114" t="str">
        <f t="shared" si="20"/>
        <v>1D</v>
      </c>
      <c r="Y491" s="112">
        <f>_xll.qlCalendarAdvance(Calendar,Y490,X491,"f",FALSE)</f>
        <v>42817</v>
      </c>
      <c r="Z491" s="115">
        <f>_xll.qlCalendarAdvance(Calendar,Y491,NDays&amp;"D")</f>
        <v>42817</v>
      </c>
      <c r="AA491" s="116">
        <v>2.4725779266892674E-2</v>
      </c>
      <c r="AB491" s="113">
        <v>2.4377478066418545E-2</v>
      </c>
    </row>
    <row r="492" spans="17:28" x14ac:dyDescent="0.2">
      <c r="Q492" s="72"/>
      <c r="T492" s="72"/>
      <c r="U492" s="93"/>
      <c r="X492" s="114" t="str">
        <f t="shared" si="20"/>
        <v>1D</v>
      </c>
      <c r="Y492" s="112">
        <f>_xll.qlCalendarAdvance(Calendar,Y491,X492,"f",FALSE)</f>
        <v>42818</v>
      </c>
      <c r="Z492" s="115">
        <f>_xll.qlCalendarAdvance(Calendar,Y492,NDays&amp;"D")</f>
        <v>42818</v>
      </c>
      <c r="AA492" s="116">
        <v>2.4738690872647802E-2</v>
      </c>
      <c r="AB492" s="113">
        <v>2.4392998727630715E-2</v>
      </c>
    </row>
    <row r="493" spans="17:28" x14ac:dyDescent="0.2">
      <c r="Q493" s="72"/>
      <c r="T493" s="72"/>
      <c r="U493" s="93"/>
      <c r="X493" s="114" t="str">
        <f t="shared" si="20"/>
        <v>1D</v>
      </c>
      <c r="Y493" s="112">
        <f>_xll.qlCalendarAdvance(Calendar,Y492,X493,"f",FALSE)</f>
        <v>42821</v>
      </c>
      <c r="Z493" s="115">
        <f>_xll.qlCalendarAdvance(Calendar,Y493,NDays&amp;"D")</f>
        <v>42821</v>
      </c>
      <c r="AA493" s="116">
        <v>2.4748698463784517E-2</v>
      </c>
      <c r="AB493" s="113">
        <v>2.4405135430359826E-2</v>
      </c>
    </row>
    <row r="494" spans="17:28" x14ac:dyDescent="0.2">
      <c r="Q494" s="72"/>
      <c r="T494" s="72"/>
      <c r="U494" s="93"/>
      <c r="X494" s="114" t="str">
        <f t="shared" si="20"/>
        <v>1D</v>
      </c>
      <c r="Y494" s="112">
        <f>_xll.qlCalendarAdvance(Calendar,Y493,X494,"f",FALSE)</f>
        <v>42822</v>
      </c>
      <c r="Z494" s="115">
        <f>_xll.qlCalendarAdvance(Calendar,Y494,NDays&amp;"D")</f>
        <v>42822</v>
      </c>
      <c r="AA494" s="116">
        <v>2.4754389930411503E-2</v>
      </c>
      <c r="AB494" s="113">
        <v>2.4411956811098978E-2</v>
      </c>
    </row>
    <row r="495" spans="17:28" x14ac:dyDescent="0.2">
      <c r="Q495" s="72"/>
      <c r="T495" s="72"/>
      <c r="U495" s="93"/>
      <c r="X495" s="114" t="str">
        <f t="shared" si="20"/>
        <v>1D</v>
      </c>
      <c r="Y495" s="112">
        <f>_xll.qlCalendarAdvance(Calendar,Y494,X495,"f",FALSE)</f>
        <v>42823</v>
      </c>
      <c r="Z495" s="115">
        <f>_xll.qlCalendarAdvance(Calendar,Y495,NDays&amp;"D")</f>
        <v>42823</v>
      </c>
      <c r="AA495" s="116">
        <v>2.476006704486888E-2</v>
      </c>
      <c r="AB495" s="113">
        <v>2.4418741007804501E-2</v>
      </c>
    </row>
    <row r="496" spans="17:28" x14ac:dyDescent="0.2">
      <c r="Q496" s="72"/>
      <c r="T496" s="72"/>
      <c r="U496" s="93"/>
      <c r="X496" s="114" t="str">
        <f t="shared" si="20"/>
        <v>1D</v>
      </c>
      <c r="Y496" s="112">
        <f>_xll.qlCalendarAdvance(Calendar,Y495,X496,"f",FALSE)</f>
        <v>42824</v>
      </c>
      <c r="Z496" s="115">
        <f>_xll.qlCalendarAdvance(Calendar,Y496,NDays&amp;"D")</f>
        <v>42824</v>
      </c>
      <c r="AA496" s="116">
        <v>2.4765730297594123E-2</v>
      </c>
      <c r="AB496" s="113">
        <v>2.4425488020476394E-2</v>
      </c>
    </row>
    <row r="497" spans="17:28" x14ac:dyDescent="0.2">
      <c r="Q497" s="72"/>
      <c r="T497" s="72"/>
      <c r="U497" s="93"/>
      <c r="X497" s="114" t="str">
        <f t="shared" si="20"/>
        <v>1D</v>
      </c>
      <c r="Y497" s="112">
        <f>_xll.qlCalendarAdvance(Calendar,Y496,X497,"f",FALSE)</f>
        <v>42825</v>
      </c>
      <c r="Z497" s="115">
        <f>_xll.qlCalendarAdvance(Calendar,Y497,NDays&amp;"D")</f>
        <v>42825</v>
      </c>
      <c r="AA497" s="116">
        <v>2.4767811782922075E-2</v>
      </c>
      <c r="AB497" s="113">
        <v>2.4440494457922405E-2</v>
      </c>
    </row>
    <row r="498" spans="17:28" x14ac:dyDescent="0.2">
      <c r="Q498" s="72"/>
      <c r="T498" s="72"/>
      <c r="U498" s="93"/>
      <c r="X498" s="114" t="str">
        <f t="shared" si="20"/>
        <v>1D</v>
      </c>
      <c r="Y498" s="112">
        <f>_xll.qlCalendarAdvance(Calendar,Y497,X498,"f",FALSE)</f>
        <v>42828</v>
      </c>
      <c r="Z498" s="115">
        <f>_xll.qlCalendarAdvance(Calendar,Y498,NDays&amp;"D")</f>
        <v>42828</v>
      </c>
      <c r="AA498" s="116">
        <v>2.4784686649890052E-2</v>
      </c>
      <c r="AB498" s="113">
        <v>2.4452104230098248E-2</v>
      </c>
    </row>
    <row r="499" spans="17:28" x14ac:dyDescent="0.2">
      <c r="Q499" s="72"/>
      <c r="T499" s="72"/>
      <c r="U499" s="93"/>
      <c r="X499" s="114" t="str">
        <f t="shared" si="20"/>
        <v>1D</v>
      </c>
      <c r="Y499" s="112">
        <f>_xll.qlCalendarAdvance(Calendar,Y498,X499,"f",FALSE)</f>
        <v>42829</v>
      </c>
      <c r="Z499" s="115">
        <f>_xll.qlCalendarAdvance(Calendar,Y499,NDays&amp;"D")</f>
        <v>42829</v>
      </c>
      <c r="AA499" s="116">
        <v>2.4790287706471216E-2</v>
      </c>
      <c r="AB499" s="113">
        <v>2.4458665322277806E-2</v>
      </c>
    </row>
    <row r="500" spans="17:28" x14ac:dyDescent="0.2">
      <c r="Q500" s="72"/>
      <c r="T500" s="72"/>
      <c r="U500" s="93"/>
      <c r="X500" s="114" t="str">
        <f t="shared" si="20"/>
        <v>1D</v>
      </c>
      <c r="Y500" s="112">
        <f>_xll.qlCalendarAdvance(Calendar,Y499,X500,"f",FALSE)</f>
        <v>42830</v>
      </c>
      <c r="Z500" s="115">
        <f>_xll.qlCalendarAdvance(Calendar,Y500,NDays&amp;"D")</f>
        <v>42830</v>
      </c>
      <c r="AA500" s="116">
        <v>2.4795877639864478E-2</v>
      </c>
      <c r="AB500" s="113">
        <v>2.4465189230342688E-2</v>
      </c>
    </row>
    <row r="501" spans="17:28" x14ac:dyDescent="0.2">
      <c r="Q501" s="72"/>
      <c r="T501" s="72"/>
      <c r="U501" s="93"/>
      <c r="X501" s="114" t="str">
        <f t="shared" si="20"/>
        <v>1D</v>
      </c>
      <c r="Y501" s="112">
        <f>_xll.qlCalendarAdvance(Calendar,Y500,X501,"f",FALSE)</f>
        <v>42831</v>
      </c>
      <c r="Z501" s="115">
        <f>_xll.qlCalendarAdvance(Calendar,Y501,NDays&amp;"D")</f>
        <v>42831</v>
      </c>
      <c r="AA501" s="116">
        <v>2.4801456945886938E-2</v>
      </c>
      <c r="AB501" s="113">
        <v>2.4471675954373939E-2</v>
      </c>
    </row>
    <row r="502" spans="17:28" x14ac:dyDescent="0.2">
      <c r="Q502" s="72"/>
      <c r="T502" s="72"/>
      <c r="U502" s="93"/>
      <c r="X502" s="114" t="str">
        <f t="shared" si="20"/>
        <v>1D</v>
      </c>
      <c r="Y502" s="112">
        <f>_xll.qlCalendarAdvance(Calendar,Y501,X502,"f",FALSE)</f>
        <v>42832</v>
      </c>
      <c r="Z502" s="115">
        <f>_xll.qlCalendarAdvance(Calendar,Y502,NDays&amp;"D")</f>
        <v>42832</v>
      </c>
      <c r="AA502" s="116">
        <v>2.4807026120356585E-2</v>
      </c>
      <c r="AB502" s="113">
        <v>2.4486167935856194E-2</v>
      </c>
    </row>
    <row r="503" spans="17:28" x14ac:dyDescent="0.2">
      <c r="Q503" s="72"/>
      <c r="T503" s="72"/>
      <c r="U503" s="93"/>
      <c r="X503" s="114" t="str">
        <f t="shared" si="20"/>
        <v>1D</v>
      </c>
      <c r="Y503" s="112">
        <f>_xll.qlCalendarAdvance(Calendar,Y502,X503,"f",FALSE)</f>
        <v>42835</v>
      </c>
      <c r="Z503" s="115">
        <f>_xll.qlCalendarAdvance(Calendar,Y503,NDays&amp;"D")</f>
        <v>42835</v>
      </c>
      <c r="AA503" s="116">
        <v>2.4823677812664171E-2</v>
      </c>
      <c r="AB503" s="113">
        <v>2.4497251009352183E-2</v>
      </c>
    </row>
    <row r="504" spans="17:28" x14ac:dyDescent="0.2">
      <c r="Q504" s="72"/>
      <c r="T504" s="72"/>
      <c r="U504" s="93"/>
      <c r="X504" s="114" t="str">
        <f t="shared" si="20"/>
        <v>1D</v>
      </c>
      <c r="Y504" s="112">
        <f>_xll.qlCalendarAdvance(Calendar,Y503,X504,"f",FALSE)</f>
        <v>42836</v>
      </c>
      <c r="Z504" s="115">
        <f>_xll.qlCalendarAdvance(Calendar,Y504,NDays&amp;"D")</f>
        <v>42836</v>
      </c>
      <c r="AA504" s="116">
        <v>2.4829211419155905E-2</v>
      </c>
      <c r="AB504" s="113">
        <v>2.45035518128911E-2</v>
      </c>
    </row>
    <row r="505" spans="17:28" x14ac:dyDescent="0.2">
      <c r="Q505" s="72"/>
      <c r="T505" s="72"/>
      <c r="U505" s="93"/>
      <c r="X505" s="114" t="str">
        <f t="shared" si="20"/>
        <v>1D</v>
      </c>
      <c r="Y505" s="112">
        <f>_xll.qlCalendarAdvance(Calendar,Y504,X505,"f",FALSE)</f>
        <v>42837</v>
      </c>
      <c r="Z505" s="115">
        <f>_xll.qlCalendarAdvance(Calendar,Y505,NDays&amp;"D")</f>
        <v>42837</v>
      </c>
      <c r="AA505" s="116">
        <v>2.4834737373224849E-2</v>
      </c>
      <c r="AB505" s="113">
        <v>2.4509815432234294E-2</v>
      </c>
    </row>
    <row r="506" spans="17:28" x14ac:dyDescent="0.2">
      <c r="Q506" s="72"/>
      <c r="T506" s="72"/>
      <c r="U506" s="93"/>
      <c r="X506" s="114" t="str">
        <f t="shared" si="20"/>
        <v>1D</v>
      </c>
      <c r="Y506" s="112">
        <f>_xll.qlCalendarAdvance(Calendar,Y505,X506,"f",FALSE)</f>
        <v>42838</v>
      </c>
      <c r="Z506" s="115">
        <f>_xll.qlCalendarAdvance(Calendar,Y506,NDays&amp;"D")</f>
        <v>42838</v>
      </c>
      <c r="AA506" s="116">
        <v>2.4840256170706811E-2</v>
      </c>
      <c r="AB506" s="113">
        <v>2.4531642879276117E-2</v>
      </c>
    </row>
    <row r="507" spans="17:28" x14ac:dyDescent="0.2">
      <c r="Q507" s="72"/>
      <c r="T507" s="72"/>
      <c r="U507" s="93"/>
      <c r="X507" s="114" t="str">
        <f t="shared" si="20"/>
        <v>1D</v>
      </c>
      <c r="Y507" s="112">
        <f>_xll.qlCalendarAdvance(Calendar,Y506,X507,"f",FALSE)</f>
        <v>42843</v>
      </c>
      <c r="Z507" s="115">
        <f>_xll.qlCalendarAdvance(Calendar,Y507,NDays&amp;"D")</f>
        <v>42843</v>
      </c>
      <c r="AA507" s="116">
        <v>2.486776016371902E-2</v>
      </c>
      <c r="AB507" s="113">
        <v>2.4546616282209444E-2</v>
      </c>
    </row>
    <row r="508" spans="17:28" x14ac:dyDescent="0.2">
      <c r="Q508" s="72"/>
      <c r="T508" s="72"/>
      <c r="U508" s="93"/>
      <c r="X508" s="114" t="str">
        <f t="shared" si="20"/>
        <v>1D</v>
      </c>
      <c r="Y508" s="112">
        <f>_xll.qlCalendarAdvance(Calendar,Y507,X508,"f",FALSE)</f>
        <v>42844</v>
      </c>
      <c r="Z508" s="115">
        <f>_xll.qlCalendarAdvance(Calendar,Y508,NDays&amp;"D")</f>
        <v>42844</v>
      </c>
      <c r="AA508" s="116">
        <v>2.4873246434360959E-2</v>
      </c>
      <c r="AB508" s="113">
        <v>2.455261961283095E-2</v>
      </c>
    </row>
    <row r="509" spans="17:28" x14ac:dyDescent="0.2">
      <c r="Q509" s="72"/>
      <c r="T509" s="72"/>
      <c r="U509" s="93"/>
      <c r="X509" s="114" t="str">
        <f t="shared" si="20"/>
        <v>1D</v>
      </c>
      <c r="Y509" s="112">
        <f>_xll.qlCalendarAdvance(Calendar,Y508,X509,"f",FALSE)</f>
        <v>42845</v>
      </c>
      <c r="Z509" s="115">
        <f>_xll.qlCalendarAdvance(Calendar,Y509,NDays&amp;"D")</f>
        <v>42845</v>
      </c>
      <c r="AA509" s="116">
        <v>2.4878729019334214E-2</v>
      </c>
      <c r="AB509" s="113">
        <v>2.4558585759256735E-2</v>
      </c>
    </row>
    <row r="510" spans="17:28" x14ac:dyDescent="0.2">
      <c r="Q510" s="72"/>
      <c r="T510" s="72"/>
      <c r="U510" s="93"/>
      <c r="X510" s="114" t="str">
        <f t="shared" si="20"/>
        <v>1D</v>
      </c>
      <c r="Y510" s="112">
        <f>_xll.qlCalendarAdvance(Calendar,Y509,X510,"f",FALSE)</f>
        <v>42846</v>
      </c>
      <c r="Z510" s="115">
        <f>_xll.qlCalendarAdvance(Calendar,Y510,NDays&amp;"D")</f>
        <v>42846</v>
      </c>
      <c r="AA510" s="116">
        <v>2.4884208414497747E-2</v>
      </c>
      <c r="AB510" s="113">
        <v>2.4572048126464411E-2</v>
      </c>
    </row>
    <row r="511" spans="17:28" x14ac:dyDescent="0.2">
      <c r="Q511" s="72"/>
      <c r="T511" s="72"/>
      <c r="U511" s="93"/>
      <c r="X511" s="114" t="str">
        <f t="shared" si="20"/>
        <v>1D</v>
      </c>
      <c r="Y511" s="112">
        <f>_xll.qlCalendarAdvance(Calendar,Y510,X511,"f",FALSE)</f>
        <v>42849</v>
      </c>
      <c r="Z511" s="115">
        <f>_xll.qlCalendarAdvance(Calendar,Y511,NDays&amp;"D")</f>
        <v>42849</v>
      </c>
      <c r="AA511" s="116">
        <v>2.4900632419724934E-2</v>
      </c>
      <c r="AB511" s="113">
        <v>2.458579659032567E-2</v>
      </c>
    </row>
    <row r="512" spans="17:28" x14ac:dyDescent="0.2">
      <c r="Q512" s="72"/>
      <c r="T512" s="72"/>
      <c r="U512" s="93"/>
      <c r="X512" s="114" t="str">
        <f t="shared" si="20"/>
        <v>1D</v>
      </c>
      <c r="Y512" s="112">
        <f>_xll.qlCalendarAdvance(Calendar,Y511,X512,"f",FALSE)</f>
        <v>42851</v>
      </c>
      <c r="Z512" s="115">
        <f>_xll.qlCalendarAdvance(Calendar,Y512,NDays&amp;"D")</f>
        <v>42851</v>
      </c>
      <c r="AA512" s="116">
        <v>2.4911574898310595E-2</v>
      </c>
      <c r="AB512" s="113">
        <v>2.459360177140324E-2</v>
      </c>
    </row>
    <row r="513" spans="17:28" x14ac:dyDescent="0.2">
      <c r="Q513" s="72"/>
      <c r="T513" s="72"/>
      <c r="U513" s="93"/>
      <c r="X513" s="114" t="str">
        <f t="shared" si="20"/>
        <v>1D</v>
      </c>
      <c r="Y513" s="112">
        <f>_xll.qlCalendarAdvance(Calendar,Y512,X513,"f",FALSE)</f>
        <v>42852</v>
      </c>
      <c r="Z513" s="115">
        <f>_xll.qlCalendarAdvance(Calendar,Y513,NDays&amp;"D")</f>
        <v>42852</v>
      </c>
      <c r="AA513" s="116">
        <v>2.4917045567743865E-2</v>
      </c>
      <c r="AB513" s="113">
        <v>2.4599307628945244E-2</v>
      </c>
    </row>
    <row r="514" spans="17:28" x14ac:dyDescent="0.2">
      <c r="Q514" s="72"/>
      <c r="T514" s="72"/>
      <c r="U514" s="93"/>
      <c r="X514" s="114" t="str">
        <f t="shared" si="20"/>
        <v>1D</v>
      </c>
      <c r="Y514" s="112">
        <f>_xll.qlCalendarAdvance(Calendar,Y513,X514,"f",FALSE)</f>
        <v>42853</v>
      </c>
      <c r="Z514" s="115">
        <f>_xll.qlCalendarAdvance(Calendar,Y514,NDays&amp;"D")</f>
        <v>42853</v>
      </c>
      <c r="AA514" s="116">
        <v>2.4933393972206133E-2</v>
      </c>
      <c r="AB514" s="113">
        <v>2.461225483532966E-2</v>
      </c>
    </row>
    <row r="515" spans="17:28" x14ac:dyDescent="0.2">
      <c r="Q515" s="72"/>
      <c r="T515" s="72"/>
      <c r="U515" s="93"/>
      <c r="X515" s="114" t="str">
        <f t="shared" si="20"/>
        <v>1D</v>
      </c>
      <c r="Y515" s="112">
        <f>_xll.qlCalendarAdvance(Calendar,Y514,X515,"f",FALSE)</f>
        <v>42856</v>
      </c>
      <c r="Z515" s="115">
        <f>_xll.qlCalendarAdvance(Calendar,Y515,NDays&amp;"D")</f>
        <v>42856</v>
      </c>
      <c r="AA515" s="116">
        <v>2.4942570326746367E-2</v>
      </c>
      <c r="AB515" s="113">
        <v>2.4621759217804406E-2</v>
      </c>
    </row>
    <row r="516" spans="17:28" x14ac:dyDescent="0.2">
      <c r="Q516" s="72"/>
      <c r="T516" s="72"/>
      <c r="U516" s="93"/>
      <c r="X516" s="114" t="str">
        <f t="shared" si="20"/>
        <v>1D</v>
      </c>
      <c r="Y516" s="112">
        <f>_xll.qlCalendarAdvance(Calendar,Y515,X516,"f",FALSE)</f>
        <v>42857</v>
      </c>
      <c r="Z516" s="115">
        <f>_xll.qlCalendarAdvance(Calendar,Y516,NDays&amp;"D")</f>
        <v>42857</v>
      </c>
      <c r="AA516" s="116">
        <v>2.4948051297135364E-2</v>
      </c>
      <c r="AB516" s="113">
        <v>2.4627279154691983E-2</v>
      </c>
    </row>
    <row r="517" spans="17:28" x14ac:dyDescent="0.2">
      <c r="Q517" s="72"/>
      <c r="T517" s="72"/>
      <c r="U517" s="93"/>
      <c r="X517" s="114" t="str">
        <f t="shared" si="20"/>
        <v>1D</v>
      </c>
      <c r="Y517" s="112">
        <f>_xll.qlCalendarAdvance(Calendar,Y516,X517,"f",FALSE)</f>
        <v>42858</v>
      </c>
      <c r="Z517" s="115">
        <f>_xll.qlCalendarAdvance(Calendar,Y517,NDays&amp;"D")</f>
        <v>42858</v>
      </c>
      <c r="AA517" s="116">
        <v>2.495353508238591E-2</v>
      </c>
      <c r="AB517" s="113">
        <v>2.4632761907383838E-2</v>
      </c>
    </row>
    <row r="518" spans="17:28" x14ac:dyDescent="0.2">
      <c r="Q518" s="72"/>
      <c r="T518" s="72"/>
      <c r="U518" s="93"/>
      <c r="X518" s="114" t="str">
        <f t="shared" si="20"/>
        <v>1D</v>
      </c>
      <c r="Y518" s="112">
        <f>_xll.qlCalendarAdvance(Calendar,Y517,X518,"f",FALSE)</f>
        <v>42859</v>
      </c>
      <c r="Z518" s="115">
        <f>_xll.qlCalendarAdvance(Calendar,Y518,NDays&amp;"D")</f>
        <v>42859</v>
      </c>
      <c r="AA518" s="116">
        <v>2.4959022173034133E-2</v>
      </c>
      <c r="AB518" s="113">
        <v>2.4638207475961016E-2</v>
      </c>
    </row>
    <row r="519" spans="17:28" x14ac:dyDescent="0.2">
      <c r="Q519" s="72"/>
      <c r="T519" s="72"/>
      <c r="U519" s="93"/>
      <c r="X519" s="114" t="str">
        <f t="shared" si="20"/>
        <v>1D</v>
      </c>
      <c r="Y519" s="112">
        <f>_xll.qlCalendarAdvance(Calendar,Y518,X519,"f",FALSE)</f>
        <v>42860</v>
      </c>
      <c r="Z519" s="115">
        <f>_xll.qlCalendarAdvance(Calendar,Y519,NDays&amp;"D")</f>
        <v>42860</v>
      </c>
      <c r="AA519" s="116">
        <v>2.4975482054392328E-2</v>
      </c>
      <c r="AB519" s="113">
        <v>2.4650639284083585E-2</v>
      </c>
    </row>
    <row r="520" spans="17:28" x14ac:dyDescent="0.2">
      <c r="Q520" s="72"/>
      <c r="T520" s="72"/>
      <c r="U520" s="93"/>
      <c r="X520" s="114" t="str">
        <f t="shared" si="20"/>
        <v>1D</v>
      </c>
      <c r="Y520" s="112">
        <f>_xll.qlCalendarAdvance(Calendar,Y519,X520,"f",FALSE)</f>
        <v>42863</v>
      </c>
      <c r="Z520" s="115">
        <f>_xll.qlCalendarAdvance(Calendar,Y520,NDays&amp;"D")</f>
        <v>42863</v>
      </c>
      <c r="AA520" s="116">
        <v>2.4981013400408553E-2</v>
      </c>
      <c r="AB520" s="113">
        <v>2.4659617908717735E-2</v>
      </c>
    </row>
    <row r="521" spans="17:28" x14ac:dyDescent="0.2">
      <c r="Q521" s="72"/>
      <c r="T521" s="72"/>
      <c r="U521" s="93"/>
      <c r="X521" s="114" t="str">
        <f t="shared" si="20"/>
        <v>1D</v>
      </c>
      <c r="Y521" s="112">
        <f>_xll.qlCalendarAdvance(Calendar,Y520,X521,"f",FALSE)</f>
        <v>42864</v>
      </c>
      <c r="Z521" s="115">
        <f>_xll.qlCalendarAdvance(Calendar,Y521,NDays&amp;"D")</f>
        <v>42864</v>
      </c>
      <c r="AA521" s="116">
        <v>2.4986524376173599E-2</v>
      </c>
      <c r="AB521" s="113">
        <v>2.4664877556559439E-2</v>
      </c>
    </row>
    <row r="522" spans="17:28" x14ac:dyDescent="0.2">
      <c r="Q522" s="72"/>
      <c r="T522" s="72"/>
      <c r="U522" s="93"/>
      <c r="X522" s="114" t="str">
        <f t="shared" si="20"/>
        <v>1D</v>
      </c>
      <c r="Y522" s="112">
        <f>_xll.qlCalendarAdvance(Calendar,Y521,X522,"f",FALSE)</f>
        <v>42865</v>
      </c>
      <c r="Z522" s="115">
        <f>_xll.qlCalendarAdvance(Calendar,Y522,NDays&amp;"D")</f>
        <v>42865</v>
      </c>
      <c r="AA522" s="116">
        <v>2.499204160060689E-2</v>
      </c>
      <c r="AB522" s="113">
        <v>2.4670100020205421E-2</v>
      </c>
    </row>
    <row r="523" spans="17:28" x14ac:dyDescent="0.2">
      <c r="Q523" s="72"/>
      <c r="T523" s="72"/>
      <c r="U523" s="93"/>
      <c r="X523" s="114" t="str">
        <f t="shared" si="20"/>
        <v>1D</v>
      </c>
      <c r="Y523" s="112">
        <f>_xll.qlCalendarAdvance(Calendar,Y522,X523,"f",FALSE)</f>
        <v>42866</v>
      </c>
      <c r="Z523" s="115">
        <f>_xll.qlCalendarAdvance(Calendar,Y523,NDays&amp;"D")</f>
        <v>42866</v>
      </c>
      <c r="AA523" s="116">
        <v>2.4997565564263073E-2</v>
      </c>
      <c r="AB523" s="113">
        <v>2.4675285299736727E-2</v>
      </c>
    </row>
    <row r="524" spans="17:28" x14ac:dyDescent="0.2">
      <c r="Q524" s="72"/>
      <c r="T524" s="72"/>
      <c r="U524" s="93"/>
      <c r="X524" s="114" t="str">
        <f t="shared" si="20"/>
        <v>1D</v>
      </c>
      <c r="Y524" s="112">
        <f>_xll.qlCalendarAdvance(Calendar,Y523,X524,"f",FALSE)</f>
        <v>42867</v>
      </c>
      <c r="Z524" s="115">
        <f>_xll.qlCalendarAdvance(Calendar,Y524,NDays&amp;"D")</f>
        <v>42867</v>
      </c>
      <c r="AA524" s="116">
        <v>2.5010465153292034E-2</v>
      </c>
      <c r="AB524" s="113">
        <v>2.4687268753809482E-2</v>
      </c>
    </row>
    <row r="525" spans="17:28" x14ac:dyDescent="0.2">
      <c r="Q525" s="72"/>
      <c r="T525" s="72"/>
      <c r="U525" s="93"/>
      <c r="X525" s="114" t="str">
        <f t="shared" si="20"/>
        <v>1D</v>
      </c>
      <c r="Y525" s="112">
        <f>_xll.qlCalendarAdvance(Calendar,Y524,X525,"f",FALSE)</f>
        <v>42870</v>
      </c>
      <c r="Z525" s="115">
        <f>_xll.qlCalendarAdvance(Calendar,Y525,NDays&amp;"D")</f>
        <v>42870</v>
      </c>
      <c r="AA525" s="116">
        <v>2.5019736414915738E-2</v>
      </c>
      <c r="AB525" s="113">
        <v>2.4695931145689576E-2</v>
      </c>
    </row>
    <row r="526" spans="17:28" x14ac:dyDescent="0.2">
      <c r="Q526" s="72"/>
      <c r="T526" s="72"/>
      <c r="U526" s="93"/>
      <c r="X526" s="114" t="str">
        <f t="shared" si="20"/>
        <v>1D</v>
      </c>
      <c r="Y526" s="112">
        <f>_xll.qlCalendarAdvance(Calendar,Y525,X526,"f",FALSE)</f>
        <v>42871</v>
      </c>
      <c r="Z526" s="115">
        <f>_xll.qlCalendarAdvance(Calendar,Y526,NDays&amp;"D")</f>
        <v>42871</v>
      </c>
      <c r="AA526" s="116">
        <v>2.5025298408150827E-2</v>
      </c>
      <c r="AB526" s="113">
        <v>2.4701109900833185E-2</v>
      </c>
    </row>
    <row r="527" spans="17:28" x14ac:dyDescent="0.2">
      <c r="Q527" s="72"/>
      <c r="T527" s="72"/>
      <c r="U527" s="93"/>
      <c r="X527" s="114" t="str">
        <f t="shared" si="20"/>
        <v>1D</v>
      </c>
      <c r="Y527" s="112">
        <f>_xll.qlCalendarAdvance(Calendar,Y526,X527,"f",FALSE)</f>
        <v>42872</v>
      </c>
      <c r="Z527" s="115">
        <f>_xll.qlCalendarAdvance(Calendar,Y527,NDays&amp;"D")</f>
        <v>42872</v>
      </c>
      <c r="AA527" s="116">
        <v>2.5030868121856384E-2</v>
      </c>
      <c r="AB527" s="113">
        <v>2.47062963209288E-2</v>
      </c>
    </row>
    <row r="528" spans="17:28" x14ac:dyDescent="0.2">
      <c r="Q528" s="72"/>
      <c r="T528" s="72"/>
      <c r="U528" s="93"/>
      <c r="X528" s="114" t="str">
        <f t="shared" si="20"/>
        <v>1D</v>
      </c>
      <c r="Y528" s="112">
        <f>_xll.qlCalendarAdvance(Calendar,Y527,X528,"f",FALSE)</f>
        <v>42873</v>
      </c>
      <c r="Z528" s="115">
        <f>_xll.qlCalendarAdvance(Calendar,Y528,NDays&amp;"D")</f>
        <v>42873</v>
      </c>
      <c r="AA528" s="116">
        <v>2.5036445556062364E-2</v>
      </c>
      <c r="AB528" s="113">
        <v>2.4711490406057468E-2</v>
      </c>
    </row>
    <row r="529" spans="17:28" x14ac:dyDescent="0.2">
      <c r="Q529" s="72"/>
      <c r="T529" s="72"/>
      <c r="U529" s="93"/>
      <c r="X529" s="114" t="str">
        <f t="shared" si="20"/>
        <v>1D</v>
      </c>
      <c r="Y529" s="112">
        <f>_xll.qlCalendarAdvance(Calendar,Y528,X529,"f",FALSE)</f>
        <v>42874</v>
      </c>
      <c r="Z529" s="115">
        <f>_xll.qlCalendarAdvance(Calendar,Y529,NDays&amp;"D")</f>
        <v>42874</v>
      </c>
      <c r="AA529" s="116">
        <v>2.5049458481272015E-2</v>
      </c>
      <c r="AB529" s="113">
        <v>2.472357860917929E-2</v>
      </c>
    </row>
    <row r="530" spans="17:28" x14ac:dyDescent="0.2">
      <c r="Q530" s="72"/>
      <c r="T530" s="72"/>
      <c r="U530" s="93"/>
      <c r="X530" s="114" t="str">
        <f t="shared" si="20"/>
        <v>1D</v>
      </c>
      <c r="Y530" s="112">
        <f>_xll.qlCalendarAdvance(Calendar,Y529,X530,"f",FALSE)</f>
        <v>42877</v>
      </c>
      <c r="Z530" s="115">
        <f>_xll.qlCalendarAdvance(Calendar,Y530,NDays&amp;"D")</f>
        <v>42877</v>
      </c>
      <c r="AA530" s="116">
        <v>2.5058832498546811E-2</v>
      </c>
      <c r="AB530" s="113">
        <v>2.4732343395930112E-2</v>
      </c>
    </row>
    <row r="531" spans="17:28" x14ac:dyDescent="0.2">
      <c r="Q531" s="72"/>
      <c r="T531" s="72"/>
      <c r="U531" s="93"/>
      <c r="X531" s="114" t="str">
        <f t="shared" si="20"/>
        <v>1D</v>
      </c>
      <c r="Y531" s="112">
        <f>_xll.qlCalendarAdvance(Calendar,Y530,X531,"f",FALSE)</f>
        <v>42878</v>
      </c>
      <c r="Z531" s="115">
        <f>_xll.qlCalendarAdvance(Calendar,Y531,NDays&amp;"D")</f>
        <v>42878</v>
      </c>
      <c r="AA531" s="116">
        <v>2.506444853574559E-2</v>
      </c>
      <c r="AB531" s="113">
        <v>2.4737575805818812E-2</v>
      </c>
    </row>
    <row r="532" spans="17:28" x14ac:dyDescent="0.2">
      <c r="Q532" s="72"/>
      <c r="T532" s="72"/>
      <c r="U532" s="93"/>
      <c r="X532" s="114" t="str">
        <f t="shared" si="20"/>
        <v>1D</v>
      </c>
      <c r="Y532" s="112">
        <f>_xll.qlCalendarAdvance(Calendar,Y531,X532,"f",FALSE)</f>
        <v>42879</v>
      </c>
      <c r="Z532" s="115">
        <f>_xll.qlCalendarAdvance(Calendar,Y532,NDays&amp;"D")</f>
        <v>42879</v>
      </c>
      <c r="AA532" s="116">
        <v>2.5070072293640354E-2</v>
      </c>
      <c r="AB532" s="113">
        <v>2.4742815880659519E-2</v>
      </c>
    </row>
    <row r="533" spans="17:28" x14ac:dyDescent="0.2">
      <c r="Q533" s="72"/>
      <c r="T533" s="72"/>
      <c r="U533" s="93"/>
      <c r="X533" s="114" t="str">
        <f t="shared" ref="X533:X596" si="21">X532</f>
        <v>1D</v>
      </c>
      <c r="Y533" s="112">
        <f>_xll.qlCalendarAdvance(Calendar,Y532,X533,"f",FALSE)</f>
        <v>42880</v>
      </c>
      <c r="Z533" s="115">
        <f>_xll.qlCalendarAdvance(Calendar,Y533,NDays&amp;"D")</f>
        <v>42880</v>
      </c>
      <c r="AA533" s="116">
        <v>2.5075703772262828E-2</v>
      </c>
      <c r="AB533" s="113">
        <v>2.4748063620452232E-2</v>
      </c>
    </row>
    <row r="534" spans="17:28" x14ac:dyDescent="0.2">
      <c r="Q534" s="72"/>
      <c r="T534" s="72"/>
      <c r="U534" s="93"/>
      <c r="X534" s="114" t="str">
        <f t="shared" si="21"/>
        <v>1D</v>
      </c>
      <c r="Y534" s="112">
        <f>_xll.qlCalendarAdvance(Calendar,Y533,X534,"f",FALSE)</f>
        <v>42881</v>
      </c>
      <c r="Z534" s="115">
        <f>_xll.qlCalendarAdvance(Calendar,Y534,NDays&amp;"D")</f>
        <v>42881</v>
      </c>
      <c r="AA534" s="116">
        <v>2.5088830178715479E-2</v>
      </c>
      <c r="AB534" s="113">
        <v>2.4760264105685808E-2</v>
      </c>
    </row>
    <row r="535" spans="17:28" x14ac:dyDescent="0.2">
      <c r="Q535" s="72"/>
      <c r="T535" s="72"/>
      <c r="U535" s="93"/>
      <c r="X535" s="114" t="str">
        <f t="shared" si="21"/>
        <v>1D</v>
      </c>
      <c r="Y535" s="112">
        <f>_xll.qlCalendarAdvance(Calendar,Y534,X535,"f",FALSE)</f>
        <v>42884</v>
      </c>
      <c r="Z535" s="115">
        <f>_xll.qlCalendarAdvance(Calendar,Y535,NDays&amp;"D")</f>
        <v>42884</v>
      </c>
      <c r="AA535" s="116">
        <v>2.5098306894694864E-2</v>
      </c>
      <c r="AB535" s="113">
        <v>2.4769131229224195E-2</v>
      </c>
    </row>
    <row r="536" spans="17:28" x14ac:dyDescent="0.2">
      <c r="Q536" s="72"/>
      <c r="T536" s="72"/>
      <c r="U536" s="93"/>
      <c r="X536" s="114" t="str">
        <f t="shared" si="21"/>
        <v>1D</v>
      </c>
      <c r="Y536" s="112">
        <f>_xll.qlCalendarAdvance(Calendar,Y535,X536,"f",FALSE)</f>
        <v>42885</v>
      </c>
      <c r="Z536" s="115">
        <f>_xll.qlCalendarAdvance(Calendar,Y536,NDays&amp;"D")</f>
        <v>42885</v>
      </c>
      <c r="AA536" s="116">
        <v>2.5103976977450947E-2</v>
      </c>
      <c r="AB536" s="113">
        <v>2.477441729377694E-2</v>
      </c>
    </row>
    <row r="537" spans="17:28" x14ac:dyDescent="0.2">
      <c r="Q537" s="72"/>
      <c r="T537" s="72"/>
      <c r="U537" s="93"/>
      <c r="X537" s="114" t="s">
        <v>140</v>
      </c>
      <c r="Y537" s="112">
        <f>_xll.qlCalendarAdvance(Calendar,Y536,X537,"f",FALSE)</f>
        <v>42892</v>
      </c>
      <c r="Z537" s="115">
        <f>_xll.qlCalendarAdvance(Calendar,Y537,NDays&amp;"D")</f>
        <v>42892</v>
      </c>
      <c r="AA537" s="116">
        <v>2.5143883744497973E-2</v>
      </c>
      <c r="AB537" s="113">
        <v>2.4811634364950708E-2</v>
      </c>
    </row>
    <row r="538" spans="17:28" x14ac:dyDescent="0.2">
      <c r="Q538" s="72"/>
      <c r="T538" s="72"/>
      <c r="U538" s="93"/>
      <c r="X538" s="114" t="str">
        <f t="shared" si="21"/>
        <v>1w</v>
      </c>
      <c r="Y538" s="112">
        <f>_xll.qlCalendarAdvance(Calendar,Y537,X538,"f",FALSE)</f>
        <v>42899</v>
      </c>
      <c r="Z538" s="115">
        <f>_xll.qlCalendarAdvance(Calendar,Y538,NDays&amp;"D")</f>
        <v>42899</v>
      </c>
      <c r="AA538" s="116">
        <v>2.5184168848222579E-2</v>
      </c>
      <c r="AB538" s="113">
        <v>2.4849227019259068E-2</v>
      </c>
    </row>
    <row r="539" spans="17:28" x14ac:dyDescent="0.2">
      <c r="Q539" s="72"/>
      <c r="T539" s="72"/>
      <c r="U539" s="93"/>
      <c r="X539" s="114" t="str">
        <f t="shared" si="21"/>
        <v>1w</v>
      </c>
      <c r="Y539" s="112">
        <f>_xll.qlCalendarAdvance(Calendar,Y538,X539,"f",FALSE)</f>
        <v>42906</v>
      </c>
      <c r="Z539" s="115">
        <f>_xll.qlCalendarAdvance(Calendar,Y539,NDays&amp;"D")</f>
        <v>42906</v>
      </c>
      <c r="AA539" s="116">
        <v>2.5224832300069028E-2</v>
      </c>
      <c r="AB539" s="113">
        <v>2.488719525694516E-2</v>
      </c>
    </row>
    <row r="540" spans="17:28" x14ac:dyDescent="0.2">
      <c r="Q540" s="72"/>
      <c r="T540" s="72"/>
      <c r="U540" s="93"/>
      <c r="X540" s="114" t="str">
        <f t="shared" si="21"/>
        <v>1w</v>
      </c>
      <c r="Y540" s="112">
        <f>_xll.qlCalendarAdvance(Calendar,Y539,X540,"f",FALSE)</f>
        <v>42913</v>
      </c>
      <c r="Z540" s="115">
        <f>_xll.qlCalendarAdvance(Calendar,Y540,NDays&amp;"D")</f>
        <v>42913</v>
      </c>
      <c r="AA540" s="116">
        <v>2.5265874111589055E-2</v>
      </c>
      <c r="AB540" s="113">
        <v>2.4925539078090031E-2</v>
      </c>
    </row>
    <row r="541" spans="17:28" x14ac:dyDescent="0.2">
      <c r="Q541" s="72"/>
      <c r="T541" s="72"/>
      <c r="U541" s="93"/>
      <c r="X541" s="114" t="str">
        <f t="shared" si="21"/>
        <v>1w</v>
      </c>
      <c r="Y541" s="112">
        <f>_xll.qlCalendarAdvance(Calendar,Y540,X541,"f",FALSE)</f>
        <v>42920</v>
      </c>
      <c r="Z541" s="115">
        <f>_xll.qlCalendarAdvance(Calendar,Y541,NDays&amp;"D")</f>
        <v>42920</v>
      </c>
      <c r="AA541" s="116">
        <v>2.5307294294441875E-2</v>
      </c>
      <c r="AB541" s="113">
        <v>2.4964258482855772E-2</v>
      </c>
    </row>
    <row r="542" spans="17:28" x14ac:dyDescent="0.2">
      <c r="Q542" s="72"/>
      <c r="T542" s="72"/>
      <c r="U542" s="93"/>
      <c r="X542" s="114" t="str">
        <f t="shared" si="21"/>
        <v>1w</v>
      </c>
      <c r="Y542" s="112">
        <f>_xll.qlCalendarAdvance(Calendar,Y541,X542,"f",FALSE)</f>
        <v>42927</v>
      </c>
      <c r="Z542" s="115">
        <f>_xll.qlCalendarAdvance(Calendar,Y542,NDays&amp;"D")</f>
        <v>42927</v>
      </c>
      <c r="AA542" s="116">
        <v>2.5349092860394173E-2</v>
      </c>
      <c r="AB542" s="113">
        <v>2.5003353471323431E-2</v>
      </c>
    </row>
    <row r="543" spans="17:28" x14ac:dyDescent="0.2">
      <c r="Q543" s="72"/>
      <c r="T543" s="72"/>
      <c r="U543" s="93"/>
      <c r="X543" s="114" t="str">
        <f t="shared" si="21"/>
        <v>1w</v>
      </c>
      <c r="Y543" s="112">
        <f>_xll.qlCalendarAdvance(Calendar,Y542,X543,"f",FALSE)</f>
        <v>42934</v>
      </c>
      <c r="Z543" s="115">
        <f>_xll.qlCalendarAdvance(Calendar,Y543,NDays&amp;"D")</f>
        <v>42934</v>
      </c>
      <c r="AA543" s="116">
        <v>2.5391269821322754E-2</v>
      </c>
      <c r="AB543" s="113">
        <v>2.5042824043574052E-2</v>
      </c>
    </row>
    <row r="544" spans="17:28" x14ac:dyDescent="0.2">
      <c r="Q544" s="72"/>
      <c r="T544" s="72"/>
      <c r="U544" s="93"/>
      <c r="X544" s="114" t="str">
        <f t="shared" si="21"/>
        <v>1w</v>
      </c>
      <c r="Y544" s="112">
        <f>_xll.qlCalendarAdvance(Calendar,Y543,X544,"f",FALSE)</f>
        <v>42941</v>
      </c>
      <c r="Z544" s="115">
        <f>_xll.qlCalendarAdvance(Calendar,Y544,NDays&amp;"D")</f>
        <v>42941</v>
      </c>
      <c r="AA544" s="116">
        <v>2.5433825189206609E-2</v>
      </c>
      <c r="AB544" s="113">
        <v>2.508267019976973E-2</v>
      </c>
    </row>
    <row r="545" spans="17:28" x14ac:dyDescent="0.2">
      <c r="Q545" s="72"/>
      <c r="T545" s="72"/>
      <c r="U545" s="93"/>
      <c r="X545" s="114" t="str">
        <f t="shared" si="21"/>
        <v>1w</v>
      </c>
      <c r="Y545" s="112">
        <f>_xll.qlCalendarAdvance(Calendar,Y544,X545,"f",FALSE)</f>
        <v>42948</v>
      </c>
      <c r="Z545" s="115">
        <f>_xll.qlCalendarAdvance(Calendar,Y545,NDays&amp;"D")</f>
        <v>42948</v>
      </c>
      <c r="AA545" s="116">
        <v>2.5476758976137492E-2</v>
      </c>
      <c r="AB545" s="113">
        <v>2.5122891940072556E-2</v>
      </c>
    </row>
    <row r="546" spans="17:28" x14ac:dyDescent="0.2">
      <c r="Q546" s="72"/>
      <c r="T546" s="72"/>
      <c r="U546" s="93"/>
      <c r="X546" s="114" t="str">
        <f t="shared" si="21"/>
        <v>1w</v>
      </c>
      <c r="Y546" s="112">
        <f>_xll.qlCalendarAdvance(Calendar,Y545,X546,"f",FALSE)</f>
        <v>42955</v>
      </c>
      <c r="Z546" s="115">
        <f>_xll.qlCalendarAdvance(Calendar,Y546,NDays&amp;"D")</f>
        <v>42955</v>
      </c>
      <c r="AA546" s="116">
        <v>2.552007119431287E-2</v>
      </c>
      <c r="AB546" s="113">
        <v>2.5163489264644623E-2</v>
      </c>
    </row>
    <row r="547" spans="17:28" x14ac:dyDescent="0.2">
      <c r="Q547" s="72"/>
      <c r="T547" s="72"/>
      <c r="U547" s="93"/>
      <c r="X547" s="114" t="str">
        <f t="shared" si="21"/>
        <v>1w</v>
      </c>
      <c r="Y547" s="112">
        <f>_xll.qlCalendarAdvance(Calendar,Y546,X547,"f",FALSE)</f>
        <v>42962</v>
      </c>
      <c r="Z547" s="115">
        <f>_xll.qlCalendarAdvance(Calendar,Y547,NDays&amp;"D")</f>
        <v>42962</v>
      </c>
      <c r="AA547" s="116">
        <v>2.5563761856036798E-2</v>
      </c>
      <c r="AB547" s="113">
        <v>2.5204462173404885E-2</v>
      </c>
    </row>
    <row r="548" spans="17:28" x14ac:dyDescent="0.2">
      <c r="Q548" s="72"/>
      <c r="T548" s="72"/>
      <c r="U548" s="93"/>
      <c r="X548" s="114" t="str">
        <f t="shared" si="21"/>
        <v>1w</v>
      </c>
      <c r="Y548" s="112">
        <f>_xll.qlCalendarAdvance(Calendar,Y547,X548,"f",FALSE)</f>
        <v>42969</v>
      </c>
      <c r="Z548" s="115">
        <f>_xll.qlCalendarAdvance(Calendar,Y548,NDays&amp;"D")</f>
        <v>42969</v>
      </c>
      <c r="AA548" s="116">
        <v>2.5607830973720814E-2</v>
      </c>
      <c r="AB548" s="113">
        <v>2.5245810666677526E-2</v>
      </c>
    </row>
    <row r="549" spans="17:28" x14ac:dyDescent="0.2">
      <c r="Q549" s="72"/>
      <c r="T549" s="72"/>
      <c r="U549" s="93"/>
      <c r="X549" s="114" t="str">
        <f t="shared" si="21"/>
        <v>1w</v>
      </c>
      <c r="Y549" s="112">
        <f>_xll.qlCalendarAdvance(Calendar,Y548,X549,"f",FALSE)</f>
        <v>42976</v>
      </c>
      <c r="Z549" s="115">
        <f>_xll.qlCalendarAdvance(Calendar,Y549,NDays&amp;"D")</f>
        <v>42976</v>
      </c>
      <c r="AA549" s="116">
        <v>2.5652278559887443E-2</v>
      </c>
      <c r="AB549" s="113">
        <v>2.5287534744462548E-2</v>
      </c>
    </row>
    <row r="550" spans="17:28" x14ac:dyDescent="0.2">
      <c r="Q550" s="72"/>
      <c r="T550" s="72"/>
      <c r="U550" s="93"/>
      <c r="X550" s="114" t="str">
        <f t="shared" si="21"/>
        <v>1w</v>
      </c>
      <c r="Y550" s="112">
        <f>_xll.qlCalendarAdvance(Calendar,Y549,X550,"f",FALSE)</f>
        <v>42983</v>
      </c>
      <c r="Z550" s="115">
        <f>_xll.qlCalendarAdvance(Calendar,Y550,NDays&amp;"D")</f>
        <v>42983</v>
      </c>
      <c r="AA550" s="116">
        <v>2.5692929014558108E-2</v>
      </c>
      <c r="AB550" s="113">
        <v>2.5329634407084134E-2</v>
      </c>
    </row>
    <row r="551" spans="17:28" x14ac:dyDescent="0.2">
      <c r="Q551" s="72"/>
      <c r="T551" s="72"/>
      <c r="U551" s="93"/>
      <c r="X551" s="114" t="str">
        <f t="shared" si="21"/>
        <v>1w</v>
      </c>
      <c r="Y551" s="112">
        <f>_xll.qlCalendarAdvance(Calendar,Y550,X551,"f",FALSE)</f>
        <v>42990</v>
      </c>
      <c r="Z551" s="115">
        <f>_xll.qlCalendarAdvance(Calendar,Y551,NDays&amp;"D")</f>
        <v>42990</v>
      </c>
      <c r="AA551" s="116">
        <v>2.5738103366671435E-2</v>
      </c>
      <c r="AB551" s="113">
        <v>2.5372109654380193E-2</v>
      </c>
    </row>
    <row r="552" spans="17:28" x14ac:dyDescent="0.2">
      <c r="Q552" s="72"/>
      <c r="T552" s="72"/>
      <c r="U552" s="93"/>
      <c r="X552" s="114" t="str">
        <f t="shared" si="21"/>
        <v>1w</v>
      </c>
      <c r="Y552" s="112">
        <f>_xll.qlCalendarAdvance(Calendar,Y551,X552,"f",FALSE)</f>
        <v>42997</v>
      </c>
      <c r="Z552" s="115">
        <f>_xll.qlCalendarAdvance(Calendar,Y552,NDays&amp;"D")</f>
        <v>42997</v>
      </c>
      <c r="AA552" s="116">
        <v>2.5783656192339664E-2</v>
      </c>
      <c r="AB552" s="113">
        <v>2.5414960486755955E-2</v>
      </c>
    </row>
    <row r="553" spans="17:28" x14ac:dyDescent="0.2">
      <c r="Q553" s="72"/>
      <c r="T553" s="72"/>
      <c r="U553" s="93"/>
      <c r="X553" s="114" t="str">
        <f t="shared" si="21"/>
        <v>1w</v>
      </c>
      <c r="Y553" s="112">
        <f>_xll.qlCalendarAdvance(Calendar,Y552,X553,"f",FALSE)</f>
        <v>43004</v>
      </c>
      <c r="Z553" s="115">
        <f>_xll.qlCalendarAdvance(Calendar,Y553,NDays&amp;"D")</f>
        <v>43004</v>
      </c>
      <c r="AA553" s="116">
        <v>2.5833853843535978E-2</v>
      </c>
      <c r="AB553" s="113">
        <v>2.5458186904130375E-2</v>
      </c>
    </row>
    <row r="554" spans="17:28" x14ac:dyDescent="0.2">
      <c r="Q554" s="72"/>
      <c r="T554" s="72"/>
      <c r="U554" s="93"/>
      <c r="X554" s="114" t="str">
        <f t="shared" si="21"/>
        <v>1w</v>
      </c>
      <c r="Y554" s="112">
        <f>_xll.qlCalendarAdvance(Calendar,Y553,X554,"f",FALSE)</f>
        <v>43011</v>
      </c>
      <c r="Z554" s="115">
        <f>_xll.qlCalendarAdvance(Calendar,Y554,NDays&amp;"D")</f>
        <v>43011</v>
      </c>
      <c r="AA554" s="116">
        <v>2.5880193963679146E-2</v>
      </c>
      <c r="AB554" s="113">
        <v>2.5501788906827638E-2</v>
      </c>
    </row>
    <row r="555" spans="17:28" x14ac:dyDescent="0.2">
      <c r="Q555" s="72"/>
      <c r="T555" s="72"/>
      <c r="U555" s="93"/>
      <c r="X555" s="114" t="str">
        <f t="shared" si="21"/>
        <v>1w</v>
      </c>
      <c r="Y555" s="112">
        <f>_xll.qlCalendarAdvance(Calendar,Y554,X555,"f",FALSE)</f>
        <v>43018</v>
      </c>
      <c r="Z555" s="115">
        <f>_xll.qlCalendarAdvance(Calendar,Y555,NDays&amp;"D")</f>
        <v>43018</v>
      </c>
      <c r="AA555" s="116">
        <v>2.5926912629683867E-2</v>
      </c>
      <c r="AB555" s="113">
        <v>2.5545766494847744E-2</v>
      </c>
    </row>
    <row r="556" spans="17:28" x14ac:dyDescent="0.2">
      <c r="Q556" s="72"/>
      <c r="T556" s="72"/>
      <c r="U556" s="93"/>
      <c r="X556" s="114" t="str">
        <f t="shared" si="21"/>
        <v>1w</v>
      </c>
      <c r="Y556" s="112">
        <f>_xll.qlCalendarAdvance(Calendar,Y555,X556,"f",FALSE)</f>
        <v>43025</v>
      </c>
      <c r="Z556" s="115">
        <f>_xll.qlCalendarAdvance(Calendar,Y556,NDays&amp;"D")</f>
        <v>43025</v>
      </c>
      <c r="AA556" s="116">
        <v>2.5974009854824114E-2</v>
      </c>
      <c r="AB556" s="113">
        <v>2.5590119668352784E-2</v>
      </c>
    </row>
    <row r="557" spans="17:28" x14ac:dyDescent="0.2">
      <c r="Q557" s="72"/>
      <c r="T557" s="72"/>
      <c r="U557" s="93"/>
      <c r="X557" s="114" t="str">
        <f t="shared" si="21"/>
        <v>1w</v>
      </c>
      <c r="Y557" s="112">
        <f>_xll.qlCalendarAdvance(Calendar,Y556,X557,"f",FALSE)</f>
        <v>43032</v>
      </c>
      <c r="Z557" s="115">
        <f>_xll.qlCalendarAdvance(Calendar,Y557,NDays&amp;"D")</f>
        <v>43032</v>
      </c>
      <c r="AA557" s="116">
        <v>2.602148565248133E-2</v>
      </c>
      <c r="AB557" s="113">
        <v>2.5634848427504853E-2</v>
      </c>
    </row>
    <row r="558" spans="17:28" x14ac:dyDescent="0.2">
      <c r="Q558" s="72"/>
      <c r="T558" s="72"/>
      <c r="U558" s="93"/>
      <c r="X558" s="114" t="str">
        <f t="shared" si="21"/>
        <v>1w</v>
      </c>
      <c r="Y558" s="112">
        <f>_xll.qlCalendarAdvance(Calendar,Y557,X558,"f",FALSE)</f>
        <v>43039</v>
      </c>
      <c r="Z558" s="115">
        <f>_xll.qlCalendarAdvance(Calendar,Y558,NDays&amp;"D")</f>
        <v>43039</v>
      </c>
      <c r="AA558" s="116">
        <v>2.6069340036146197E-2</v>
      </c>
      <c r="AB558" s="113">
        <v>2.5679952772466041E-2</v>
      </c>
    </row>
    <row r="559" spans="17:28" x14ac:dyDescent="0.2">
      <c r="Q559" s="72"/>
      <c r="T559" s="72"/>
      <c r="U559" s="93"/>
      <c r="X559" s="114" t="str">
        <f t="shared" si="21"/>
        <v>1w</v>
      </c>
      <c r="Y559" s="112">
        <f>_xll.qlCalendarAdvance(Calendar,Y558,X559,"f",FALSE)</f>
        <v>43046</v>
      </c>
      <c r="Z559" s="115">
        <f>_xll.qlCalendarAdvance(Calendar,Y559,NDays&amp;"D")</f>
        <v>43046</v>
      </c>
      <c r="AA559" s="116">
        <v>2.6117573019413347E-2</v>
      </c>
      <c r="AB559" s="113">
        <v>2.5725432703398443E-2</v>
      </c>
    </row>
    <row r="560" spans="17:28" x14ac:dyDescent="0.2">
      <c r="Q560" s="72"/>
      <c r="T560" s="72"/>
      <c r="U560" s="93"/>
      <c r="X560" s="114" t="str">
        <f t="shared" si="21"/>
        <v>1w</v>
      </c>
      <c r="Y560" s="112">
        <f>_xll.qlCalendarAdvance(Calendar,Y559,X560,"f",FALSE)</f>
        <v>43053</v>
      </c>
      <c r="Z560" s="115">
        <f>_xll.qlCalendarAdvance(Calendar,Y560,NDays&amp;"D")</f>
        <v>43053</v>
      </c>
      <c r="AA560" s="116">
        <v>2.6166184615986653E-2</v>
      </c>
      <c r="AB560" s="113">
        <v>2.5771288220221011E-2</v>
      </c>
    </row>
    <row r="561" spans="17:28" x14ac:dyDescent="0.2">
      <c r="Q561" s="72"/>
      <c r="T561" s="72"/>
      <c r="U561" s="93"/>
      <c r="X561" s="114" t="str">
        <f t="shared" si="21"/>
        <v>1w</v>
      </c>
      <c r="Y561" s="112">
        <f>_xll.qlCalendarAdvance(Calendar,Y560,X561,"f",FALSE)</f>
        <v>43060</v>
      </c>
      <c r="Z561" s="115">
        <f>_xll.qlCalendarAdvance(Calendar,Y561,NDays&amp;"D")</f>
        <v>43060</v>
      </c>
      <c r="AA561" s="116">
        <v>2.6215174839679219E-2</v>
      </c>
      <c r="AB561" s="113">
        <v>2.5817519323338978E-2</v>
      </c>
    </row>
    <row r="562" spans="17:28" x14ac:dyDescent="0.2">
      <c r="Q562" s="72"/>
      <c r="T562" s="72"/>
      <c r="U562" s="93"/>
      <c r="X562" s="114" t="str">
        <f t="shared" si="21"/>
        <v>1w</v>
      </c>
      <c r="Y562" s="112">
        <f>_xll.qlCalendarAdvance(Calendar,Y561,X562,"f",FALSE)</f>
        <v>43067</v>
      </c>
      <c r="Z562" s="115">
        <f>_xll.qlCalendarAdvance(Calendar,Y562,NDays&amp;"D")</f>
        <v>43067</v>
      </c>
      <c r="AA562" s="116">
        <v>2.6264543704410739E-2</v>
      </c>
      <c r="AB562" s="113">
        <v>2.5864126012833388E-2</v>
      </c>
    </row>
    <row r="563" spans="17:28" x14ac:dyDescent="0.2">
      <c r="Q563" s="72"/>
      <c r="T563" s="72"/>
      <c r="U563" s="93"/>
      <c r="X563" s="114" t="str">
        <f t="shared" si="21"/>
        <v>1w</v>
      </c>
      <c r="Y563" s="112">
        <f>_xll.qlCalendarAdvance(Calendar,Y562,X563,"f",FALSE)</f>
        <v>43074</v>
      </c>
      <c r="Z563" s="115">
        <f>_xll.qlCalendarAdvance(Calendar,Y563,NDays&amp;"D")</f>
        <v>43074</v>
      </c>
      <c r="AA563" s="116">
        <v>2.6305152449753452E-2</v>
      </c>
      <c r="AB563" s="113">
        <v>2.5911108288704243E-2</v>
      </c>
    </row>
    <row r="564" spans="17:28" x14ac:dyDescent="0.2">
      <c r="Q564" s="72"/>
      <c r="T564" s="72"/>
      <c r="U564" s="93"/>
      <c r="X564" s="114" t="str">
        <f t="shared" si="21"/>
        <v>1w</v>
      </c>
      <c r="Y564" s="112">
        <f>_xll.qlCalendarAdvance(Calendar,Y563,X564,"f",FALSE)</f>
        <v>43081</v>
      </c>
      <c r="Z564" s="115">
        <f>_xll.qlCalendarAdvance(Calendar,Y564,NDays&amp;"D")</f>
        <v>43081</v>
      </c>
      <c r="AA564" s="116">
        <v>2.6355217340531246E-2</v>
      </c>
      <c r="AB564" s="113">
        <v>2.5958466151275728E-2</v>
      </c>
    </row>
    <row r="565" spans="17:28" x14ac:dyDescent="0.2">
      <c r="Q565" s="72"/>
      <c r="T565" s="72"/>
      <c r="U565" s="93"/>
      <c r="X565" s="114" t="str">
        <f t="shared" si="21"/>
        <v>1w</v>
      </c>
      <c r="Y565" s="112">
        <f>_xll.qlCalendarAdvance(Calendar,Y564,X565,"f",FALSE)</f>
        <v>43088</v>
      </c>
      <c r="Z565" s="115">
        <f>_xll.qlCalendarAdvance(Calendar,Y565,NDays&amp;"D")</f>
        <v>43088</v>
      </c>
      <c r="AA565" s="116">
        <v>2.6405660844447992E-2</v>
      </c>
      <c r="AB565" s="113">
        <v>2.6006199600628888E-2</v>
      </c>
    </row>
    <row r="566" spans="17:28" x14ac:dyDescent="0.2">
      <c r="Q566" s="72"/>
      <c r="T566" s="72"/>
      <c r="U566" s="93"/>
      <c r="X566" s="114" t="str">
        <f t="shared" si="21"/>
        <v>1w</v>
      </c>
      <c r="Y566" s="112">
        <f>_xll.qlCalendarAdvance(Calendar,Y565,X566,"f",FALSE)</f>
        <v>43096</v>
      </c>
      <c r="Z566" s="115">
        <f>_xll.qlCalendarAdvance(Calendar,Y566,NDays&amp;"D")</f>
        <v>43096</v>
      </c>
      <c r="AA566" s="116">
        <v>2.6463774189122456E-2</v>
      </c>
      <c r="AB566" s="113">
        <v>2.6061212016482704E-2</v>
      </c>
    </row>
    <row r="567" spans="17:28" x14ac:dyDescent="0.2">
      <c r="Q567" s="72"/>
      <c r="T567" s="72"/>
      <c r="U567" s="93"/>
      <c r="X567" s="114" t="str">
        <f t="shared" si="21"/>
        <v>1w</v>
      </c>
      <c r="Y567" s="112">
        <f>_xll.qlCalendarAdvance(Calendar,Y566,X567,"f",FALSE)</f>
        <v>43103</v>
      </c>
      <c r="Z567" s="115">
        <f>_xll.qlCalendarAdvance(Calendar,Y567,NDays&amp;"D")</f>
        <v>43103</v>
      </c>
      <c r="AA567" s="116">
        <v>2.6515029054252404E-2</v>
      </c>
      <c r="AB567" s="113">
        <v>2.6109750295116863E-2</v>
      </c>
    </row>
    <row r="568" spans="17:28" x14ac:dyDescent="0.2">
      <c r="Q568" s="72"/>
      <c r="T568" s="72"/>
      <c r="U568" s="93"/>
      <c r="X568" s="114" t="str">
        <f t="shared" si="21"/>
        <v>1w</v>
      </c>
      <c r="Y568" s="112">
        <f>_xll.qlCalendarAdvance(Calendar,Y567,X568,"f",FALSE)</f>
        <v>43110</v>
      </c>
      <c r="Z568" s="115">
        <f>_xll.qlCalendarAdvance(Calendar,Y568,NDays&amp;"D")</f>
        <v>43110</v>
      </c>
      <c r="AA568" s="116">
        <v>2.6566662576940972E-2</v>
      </c>
      <c r="AB568" s="113">
        <v>2.6158664161018974E-2</v>
      </c>
    </row>
    <row r="569" spans="17:28" x14ac:dyDescent="0.2">
      <c r="Q569" s="72"/>
      <c r="T569" s="72"/>
      <c r="U569" s="93"/>
      <c r="X569" s="114" t="str">
        <f t="shared" si="21"/>
        <v>1w</v>
      </c>
      <c r="Y569" s="112">
        <f>_xll.qlCalendarAdvance(Calendar,Y568,X569,"f",FALSE)</f>
        <v>43117</v>
      </c>
      <c r="Z569" s="115">
        <f>_xll.qlCalendarAdvance(Calendar,Y569,NDays&amp;"D")</f>
        <v>43117</v>
      </c>
      <c r="AA569" s="116">
        <v>2.6618674771540552E-2</v>
      </c>
      <c r="AB569" s="113">
        <v>2.6207953614189039E-2</v>
      </c>
    </row>
    <row r="570" spans="17:28" x14ac:dyDescent="0.2">
      <c r="Q570" s="72"/>
      <c r="T570" s="72"/>
      <c r="U570" s="93"/>
      <c r="X570" s="114" t="str">
        <f t="shared" si="21"/>
        <v>1w</v>
      </c>
      <c r="Y570" s="112">
        <f>_xll.qlCalendarAdvance(Calendar,Y569,X570,"f",FALSE)</f>
        <v>43124</v>
      </c>
      <c r="Z570" s="115">
        <f>_xll.qlCalendarAdvance(Calendar,Y570,NDays&amp;"D")</f>
        <v>43124</v>
      </c>
      <c r="AA570" s="116">
        <v>2.66710656525098E-2</v>
      </c>
      <c r="AB570" s="113">
        <v>2.6257618655113335E-2</v>
      </c>
    </row>
    <row r="571" spans="17:28" x14ac:dyDescent="0.2">
      <c r="Q571" s="72"/>
      <c r="T571" s="72"/>
      <c r="U571" s="93"/>
      <c r="X571" s="114" t="str">
        <f t="shared" si="21"/>
        <v>1w</v>
      </c>
      <c r="Y571" s="112">
        <f>_xll.qlCalendarAdvance(Calendar,Y570,X571,"f",FALSE)</f>
        <v>43131</v>
      </c>
      <c r="Z571" s="115">
        <f>_xll.qlCalendarAdvance(Calendar,Y571,NDays&amp;"D")</f>
        <v>43131</v>
      </c>
      <c r="AA571" s="116">
        <v>2.6719020018978978E-2</v>
      </c>
      <c r="AB571" s="113">
        <v>2.6307659283548723E-2</v>
      </c>
    </row>
    <row r="572" spans="17:28" x14ac:dyDescent="0.2">
      <c r="Q572" s="72"/>
      <c r="T572" s="72"/>
      <c r="U572" s="93"/>
      <c r="X572" s="114" t="str">
        <f t="shared" si="21"/>
        <v>1w</v>
      </c>
      <c r="Y572" s="112">
        <f>_xll.qlCalendarAdvance(Calendar,Y571,X572,"f",FALSE)</f>
        <v>43138</v>
      </c>
      <c r="Z572" s="115">
        <f>_xll.qlCalendarAdvance(Calendar,Y572,NDays&amp;"D")</f>
        <v>43138</v>
      </c>
      <c r="AA572" s="116">
        <v>2.6772137384418887E-2</v>
      </c>
      <c r="AB572" s="113">
        <v>2.6358075499900435E-2</v>
      </c>
    </row>
    <row r="573" spans="17:28" x14ac:dyDescent="0.2">
      <c r="Q573" s="72"/>
      <c r="T573" s="72"/>
      <c r="U573" s="93"/>
      <c r="X573" s="114" t="str">
        <f t="shared" si="21"/>
        <v>1w</v>
      </c>
      <c r="Y573" s="112">
        <f>_xll.qlCalendarAdvance(Calendar,Y572,X573,"f",FALSE)</f>
        <v>43145</v>
      </c>
      <c r="Z573" s="115">
        <f>_xll.qlCalendarAdvance(Calendar,Y573,NDays&amp;"D")</f>
        <v>43145</v>
      </c>
      <c r="AA573" s="116">
        <v>2.6825633443745431E-2</v>
      </c>
      <c r="AB573" s="113">
        <v>2.6408867304249517E-2</v>
      </c>
    </row>
    <row r="574" spans="17:28" x14ac:dyDescent="0.2">
      <c r="Q574" s="72"/>
      <c r="T574" s="72"/>
      <c r="U574" s="93"/>
      <c r="X574" s="114" t="str">
        <f t="shared" si="21"/>
        <v>1w</v>
      </c>
      <c r="Y574" s="112">
        <f>_xll.qlCalendarAdvance(Calendar,Y573,X574,"f",FALSE)</f>
        <v>43152</v>
      </c>
      <c r="Z574" s="115">
        <f>_xll.qlCalendarAdvance(Calendar,Y574,NDays&amp;"D")</f>
        <v>43152</v>
      </c>
      <c r="AA574" s="116">
        <v>2.6879504452648671E-2</v>
      </c>
      <c r="AB574" s="113">
        <v>2.6460034696839108E-2</v>
      </c>
    </row>
    <row r="575" spans="17:28" x14ac:dyDescent="0.2">
      <c r="Q575" s="72"/>
      <c r="T575" s="72"/>
      <c r="U575" s="93"/>
      <c r="X575" s="114" t="str">
        <f t="shared" si="21"/>
        <v>1w</v>
      </c>
      <c r="Y575" s="112">
        <f>_xll.qlCalendarAdvance(Calendar,Y574,X575,"f",FALSE)</f>
        <v>43159</v>
      </c>
      <c r="Z575" s="115">
        <f>_xll.qlCalendarAdvance(Calendar,Y575,NDays&amp;"D")</f>
        <v>43159</v>
      </c>
      <c r="AA575" s="116">
        <v>2.6948536709969675E-2</v>
      </c>
      <c r="AB575" s="113">
        <v>2.6511577677669207E-2</v>
      </c>
    </row>
    <row r="576" spans="17:28" x14ac:dyDescent="0.2">
      <c r="Q576" s="72"/>
      <c r="T576" s="72"/>
      <c r="U576" s="93"/>
      <c r="X576" s="114" t="str">
        <f t="shared" si="21"/>
        <v>1w</v>
      </c>
      <c r="Y576" s="112">
        <f>_xll.qlCalendarAdvance(Calendar,Y575,X576,"f",FALSE)</f>
        <v>43166</v>
      </c>
      <c r="Z576" s="115">
        <f>_xll.qlCalendarAdvance(Calendar,Y576,NDays&amp;"D")</f>
        <v>43166</v>
      </c>
      <c r="AA576" s="116">
        <v>2.7003167695826086E-2</v>
      </c>
      <c r="AB576" s="113">
        <v>2.6563496246982954E-2</v>
      </c>
    </row>
    <row r="577" spans="17:28" x14ac:dyDescent="0.2">
      <c r="Q577" s="72"/>
      <c r="T577" s="72"/>
      <c r="U577" s="93"/>
      <c r="X577" s="114" t="str">
        <f t="shared" si="21"/>
        <v>1w</v>
      </c>
      <c r="Y577" s="112">
        <f>_xll.qlCalendarAdvance(Calendar,Y576,X577,"f",FALSE)</f>
        <v>43173</v>
      </c>
      <c r="Z577" s="115">
        <f>_xll.qlCalendarAdvance(Calendar,Y577,NDays&amp;"D")</f>
        <v>43173</v>
      </c>
      <c r="AA577" s="116">
        <v>2.7058102717535681E-2</v>
      </c>
      <c r="AB577" s="113">
        <v>2.6615790405023487E-2</v>
      </c>
    </row>
    <row r="578" spans="17:28" x14ac:dyDescent="0.2">
      <c r="Q578" s="72"/>
      <c r="T578" s="72"/>
      <c r="U578" s="93"/>
      <c r="X578" s="114" t="str">
        <f t="shared" si="21"/>
        <v>1w</v>
      </c>
      <c r="Y578" s="112">
        <f>_xll.qlCalendarAdvance(Calendar,Y577,X578,"f",FALSE)</f>
        <v>43180</v>
      </c>
      <c r="Z578" s="115">
        <f>_xll.qlCalendarAdvance(Calendar,Y578,NDays&amp;"D")</f>
        <v>43180</v>
      </c>
      <c r="AA578" s="116">
        <v>2.71133199629147E-2</v>
      </c>
      <c r="AB578" s="113">
        <v>2.6668460151709761E-2</v>
      </c>
    </row>
    <row r="579" spans="17:28" x14ac:dyDescent="0.2">
      <c r="Q579" s="72"/>
      <c r="T579" s="72"/>
      <c r="U579" s="93"/>
      <c r="X579" s="114" t="str">
        <f t="shared" si="21"/>
        <v>1w</v>
      </c>
      <c r="Y579" s="112">
        <f>_xll.qlCalendarAdvance(Calendar,Y578,X579,"f",FALSE)</f>
        <v>43187</v>
      </c>
      <c r="Z579" s="115">
        <f>_xll.qlCalendarAdvance(Calendar,Y579,NDays&amp;"D")</f>
        <v>43187</v>
      </c>
      <c r="AA579" s="116">
        <v>2.7168797618639443E-2</v>
      </c>
      <c r="AB579" s="113">
        <v>2.6721505487528052E-2</v>
      </c>
    </row>
    <row r="580" spans="17:28" x14ac:dyDescent="0.2">
      <c r="Q580" s="72"/>
      <c r="T580" s="72"/>
      <c r="U580" s="93"/>
      <c r="X580" s="114" t="str">
        <f t="shared" si="21"/>
        <v>1w</v>
      </c>
      <c r="Y580" s="112">
        <f>_xll.qlCalendarAdvance(Calendar,Y579,X580,"f",FALSE)</f>
        <v>43194</v>
      </c>
      <c r="Z580" s="115">
        <f>_xll.qlCalendarAdvance(Calendar,Y580,NDays&amp;"D")</f>
        <v>43194</v>
      </c>
      <c r="AA580" s="116">
        <v>2.7219481503611122E-2</v>
      </c>
      <c r="AB580" s="113">
        <v>2.6774926412397315E-2</v>
      </c>
    </row>
    <row r="581" spans="17:28" x14ac:dyDescent="0.2">
      <c r="Q581" s="72"/>
      <c r="T581" s="72"/>
      <c r="U581" s="93"/>
      <c r="X581" s="114" t="str">
        <f t="shared" si="21"/>
        <v>1w</v>
      </c>
      <c r="Y581" s="112">
        <f>_xll.qlCalendarAdvance(Calendar,Y580,X581,"f",FALSE)</f>
        <v>43201</v>
      </c>
      <c r="Z581" s="115">
        <f>_xll.qlCalendarAdvance(Calendar,Y581,NDays&amp;"D")</f>
        <v>43201</v>
      </c>
      <c r="AA581" s="116">
        <v>2.7275400527828508E-2</v>
      </c>
      <c r="AB581" s="113">
        <v>2.6828722926560689E-2</v>
      </c>
    </row>
    <row r="582" spans="17:28" x14ac:dyDescent="0.2">
      <c r="Q582" s="72"/>
      <c r="T582" s="72"/>
      <c r="U582" s="93"/>
      <c r="X582" s="114" t="str">
        <f t="shared" si="21"/>
        <v>1w</v>
      </c>
      <c r="Y582" s="112">
        <f>_xll.qlCalendarAdvance(Calendar,Y581,X582,"f",FALSE)</f>
        <v>43208</v>
      </c>
      <c r="Z582" s="115">
        <f>_xll.qlCalendarAdvance(Calendar,Y582,NDays&amp;"D")</f>
        <v>43208</v>
      </c>
      <c r="AA582" s="116">
        <v>2.7331515622494786E-2</v>
      </c>
      <c r="AB582" s="113">
        <v>2.6882895030180265E-2</v>
      </c>
    </row>
    <row r="583" spans="17:28" x14ac:dyDescent="0.2">
      <c r="Q583" s="72"/>
      <c r="T583" s="72"/>
      <c r="U583" s="93"/>
      <c r="X583" s="114" t="str">
        <f t="shared" si="21"/>
        <v>1w</v>
      </c>
      <c r="Y583" s="112">
        <f>_xll.qlCalendarAdvance(Calendar,Y582,X583,"f",FALSE)</f>
        <v>43216</v>
      </c>
      <c r="Z583" s="115">
        <f>_xll.qlCalendarAdvance(Calendar,Y583,NDays&amp;"D")</f>
        <v>43216</v>
      </c>
      <c r="AA583" s="116">
        <v>2.7395858951723775E-2</v>
      </c>
      <c r="AB583" s="113">
        <v>2.6945265911479943E-2</v>
      </c>
    </row>
    <row r="584" spans="17:28" x14ac:dyDescent="0.2">
      <c r="Q584" s="72"/>
      <c r="T584" s="72"/>
      <c r="U584" s="93"/>
      <c r="X584" s="114" t="str">
        <f t="shared" si="21"/>
        <v>1w</v>
      </c>
      <c r="Y584" s="112">
        <f>_xll.qlCalendarAdvance(Calendar,Y583,X584,"f",FALSE)</f>
        <v>43223</v>
      </c>
      <c r="Z584" s="115">
        <f>_xll.qlCalendarAdvance(Calendar,Y584,NDays&amp;"D")</f>
        <v>43223</v>
      </c>
      <c r="AA584" s="116">
        <v>2.7457404223132614E-2</v>
      </c>
      <c r="AB584" s="113">
        <v>2.700024285021585E-2</v>
      </c>
    </row>
    <row r="585" spans="17:28" x14ac:dyDescent="0.2">
      <c r="Q585" s="72"/>
      <c r="T585" s="72"/>
      <c r="U585" s="93"/>
      <c r="X585" s="114" t="str">
        <f t="shared" si="21"/>
        <v>1w</v>
      </c>
      <c r="Y585" s="112">
        <f>_xll.qlCalendarAdvance(Calendar,Y584,X585,"f",FALSE)</f>
        <v>43230</v>
      </c>
      <c r="Z585" s="115">
        <f>_xll.qlCalendarAdvance(Calendar,Y585,NDays&amp;"D")</f>
        <v>43230</v>
      </c>
      <c r="AA585" s="116">
        <v>2.7514002914797862E-2</v>
      </c>
      <c r="AB585" s="113">
        <v>2.7055595378975283E-2</v>
      </c>
    </row>
    <row r="586" spans="17:28" x14ac:dyDescent="0.2">
      <c r="Q586" s="72"/>
      <c r="T586" s="72"/>
      <c r="U586" s="93"/>
      <c r="X586" s="114" t="str">
        <f t="shared" si="21"/>
        <v>1w</v>
      </c>
      <c r="Y586" s="112">
        <f>_xll.qlCalendarAdvance(Calendar,Y585,X586,"f",FALSE)</f>
        <v>43237</v>
      </c>
      <c r="Z586" s="115">
        <f>_xll.qlCalendarAdvance(Calendar,Y586,NDays&amp;"D")</f>
        <v>43237</v>
      </c>
      <c r="AA586" s="116">
        <v>2.7570706459289881E-2</v>
      </c>
      <c r="AB586" s="113">
        <v>2.7111287641424786E-2</v>
      </c>
    </row>
    <row r="587" spans="17:28" x14ac:dyDescent="0.2">
      <c r="Q587" s="72"/>
      <c r="T587" s="72"/>
      <c r="U587" s="93"/>
      <c r="X587" s="114" t="str">
        <f t="shared" si="21"/>
        <v>1w</v>
      </c>
      <c r="Y587" s="112">
        <f>_xll.qlCalendarAdvance(Calendar,Y586,X587,"f",FALSE)</f>
        <v>43244</v>
      </c>
      <c r="Z587" s="115">
        <f>_xll.qlCalendarAdvance(Calendar,Y587,NDays&amp;"D")</f>
        <v>43244</v>
      </c>
      <c r="AA587" s="116">
        <v>2.7627502780615047E-2</v>
      </c>
      <c r="AB587" s="113">
        <v>2.7167106437380184E-2</v>
      </c>
    </row>
    <row r="588" spans="17:28" x14ac:dyDescent="0.2">
      <c r="Q588" s="72"/>
      <c r="T588" s="72"/>
      <c r="U588" s="93"/>
      <c r="X588" s="114" t="str">
        <f t="shared" si="21"/>
        <v>1w</v>
      </c>
      <c r="Y588" s="112">
        <f>_xll.qlCalendarAdvance(Calendar,Y587,X588,"f",FALSE)</f>
        <v>43251</v>
      </c>
      <c r="Z588" s="115">
        <f>_xll.qlCalendarAdvance(Calendar,Y588,NDays&amp;"D")</f>
        <v>43251</v>
      </c>
      <c r="AA588" s="116">
        <v>2.7684391203902741E-2</v>
      </c>
      <c r="AB588" s="113">
        <v>2.7223015910589066E-2</v>
      </c>
    </row>
    <row r="589" spans="17:28" x14ac:dyDescent="0.2">
      <c r="Q589" s="72"/>
      <c r="T589" s="72"/>
      <c r="U589" s="93"/>
      <c r="X589" s="114" t="str">
        <f t="shared" si="21"/>
        <v>1w</v>
      </c>
      <c r="Y589" s="112">
        <f>_xll.qlCalendarAdvance(Calendar,Y588,X589,"f",FALSE)</f>
        <v>43258</v>
      </c>
      <c r="Z589" s="115">
        <f>_xll.qlCalendarAdvance(Calendar,Y589,NDays&amp;"D")</f>
        <v>43258</v>
      </c>
      <c r="AA589" s="116">
        <v>2.7741371733063451E-2</v>
      </c>
      <c r="AB589" s="113">
        <v>2.7279016060889338E-2</v>
      </c>
    </row>
    <row r="590" spans="17:28" x14ac:dyDescent="0.2">
      <c r="Q590" s="72"/>
      <c r="T590" s="72"/>
      <c r="U590" s="93"/>
      <c r="X590" s="114" t="str">
        <f t="shared" si="21"/>
        <v>1w</v>
      </c>
      <c r="Y590" s="112">
        <f>_xll.qlCalendarAdvance(Calendar,Y589,X590,"f",FALSE)</f>
        <v>43265</v>
      </c>
      <c r="Z590" s="115">
        <f>_xll.qlCalendarAdvance(Calendar,Y590,NDays&amp;"D")</f>
        <v>43265</v>
      </c>
      <c r="AA590" s="116">
        <v>2.7798444372015584E-2</v>
      </c>
      <c r="AB590" s="113">
        <v>2.7335106888524141E-2</v>
      </c>
    </row>
    <row r="591" spans="17:28" x14ac:dyDescent="0.2">
      <c r="Q591" s="72"/>
      <c r="T591" s="72"/>
      <c r="U591" s="93"/>
      <c r="X591" s="114" t="str">
        <f t="shared" si="21"/>
        <v>1w</v>
      </c>
      <c r="Y591" s="112">
        <f>_xll.qlCalendarAdvance(Calendar,Y590,X591,"f",FALSE)</f>
        <v>43272</v>
      </c>
      <c r="Z591" s="115">
        <f>_xll.qlCalendarAdvance(Calendar,Y591,NDays&amp;"D")</f>
        <v>43272</v>
      </c>
      <c r="AA591" s="116">
        <v>2.7855609124681959E-2</v>
      </c>
      <c r="AB591" s="113">
        <v>2.7391288393412427E-2</v>
      </c>
    </row>
    <row r="592" spans="17:28" x14ac:dyDescent="0.2">
      <c r="Q592" s="72"/>
      <c r="T592" s="72"/>
      <c r="U592" s="93"/>
      <c r="X592" s="114" t="str">
        <f t="shared" si="21"/>
        <v>1w</v>
      </c>
      <c r="Y592" s="112">
        <f>_xll.qlCalendarAdvance(Calendar,Y591,X592,"f",FALSE)</f>
        <v>43279</v>
      </c>
      <c r="Z592" s="115">
        <f>_xll.qlCalendarAdvance(Calendar,Y592,NDays&amp;"D")</f>
        <v>43279</v>
      </c>
      <c r="AA592" s="116">
        <v>2.7912865994995081E-2</v>
      </c>
      <c r="AB592" s="113">
        <v>2.7447560575554197E-2</v>
      </c>
    </row>
    <row r="593" spans="17:28" x14ac:dyDescent="0.2">
      <c r="Q593" s="72"/>
      <c r="T593" s="72"/>
      <c r="U593" s="93"/>
      <c r="X593" s="114" t="str">
        <f t="shared" si="21"/>
        <v>1w</v>
      </c>
      <c r="Y593" s="112">
        <f>_xll.qlCalendarAdvance(Calendar,Y592,X593,"f",FALSE)</f>
        <v>43286</v>
      </c>
      <c r="Z593" s="115">
        <f>_xll.qlCalendarAdvance(Calendar,Y593,NDays&amp;"D")</f>
        <v>43286</v>
      </c>
      <c r="AA593" s="116">
        <v>2.797021498689186E-2</v>
      </c>
      <c r="AB593" s="113">
        <v>2.7503923435111544E-2</v>
      </c>
    </row>
    <row r="594" spans="17:28" x14ac:dyDescent="0.2">
      <c r="Q594" s="72"/>
      <c r="T594" s="72"/>
      <c r="U594" s="93"/>
      <c r="X594" s="114" t="str">
        <f t="shared" si="21"/>
        <v>1w</v>
      </c>
      <c r="Y594" s="112">
        <f>_xll.qlCalendarAdvance(Calendar,Y593,X594,"f",FALSE)</f>
        <v>43293</v>
      </c>
      <c r="Z594" s="115">
        <f>_xll.qlCalendarAdvance(Calendar,Y594,NDays&amp;"D")</f>
        <v>43293</v>
      </c>
      <c r="AA594" s="116">
        <v>2.8027656104315377E-2</v>
      </c>
      <c r="AB594" s="113">
        <v>2.7560376972084466E-2</v>
      </c>
    </row>
    <row r="595" spans="17:28" x14ac:dyDescent="0.2">
      <c r="Q595" s="72"/>
      <c r="T595" s="72"/>
      <c r="U595" s="93"/>
      <c r="X595" s="114" t="str">
        <f t="shared" si="21"/>
        <v>1w</v>
      </c>
      <c r="Y595" s="112">
        <f>_xll.qlCalendarAdvance(Calendar,Y594,X595,"f",FALSE)</f>
        <v>43300</v>
      </c>
      <c r="Z595" s="115">
        <f>_xll.qlCalendarAdvance(Calendar,Y595,NDays&amp;"D")</f>
        <v>43300</v>
      </c>
      <c r="AA595" s="116">
        <v>2.8085189351214873E-2</v>
      </c>
      <c r="AB595" s="113">
        <v>2.7616921186391918E-2</v>
      </c>
    </row>
    <row r="596" spans="17:28" x14ac:dyDescent="0.2">
      <c r="Q596" s="72"/>
      <c r="T596" s="72"/>
      <c r="U596" s="93"/>
      <c r="X596" s="114" t="str">
        <f t="shared" si="21"/>
        <v>1w</v>
      </c>
      <c r="Y596" s="112">
        <f>_xll.qlCalendarAdvance(Calendar,Y595,X596,"f",FALSE)</f>
        <v>43307</v>
      </c>
      <c r="Z596" s="115">
        <f>_xll.qlCalendarAdvance(Calendar,Y596,NDays&amp;"D")</f>
        <v>43307</v>
      </c>
      <c r="AA596" s="116">
        <v>2.8142814731546645E-2</v>
      </c>
      <c r="AB596" s="113">
        <v>2.767355607827704E-2</v>
      </c>
    </row>
    <row r="597" spans="17:28" x14ac:dyDescent="0.2">
      <c r="Q597" s="72"/>
      <c r="T597" s="72"/>
      <c r="U597" s="93"/>
      <c r="X597" s="114" t="str">
        <f t="shared" ref="X597:X660" si="22">X596</f>
        <v>1w</v>
      </c>
      <c r="Y597" s="112">
        <f>_xll.qlCalendarAdvance(Calendar,Y596,X597,"f",FALSE)</f>
        <v>43314</v>
      </c>
      <c r="Z597" s="115">
        <f>_xll.qlCalendarAdvance(Calendar,Y597,NDays&amp;"D")</f>
        <v>43314</v>
      </c>
      <c r="AA597" s="116">
        <v>2.8200532249274025E-2</v>
      </c>
      <c r="AB597" s="113">
        <v>2.773028164773983E-2</v>
      </c>
    </row>
    <row r="598" spans="17:28" x14ac:dyDescent="0.2">
      <c r="Q598" s="72"/>
      <c r="T598" s="72"/>
      <c r="U598" s="93"/>
      <c r="X598" s="114" t="str">
        <f t="shared" si="22"/>
        <v>1w</v>
      </c>
      <c r="Y598" s="112">
        <f>_xll.qlCalendarAdvance(Calendar,Y597,X598,"f",FALSE)</f>
        <v>43321</v>
      </c>
      <c r="Z598" s="115">
        <f>_xll.qlCalendarAdvance(Calendar,Y598,NDays&amp;"D")</f>
        <v>43321</v>
      </c>
      <c r="AA598" s="116">
        <v>2.825834190836388E-2</v>
      </c>
      <c r="AB598" s="113">
        <v>2.7787097894699242E-2</v>
      </c>
    </row>
    <row r="599" spans="17:28" x14ac:dyDescent="0.2">
      <c r="Q599" s="72"/>
      <c r="T599" s="72"/>
      <c r="U599" s="93"/>
      <c r="X599" s="114" t="str">
        <f t="shared" si="22"/>
        <v>1w</v>
      </c>
      <c r="Y599" s="112">
        <f>_xll.qlCalendarAdvance(Calendar,Y598,X599,"f",FALSE)</f>
        <v>43328</v>
      </c>
      <c r="Z599" s="115">
        <f>_xll.qlCalendarAdvance(Calendar,Y599,NDays&amp;"D")</f>
        <v>43328</v>
      </c>
      <c r="AA599" s="116">
        <v>2.8316243712794526E-2</v>
      </c>
      <c r="AB599" s="113">
        <v>2.7844004819236323E-2</v>
      </c>
    </row>
    <row r="600" spans="17:28" x14ac:dyDescent="0.2">
      <c r="Q600" s="72"/>
      <c r="T600" s="72"/>
      <c r="U600" s="93"/>
      <c r="X600" s="114" t="str">
        <f t="shared" si="22"/>
        <v>1w</v>
      </c>
      <c r="Y600" s="112">
        <f>_xll.qlCalendarAdvance(Calendar,Y599,X600,"f",FALSE)</f>
        <v>43335</v>
      </c>
      <c r="Z600" s="115">
        <f>_xll.qlCalendarAdvance(Calendar,Y600,NDays&amp;"D")</f>
        <v>43335</v>
      </c>
      <c r="AA600" s="116">
        <v>2.8374237666545159E-2</v>
      </c>
      <c r="AB600" s="113">
        <v>2.7901002421513166E-2</v>
      </c>
    </row>
    <row r="601" spans="17:28" x14ac:dyDescent="0.2">
      <c r="Q601" s="72"/>
      <c r="T601" s="72"/>
      <c r="U601" s="93"/>
      <c r="X601" s="114" t="str">
        <f t="shared" si="22"/>
        <v>1w</v>
      </c>
      <c r="Y601" s="112">
        <f>_xll.qlCalendarAdvance(Calendar,Y600,X601,"f",FALSE)</f>
        <v>43342</v>
      </c>
      <c r="Z601" s="115">
        <f>_xll.qlCalendarAdvance(Calendar,Y601,NDays&amp;"D")</f>
        <v>43342</v>
      </c>
      <c r="AA601" s="116">
        <v>2.8432323773603781E-2</v>
      </c>
      <c r="AB601" s="113">
        <v>2.7958090701448723E-2</v>
      </c>
    </row>
    <row r="602" spans="17:28" x14ac:dyDescent="0.2">
      <c r="Q602" s="72"/>
      <c r="T602" s="72"/>
      <c r="U602" s="93"/>
      <c r="X602" s="114" t="str">
        <f t="shared" si="22"/>
        <v>1w</v>
      </c>
      <c r="Y602" s="112">
        <f>_xll.qlCalendarAdvance(Calendar,Y601,X602,"f",FALSE)</f>
        <v>43349</v>
      </c>
      <c r="Z602" s="115">
        <f>_xll.qlCalendarAdvance(Calendar,Y602,NDays&amp;"D")</f>
        <v>43349</v>
      </c>
      <c r="AA602" s="116">
        <v>2.8485220257633535E-2</v>
      </c>
      <c r="AB602" s="113">
        <v>2.8015269659124042E-2</v>
      </c>
    </row>
    <row r="603" spans="17:28" x14ac:dyDescent="0.2">
      <c r="Q603" s="72"/>
      <c r="T603" s="72"/>
      <c r="U603" s="93"/>
      <c r="X603" s="114" t="str">
        <f t="shared" si="22"/>
        <v>1w</v>
      </c>
      <c r="Y603" s="112">
        <f>_xll.qlCalendarAdvance(Calendar,Y602,X603,"f",FALSE)</f>
        <v>43356</v>
      </c>
      <c r="Z603" s="115">
        <f>_xll.qlCalendarAdvance(Calendar,Y603,NDays&amp;"D")</f>
        <v>43356</v>
      </c>
      <c r="AA603" s="116">
        <v>2.8543479564630322E-2</v>
      </c>
      <c r="AB603" s="113">
        <v>2.8072539294620169E-2</v>
      </c>
    </row>
    <row r="604" spans="17:28" x14ac:dyDescent="0.2">
      <c r="Q604" s="72"/>
      <c r="T604" s="72"/>
      <c r="U604" s="93"/>
      <c r="X604" s="114" t="str">
        <f t="shared" si="22"/>
        <v>1w</v>
      </c>
      <c r="Y604" s="112">
        <f>_xll.qlCalendarAdvance(Calendar,Y603,X604,"f",FALSE)</f>
        <v>43363</v>
      </c>
      <c r="Z604" s="115">
        <f>_xll.qlCalendarAdvance(Calendar,Y604,NDays&amp;"D")</f>
        <v>43363</v>
      </c>
      <c r="AA604" s="116">
        <v>2.8601831020220601E-2</v>
      </c>
      <c r="AB604" s="113">
        <v>2.8129899607856057E-2</v>
      </c>
    </row>
    <row r="605" spans="17:28" x14ac:dyDescent="0.2">
      <c r="Q605" s="72"/>
      <c r="T605" s="72"/>
      <c r="U605" s="93"/>
      <c r="X605" s="114" t="str">
        <f t="shared" si="22"/>
        <v>1w</v>
      </c>
      <c r="Y605" s="112">
        <f>_xll.qlCalendarAdvance(Calendar,Y604,X605,"f",FALSE)</f>
        <v>43370</v>
      </c>
      <c r="Z605" s="115">
        <f>_xll.qlCalendarAdvance(Calendar,Y605,NDays&amp;"D")</f>
        <v>43370</v>
      </c>
      <c r="AA605" s="116">
        <v>2.8660274628374751E-2</v>
      </c>
      <c r="AB605" s="113">
        <v>2.8187350598993799E-2</v>
      </c>
    </row>
    <row r="606" spans="17:28" x14ac:dyDescent="0.2">
      <c r="Q606" s="72"/>
      <c r="T606" s="72"/>
      <c r="U606" s="93"/>
      <c r="X606" s="114" t="str">
        <f t="shared" si="22"/>
        <v>1w</v>
      </c>
      <c r="Y606" s="112">
        <f>_xll.qlCalendarAdvance(Calendar,Y605,X606,"f",FALSE)</f>
        <v>43377</v>
      </c>
      <c r="Z606" s="115">
        <f>_xll.qlCalendarAdvance(Calendar,Y606,NDays&amp;"D")</f>
        <v>43377</v>
      </c>
      <c r="AA606" s="116">
        <v>2.8724136748558581E-2</v>
      </c>
      <c r="AB606" s="113">
        <v>2.8244892268033395E-2</v>
      </c>
    </row>
    <row r="607" spans="17:28" x14ac:dyDescent="0.2">
      <c r="Q607" s="72"/>
      <c r="T607" s="72"/>
      <c r="U607" s="93"/>
      <c r="X607" s="114" t="str">
        <f t="shared" si="22"/>
        <v>1w</v>
      </c>
      <c r="Y607" s="112">
        <f>_xll.qlCalendarAdvance(Calendar,Y606,X607,"f",FALSE)</f>
        <v>43384</v>
      </c>
      <c r="Z607" s="115">
        <f>_xll.qlCalendarAdvance(Calendar,Y607,NDays&amp;"D")</f>
        <v>43384</v>
      </c>
      <c r="AA607" s="116">
        <v>2.8782775859576219E-2</v>
      </c>
      <c r="AB607" s="113">
        <v>2.8302524615055891E-2</v>
      </c>
    </row>
    <row r="608" spans="17:28" x14ac:dyDescent="0.2">
      <c r="Q608" s="72"/>
      <c r="T608" s="72"/>
      <c r="U608" s="93"/>
      <c r="X608" s="114" t="str">
        <f t="shared" si="22"/>
        <v>1w</v>
      </c>
      <c r="Y608" s="112">
        <f>_xll.qlCalendarAdvance(Calendar,Y607,X608,"f",FALSE)</f>
        <v>43391</v>
      </c>
      <c r="Z608" s="115">
        <f>_xll.qlCalendarAdvance(Calendar,Y608,NDays&amp;"D")</f>
        <v>43391</v>
      </c>
      <c r="AA608" s="116">
        <v>2.8841507151996716E-2</v>
      </c>
      <c r="AB608" s="113">
        <v>2.8360247640142333E-2</v>
      </c>
    </row>
    <row r="609" spans="17:28" x14ac:dyDescent="0.2">
      <c r="Q609" s="72"/>
      <c r="T609" s="72"/>
      <c r="U609" s="93"/>
      <c r="X609" s="114" t="str">
        <f t="shared" si="22"/>
        <v>1w</v>
      </c>
      <c r="Y609" s="112">
        <f>_xll.qlCalendarAdvance(Calendar,Y608,X609,"f",FALSE)</f>
        <v>43398</v>
      </c>
      <c r="Z609" s="115">
        <f>_xll.qlCalendarAdvance(Calendar,Y609,NDays&amp;"D")</f>
        <v>43398</v>
      </c>
      <c r="AA609" s="116">
        <v>2.8900330629859177E-2</v>
      </c>
      <c r="AB609" s="113">
        <v>2.8418061343211676E-2</v>
      </c>
    </row>
    <row r="610" spans="17:28" x14ac:dyDescent="0.2">
      <c r="Q610" s="72"/>
      <c r="T610" s="72"/>
      <c r="U610" s="93"/>
      <c r="X610" s="114" t="str">
        <f t="shared" si="22"/>
        <v>1w</v>
      </c>
      <c r="Y610" s="112">
        <f>_xll.qlCalendarAdvance(Calendar,Y609,X610,"f",FALSE)</f>
        <v>43405</v>
      </c>
      <c r="Z610" s="115">
        <f>_xll.qlCalendarAdvance(Calendar,Y610,NDays&amp;"D")</f>
        <v>43405</v>
      </c>
      <c r="AA610" s="116">
        <v>2.8959246297209747E-2</v>
      </c>
      <c r="AB610" s="113">
        <v>2.8475965724344965E-2</v>
      </c>
    </row>
    <row r="611" spans="17:28" x14ac:dyDescent="0.2">
      <c r="Q611" s="72"/>
      <c r="T611" s="72"/>
      <c r="U611" s="93"/>
      <c r="X611" s="114" t="str">
        <f t="shared" si="22"/>
        <v>1w</v>
      </c>
      <c r="Y611" s="112">
        <f>_xll.qlCalendarAdvance(Calendar,Y610,X611,"f",FALSE)</f>
        <v>43412</v>
      </c>
      <c r="Z611" s="115">
        <f>_xll.qlCalendarAdvance(Calendar,Y611,NDays&amp;"D")</f>
        <v>43412</v>
      </c>
      <c r="AA611" s="116">
        <v>2.9018254158099856E-2</v>
      </c>
      <c r="AB611" s="113">
        <v>2.85339607835422E-2</v>
      </c>
    </row>
    <row r="612" spans="17:28" x14ac:dyDescent="0.2">
      <c r="Q612" s="72"/>
      <c r="T612" s="72"/>
      <c r="U612" s="93"/>
      <c r="X612" s="114" t="str">
        <f t="shared" si="22"/>
        <v>1w</v>
      </c>
      <c r="Y612" s="112">
        <f>_xll.qlCalendarAdvance(Calendar,Y611,X612,"f",FALSE)</f>
        <v>43419</v>
      </c>
      <c r="Z612" s="115">
        <f>_xll.qlCalendarAdvance(Calendar,Y612,NDays&amp;"D")</f>
        <v>43419</v>
      </c>
      <c r="AA612" s="116">
        <v>2.907735421658799E-2</v>
      </c>
      <c r="AB612" s="113">
        <v>2.8592046521046521E-2</v>
      </c>
    </row>
    <row r="613" spans="17:28" x14ac:dyDescent="0.2">
      <c r="Q613" s="72"/>
      <c r="T613" s="72"/>
      <c r="U613" s="93"/>
      <c r="X613" s="114" t="str">
        <f t="shared" si="22"/>
        <v>1w</v>
      </c>
      <c r="Y613" s="112">
        <f>_xll.qlCalendarAdvance(Calendar,Y612,X613,"f",FALSE)</f>
        <v>43426</v>
      </c>
      <c r="Z613" s="115">
        <f>_xll.qlCalendarAdvance(Calendar,Y613,NDays&amp;"D")</f>
        <v>43426</v>
      </c>
      <c r="AA613" s="116">
        <v>2.9136546476737909E-2</v>
      </c>
      <c r="AB613" s="113">
        <v>2.8650222936695835E-2</v>
      </c>
    </row>
    <row r="614" spans="17:28" x14ac:dyDescent="0.2">
      <c r="Q614" s="72"/>
      <c r="T614" s="72"/>
      <c r="U614" s="93"/>
      <c r="X614" s="114" t="str">
        <f t="shared" si="22"/>
        <v>1w</v>
      </c>
      <c r="Y614" s="112">
        <f>_xll.qlCalendarAdvance(Calendar,Y613,X614,"f",FALSE)</f>
        <v>43433</v>
      </c>
      <c r="Z614" s="115">
        <f>_xll.qlCalendarAdvance(Calendar,Y614,NDays&amp;"D")</f>
        <v>43433</v>
      </c>
      <c r="AA614" s="116">
        <v>2.9190414625139448E-2</v>
      </c>
      <c r="AB614" s="113">
        <v>2.8708490030571188E-2</v>
      </c>
    </row>
    <row r="615" spans="17:28" x14ac:dyDescent="0.2">
      <c r="Q615" s="72"/>
      <c r="T615" s="72"/>
      <c r="U615" s="93"/>
      <c r="X615" s="114" t="str">
        <f t="shared" si="22"/>
        <v>1w</v>
      </c>
      <c r="Y615" s="112">
        <f>_xll.qlCalendarAdvance(Calendar,Y614,X615,"f",FALSE)</f>
        <v>43440</v>
      </c>
      <c r="Z615" s="115">
        <f>_xll.qlCalendarAdvance(Calendar,Y615,NDays&amp;"D")</f>
        <v>43440</v>
      </c>
      <c r="AA615" s="116">
        <v>2.9244353706849389E-2</v>
      </c>
      <c r="AB615" s="113">
        <v>2.8766847802753626E-2</v>
      </c>
    </row>
    <row r="616" spans="17:28" x14ac:dyDescent="0.2">
      <c r="Q616" s="72"/>
      <c r="T616" s="72"/>
      <c r="U616" s="93"/>
      <c r="X616" s="114" t="str">
        <f t="shared" si="22"/>
        <v>1w</v>
      </c>
      <c r="Y616" s="112">
        <f>_xll.qlCalendarAdvance(Calendar,Y615,X616,"f",FALSE)</f>
        <v>43447</v>
      </c>
      <c r="Z616" s="115">
        <f>_xll.qlCalendarAdvance(Calendar,Y616,NDays&amp;"D")</f>
        <v>43447</v>
      </c>
      <c r="AA616" s="116">
        <v>2.9303799920320679E-2</v>
      </c>
      <c r="AB616" s="113">
        <v>2.8825296253324195E-2</v>
      </c>
    </row>
    <row r="617" spans="17:28" x14ac:dyDescent="0.2">
      <c r="Q617" s="72"/>
      <c r="T617" s="72"/>
      <c r="U617" s="93"/>
      <c r="X617" s="114" t="str">
        <f t="shared" si="22"/>
        <v>1w</v>
      </c>
      <c r="Y617" s="112">
        <f>_xll.qlCalendarAdvance(Calendar,Y616,X617,"f",FALSE)</f>
        <v>43454</v>
      </c>
      <c r="Z617" s="115">
        <f>_xll.qlCalendarAdvance(Calendar,Y617,NDays&amp;"D")</f>
        <v>43454</v>
      </c>
      <c r="AA617" s="116">
        <v>2.9363338317183421E-2</v>
      </c>
      <c r="AB617" s="113">
        <v>2.8883835382282896E-2</v>
      </c>
    </row>
    <row r="618" spans="17:28" x14ac:dyDescent="0.2">
      <c r="Q618" s="72"/>
      <c r="T618" s="72"/>
      <c r="U618" s="93"/>
      <c r="X618" s="114" t="str">
        <f t="shared" si="22"/>
        <v>1w</v>
      </c>
      <c r="Y618" s="112">
        <f>_xll.qlCalendarAdvance(Calendar,Y617,X618,"f",FALSE)</f>
        <v>43461</v>
      </c>
      <c r="Z618" s="115">
        <f>_xll.qlCalendarAdvance(Calendar,Y618,NDays&amp;"D")</f>
        <v>43461</v>
      </c>
      <c r="AA618" s="116">
        <v>2.9422968901444E-2</v>
      </c>
      <c r="AB618" s="113">
        <v>2.8942465189629729E-2</v>
      </c>
    </row>
    <row r="619" spans="17:28" x14ac:dyDescent="0.2">
      <c r="Q619" s="72"/>
      <c r="T619" s="72"/>
      <c r="U619" s="93"/>
      <c r="X619" s="114" t="str">
        <f t="shared" si="22"/>
        <v>1w</v>
      </c>
      <c r="Y619" s="112">
        <f>_xll.qlCalendarAdvance(Calendar,Y618,X619,"f",FALSE)</f>
        <v>43468</v>
      </c>
      <c r="Z619" s="115">
        <f>_xll.qlCalendarAdvance(Calendar,Y619,NDays&amp;"D")</f>
        <v>43468</v>
      </c>
      <c r="AA619" s="116">
        <v>2.9482691677113312E-2</v>
      </c>
      <c r="AB619" s="113">
        <v>2.900118567544574E-2</v>
      </c>
    </row>
    <row r="620" spans="17:28" x14ac:dyDescent="0.2">
      <c r="Q620" s="72"/>
      <c r="T620" s="72"/>
      <c r="U620" s="93"/>
      <c r="X620" s="114" t="str">
        <f t="shared" si="22"/>
        <v>1w</v>
      </c>
      <c r="Y620" s="112">
        <f>_xll.qlCalendarAdvance(Calendar,Y619,X620,"f",FALSE)</f>
        <v>43475</v>
      </c>
      <c r="Z620" s="115">
        <f>_xll.qlCalendarAdvance(Calendar,Y620,NDays&amp;"D")</f>
        <v>43475</v>
      </c>
      <c r="AA620" s="116">
        <v>2.9542506648209444E-2</v>
      </c>
      <c r="AB620" s="113">
        <v>2.9059996839811975E-2</v>
      </c>
    </row>
    <row r="621" spans="17:28" x14ac:dyDescent="0.2">
      <c r="Q621" s="72"/>
      <c r="T621" s="72"/>
      <c r="U621" s="93"/>
      <c r="X621" s="114" t="str">
        <f t="shared" si="22"/>
        <v>1w</v>
      </c>
      <c r="Y621" s="112">
        <f>_xll.qlCalendarAdvance(Calendar,Y620,X621,"f",FALSE)</f>
        <v>43482</v>
      </c>
      <c r="Z621" s="115">
        <f>_xll.qlCalendarAdvance(Calendar,Y621,NDays&amp;"D")</f>
        <v>43482</v>
      </c>
      <c r="AA621" s="116">
        <v>2.96024138187568E-2</v>
      </c>
      <c r="AB621" s="113">
        <v>2.9118898682728434E-2</v>
      </c>
    </row>
    <row r="622" spans="17:28" x14ac:dyDescent="0.2">
      <c r="Q622" s="72"/>
      <c r="T622" s="72"/>
      <c r="U622" s="93"/>
      <c r="X622" s="114" t="str">
        <f t="shared" si="22"/>
        <v>1w</v>
      </c>
      <c r="Y622" s="112">
        <f>_xll.qlCalendarAdvance(Calendar,Y621,X622,"f",FALSE)</f>
        <v>43489</v>
      </c>
      <c r="Z622" s="115">
        <f>_xll.qlCalendarAdvance(Calendar,Y622,NDays&amp;"D")</f>
        <v>43489</v>
      </c>
      <c r="AA622" s="116">
        <v>2.9662413192786979E-2</v>
      </c>
      <c r="AB622" s="113">
        <v>2.9177891204195117E-2</v>
      </c>
    </row>
    <row r="623" spans="17:28" x14ac:dyDescent="0.2">
      <c r="Q623" s="72"/>
      <c r="T623" s="72"/>
      <c r="U623" s="93"/>
      <c r="X623" s="114" t="str">
        <f t="shared" si="22"/>
        <v>1w</v>
      </c>
      <c r="Y623" s="112">
        <f>_xll.qlCalendarAdvance(Calendar,Y622,X623,"f",FALSE)</f>
        <v>43496</v>
      </c>
      <c r="Z623" s="115">
        <f>_xll.qlCalendarAdvance(Calendar,Y623,NDays&amp;"D")</f>
        <v>43496</v>
      </c>
      <c r="AA623" s="116">
        <v>2.9716988713168673E-2</v>
      </c>
      <c r="AB623" s="113">
        <v>2.9236974404455163E-2</v>
      </c>
    </row>
    <row r="624" spans="17:28" x14ac:dyDescent="0.2">
      <c r="Q624" s="72"/>
      <c r="T624" s="72"/>
      <c r="U624" s="93"/>
      <c r="X624" s="114" t="str">
        <f t="shared" si="22"/>
        <v>1w</v>
      </c>
      <c r="Y624" s="112">
        <f>_xll.qlCalendarAdvance(Calendar,Y623,X624,"f",FALSE)</f>
        <v>43503</v>
      </c>
      <c r="Z624" s="115">
        <f>_xll.qlCalendarAdvance(Calendar,Y624,NDays&amp;"D")</f>
        <v>43503</v>
      </c>
      <c r="AA624" s="116">
        <v>2.9777161032927761E-2</v>
      </c>
      <c r="AB624" s="113">
        <v>2.9296148283265433E-2</v>
      </c>
    </row>
    <row r="625" spans="17:28" x14ac:dyDescent="0.2">
      <c r="Q625" s="72"/>
      <c r="T625" s="72"/>
      <c r="U625" s="93"/>
      <c r="X625" s="114" t="str">
        <f t="shared" si="22"/>
        <v>1w</v>
      </c>
      <c r="Y625" s="112">
        <f>_xll.qlCalendarAdvance(Calendar,Y624,X625,"f",FALSE)</f>
        <v>43510</v>
      </c>
      <c r="Z625" s="115">
        <f>_xll.qlCalendarAdvance(Calendar,Y625,NDays&amp;"D")</f>
        <v>43510</v>
      </c>
      <c r="AA625" s="116">
        <v>2.9837425530230839E-2</v>
      </c>
      <c r="AB625" s="113">
        <v>2.9355412840869066E-2</v>
      </c>
    </row>
    <row r="626" spans="17:28" x14ac:dyDescent="0.2">
      <c r="Q626" s="72"/>
      <c r="T626" s="72"/>
      <c r="U626" s="93"/>
      <c r="X626" s="114" t="str">
        <f t="shared" si="22"/>
        <v>1w</v>
      </c>
      <c r="Y626" s="112">
        <f>_xll.qlCalendarAdvance(Calendar,Y625,X626,"f",FALSE)</f>
        <v>43517</v>
      </c>
      <c r="Z626" s="115">
        <f>_xll.qlCalendarAdvance(Calendar,Y626,NDays&amp;"D")</f>
        <v>43517</v>
      </c>
      <c r="AA626" s="116">
        <v>2.9897771816278781E-2</v>
      </c>
      <c r="AB626" s="113">
        <v>2.9414768077185016E-2</v>
      </c>
    </row>
    <row r="627" spans="17:28" x14ac:dyDescent="0.2">
      <c r="Q627" s="72"/>
      <c r="T627" s="72"/>
      <c r="U627" s="93"/>
      <c r="X627" s="114" t="str">
        <f t="shared" si="22"/>
        <v>1w</v>
      </c>
      <c r="Y627" s="112">
        <f>_xll.qlCalendarAdvance(Calendar,Y626,X627,"f",FALSE)</f>
        <v>43524</v>
      </c>
      <c r="Z627" s="115">
        <f>_xll.qlCalendarAdvance(Calendar,Y627,NDays&amp;"D")</f>
        <v>43524</v>
      </c>
      <c r="AA627" s="116">
        <v>2.9974806359077181E-2</v>
      </c>
      <c r="AB627" s="113">
        <v>2.9474213992456422E-2</v>
      </c>
    </row>
    <row r="628" spans="17:28" x14ac:dyDescent="0.2">
      <c r="Q628" s="72"/>
      <c r="T628" s="72"/>
      <c r="U628" s="93"/>
      <c r="X628" s="114" t="str">
        <f t="shared" si="22"/>
        <v>1w</v>
      </c>
      <c r="Y628" s="112">
        <f>_xll.qlCalendarAdvance(Calendar,Y627,X628,"f",FALSE)</f>
        <v>43531</v>
      </c>
      <c r="Z628" s="115">
        <f>_xll.qlCalendarAdvance(Calendar,Y628,NDays&amp;"D")</f>
        <v>43531</v>
      </c>
      <c r="AA628" s="116">
        <v>3.0035188646552358E-2</v>
      </c>
      <c r="AB628" s="113">
        <v>2.9533750586602237E-2</v>
      </c>
    </row>
    <row r="629" spans="17:28" x14ac:dyDescent="0.2">
      <c r="Q629" s="72"/>
      <c r="T629" s="72"/>
      <c r="U629" s="93"/>
      <c r="X629" s="114" t="str">
        <f t="shared" si="22"/>
        <v>1w</v>
      </c>
      <c r="Y629" s="112">
        <f>_xll.qlCalendarAdvance(Calendar,Y628,X629,"f",FALSE)</f>
        <v>43538</v>
      </c>
      <c r="Z629" s="115">
        <f>_xll.qlCalendarAdvance(Calendar,Y629,NDays&amp;"D")</f>
        <v>43538</v>
      </c>
      <c r="AA629" s="116">
        <v>3.0095517973844667E-2</v>
      </c>
      <c r="AB629" s="113">
        <v>2.9593377859541414E-2</v>
      </c>
    </row>
    <row r="630" spans="17:28" x14ac:dyDescent="0.2">
      <c r="Q630" s="72"/>
      <c r="T630" s="72"/>
      <c r="U630" s="93"/>
      <c r="X630" s="114" t="str">
        <f t="shared" si="22"/>
        <v>1w</v>
      </c>
      <c r="Y630" s="112">
        <f>_xll.qlCalendarAdvance(Calendar,Y629,X630,"f",FALSE)</f>
        <v>43545</v>
      </c>
      <c r="Z630" s="115">
        <f>_xll.qlCalendarAdvance(Calendar,Y630,NDays&amp;"D")</f>
        <v>43545</v>
      </c>
      <c r="AA630" s="116">
        <v>3.0155753675788027E-2</v>
      </c>
      <c r="AB630" s="113">
        <v>2.9653095811517094E-2</v>
      </c>
    </row>
    <row r="631" spans="17:28" x14ac:dyDescent="0.2">
      <c r="Q631" s="72"/>
      <c r="T631" s="72"/>
      <c r="U631" s="93"/>
      <c r="X631" s="114" t="str">
        <f t="shared" si="22"/>
        <v>1w</v>
      </c>
      <c r="Y631" s="112">
        <f>_xll.qlCalendarAdvance(Calendar,Y630,X631,"f",FALSE)</f>
        <v>43552</v>
      </c>
      <c r="Z631" s="115">
        <f>_xll.qlCalendarAdvance(Calendar,Y631,NDays&amp;"D")</f>
        <v>43552</v>
      </c>
      <c r="AA631" s="116">
        <v>3.0215855084774403E-2</v>
      </c>
      <c r="AB631" s="113">
        <v>2.9712904442448229E-2</v>
      </c>
    </row>
    <row r="632" spans="17:28" x14ac:dyDescent="0.2">
      <c r="Q632" s="72"/>
      <c r="T632" s="72"/>
      <c r="U632" s="93"/>
      <c r="X632" s="114" t="str">
        <f t="shared" si="22"/>
        <v>1w</v>
      </c>
      <c r="Y632" s="112">
        <f>_xll.qlCalendarAdvance(Calendar,Y631,X632,"f",FALSE)</f>
        <v>43559</v>
      </c>
      <c r="Z632" s="115">
        <f>_xll.qlCalendarAdvance(Calendar,Y632,NDays&amp;"D")</f>
        <v>43559</v>
      </c>
      <c r="AA632" s="116">
        <v>3.0270291827650061E-2</v>
      </c>
      <c r="AB632" s="113">
        <v>2.9772803752496912E-2</v>
      </c>
    </row>
    <row r="633" spans="17:28" x14ac:dyDescent="0.2">
      <c r="Q633" s="72"/>
      <c r="T633" s="72"/>
      <c r="U633" s="93"/>
      <c r="X633" s="114" t="str">
        <f t="shared" si="22"/>
        <v>1w</v>
      </c>
      <c r="Y633" s="112">
        <f>_xll.qlCalendarAdvance(Calendar,Y632,X633,"f",FALSE)</f>
        <v>43566</v>
      </c>
      <c r="Z633" s="115">
        <f>_xll.qlCalendarAdvance(Calendar,Y633,NDays&amp;"D")</f>
        <v>43566</v>
      </c>
      <c r="AA633" s="116">
        <v>3.0330023519097134E-2</v>
      </c>
      <c r="AB633" s="113">
        <v>2.9832793741582098E-2</v>
      </c>
    </row>
    <row r="634" spans="17:28" x14ac:dyDescent="0.2">
      <c r="Q634" s="72"/>
      <c r="T634" s="72"/>
      <c r="U634" s="93"/>
      <c r="X634" s="114" t="str">
        <f t="shared" si="22"/>
        <v>1w</v>
      </c>
      <c r="Y634" s="112">
        <f>_xll.qlCalendarAdvance(Calendar,Y633,X634,"f",FALSE)</f>
        <v>43573</v>
      </c>
      <c r="Z634" s="115">
        <f>_xll.qlCalendarAdvance(Calendar,Y634,NDays&amp;"D")</f>
        <v>43573</v>
      </c>
      <c r="AA634" s="116">
        <v>3.0389500955481218E-2</v>
      </c>
      <c r="AB634" s="113">
        <v>2.9914961203936441E-2</v>
      </c>
    </row>
    <row r="635" spans="17:28" x14ac:dyDescent="0.2">
      <c r="Q635" s="72"/>
      <c r="T635" s="72"/>
      <c r="U635" s="93"/>
      <c r="X635" s="114" t="str">
        <f t="shared" si="22"/>
        <v>1w</v>
      </c>
      <c r="Y635" s="112">
        <f>_xll.qlCalendarAdvance(Calendar,Y634,X635,"f",FALSE)</f>
        <v>43581</v>
      </c>
      <c r="Z635" s="115">
        <f>_xll.qlCalendarAdvance(Calendar,Y635,NDays&amp;"D")</f>
        <v>43581</v>
      </c>
      <c r="AA635" s="116">
        <v>3.0457111086396794E-2</v>
      </c>
      <c r="AB635" s="113">
        <v>2.9972715776498408E-2</v>
      </c>
    </row>
    <row r="636" spans="17:28" x14ac:dyDescent="0.2">
      <c r="Q636" s="72"/>
      <c r="T636" s="72"/>
      <c r="U636" s="93"/>
      <c r="X636" s="114" t="str">
        <f t="shared" si="22"/>
        <v>1w</v>
      </c>
      <c r="Y636" s="112">
        <f>_xll.qlCalendarAdvance(Calendar,Y635,X636,"f",FALSE)</f>
        <v>43588</v>
      </c>
      <c r="Z636" s="115">
        <f>_xll.qlCalendarAdvance(Calendar,Y636,NDays&amp;"D")</f>
        <v>43588</v>
      </c>
      <c r="AA636" s="116">
        <v>3.0537459234691495E-2</v>
      </c>
      <c r="AB636" s="113">
        <v>3.0033013622393637E-2</v>
      </c>
    </row>
    <row r="637" spans="17:28" x14ac:dyDescent="0.2">
      <c r="Q637" s="72"/>
      <c r="T637" s="72"/>
      <c r="U637" s="93"/>
      <c r="X637" s="114" t="str">
        <f t="shared" si="22"/>
        <v>1w</v>
      </c>
      <c r="Y637" s="112">
        <f>_xll.qlCalendarAdvance(Calendar,Y636,X637,"f",FALSE)</f>
        <v>43595</v>
      </c>
      <c r="Z637" s="115">
        <f>_xll.qlCalendarAdvance(Calendar,Y637,NDays&amp;"D")</f>
        <v>43595</v>
      </c>
      <c r="AA637" s="116">
        <v>3.0590405186284829E-2</v>
      </c>
      <c r="AB637" s="113">
        <v>3.0093402182418409E-2</v>
      </c>
    </row>
    <row r="638" spans="17:28" x14ac:dyDescent="0.2">
      <c r="Q638" s="72"/>
      <c r="T638" s="72"/>
      <c r="U638" s="93"/>
      <c r="X638" s="114" t="str">
        <f t="shared" si="22"/>
        <v>1w</v>
      </c>
      <c r="Y638" s="112">
        <f>_xll.qlCalendarAdvance(Calendar,Y637,X638,"f",FALSE)</f>
        <v>43602</v>
      </c>
      <c r="Z638" s="115">
        <f>_xll.qlCalendarAdvance(Calendar,Y638,NDays&amp;"D")</f>
        <v>43602</v>
      </c>
      <c r="AA638" s="116">
        <v>3.0648312233379483E-2</v>
      </c>
      <c r="AB638" s="113">
        <v>3.0153713637767202E-2</v>
      </c>
    </row>
    <row r="639" spans="17:28" x14ac:dyDescent="0.2">
      <c r="Q639" s="72"/>
      <c r="T639" s="72"/>
      <c r="U639" s="93"/>
      <c r="X639" s="114" t="str">
        <f t="shared" si="22"/>
        <v>1w</v>
      </c>
      <c r="Y639" s="112">
        <f>_xll.qlCalendarAdvance(Calendar,Y638,X639,"f",FALSE)</f>
        <v>43609</v>
      </c>
      <c r="Z639" s="115">
        <f>_xll.qlCalendarAdvance(Calendar,Y639,NDays&amp;"D")</f>
        <v>43609</v>
      </c>
      <c r="AA639" s="116">
        <v>3.0705777451008887E-2</v>
      </c>
      <c r="AB639" s="113">
        <v>3.0213601523126913E-2</v>
      </c>
    </row>
    <row r="640" spans="17:28" x14ac:dyDescent="0.2">
      <c r="Q640" s="72"/>
      <c r="T640" s="72"/>
      <c r="U640" s="93"/>
      <c r="X640" s="114" t="str">
        <f t="shared" si="22"/>
        <v>1w</v>
      </c>
      <c r="Y640" s="112">
        <f>_xll.qlCalendarAdvance(Calendar,Y639,X640,"f",FALSE)</f>
        <v>43616</v>
      </c>
      <c r="Z640" s="115">
        <f>_xll.qlCalendarAdvance(Calendar,Y640,NDays&amp;"D")</f>
        <v>43616</v>
      </c>
      <c r="AA640" s="116">
        <v>3.0746951988178707E-2</v>
      </c>
      <c r="AB640" s="113">
        <v>3.0273049597255117E-2</v>
      </c>
    </row>
    <row r="641" spans="17:28" x14ac:dyDescent="0.2">
      <c r="Q641" s="72"/>
      <c r="T641" s="72"/>
      <c r="U641" s="93"/>
      <c r="X641" s="114" t="str">
        <f t="shared" si="22"/>
        <v>1w</v>
      </c>
      <c r="Y641" s="112">
        <f>_xll.qlCalendarAdvance(Calendar,Y640,X641,"f",FALSE)</f>
        <v>43623</v>
      </c>
      <c r="Z641" s="115">
        <f>_xll.qlCalendarAdvance(Calendar,Y641,NDays&amp;"D")</f>
        <v>43623</v>
      </c>
      <c r="AA641" s="116">
        <v>3.081938075317046E-2</v>
      </c>
      <c r="AB641" s="113">
        <v>3.0337513886819489E-2</v>
      </c>
    </row>
    <row r="642" spans="17:28" x14ac:dyDescent="0.2">
      <c r="Q642" s="72"/>
      <c r="T642" s="72"/>
      <c r="U642" s="93"/>
      <c r="X642" s="114" t="str">
        <f t="shared" si="22"/>
        <v>1w</v>
      </c>
      <c r="Y642" s="112">
        <f>_xll.qlCalendarAdvance(Calendar,Y641,X642,"f",FALSE)</f>
        <v>43630</v>
      </c>
      <c r="Z642" s="115">
        <f>_xll.qlCalendarAdvance(Calendar,Y642,NDays&amp;"D")</f>
        <v>43630</v>
      </c>
      <c r="AA642" s="116">
        <v>3.0859831626159455E-2</v>
      </c>
      <c r="AB642" s="113">
        <v>3.0390626309439638E-2</v>
      </c>
    </row>
    <row r="643" spans="17:28" x14ac:dyDescent="0.2">
      <c r="Q643" s="72"/>
      <c r="T643" s="72"/>
      <c r="U643" s="93"/>
      <c r="X643" s="114" t="str">
        <f t="shared" si="22"/>
        <v>1w</v>
      </c>
      <c r="Y643" s="112">
        <f>_xll.qlCalendarAdvance(Calendar,Y642,X643,"f",FALSE)</f>
        <v>43637</v>
      </c>
      <c r="Z643" s="115">
        <f>_xll.qlCalendarAdvance(Calendar,Y643,NDays&amp;"D")</f>
        <v>43637</v>
      </c>
      <c r="AA643" s="116">
        <v>3.0931214416213305E-2</v>
      </c>
      <c r="AB643" s="113">
        <v>3.0448754946172205E-2</v>
      </c>
    </row>
    <row r="644" spans="17:28" x14ac:dyDescent="0.2">
      <c r="Q644" s="72"/>
      <c r="T644" s="72"/>
      <c r="U644" s="93"/>
      <c r="X644" s="114" t="str">
        <f t="shared" si="22"/>
        <v>1w</v>
      </c>
      <c r="Y644" s="112">
        <f>_xll.qlCalendarAdvance(Calendar,Y643,X644,"f",FALSE)</f>
        <v>43644</v>
      </c>
      <c r="Z644" s="115">
        <f>_xll.qlCalendarAdvance(Calendar,Y644,NDays&amp;"D")</f>
        <v>43644</v>
      </c>
      <c r="AA644" s="116">
        <v>3.0986467585507958E-2</v>
      </c>
      <c r="AB644" s="113">
        <v>3.050644376918784E-2</v>
      </c>
    </row>
    <row r="645" spans="17:28" x14ac:dyDescent="0.2">
      <c r="Q645" s="72"/>
      <c r="T645" s="72"/>
      <c r="U645" s="93"/>
      <c r="X645" s="114" t="str">
        <f t="shared" si="22"/>
        <v>1w</v>
      </c>
      <c r="Y645" s="112">
        <f>_xll.qlCalendarAdvance(Calendar,Y644,X645,"f",FALSE)</f>
        <v>43651</v>
      </c>
      <c r="Z645" s="115">
        <f>_xll.qlCalendarAdvance(Calendar,Y645,NDays&amp;"D")</f>
        <v>43651</v>
      </c>
      <c r="AA645" s="116">
        <v>3.10464219753162E-2</v>
      </c>
      <c r="AB645" s="113">
        <v>3.0563692777838179E-2</v>
      </c>
    </row>
    <row r="646" spans="17:28" x14ac:dyDescent="0.2">
      <c r="Q646" s="72"/>
      <c r="T646" s="72"/>
      <c r="U646" s="93"/>
      <c r="X646" s="114" t="str">
        <f t="shared" si="22"/>
        <v>1w</v>
      </c>
      <c r="Y646" s="112">
        <f>_xll.qlCalendarAdvance(Calendar,Y645,X646,"f",FALSE)</f>
        <v>43658</v>
      </c>
      <c r="Z646" s="115">
        <f>_xll.qlCalendarAdvance(Calendar,Y646,NDays&amp;"D")</f>
        <v>43658</v>
      </c>
      <c r="AA646" s="116">
        <v>3.1095646505840416E-2</v>
      </c>
      <c r="AB646" s="113">
        <v>3.0620501971501866E-2</v>
      </c>
    </row>
    <row r="647" spans="17:28" x14ac:dyDescent="0.2">
      <c r="Q647" s="72"/>
      <c r="T647" s="72"/>
      <c r="U647" s="93"/>
      <c r="X647" s="114" t="str">
        <f t="shared" si="22"/>
        <v>1w</v>
      </c>
      <c r="Y647" s="112">
        <f>_xll.qlCalendarAdvance(Calendar,Y646,X647,"f",FALSE)</f>
        <v>43665</v>
      </c>
      <c r="Z647" s="115">
        <f>_xll.qlCalendarAdvance(Calendar,Y647,NDays&amp;"D")</f>
        <v>43665</v>
      </c>
      <c r="AA647" s="116">
        <v>3.1149572219806441E-2</v>
      </c>
      <c r="AB647" s="113">
        <v>3.0676871349557547E-2</v>
      </c>
    </row>
    <row r="648" spans="17:28" x14ac:dyDescent="0.2">
      <c r="Q648" s="72"/>
      <c r="T648" s="72"/>
      <c r="U648" s="93"/>
      <c r="X648" s="114" t="str">
        <f t="shared" si="22"/>
        <v>1w</v>
      </c>
      <c r="Y648" s="112">
        <f>_xll.qlCalendarAdvance(Calendar,Y647,X648,"f",FALSE)</f>
        <v>43672</v>
      </c>
      <c r="Z648" s="115">
        <f>_xll.qlCalendarAdvance(Calendar,Y648,NDays&amp;"D")</f>
        <v>43672</v>
      </c>
      <c r="AA648" s="116">
        <v>3.1203055411842623E-2</v>
      </c>
      <c r="AB648" s="113">
        <v>3.0732800911410882E-2</v>
      </c>
    </row>
    <row r="649" spans="17:28" x14ac:dyDescent="0.2">
      <c r="Q649" s="72"/>
      <c r="T649" s="72"/>
      <c r="U649" s="93"/>
      <c r="X649" s="114" t="str">
        <f t="shared" si="22"/>
        <v>1w</v>
      </c>
      <c r="Y649" s="112">
        <f>_xll.qlCalendarAdvance(Calendar,Y648,X649,"f",FALSE)</f>
        <v>43679</v>
      </c>
      <c r="Z649" s="115">
        <f>_xll.qlCalendarAdvance(Calendar,Y649,NDays&amp;"D")</f>
        <v>43679</v>
      </c>
      <c r="AA649" s="116">
        <v>3.1256096063789422E-2</v>
      </c>
      <c r="AB649" s="113">
        <v>3.0793533540446616E-2</v>
      </c>
    </row>
    <row r="650" spans="17:28" x14ac:dyDescent="0.2">
      <c r="Q650" s="72"/>
      <c r="T650" s="72"/>
      <c r="U650" s="93"/>
      <c r="X650" s="114" t="str">
        <f t="shared" si="22"/>
        <v>1w</v>
      </c>
      <c r="Y650" s="112">
        <f>_xll.qlCalendarAdvance(Calendar,Y649,X650,"f",FALSE)</f>
        <v>43686</v>
      </c>
      <c r="Z650" s="115">
        <f>_xll.qlCalendarAdvance(Calendar,Y650,NDays&amp;"D")</f>
        <v>43686</v>
      </c>
      <c r="AA650" s="116">
        <v>3.130869415763473E-2</v>
      </c>
      <c r="AB650" s="113">
        <v>3.0843340584079119E-2</v>
      </c>
    </row>
    <row r="651" spans="17:28" x14ac:dyDescent="0.2">
      <c r="Q651" s="72"/>
      <c r="T651" s="72"/>
      <c r="U651" s="93"/>
      <c r="X651" s="114" t="str">
        <f t="shared" si="22"/>
        <v>1w</v>
      </c>
      <c r="Y651" s="112">
        <f>_xll.qlCalendarAdvance(Calendar,Y650,X651,"f",FALSE)</f>
        <v>43693</v>
      </c>
      <c r="Z651" s="115">
        <f>_xll.qlCalendarAdvance(Calendar,Y651,NDays&amp;"D")</f>
        <v>43693</v>
      </c>
      <c r="AA651" s="116">
        <v>3.1360849675520774E-2</v>
      </c>
      <c r="AB651" s="113">
        <v>3.089795069367833E-2</v>
      </c>
    </row>
    <row r="652" spans="17:28" x14ac:dyDescent="0.2">
      <c r="Q652" s="72"/>
      <c r="T652" s="72"/>
      <c r="U652" s="93"/>
      <c r="X652" s="114" t="str">
        <f t="shared" si="22"/>
        <v>1w</v>
      </c>
      <c r="Y652" s="112">
        <f>_xll.qlCalendarAdvance(Calendar,Y651,X652,"f",FALSE)</f>
        <v>43700</v>
      </c>
      <c r="Z652" s="115">
        <f>_xll.qlCalendarAdvance(Calendar,Y652,NDays&amp;"D")</f>
        <v>43700</v>
      </c>
      <c r="AA652" s="116">
        <v>3.1412562599734635E-2</v>
      </c>
      <c r="AB652" s="113">
        <v>3.095212098467082E-2</v>
      </c>
    </row>
    <row r="653" spans="17:28" x14ac:dyDescent="0.2">
      <c r="Q653" s="72"/>
      <c r="T653" s="72"/>
      <c r="U653" s="93"/>
      <c r="X653" s="114" t="str">
        <f t="shared" si="22"/>
        <v>1w</v>
      </c>
      <c r="Y653" s="112">
        <f>_xll.qlCalendarAdvance(Calendar,Y652,X653,"f",FALSE)</f>
        <v>43707</v>
      </c>
      <c r="Z653" s="115">
        <f>_xll.qlCalendarAdvance(Calendar,Y653,NDays&amp;"D")</f>
        <v>43707</v>
      </c>
      <c r="AA653" s="116">
        <v>3.1449038562933004E-2</v>
      </c>
      <c r="AB653" s="113">
        <v>3.1005851456489267E-2</v>
      </c>
    </row>
    <row r="654" spans="17:28" x14ac:dyDescent="0.2">
      <c r="Q654" s="72"/>
      <c r="T654" s="72"/>
      <c r="U654" s="93"/>
      <c r="X654" s="114" t="str">
        <f t="shared" si="22"/>
        <v>1w</v>
      </c>
      <c r="Y654" s="112">
        <f>_xll.qlCalendarAdvance(Calendar,Y653,X654,"f",FALSE)</f>
        <v>43714</v>
      </c>
      <c r="Z654" s="115">
        <f>_xll.qlCalendarAdvance(Calendar,Y654,NDays&amp;"D")</f>
        <v>43714</v>
      </c>
      <c r="AA654" s="116">
        <v>3.1499947980180604E-2</v>
      </c>
      <c r="AB654" s="113">
        <v>3.1059142108512315E-2</v>
      </c>
    </row>
    <row r="655" spans="17:28" x14ac:dyDescent="0.2">
      <c r="Q655" s="72"/>
      <c r="T655" s="72"/>
      <c r="U655" s="93"/>
      <c r="X655" s="114" t="str">
        <f t="shared" si="22"/>
        <v>1w</v>
      </c>
      <c r="Y655" s="112">
        <f>_xll.qlCalendarAdvance(Calendar,Y654,X655,"f",FALSE)</f>
        <v>43721</v>
      </c>
      <c r="Z655" s="115">
        <f>_xll.qlCalendarAdvance(Calendar,Y655,NDays&amp;"D")</f>
        <v>43721</v>
      </c>
      <c r="AA655" s="116">
        <v>3.1550414848376437E-2</v>
      </c>
      <c r="AB655" s="113">
        <v>3.1111992940172643E-2</v>
      </c>
    </row>
    <row r="656" spans="17:28" x14ac:dyDescent="0.2">
      <c r="Q656" s="72"/>
      <c r="T656" s="72"/>
      <c r="U656" s="93"/>
      <c r="X656" s="114" t="str">
        <f t="shared" si="22"/>
        <v>1w</v>
      </c>
      <c r="Y656" s="112">
        <f>_xll.qlCalendarAdvance(Calendar,Y655,X656,"f",FALSE)</f>
        <v>43728</v>
      </c>
      <c r="Z656" s="115">
        <f>_xll.qlCalendarAdvance(Calendar,Y656,NDays&amp;"D")</f>
        <v>43728</v>
      </c>
      <c r="AA656" s="116">
        <v>3.1600439150931851E-2</v>
      </c>
      <c r="AB656" s="113">
        <v>3.1164403950929939E-2</v>
      </c>
    </row>
    <row r="657" spans="17:28" x14ac:dyDescent="0.2">
      <c r="Q657" s="72"/>
      <c r="T657" s="72"/>
      <c r="U657" s="93"/>
      <c r="X657" s="114" t="str">
        <f t="shared" si="22"/>
        <v>1w</v>
      </c>
      <c r="Y657" s="112">
        <f>_xll.qlCalendarAdvance(Calendar,Y656,X657,"f",FALSE)</f>
        <v>43735</v>
      </c>
      <c r="Z657" s="115">
        <f>_xll.qlCalendarAdvance(Calendar,Y657,NDays&amp;"D")</f>
        <v>43735</v>
      </c>
      <c r="AA657" s="116">
        <v>3.1650020871399787E-2</v>
      </c>
      <c r="AB657" s="113">
        <v>3.1216375140162848E-2</v>
      </c>
    </row>
    <row r="658" spans="17:28" x14ac:dyDescent="0.2">
      <c r="Q658" s="72"/>
      <c r="T658" s="72"/>
      <c r="U658" s="93"/>
      <c r="X658" s="114" t="str">
        <f t="shared" si="22"/>
        <v>1w</v>
      </c>
      <c r="Y658" s="112">
        <f>_xll.qlCalendarAdvance(Calendar,Y657,X658,"f",FALSE)</f>
        <v>43742</v>
      </c>
      <c r="Z658" s="115">
        <f>_xll.qlCalendarAdvance(Calendar,Y658,NDays&amp;"D")</f>
        <v>43742</v>
      </c>
      <c r="AA658" s="116">
        <v>3.1713544705104284E-2</v>
      </c>
      <c r="AB658" s="113">
        <v>3.1272907398786354E-2</v>
      </c>
    </row>
    <row r="659" spans="17:28" x14ac:dyDescent="0.2">
      <c r="Q659" s="72"/>
      <c r="T659" s="72"/>
      <c r="U659" s="93"/>
      <c r="X659" s="114" t="str">
        <f t="shared" si="22"/>
        <v>1w</v>
      </c>
      <c r="Y659" s="112">
        <f>_xll.qlCalendarAdvance(Calendar,Y658,X659,"f",FALSE)</f>
        <v>43749</v>
      </c>
      <c r="Z659" s="115">
        <f>_xll.qlCalendarAdvance(Calendar,Y659,NDays&amp;"D")</f>
        <v>43749</v>
      </c>
      <c r="AA659" s="116">
        <v>3.1762158990359744E-2</v>
      </c>
      <c r="AB659" s="113">
        <v>3.1318998051921287E-2</v>
      </c>
    </row>
    <row r="660" spans="17:28" x14ac:dyDescent="0.2">
      <c r="Q660" s="72"/>
      <c r="T660" s="72"/>
      <c r="U660" s="93"/>
      <c r="X660" s="114" t="str">
        <f t="shared" si="22"/>
        <v>1w</v>
      </c>
      <c r="Y660" s="112">
        <f>_xll.qlCalendarAdvance(Calendar,Y659,X660,"f",FALSE)</f>
        <v>43756</v>
      </c>
      <c r="Z660" s="115">
        <f>_xll.qlCalendarAdvance(Calendar,Y660,NDays&amp;"D")</f>
        <v>43756</v>
      </c>
      <c r="AA660" s="116">
        <v>3.1810330545669736E-2</v>
      </c>
      <c r="AB660" s="113">
        <v>3.1369649773312178E-2</v>
      </c>
    </row>
    <row r="661" spans="17:28" x14ac:dyDescent="0.2">
      <c r="Q661" s="72"/>
      <c r="T661" s="72"/>
      <c r="U661" s="93"/>
      <c r="X661" s="114" t="str">
        <f t="shared" ref="X661:X724" si="23">X660</f>
        <v>1w</v>
      </c>
      <c r="Y661" s="112">
        <f>_xll.qlCalendarAdvance(Calendar,Y660,X661,"f",FALSE)</f>
        <v>43763</v>
      </c>
      <c r="Z661" s="115">
        <f>_xll.qlCalendarAdvance(Calendar,Y661,NDays&amp;"D")</f>
        <v>43763</v>
      </c>
      <c r="AA661" s="116">
        <v>3.1862767227420402E-2</v>
      </c>
      <c r="AB661" s="113">
        <v>3.1419861670990423E-2</v>
      </c>
    </row>
    <row r="662" spans="17:28" x14ac:dyDescent="0.2">
      <c r="Q662" s="72"/>
      <c r="T662" s="72"/>
      <c r="U662" s="93"/>
      <c r="X662" s="114" t="str">
        <f t="shared" si="23"/>
        <v>1w</v>
      </c>
      <c r="Y662" s="112">
        <f>_xll.qlCalendarAdvance(Calendar,Y661,X662,"f",FALSE)</f>
        <v>43770</v>
      </c>
      <c r="Z662" s="115">
        <f>_xll.qlCalendarAdvance(Calendar,Y662,NDays&amp;"D")</f>
        <v>43770</v>
      </c>
      <c r="AA662" s="116">
        <v>3.1905345401175705E-2</v>
      </c>
      <c r="AB662" s="113">
        <v>3.1469633744415734E-2</v>
      </c>
    </row>
    <row r="663" spans="17:28" x14ac:dyDescent="0.2">
      <c r="Q663" s="72"/>
      <c r="T663" s="72"/>
      <c r="U663" s="93"/>
      <c r="X663" s="114" t="str">
        <f t="shared" si="23"/>
        <v>1w</v>
      </c>
      <c r="Y663" s="112">
        <f>_xll.qlCalendarAdvance(Calendar,Y662,X663,"f",FALSE)</f>
        <v>43777</v>
      </c>
      <c r="Z663" s="115">
        <f>_xll.qlCalendarAdvance(Calendar,Y663,NDays&amp;"D")</f>
        <v>43777</v>
      </c>
      <c r="AA663" s="116">
        <v>3.195218866910491E-2</v>
      </c>
      <c r="AB663" s="113">
        <v>3.1518965993020773E-2</v>
      </c>
    </row>
    <row r="664" spans="17:28" x14ac:dyDescent="0.2">
      <c r="Q664" s="72"/>
      <c r="T664" s="72"/>
      <c r="U664" s="93"/>
      <c r="X664" s="114" t="str">
        <f t="shared" si="23"/>
        <v>1w</v>
      </c>
      <c r="Y664" s="112">
        <f>_xll.qlCalendarAdvance(Calendar,Y663,X664,"f",FALSE)</f>
        <v>43784</v>
      </c>
      <c r="Z664" s="115">
        <f>_xll.qlCalendarAdvance(Calendar,Y664,NDays&amp;"D")</f>
        <v>43784</v>
      </c>
      <c r="AA664" s="116">
        <v>3.1984699265387627E-2</v>
      </c>
      <c r="AB664" s="113">
        <v>3.1567858416265235E-2</v>
      </c>
    </row>
    <row r="665" spans="17:28" x14ac:dyDescent="0.2">
      <c r="Q665" s="72"/>
      <c r="T665" s="72"/>
      <c r="U665" s="93"/>
      <c r="X665" s="114" t="str">
        <f t="shared" si="23"/>
        <v>1w</v>
      </c>
      <c r="Y665" s="112">
        <f>_xll.qlCalendarAdvance(Calendar,Y664,X665,"f",FALSE)</f>
        <v>43791</v>
      </c>
      <c r="Z665" s="115">
        <f>_xll.qlCalendarAdvance(Calendar,Y665,NDays&amp;"D")</f>
        <v>43791</v>
      </c>
      <c r="AA665" s="116">
        <v>3.2044546805774891E-2</v>
      </c>
      <c r="AB665" s="113">
        <v>3.1616311013689856E-2</v>
      </c>
    </row>
    <row r="666" spans="17:28" x14ac:dyDescent="0.2">
      <c r="Q666" s="72"/>
      <c r="T666" s="72"/>
      <c r="U666" s="93"/>
      <c r="X666" s="114" t="str">
        <f t="shared" si="23"/>
        <v>1w</v>
      </c>
      <c r="Y666" s="112">
        <f>_xll.qlCalendarAdvance(Calendar,Y665,X666,"f",FALSE)</f>
        <v>43798</v>
      </c>
      <c r="Z666" s="115">
        <f>_xll.qlCalendarAdvance(Calendar,Y666,NDays&amp;"D")</f>
        <v>43798</v>
      </c>
      <c r="AA666" s="116">
        <v>3.2076337520230522E-2</v>
      </c>
      <c r="AB666" s="113">
        <v>3.1664323784673286E-2</v>
      </c>
    </row>
    <row r="667" spans="17:28" x14ac:dyDescent="0.2">
      <c r="Q667" s="72"/>
      <c r="T667" s="72"/>
      <c r="U667" s="93"/>
      <c r="X667" s="114" t="str">
        <f t="shared" si="23"/>
        <v>1w</v>
      </c>
      <c r="Y667" s="112">
        <f>_xll.qlCalendarAdvance(Calendar,Y666,X667,"f",FALSE)</f>
        <v>43805</v>
      </c>
      <c r="Z667" s="115">
        <f>_xll.qlCalendarAdvance(Calendar,Y667,NDays&amp;"D")</f>
        <v>43805</v>
      </c>
      <c r="AA667" s="116">
        <v>3.2121492547335567E-2</v>
      </c>
      <c r="AB667" s="113">
        <v>3.171189672875626E-2</v>
      </c>
    </row>
    <row r="668" spans="17:28" x14ac:dyDescent="0.2">
      <c r="Q668" s="72"/>
      <c r="T668" s="72"/>
      <c r="U668" s="93"/>
      <c r="X668" s="114" t="str">
        <f t="shared" si="23"/>
        <v>1w</v>
      </c>
      <c r="Y668" s="112">
        <f>_xll.qlCalendarAdvance(Calendar,Y667,X668,"f",FALSE)</f>
        <v>43812</v>
      </c>
      <c r="Z668" s="115">
        <f>_xll.qlCalendarAdvance(Calendar,Y668,NDays&amp;"D")</f>
        <v>43812</v>
      </c>
      <c r="AA668" s="116">
        <v>3.2166204821053361E-2</v>
      </c>
      <c r="AB668" s="113">
        <v>3.1759029845425488E-2</v>
      </c>
    </row>
    <row r="669" spans="17:28" x14ac:dyDescent="0.2">
      <c r="Q669" s="72"/>
      <c r="T669" s="72"/>
      <c r="U669" s="93"/>
      <c r="X669" s="114" t="str">
        <f t="shared" si="23"/>
        <v>1w</v>
      </c>
      <c r="Y669" s="112">
        <f>_xll.qlCalendarAdvance(Calendar,Y668,X669,"f",FALSE)</f>
        <v>43819</v>
      </c>
      <c r="Z669" s="115">
        <f>_xll.qlCalendarAdvance(Calendar,Y669,NDays&amp;"D")</f>
        <v>43819</v>
      </c>
      <c r="AA669" s="116">
        <v>3.2210474326684245E-2</v>
      </c>
      <c r="AB669" s="113">
        <v>3.1805723134113638E-2</v>
      </c>
    </row>
    <row r="670" spans="17:28" x14ac:dyDescent="0.2">
      <c r="Q670" s="72"/>
      <c r="T670" s="72"/>
      <c r="U670" s="93"/>
      <c r="X670" s="114" t="str">
        <f t="shared" si="23"/>
        <v>1w</v>
      </c>
      <c r="Y670" s="112">
        <f>_xll.qlCalendarAdvance(Calendar,Y669,X670,"f",FALSE)</f>
        <v>43826</v>
      </c>
      <c r="Z670" s="115">
        <f>_xll.qlCalendarAdvance(Calendar,Y670,NDays&amp;"D")</f>
        <v>43826</v>
      </c>
      <c r="AA670" s="116">
        <v>3.2254301049673736E-2</v>
      </c>
      <c r="AB670" s="113">
        <v>3.1851976594361453E-2</v>
      </c>
    </row>
    <row r="671" spans="17:28" x14ac:dyDescent="0.2">
      <c r="Q671" s="72"/>
      <c r="T671" s="72"/>
      <c r="U671" s="93"/>
      <c r="X671" s="114" t="str">
        <f t="shared" si="23"/>
        <v>1w</v>
      </c>
      <c r="Y671" s="112">
        <f>_xll.qlCalendarAdvance(Calendar,Y670,X671,"f",FALSE)</f>
        <v>43833</v>
      </c>
      <c r="Z671" s="115">
        <f>_xll.qlCalendarAdvance(Calendar,Y671,NDays&amp;"D")</f>
        <v>43833</v>
      </c>
      <c r="AA671" s="116">
        <v>3.2297684975612515E-2</v>
      </c>
      <c r="AB671" s="113">
        <v>3.1897790225682662E-2</v>
      </c>
    </row>
    <row r="672" spans="17:28" x14ac:dyDescent="0.2">
      <c r="Q672" s="72"/>
      <c r="T672" s="72"/>
      <c r="U672" s="93"/>
      <c r="X672" s="114" t="str">
        <f t="shared" si="23"/>
        <v>1w</v>
      </c>
      <c r="Y672" s="112">
        <f>_xll.qlCalendarAdvance(Calendar,Y671,X672,"f",FALSE)</f>
        <v>43840</v>
      </c>
      <c r="Z672" s="115">
        <f>_xll.qlCalendarAdvance(Calendar,Y672,NDays&amp;"D")</f>
        <v>43840</v>
      </c>
      <c r="AA672" s="116">
        <v>3.2358253787679592E-2</v>
      </c>
      <c r="AB672" s="113">
        <v>3.1943164027536941E-2</v>
      </c>
    </row>
    <row r="673" spans="17:28" x14ac:dyDescent="0.2">
      <c r="Q673" s="72"/>
      <c r="T673" s="72"/>
      <c r="U673" s="93"/>
      <c r="X673" s="114" t="str">
        <f t="shared" si="23"/>
        <v>1w</v>
      </c>
      <c r="Y673" s="112">
        <f>_xll.qlCalendarAdvance(Calendar,Y672,X673,"f",FALSE)</f>
        <v>43847</v>
      </c>
      <c r="Z673" s="115">
        <f>_xll.qlCalendarAdvance(Calendar,Y673,NDays&amp;"D")</f>
        <v>43847</v>
      </c>
      <c r="AA673" s="116">
        <v>3.2383124379427419E-2</v>
      </c>
      <c r="AB673" s="113">
        <v>3.1988097999438025E-2</v>
      </c>
    </row>
    <row r="674" spans="17:28" x14ac:dyDescent="0.2">
      <c r="Q674" s="72"/>
      <c r="T674" s="72"/>
      <c r="U674" s="93"/>
      <c r="X674" s="114" t="str">
        <f t="shared" si="23"/>
        <v>1w</v>
      </c>
      <c r="Y674" s="112">
        <f>_xll.qlCalendarAdvance(Calendar,Y673,X674,"f",FALSE)</f>
        <v>43854</v>
      </c>
      <c r="Z674" s="115">
        <f>_xll.qlCalendarAdvance(Calendar,Y674,NDays&amp;"D")</f>
        <v>43854</v>
      </c>
      <c r="AA674" s="116">
        <v>3.2425179829212551E-2</v>
      </c>
      <c r="AB674" s="113">
        <v>3.2037156639061204E-2</v>
      </c>
    </row>
    <row r="675" spans="17:28" x14ac:dyDescent="0.2">
      <c r="Q675" s="72"/>
      <c r="T675" s="72"/>
      <c r="U675" s="93"/>
      <c r="X675" s="114" t="str">
        <f t="shared" si="23"/>
        <v>1w</v>
      </c>
      <c r="Y675" s="112">
        <f>_xll.qlCalendarAdvance(Calendar,Y674,X675,"f",FALSE)</f>
        <v>43861</v>
      </c>
      <c r="Z675" s="115">
        <f>_xll.qlCalendarAdvance(Calendar,Y675,NDays&amp;"D")</f>
        <v>43861</v>
      </c>
      <c r="AA675" s="116">
        <v>3.2462463228067256E-2</v>
      </c>
      <c r="AB675" s="113">
        <v>3.2076646451516533E-2</v>
      </c>
    </row>
    <row r="676" spans="17:28" x14ac:dyDescent="0.2">
      <c r="Q676" s="72"/>
      <c r="T676" s="72"/>
      <c r="U676" s="93"/>
      <c r="X676" s="114" t="str">
        <f t="shared" si="23"/>
        <v>1w</v>
      </c>
      <c r="Y676" s="112">
        <f>_xll.qlCalendarAdvance(Calendar,Y675,X676,"f",FALSE)</f>
        <v>43868</v>
      </c>
      <c r="Z676" s="115">
        <f>_xll.qlCalendarAdvance(Calendar,Y676,NDays&amp;"D")</f>
        <v>43868</v>
      </c>
      <c r="AA676" s="116">
        <v>3.2503660940267229E-2</v>
      </c>
      <c r="AB676" s="113">
        <v>3.21202609307214E-2</v>
      </c>
    </row>
    <row r="677" spans="17:28" x14ac:dyDescent="0.2">
      <c r="Q677" s="72"/>
      <c r="T677" s="72"/>
      <c r="U677" s="93"/>
      <c r="X677" s="114" t="str">
        <f t="shared" si="23"/>
        <v>1w</v>
      </c>
      <c r="Y677" s="112">
        <f>_xll.qlCalendarAdvance(Calendar,Y676,X677,"f",FALSE)</f>
        <v>43875</v>
      </c>
      <c r="Z677" s="115">
        <f>_xll.qlCalendarAdvance(Calendar,Y677,NDays&amp;"D")</f>
        <v>43875</v>
      </c>
      <c r="AA677" s="116">
        <v>3.2544415887647178E-2</v>
      </c>
      <c r="AB677" s="113">
        <v>3.2163435578027963E-2</v>
      </c>
    </row>
    <row r="678" spans="17:28" x14ac:dyDescent="0.2">
      <c r="Q678" s="72"/>
      <c r="T678" s="72"/>
      <c r="U678" s="93"/>
      <c r="X678" s="114" t="str">
        <f t="shared" si="23"/>
        <v>1w</v>
      </c>
      <c r="Y678" s="112">
        <f>_xll.qlCalendarAdvance(Calendar,Y677,X678,"f",FALSE)</f>
        <v>43882</v>
      </c>
      <c r="Z678" s="115">
        <f>_xll.qlCalendarAdvance(Calendar,Y678,NDays&amp;"D")</f>
        <v>43882</v>
      </c>
      <c r="AA678" s="116">
        <v>3.2584735103506901E-2</v>
      </c>
      <c r="AB678" s="113">
        <v>3.2206170393057995E-2</v>
      </c>
    </row>
    <row r="679" spans="17:28" x14ac:dyDescent="0.2">
      <c r="Q679" s="72"/>
      <c r="T679" s="72"/>
      <c r="U679" s="93"/>
      <c r="X679" s="114" t="str">
        <f t="shared" si="23"/>
        <v>1w</v>
      </c>
      <c r="Y679" s="112">
        <f>_xll.qlCalendarAdvance(Calendar,Y678,X679,"f",FALSE)</f>
        <v>43889</v>
      </c>
      <c r="Z679" s="115">
        <f>_xll.qlCalendarAdvance(Calendar,Y679,NDays&amp;"D")</f>
        <v>43889</v>
      </c>
      <c r="AA679" s="116">
        <v>3.2628862579348772E-2</v>
      </c>
      <c r="AB679" s="113">
        <v>3.2248465375271193E-2</v>
      </c>
    </row>
    <row r="680" spans="17:28" x14ac:dyDescent="0.2">
      <c r="Q680" s="72"/>
      <c r="T680" s="72"/>
      <c r="U680" s="93"/>
      <c r="X680" s="114" t="str">
        <f t="shared" si="23"/>
        <v>1w</v>
      </c>
      <c r="Y680" s="112">
        <f>_xll.qlCalendarAdvance(Calendar,Y679,X680,"f",FALSE)</f>
        <v>43896</v>
      </c>
      <c r="Z680" s="115">
        <f>_xll.qlCalendarAdvance(Calendar,Y680,NDays&amp;"D")</f>
        <v>43896</v>
      </c>
      <c r="AA680" s="116">
        <v>3.2685151393256347E-2</v>
      </c>
      <c r="AB680" s="113">
        <v>3.2290320524235305E-2</v>
      </c>
    </row>
    <row r="681" spans="17:28" x14ac:dyDescent="0.2">
      <c r="Q681" s="72"/>
      <c r="T681" s="72"/>
      <c r="U681" s="93"/>
      <c r="X681" s="114" t="str">
        <f t="shared" si="23"/>
        <v>1w</v>
      </c>
      <c r="Y681" s="112">
        <f>_xll.qlCalendarAdvance(Calendar,Y680,X681,"f",FALSE)</f>
        <v>43903</v>
      </c>
      <c r="Z681" s="115">
        <f>_xll.qlCalendarAdvance(Calendar,Y681,NDays&amp;"D")</f>
        <v>43903</v>
      </c>
      <c r="AA681" s="116">
        <v>3.2720011226748218E-2</v>
      </c>
      <c r="AB681" s="113">
        <v>3.2331735839491081E-2</v>
      </c>
    </row>
    <row r="682" spans="17:28" x14ac:dyDescent="0.2">
      <c r="Q682" s="72"/>
      <c r="T682" s="72"/>
      <c r="U682" s="93"/>
      <c r="X682" s="114" t="str">
        <f t="shared" si="23"/>
        <v>1w</v>
      </c>
      <c r="Y682" s="112">
        <f>_xll.qlCalendarAdvance(Calendar,Y681,X682,"f",FALSE)</f>
        <v>43910</v>
      </c>
      <c r="Z682" s="115">
        <f>_xll.qlCalendarAdvance(Calendar,Y682,NDays&amp;"D")</f>
        <v>43910</v>
      </c>
      <c r="AA682" s="116">
        <v>3.2758722395633148E-2</v>
      </c>
      <c r="AB682" s="113">
        <v>3.2372711320606262E-2</v>
      </c>
    </row>
    <row r="683" spans="17:28" x14ac:dyDescent="0.2">
      <c r="Q683" s="72"/>
      <c r="T683" s="72"/>
      <c r="U683" s="93"/>
      <c r="X683" s="114" t="str">
        <f t="shared" si="23"/>
        <v>1w</v>
      </c>
      <c r="Y683" s="112">
        <f>_xll.qlCalendarAdvance(Calendar,Y682,X683,"f",FALSE)</f>
        <v>43917</v>
      </c>
      <c r="Z683" s="115">
        <f>_xll.qlCalendarAdvance(Calendar,Y683,NDays&amp;"D")</f>
        <v>43917</v>
      </c>
      <c r="AA683" s="116">
        <v>3.2797105903099186E-2</v>
      </c>
      <c r="AB683" s="113">
        <v>3.2413246967121598E-2</v>
      </c>
    </row>
    <row r="684" spans="17:28" x14ac:dyDescent="0.2">
      <c r="Q684" s="72"/>
      <c r="T684" s="72"/>
      <c r="U684" s="93"/>
      <c r="X684" s="114" t="str">
        <f t="shared" si="23"/>
        <v>1w</v>
      </c>
      <c r="Y684" s="112">
        <f>_xll.qlCalendarAdvance(Calendar,Y683,X684,"f",FALSE)</f>
        <v>43924</v>
      </c>
      <c r="Z684" s="115">
        <f>_xll.qlCalendarAdvance(Calendar,Y684,NDays&amp;"D")</f>
        <v>43924</v>
      </c>
      <c r="AA684" s="116">
        <v>3.2822765342370219E-2</v>
      </c>
      <c r="AB684" s="113">
        <v>3.245334277860483E-2</v>
      </c>
    </row>
    <row r="685" spans="17:28" x14ac:dyDescent="0.2">
      <c r="Q685" s="72"/>
      <c r="T685" s="72"/>
      <c r="U685" s="93"/>
      <c r="X685" s="114" t="str">
        <f t="shared" si="23"/>
        <v>1w</v>
      </c>
      <c r="Y685" s="112">
        <f>_xll.qlCalendarAdvance(Calendar,Y684,X685,"f",FALSE)</f>
        <v>43935</v>
      </c>
      <c r="Z685" s="115">
        <f>_xll.qlCalendarAdvance(Calendar,Y685,NDays&amp;"D")</f>
        <v>43935</v>
      </c>
      <c r="AA685" s="116">
        <v>3.2882079432461964E-2</v>
      </c>
      <c r="AB685" s="113">
        <v>3.2506967358972849E-2</v>
      </c>
    </row>
    <row r="686" spans="17:28" x14ac:dyDescent="0.2">
      <c r="Q686" s="72"/>
      <c r="T686" s="72"/>
      <c r="U686" s="93"/>
      <c r="X686" s="114" t="str">
        <f t="shared" si="23"/>
        <v>1w</v>
      </c>
      <c r="Y686" s="112">
        <f>_xll.qlCalendarAdvance(Calendar,Y685,X686,"f",FALSE)</f>
        <v>43942</v>
      </c>
      <c r="Z686" s="115">
        <f>_xll.qlCalendarAdvance(Calendar,Y686,NDays&amp;"D")</f>
        <v>43942</v>
      </c>
      <c r="AA686" s="116">
        <v>3.2919485671684602E-2</v>
      </c>
      <c r="AB686" s="113">
        <v>3.2545988042994578E-2</v>
      </c>
    </row>
    <row r="687" spans="17:28" x14ac:dyDescent="0.2">
      <c r="Q687" s="72"/>
      <c r="T687" s="72"/>
      <c r="U687" s="93"/>
      <c r="X687" s="114" t="str">
        <f t="shared" si="23"/>
        <v>1w</v>
      </c>
      <c r="Y687" s="112">
        <f>_xll.qlCalendarAdvance(Calendar,Y686,X687,"f",FALSE)</f>
        <v>43949</v>
      </c>
      <c r="Z687" s="115">
        <f>_xll.qlCalendarAdvance(Calendar,Y687,NDays&amp;"D")</f>
        <v>43949</v>
      </c>
      <c r="AA687" s="116">
        <v>3.295665238814327E-2</v>
      </c>
      <c r="AB687" s="113">
        <v>3.2584568960657423E-2</v>
      </c>
    </row>
    <row r="688" spans="17:28" x14ac:dyDescent="0.2">
      <c r="Q688" s="72"/>
      <c r="T688" s="72"/>
      <c r="U688" s="93"/>
      <c r="X688" s="114" t="str">
        <f t="shared" si="23"/>
        <v>1w</v>
      </c>
      <c r="Y688" s="112">
        <f>_xll.qlCalendarAdvance(Calendar,Y687,X688,"f",FALSE)</f>
        <v>43956</v>
      </c>
      <c r="Z688" s="115">
        <f>_xll.qlCalendarAdvance(Calendar,Y688,NDays&amp;"D")</f>
        <v>43956</v>
      </c>
      <c r="AA688" s="116">
        <v>3.2997690125213058E-2</v>
      </c>
      <c r="AB688" s="113">
        <v>3.2622710111880338E-2</v>
      </c>
    </row>
    <row r="689" spans="17:28" x14ac:dyDescent="0.2">
      <c r="Q689" s="72"/>
      <c r="T689" s="72"/>
      <c r="U689" s="93"/>
      <c r="X689" s="114" t="str">
        <f t="shared" si="23"/>
        <v>1w</v>
      </c>
      <c r="Y689" s="112">
        <f>_xll.qlCalendarAdvance(Calendar,Y688,X689,"f",FALSE)</f>
        <v>43963</v>
      </c>
      <c r="Z689" s="115">
        <f>_xll.qlCalendarAdvance(Calendar,Y689,NDays&amp;"D")</f>
        <v>43963</v>
      </c>
      <c r="AA689" s="116">
        <v>3.3034429342919391E-2</v>
      </c>
      <c r="AB689" s="113">
        <v>3.2660412388982873E-2</v>
      </c>
    </row>
    <row r="690" spans="17:28" x14ac:dyDescent="0.2">
      <c r="Q690" s="72"/>
      <c r="T690" s="72"/>
      <c r="U690" s="93"/>
      <c r="X690" s="114" t="str">
        <f t="shared" si="23"/>
        <v>1w</v>
      </c>
      <c r="Y690" s="112">
        <f>_xll.qlCalendarAdvance(Calendar,Y689,X690,"f",FALSE)</f>
        <v>43970</v>
      </c>
      <c r="Z690" s="115">
        <f>_xll.qlCalendarAdvance(Calendar,Y690,NDays&amp;"D")</f>
        <v>43970</v>
      </c>
      <c r="AA690" s="116">
        <v>3.3070986696011703E-2</v>
      </c>
      <c r="AB690" s="113">
        <v>3.2697823941729709E-2</v>
      </c>
    </row>
    <row r="691" spans="17:28" x14ac:dyDescent="0.2">
      <c r="Q691" s="72"/>
      <c r="T691" s="72"/>
      <c r="U691" s="93"/>
      <c r="X691" s="114" t="str">
        <f t="shared" si="23"/>
        <v>1w</v>
      </c>
      <c r="Y691" s="112">
        <f>_xll.qlCalendarAdvance(Calendar,Y690,X691,"f",FALSE)</f>
        <v>43977</v>
      </c>
      <c r="Z691" s="115">
        <f>_xll.qlCalendarAdvance(Calendar,Y691,NDays&amp;"D")</f>
        <v>43977</v>
      </c>
      <c r="AA691" s="116">
        <v>3.3107365534322176E-2</v>
      </c>
      <c r="AB691" s="113">
        <v>3.2735058113668725E-2</v>
      </c>
    </row>
    <row r="692" spans="17:28" x14ac:dyDescent="0.2">
      <c r="Q692" s="72"/>
      <c r="T692" s="72"/>
      <c r="U692" s="93"/>
      <c r="X692" s="114" t="str">
        <f t="shared" si="23"/>
        <v>1w</v>
      </c>
      <c r="Y692" s="112">
        <f>_xll.qlCalendarAdvance(Calendar,Y691,X692,"f",FALSE)</f>
        <v>43984</v>
      </c>
      <c r="Z692" s="115">
        <f>_xll.qlCalendarAdvance(Calendar,Y692,NDays&amp;"D")</f>
        <v>43984</v>
      </c>
      <c r="AA692" s="116">
        <v>3.3143565852974829E-2</v>
      </c>
      <c r="AB692" s="113">
        <v>3.2772114904718874E-2</v>
      </c>
    </row>
    <row r="693" spans="17:28" x14ac:dyDescent="0.2">
      <c r="Q693" s="72"/>
      <c r="T693" s="72"/>
      <c r="U693" s="93"/>
      <c r="X693" s="114" t="str">
        <f t="shared" si="23"/>
        <v>1w</v>
      </c>
      <c r="Y693" s="112">
        <f>_xll.qlCalendarAdvance(Calendar,Y692,X693,"f",FALSE)</f>
        <v>43991</v>
      </c>
      <c r="Z693" s="115">
        <f>_xll.qlCalendarAdvance(Calendar,Y693,NDays&amp;"D")</f>
        <v>43991</v>
      </c>
      <c r="AA693" s="116">
        <v>3.3179587647117453E-2</v>
      </c>
      <c r="AB693" s="113">
        <v>3.2808994314799111E-2</v>
      </c>
    </row>
    <row r="694" spans="17:28" x14ac:dyDescent="0.2">
      <c r="Q694" s="72"/>
      <c r="T694" s="72"/>
      <c r="U694" s="93"/>
      <c r="X694" s="114" t="str">
        <f t="shared" si="23"/>
        <v>1w</v>
      </c>
      <c r="Y694" s="112">
        <f>_xll.qlCalendarAdvance(Calendar,Y693,X694,"f",FALSE)</f>
        <v>43998</v>
      </c>
      <c r="Z694" s="115">
        <f>_xll.qlCalendarAdvance(Calendar,Y694,NDays&amp;"D")</f>
        <v>43998</v>
      </c>
      <c r="AA694" s="116">
        <v>3.3215430911920744E-2</v>
      </c>
      <c r="AB694" s="113">
        <v>3.2845696344071529E-2</v>
      </c>
    </row>
    <row r="695" spans="17:28" x14ac:dyDescent="0.2">
      <c r="Q695" s="72"/>
      <c r="T695" s="72"/>
      <c r="U695" s="93"/>
      <c r="X695" s="114" t="str">
        <f t="shared" si="23"/>
        <v>1w</v>
      </c>
      <c r="Y695" s="112">
        <f>_xll.qlCalendarAdvance(Calendar,Y694,X695,"f",FALSE)</f>
        <v>44005</v>
      </c>
      <c r="Z695" s="115">
        <f>_xll.qlCalendarAdvance(Calendar,Y695,NDays&amp;"D")</f>
        <v>44005</v>
      </c>
      <c r="AA695" s="116">
        <v>3.3251095642581836E-2</v>
      </c>
      <c r="AB695" s="113">
        <v>3.2882220992211941E-2</v>
      </c>
    </row>
    <row r="696" spans="17:28" x14ac:dyDescent="0.2">
      <c r="Q696" s="72"/>
      <c r="T696" s="72"/>
      <c r="U696" s="93"/>
      <c r="X696" s="114" t="str">
        <f t="shared" si="23"/>
        <v>1w</v>
      </c>
      <c r="Y696" s="112">
        <f>_xll.qlCalendarAdvance(Calendar,Y695,X696,"f",FALSE)</f>
        <v>44012</v>
      </c>
      <c r="Z696" s="115">
        <f>_xll.qlCalendarAdvance(Calendar,Y696,NDays&amp;"D")</f>
        <v>44012</v>
      </c>
      <c r="AA696" s="116">
        <v>3.3286581834319866E-2</v>
      </c>
      <c r="AB696" s="113">
        <v>3.2918568259301395E-2</v>
      </c>
    </row>
    <row r="697" spans="17:28" x14ac:dyDescent="0.2">
      <c r="Q697" s="72"/>
      <c r="T697" s="72"/>
      <c r="U697" s="93"/>
      <c r="X697" s="114" t="str">
        <f t="shared" si="23"/>
        <v>1w</v>
      </c>
      <c r="Y697" s="112">
        <f>_xll.qlCalendarAdvance(Calendar,Y696,X697,"f",FALSE)</f>
        <v>44019</v>
      </c>
      <c r="Z697" s="115">
        <f>_xll.qlCalendarAdvance(Calendar,Y697,NDays&amp;"D")</f>
        <v>44019</v>
      </c>
      <c r="AA697" s="116">
        <v>3.3321889482377784E-2</v>
      </c>
      <c r="AB697" s="113">
        <v>3.2954738145258844E-2</v>
      </c>
    </row>
    <row r="698" spans="17:28" x14ac:dyDescent="0.2">
      <c r="Q698" s="72"/>
      <c r="T698" s="72"/>
      <c r="U698" s="93"/>
      <c r="X698" s="114" t="str">
        <f t="shared" si="23"/>
        <v>1w</v>
      </c>
      <c r="Y698" s="112">
        <f>_xll.qlCalendarAdvance(Calendar,Y697,X698,"f",FALSE)</f>
        <v>44026</v>
      </c>
      <c r="Z698" s="115">
        <f>_xll.qlCalendarAdvance(Calendar,Y698,NDays&amp;"D")</f>
        <v>44026</v>
      </c>
      <c r="AA698" s="116">
        <v>3.3357018582023182E-2</v>
      </c>
      <c r="AB698" s="113">
        <v>3.2990730650003242E-2</v>
      </c>
    </row>
    <row r="699" spans="17:28" x14ac:dyDescent="0.2">
      <c r="Q699" s="72"/>
      <c r="T699" s="72"/>
      <c r="U699" s="93"/>
      <c r="X699" s="114" t="str">
        <f t="shared" si="23"/>
        <v>1w</v>
      </c>
      <c r="Y699" s="112">
        <f>_xll.qlCalendarAdvance(Calendar,Y698,X699,"f",FALSE)</f>
        <v>44033</v>
      </c>
      <c r="Z699" s="115">
        <f>_xll.qlCalendarAdvance(Calendar,Y699,NDays&amp;"D")</f>
        <v>44033</v>
      </c>
      <c r="AA699" s="116">
        <v>3.339196912854657E-2</v>
      </c>
      <c r="AB699" s="113">
        <v>3.3026545773534588E-2</v>
      </c>
    </row>
    <row r="700" spans="17:28" x14ac:dyDescent="0.2">
      <c r="Q700" s="72"/>
      <c r="T700" s="72"/>
      <c r="U700" s="93"/>
      <c r="X700" s="114" t="str">
        <f t="shared" si="23"/>
        <v>1w</v>
      </c>
      <c r="Y700" s="112">
        <f>_xll.qlCalendarAdvance(Calendar,Y699,X700,"f",FALSE)</f>
        <v>44040</v>
      </c>
      <c r="Z700" s="115">
        <f>_xll.qlCalendarAdvance(Calendar,Y700,NDays&amp;"D")</f>
        <v>44040</v>
      </c>
      <c r="AA700" s="116">
        <v>3.3426741117264007E-2</v>
      </c>
      <c r="AB700" s="113">
        <v>3.3062183515771837E-2</v>
      </c>
    </row>
    <row r="701" spans="17:28" x14ac:dyDescent="0.2">
      <c r="Q701" s="72"/>
      <c r="T701" s="72"/>
      <c r="U701" s="93"/>
      <c r="X701" s="114" t="str">
        <f t="shared" si="23"/>
        <v>1w</v>
      </c>
      <c r="Y701" s="112">
        <f>_xll.qlCalendarAdvance(Calendar,Y700,X701,"f",FALSE)</f>
        <v>44047</v>
      </c>
      <c r="Z701" s="115">
        <f>_xll.qlCalendarAdvance(Calendar,Y701,NDays&amp;"D")</f>
        <v>44047</v>
      </c>
      <c r="AA701" s="116">
        <v>3.3461334543514437E-2</v>
      </c>
      <c r="AB701" s="113">
        <v>3.3097643876714988E-2</v>
      </c>
    </row>
    <row r="702" spans="17:28" x14ac:dyDescent="0.2">
      <c r="Q702" s="72"/>
      <c r="T702" s="72"/>
      <c r="U702" s="93"/>
      <c r="X702" s="114" t="str">
        <f t="shared" si="23"/>
        <v>1w</v>
      </c>
      <c r="Y702" s="112">
        <f>_xll.qlCalendarAdvance(Calendar,Y701,X702,"f",FALSE)</f>
        <v>44054</v>
      </c>
      <c r="Z702" s="115">
        <f>_xll.qlCalendarAdvance(Calendar,Y702,NDays&amp;"D")</f>
        <v>44054</v>
      </c>
      <c r="AA702" s="116">
        <v>3.3495749402660618E-2</v>
      </c>
      <c r="AB702" s="113">
        <v>3.3132926856282996E-2</v>
      </c>
    </row>
    <row r="703" spans="17:28" x14ac:dyDescent="0.2">
      <c r="Q703" s="72"/>
      <c r="T703" s="72"/>
      <c r="U703" s="93"/>
      <c r="X703" s="114" t="str">
        <f t="shared" si="23"/>
        <v>1w</v>
      </c>
      <c r="Y703" s="112">
        <f>_xll.qlCalendarAdvance(Calendar,Y702,X703,"f",FALSE)</f>
        <v>44061</v>
      </c>
      <c r="Z703" s="115">
        <f>_xll.qlCalendarAdvance(Calendar,Y703,NDays&amp;"D")</f>
        <v>44061</v>
      </c>
      <c r="AA703" s="116">
        <v>3.3529985690088186E-2</v>
      </c>
      <c r="AB703" s="113">
        <v>3.3168032454313767E-2</v>
      </c>
    </row>
    <row r="704" spans="17:28" x14ac:dyDescent="0.2">
      <c r="Q704" s="72"/>
      <c r="T704" s="72"/>
      <c r="U704" s="93"/>
      <c r="X704" s="114" t="str">
        <f t="shared" si="23"/>
        <v>1w</v>
      </c>
      <c r="Y704" s="112">
        <f>_xll.qlCalendarAdvance(Calendar,Y703,X704,"f",FALSE)</f>
        <v>44068</v>
      </c>
      <c r="Z704" s="115">
        <f>_xll.qlCalendarAdvance(Calendar,Y704,NDays&amp;"D")</f>
        <v>44068</v>
      </c>
      <c r="AA704" s="116">
        <v>3.3564043401209227E-2</v>
      </c>
      <c r="AB704" s="113">
        <v>3.3202960670969395E-2</v>
      </c>
    </row>
    <row r="705" spans="17:28" x14ac:dyDescent="0.2">
      <c r="Q705" s="72"/>
      <c r="T705" s="72"/>
      <c r="U705" s="93"/>
      <c r="X705" s="114" t="str">
        <f t="shared" si="23"/>
        <v>1w</v>
      </c>
      <c r="Y705" s="112">
        <f>_xll.qlCalendarAdvance(Calendar,Y704,X705,"f",FALSE)</f>
        <v>44075</v>
      </c>
      <c r="Z705" s="115">
        <f>_xll.qlCalendarAdvance(Calendar,Y705,NDays&amp;"D")</f>
        <v>44075</v>
      </c>
      <c r="AA705" s="116">
        <v>3.3593994633657955E-2</v>
      </c>
      <c r="AB705" s="113">
        <v>3.323771150600674E-2</v>
      </c>
    </row>
    <row r="706" spans="17:28" x14ac:dyDescent="0.2">
      <c r="Q706" s="72"/>
      <c r="T706" s="72"/>
      <c r="U706" s="93"/>
      <c r="X706" s="114" t="str">
        <f t="shared" si="23"/>
        <v>1w</v>
      </c>
      <c r="Y706" s="112">
        <f>_xll.qlCalendarAdvance(Calendar,Y705,X706,"f",FALSE)</f>
        <v>44082</v>
      </c>
      <c r="Z706" s="115">
        <f>_xll.qlCalendarAdvance(Calendar,Y706,NDays&amp;"D")</f>
        <v>44082</v>
      </c>
      <c r="AA706" s="116">
        <v>3.3627704843583149E-2</v>
      </c>
      <c r="AB706" s="113">
        <v>3.3272284959506848E-2</v>
      </c>
    </row>
    <row r="707" spans="17:28" x14ac:dyDescent="0.2">
      <c r="Q707" s="72"/>
      <c r="T707" s="72"/>
      <c r="U707" s="93"/>
      <c r="X707" s="114" t="str">
        <f t="shared" si="23"/>
        <v>1w</v>
      </c>
      <c r="Y707" s="112">
        <f>_xll.qlCalendarAdvance(Calendar,Y706,X707,"f",FALSE)</f>
        <v>44089</v>
      </c>
      <c r="Z707" s="115">
        <f>_xll.qlCalendarAdvance(Calendar,Y707,NDays&amp;"D")</f>
        <v>44089</v>
      </c>
      <c r="AA707" s="116">
        <v>3.3661236477209991E-2</v>
      </c>
      <c r="AB707" s="113">
        <v>3.3306681031226582E-2</v>
      </c>
    </row>
    <row r="708" spans="17:28" x14ac:dyDescent="0.2">
      <c r="Q708" s="72"/>
      <c r="T708" s="72"/>
      <c r="U708" s="93"/>
      <c r="X708" s="114" t="str">
        <f t="shared" si="23"/>
        <v>1w</v>
      </c>
      <c r="Y708" s="112">
        <f>_xll.qlCalendarAdvance(Calendar,Y707,X708,"f",FALSE)</f>
        <v>44096</v>
      </c>
      <c r="Z708" s="115">
        <f>_xll.qlCalendarAdvance(Calendar,Y708,NDays&amp;"D")</f>
        <v>44096</v>
      </c>
      <c r="AA708" s="116">
        <v>3.3694589530093411E-2</v>
      </c>
      <c r="AB708" s="113">
        <v>3.3340899721409079E-2</v>
      </c>
    </row>
    <row r="709" spans="17:28" x14ac:dyDescent="0.2">
      <c r="Q709" s="72"/>
      <c r="T709" s="72"/>
      <c r="U709" s="93"/>
      <c r="X709" s="114" t="str">
        <f t="shared" si="23"/>
        <v>1w</v>
      </c>
      <c r="Y709" s="112">
        <f>_xll.qlCalendarAdvance(Calendar,Y708,X709,"f",FALSE)</f>
        <v>44103</v>
      </c>
      <c r="Z709" s="115">
        <f>_xll.qlCalendarAdvance(Calendar,Y709,NDays&amp;"D")</f>
        <v>44103</v>
      </c>
      <c r="AA709" s="116">
        <v>3.3727763997811473E-2</v>
      </c>
      <c r="AB709" s="113">
        <v>3.33749410298112E-2</v>
      </c>
    </row>
    <row r="710" spans="17:28" x14ac:dyDescent="0.2">
      <c r="Q710" s="72"/>
      <c r="T710" s="72"/>
      <c r="U710" s="93"/>
      <c r="X710" s="114" t="str">
        <f t="shared" si="23"/>
        <v>1w</v>
      </c>
      <c r="Y710" s="112">
        <f>_xll.qlCalendarAdvance(Calendar,Y709,X710,"f",FALSE)</f>
        <v>44110</v>
      </c>
      <c r="Z710" s="115">
        <f>_xll.qlCalendarAdvance(Calendar,Y710,NDays&amp;"D")</f>
        <v>44110</v>
      </c>
      <c r="AA710" s="116">
        <v>3.376463931150718E-2</v>
      </c>
      <c r="AB710" s="113">
        <v>3.3408804956351901E-2</v>
      </c>
    </row>
    <row r="711" spans="17:28" x14ac:dyDescent="0.2">
      <c r="Q711" s="72"/>
      <c r="T711" s="72"/>
      <c r="U711" s="93"/>
      <c r="X711" s="114" t="str">
        <f t="shared" si="23"/>
        <v>1w</v>
      </c>
      <c r="Y711" s="112">
        <f>_xll.qlCalendarAdvance(Calendar,Y710,X711,"f",FALSE)</f>
        <v>44117</v>
      </c>
      <c r="Z711" s="115">
        <f>_xll.qlCalendarAdvance(Calendar,Y711,NDays&amp;"D")</f>
        <v>44117</v>
      </c>
      <c r="AA711" s="116">
        <v>3.3797446861989509E-2</v>
      </c>
      <c r="AB711" s="113">
        <v>3.3442491501112226E-2</v>
      </c>
    </row>
    <row r="712" spans="17:28" x14ac:dyDescent="0.2">
      <c r="Q712" s="72"/>
      <c r="T712" s="72"/>
      <c r="U712" s="93"/>
      <c r="X712" s="114" t="str">
        <f t="shared" si="23"/>
        <v>1w</v>
      </c>
      <c r="Y712" s="112">
        <f>_xll.qlCalendarAdvance(Calendar,Y711,X712,"f",FALSE)</f>
        <v>44124</v>
      </c>
      <c r="Z712" s="115">
        <f>_xll.qlCalendarAdvance(Calendar,Y712,NDays&amp;"D")</f>
        <v>44124</v>
      </c>
      <c r="AA712" s="116">
        <v>3.3830075800312019E-2</v>
      </c>
      <c r="AB712" s="113">
        <v>3.3476000663930083E-2</v>
      </c>
    </row>
    <row r="713" spans="17:28" x14ac:dyDescent="0.2">
      <c r="Q713" s="72"/>
      <c r="T713" s="72"/>
      <c r="U713" s="93"/>
      <c r="X713" s="114" t="str">
        <f t="shared" si="23"/>
        <v>1w</v>
      </c>
      <c r="Y713" s="112">
        <f>_xll.qlCalendarAdvance(Calendar,Y712,X713,"f",FALSE)</f>
        <v>44131</v>
      </c>
      <c r="Z713" s="115">
        <f>_xll.qlCalendarAdvance(Calendar,Y713,NDays&amp;"D")</f>
        <v>44131</v>
      </c>
      <c r="AA713" s="116">
        <v>3.3862526122100854E-2</v>
      </c>
      <c r="AB713" s="113">
        <v>3.3509332444886519E-2</v>
      </c>
    </row>
    <row r="714" spans="17:28" x14ac:dyDescent="0.2">
      <c r="Q714" s="72"/>
      <c r="T714" s="72"/>
      <c r="U714" s="93"/>
      <c r="X714" s="114" t="str">
        <f t="shared" si="23"/>
        <v>1w</v>
      </c>
      <c r="Y714" s="112">
        <f>_xll.qlCalendarAdvance(Calendar,Y713,X714,"f",FALSE)</f>
        <v>44138</v>
      </c>
      <c r="Z714" s="115">
        <f>_xll.qlCalendarAdvance(Calendar,Y714,NDays&amp;"D")</f>
        <v>44138</v>
      </c>
      <c r="AA714" s="116">
        <v>3.3894797823005064E-2</v>
      </c>
      <c r="AB714" s="113">
        <v>3.3542486843819441E-2</v>
      </c>
    </row>
    <row r="715" spans="17:28" x14ac:dyDescent="0.2">
      <c r="Q715" s="72"/>
      <c r="T715" s="72"/>
      <c r="U715" s="93"/>
      <c r="X715" s="114" t="str">
        <f t="shared" si="23"/>
        <v>1w</v>
      </c>
      <c r="Y715" s="112">
        <f>_xll.qlCalendarAdvance(Calendar,Y714,X715,"f",FALSE)</f>
        <v>44145</v>
      </c>
      <c r="Z715" s="115">
        <f>_xll.qlCalendarAdvance(Calendar,Y715,NDays&amp;"D")</f>
        <v>44145</v>
      </c>
      <c r="AA715" s="116">
        <v>3.3926890898698353E-2</v>
      </c>
      <c r="AB715" s="113">
        <v>3.3575463860647803E-2</v>
      </c>
    </row>
    <row r="716" spans="17:28" x14ac:dyDescent="0.2">
      <c r="Q716" s="72"/>
      <c r="T716" s="72"/>
      <c r="U716" s="93"/>
      <c r="X716" s="114" t="str">
        <f t="shared" si="23"/>
        <v>1w</v>
      </c>
      <c r="Y716" s="112">
        <f>_xll.qlCalendarAdvance(Calendar,Y715,X716,"f",FALSE)</f>
        <v>44152</v>
      </c>
      <c r="Z716" s="115">
        <f>_xll.qlCalendarAdvance(Calendar,Y716,NDays&amp;"D")</f>
        <v>44152</v>
      </c>
      <c r="AA716" s="116">
        <v>3.3958805344879994E-2</v>
      </c>
      <c r="AB716" s="113">
        <v>3.360826349545265E-2</v>
      </c>
    </row>
    <row r="717" spans="17:28" x14ac:dyDescent="0.2">
      <c r="Q717" s="72"/>
      <c r="T717" s="72"/>
      <c r="U717" s="93"/>
      <c r="X717" s="114" t="str">
        <f t="shared" si="23"/>
        <v>1w</v>
      </c>
      <c r="Y717" s="112">
        <f>_xll.qlCalendarAdvance(Calendar,Y716,X717,"f",FALSE)</f>
        <v>44159</v>
      </c>
      <c r="Z717" s="115">
        <f>_xll.qlCalendarAdvance(Calendar,Y717,NDays&amp;"D")</f>
        <v>44159</v>
      </c>
      <c r="AA717" s="116">
        <v>3.3990541157270376E-2</v>
      </c>
      <c r="AB717" s="113">
        <v>3.3640885748152938E-2</v>
      </c>
    </row>
    <row r="718" spans="17:28" x14ac:dyDescent="0.2">
      <c r="Q718" s="72"/>
      <c r="T718" s="72"/>
      <c r="U718" s="93"/>
      <c r="X718" s="114" t="str">
        <f t="shared" si="23"/>
        <v>1w</v>
      </c>
      <c r="Y718" s="112">
        <f>_xll.qlCalendarAdvance(Calendar,Y717,X718,"f",FALSE)</f>
        <v>44166</v>
      </c>
      <c r="Z718" s="115">
        <f>_xll.qlCalendarAdvance(Calendar,Y718,NDays&amp;"D")</f>
        <v>44166</v>
      </c>
      <c r="AA718" s="116">
        <v>3.4014495276486638E-2</v>
      </c>
      <c r="AB718" s="113">
        <v>3.3673330618667618E-2</v>
      </c>
    </row>
    <row r="719" spans="17:28" x14ac:dyDescent="0.2">
      <c r="Q719" s="72"/>
      <c r="T719" s="72"/>
      <c r="U719" s="93"/>
      <c r="X719" s="114" t="str">
        <f t="shared" si="23"/>
        <v>1w</v>
      </c>
      <c r="Y719" s="112">
        <f>_xll.qlCalendarAdvance(Calendar,Y718,X719,"f",FALSE)</f>
        <v>44173</v>
      </c>
      <c r="Z719" s="115">
        <f>_xll.qlCalendarAdvance(Calendar,Y719,NDays&amp;"D")</f>
        <v>44173</v>
      </c>
      <c r="AA719" s="116">
        <v>3.4045893498731924E-2</v>
      </c>
      <c r="AB719" s="113">
        <v>3.37055981068346E-2</v>
      </c>
    </row>
    <row r="720" spans="17:28" x14ac:dyDescent="0.2">
      <c r="Q720" s="72"/>
      <c r="T720" s="72"/>
      <c r="U720" s="93"/>
      <c r="X720" s="114" t="str">
        <f t="shared" si="23"/>
        <v>1w</v>
      </c>
      <c r="Y720" s="112">
        <f>_xll.qlCalendarAdvance(Calendar,Y719,X720,"f",FALSE)</f>
        <v>44180</v>
      </c>
      <c r="Z720" s="115">
        <f>_xll.qlCalendarAdvance(Calendar,Y720,NDays&amp;"D")</f>
        <v>44180</v>
      </c>
      <c r="AA720" s="116">
        <v>3.4077113102951077E-2</v>
      </c>
      <c r="AB720" s="113">
        <v>3.3737688212897021E-2</v>
      </c>
    </row>
    <row r="721" spans="17:28" x14ac:dyDescent="0.2">
      <c r="Q721" s="72"/>
      <c r="T721" s="72"/>
      <c r="U721" s="93"/>
      <c r="X721" s="114" t="str">
        <f t="shared" si="23"/>
        <v>1w</v>
      </c>
      <c r="Y721" s="112">
        <f>_xll.qlCalendarAdvance(Calendar,Y720,X721,"f",FALSE)</f>
        <v>44187</v>
      </c>
      <c r="Z721" s="115">
        <f>_xll.qlCalendarAdvance(Calendar,Y721,NDays&amp;"D")</f>
        <v>44187</v>
      </c>
      <c r="AA721" s="116">
        <v>3.4108154085048574E-2</v>
      </c>
      <c r="AB721" s="113">
        <v>3.3769600936530697E-2</v>
      </c>
    </row>
    <row r="722" spans="17:28" x14ac:dyDescent="0.2">
      <c r="Q722" s="72"/>
      <c r="T722" s="72"/>
      <c r="U722" s="93"/>
      <c r="X722" s="114" t="str">
        <f t="shared" si="23"/>
        <v>1w</v>
      </c>
      <c r="Y722" s="112">
        <f>_xll.qlCalendarAdvance(Calendar,Y721,X722,"f",FALSE)</f>
        <v>44194</v>
      </c>
      <c r="Z722" s="115">
        <f>_xll.qlCalendarAdvance(Calendar,Y722,NDays&amp;"D")</f>
        <v>44194</v>
      </c>
      <c r="AA722" s="116">
        <v>3.4139016440954087E-2</v>
      </c>
      <c r="AB722" s="113">
        <v>3.3801336277816674E-2</v>
      </c>
    </row>
    <row r="723" spans="17:28" x14ac:dyDescent="0.2">
      <c r="Q723" s="72"/>
      <c r="T723" s="72"/>
      <c r="U723" s="93"/>
      <c r="X723" s="114" t="str">
        <f t="shared" si="23"/>
        <v>1w</v>
      </c>
      <c r="Y723" s="112">
        <f>_xll.qlCalendarAdvance(Calendar,Y722,X723,"f",FALSE)</f>
        <v>44201</v>
      </c>
      <c r="Z723" s="115">
        <f>_xll.qlCalendarAdvance(Calendar,Y723,NDays&amp;"D")</f>
        <v>44201</v>
      </c>
      <c r="AA723" s="116">
        <v>3.4173452683187361E-2</v>
      </c>
      <c r="AB723" s="113">
        <v>3.3832894236673905E-2</v>
      </c>
    </row>
    <row r="724" spans="17:28" x14ac:dyDescent="0.2">
      <c r="Q724" s="72"/>
      <c r="T724" s="72"/>
      <c r="U724" s="93"/>
      <c r="X724" s="114" t="str">
        <f t="shared" si="23"/>
        <v>1w</v>
      </c>
      <c r="Y724" s="112">
        <f>_xll.qlCalendarAdvance(Calendar,Y723,X724,"f",FALSE)</f>
        <v>44208</v>
      </c>
      <c r="Z724" s="115">
        <f>_xll.qlCalendarAdvance(Calendar,Y724,NDays&amp;"D")</f>
        <v>44208</v>
      </c>
      <c r="AA724" s="116">
        <v>3.420020525801952E-2</v>
      </c>
      <c r="AB724" s="113">
        <v>3.3864274813102391E-2</v>
      </c>
    </row>
    <row r="725" spans="17:28" x14ac:dyDescent="0.2">
      <c r="Q725" s="72"/>
      <c r="T725" s="72"/>
      <c r="U725" s="93"/>
      <c r="X725" s="114" t="str">
        <f t="shared" ref="X725:X788" si="24">X724</f>
        <v>1w</v>
      </c>
      <c r="Y725" s="112">
        <f>_xll.qlCalendarAdvance(Calendar,Y724,X725,"f",FALSE)</f>
        <v>44215</v>
      </c>
      <c r="Z725" s="115">
        <f>_xll.qlCalendarAdvance(Calendar,Y725,NDays&amp;"D")</f>
        <v>44215</v>
      </c>
      <c r="AA725" s="116">
        <v>3.4230531711154956E-2</v>
      </c>
      <c r="AB725" s="113">
        <v>3.3895478006940039E-2</v>
      </c>
    </row>
    <row r="726" spans="17:28" x14ac:dyDescent="0.2">
      <c r="Q726" s="72"/>
      <c r="T726" s="72"/>
      <c r="U726" s="93"/>
      <c r="X726" s="114" t="str">
        <f t="shared" si="24"/>
        <v>1w</v>
      </c>
      <c r="Y726" s="112">
        <f>_xll.qlCalendarAdvance(Calendar,Y725,X726,"f",FALSE)</f>
        <v>44223</v>
      </c>
      <c r="Z726" s="115">
        <f>_xll.qlCalendarAdvance(Calendar,Y726,NDays&amp;"D")</f>
        <v>44223</v>
      </c>
      <c r="AA726" s="116">
        <v>3.4264971768905639E-2</v>
      </c>
      <c r="AB726" s="113">
        <v>3.3930921596895258E-2</v>
      </c>
    </row>
    <row r="727" spans="17:28" x14ac:dyDescent="0.2">
      <c r="Q727" s="72"/>
      <c r="T727" s="72"/>
      <c r="U727" s="93"/>
      <c r="X727" s="114" t="str">
        <f t="shared" si="24"/>
        <v>1w</v>
      </c>
      <c r="Y727" s="112">
        <f>_xll.qlCalendarAdvance(Calendar,Y726,X727,"f",FALSE)</f>
        <v>44230</v>
      </c>
      <c r="Z727" s="115">
        <f>_xll.qlCalendarAdvance(Calendar,Y727,NDays&amp;"D")</f>
        <v>44230</v>
      </c>
      <c r="AA727" s="116">
        <v>3.4291203348177091E-2</v>
      </c>
      <c r="AB727" s="113">
        <v>3.3961744685296891E-2</v>
      </c>
    </row>
    <row r="728" spans="17:28" x14ac:dyDescent="0.2">
      <c r="Q728" s="72"/>
      <c r="T728" s="72"/>
      <c r="U728" s="93"/>
      <c r="X728" s="114" t="str">
        <f t="shared" si="24"/>
        <v>1w</v>
      </c>
      <c r="Y728" s="112">
        <f>_xll.qlCalendarAdvance(Calendar,Y727,X728,"f",FALSE)</f>
        <v>44237</v>
      </c>
      <c r="Z728" s="115">
        <f>_xll.qlCalendarAdvance(Calendar,Y728,NDays&amp;"D")</f>
        <v>44237</v>
      </c>
      <c r="AA728" s="116">
        <v>3.4320978315054755E-2</v>
      </c>
      <c r="AB728" s="113">
        <v>3.3992390391107685E-2</v>
      </c>
    </row>
    <row r="729" spans="17:28" x14ac:dyDescent="0.2">
      <c r="Q729" s="72"/>
      <c r="T729" s="72"/>
      <c r="U729" s="93"/>
      <c r="X729" s="114" t="str">
        <f t="shared" si="24"/>
        <v>1w</v>
      </c>
      <c r="Y729" s="112">
        <f>_xll.qlCalendarAdvance(Calendar,Y728,X729,"f",FALSE)</f>
        <v>44244</v>
      </c>
      <c r="Z729" s="115">
        <f>_xll.qlCalendarAdvance(Calendar,Y729,NDays&amp;"D")</f>
        <v>44244</v>
      </c>
      <c r="AA729" s="116">
        <v>3.4350574641954068E-2</v>
      </c>
      <c r="AB729" s="113">
        <v>3.4022858714084503E-2</v>
      </c>
    </row>
    <row r="730" spans="17:28" x14ac:dyDescent="0.2">
      <c r="Q730" s="72"/>
      <c r="T730" s="72"/>
      <c r="U730" s="93"/>
      <c r="X730" s="114" t="str">
        <f t="shared" si="24"/>
        <v>1w</v>
      </c>
      <c r="Y730" s="112">
        <f>_xll.qlCalendarAdvance(Calendar,Y729,X730,"f",FALSE)</f>
        <v>44251</v>
      </c>
      <c r="Z730" s="115">
        <f>_xll.qlCalendarAdvance(Calendar,Y730,NDays&amp;"D")</f>
        <v>44251</v>
      </c>
      <c r="AA730" s="116">
        <v>3.4379992325035802E-2</v>
      </c>
      <c r="AB730" s="113">
        <v>3.4053149654389436E-2</v>
      </c>
    </row>
    <row r="731" spans="17:28" x14ac:dyDescent="0.2">
      <c r="Q731" s="72"/>
      <c r="T731" s="72"/>
      <c r="U731" s="93"/>
      <c r="X731" s="114" t="str">
        <f t="shared" si="24"/>
        <v>1w</v>
      </c>
      <c r="Y731" s="112">
        <f>_xll.qlCalendarAdvance(Calendar,Y730,X731,"f",FALSE)</f>
        <v>44258</v>
      </c>
      <c r="Z731" s="115">
        <f>_xll.qlCalendarAdvance(Calendar,Y731,NDays&amp;"D")</f>
        <v>44258</v>
      </c>
      <c r="AA731" s="116">
        <v>3.4420245414147295E-2</v>
      </c>
      <c r="AB731" s="113">
        <v>3.4083263211941439E-2</v>
      </c>
    </row>
    <row r="732" spans="17:28" x14ac:dyDescent="0.2">
      <c r="Q732" s="72"/>
      <c r="T732" s="72"/>
      <c r="U732" s="93"/>
      <c r="X732" s="114" t="str">
        <f t="shared" si="24"/>
        <v>1w</v>
      </c>
      <c r="Y732" s="112">
        <f>_xll.qlCalendarAdvance(Calendar,Y731,X732,"f",FALSE)</f>
        <v>44265</v>
      </c>
      <c r="Z732" s="115">
        <f>_xll.qlCalendarAdvance(Calendar,Y732,NDays&amp;"D")</f>
        <v>44265</v>
      </c>
      <c r="AA732" s="116">
        <v>3.4449275694355935E-2</v>
      </c>
      <c r="AB732" s="113">
        <v>3.4113199386578419E-2</v>
      </c>
    </row>
    <row r="733" spans="17:28" x14ac:dyDescent="0.2">
      <c r="Q733" s="72"/>
      <c r="T733" s="72"/>
      <c r="U733" s="93"/>
      <c r="X733" s="114" t="str">
        <f t="shared" si="24"/>
        <v>1w</v>
      </c>
      <c r="Y733" s="112">
        <f>_xll.qlCalendarAdvance(Calendar,Y732,X733,"f",FALSE)</f>
        <v>44272</v>
      </c>
      <c r="Z733" s="115">
        <f>_xll.qlCalendarAdvance(Calendar,Y733,NDays&amp;"D")</f>
        <v>44272</v>
      </c>
      <c r="AA733" s="116">
        <v>3.4478127275019248E-2</v>
      </c>
      <c r="AB733" s="113">
        <v>3.4142958178462468E-2</v>
      </c>
    </row>
    <row r="734" spans="17:28" x14ac:dyDescent="0.2">
      <c r="Q734" s="72"/>
      <c r="T734" s="72"/>
      <c r="U734" s="93"/>
      <c r="X734" s="114" t="str">
        <f t="shared" si="24"/>
        <v>1w</v>
      </c>
      <c r="Y734" s="112">
        <f>_xll.qlCalendarAdvance(Calendar,Y733,X734,"f",FALSE)</f>
        <v>44279</v>
      </c>
      <c r="Z734" s="115">
        <f>_xll.qlCalendarAdvance(Calendar,Y734,NDays&amp;"D")</f>
        <v>44279</v>
      </c>
      <c r="AA734" s="116">
        <v>3.4506800152271679E-2</v>
      </c>
      <c r="AB734" s="113">
        <v>3.4172539587350448E-2</v>
      </c>
    </row>
    <row r="735" spans="17:28" x14ac:dyDescent="0.2">
      <c r="Q735" s="72"/>
      <c r="T735" s="72"/>
      <c r="U735" s="93"/>
      <c r="X735" s="114" t="str">
        <f t="shared" si="24"/>
        <v>1w</v>
      </c>
      <c r="Y735" s="112">
        <f>_xll.qlCalendarAdvance(Calendar,Y734,X735,"f",FALSE)</f>
        <v>44286</v>
      </c>
      <c r="Z735" s="115">
        <f>_xll.qlCalendarAdvance(Calendar,Y735,NDays&amp;"D")</f>
        <v>44286</v>
      </c>
      <c r="AA735" s="116">
        <v>3.453166393469051E-2</v>
      </c>
      <c r="AB735" s="113">
        <v>3.4201943613242358E-2</v>
      </c>
    </row>
    <row r="736" spans="17:28" x14ac:dyDescent="0.2">
      <c r="Q736" s="72"/>
      <c r="T736" s="72"/>
      <c r="U736" s="93"/>
      <c r="X736" s="114" t="str">
        <f t="shared" si="24"/>
        <v>1w</v>
      </c>
      <c r="Y736" s="112">
        <f>_xll.qlCalendarAdvance(Calendar,Y735,X736,"f",FALSE)</f>
        <v>44293</v>
      </c>
      <c r="Z736" s="115">
        <f>_xll.qlCalendarAdvance(Calendar,Y736,NDays&amp;"D")</f>
        <v>44293</v>
      </c>
      <c r="AA736" s="116">
        <v>3.4559989489457744E-2</v>
      </c>
      <c r="AB736" s="113">
        <v>3.4231170256219245E-2</v>
      </c>
    </row>
    <row r="737" spans="17:28" x14ac:dyDescent="0.2">
      <c r="Q737" s="72"/>
      <c r="T737" s="72"/>
      <c r="U737" s="93"/>
      <c r="X737" s="114" t="str">
        <f t="shared" si="24"/>
        <v>1w</v>
      </c>
      <c r="Y737" s="112">
        <f>_xll.qlCalendarAdvance(Calendar,Y736,X737,"f",FALSE)</f>
        <v>44300</v>
      </c>
      <c r="Z737" s="115">
        <f>_xll.qlCalendarAdvance(Calendar,Y737,NDays&amp;"D")</f>
        <v>44300</v>
      </c>
      <c r="AA737" s="116">
        <v>3.4588136344305222E-2</v>
      </c>
      <c r="AB737" s="113">
        <v>3.4260219516119017E-2</v>
      </c>
    </row>
    <row r="738" spans="17:28" x14ac:dyDescent="0.2">
      <c r="Q738" s="72"/>
      <c r="T738" s="72"/>
      <c r="U738" s="93"/>
      <c r="X738" s="114" t="str">
        <f t="shared" si="24"/>
        <v>1w</v>
      </c>
      <c r="Y738" s="112">
        <f>_xll.qlCalendarAdvance(Calendar,Y737,X738,"f",FALSE)</f>
        <v>44307</v>
      </c>
      <c r="Z738" s="115">
        <f>_xll.qlCalendarAdvance(Calendar,Y738,NDays&amp;"D")</f>
        <v>44307</v>
      </c>
      <c r="AA738" s="116">
        <v>3.4616104495497686E-2</v>
      </c>
      <c r="AB738" s="113">
        <v>3.4289091393022719E-2</v>
      </c>
    </row>
    <row r="739" spans="17:28" x14ac:dyDescent="0.2">
      <c r="Q739" s="72"/>
      <c r="T739" s="72"/>
      <c r="U739" s="93"/>
      <c r="X739" s="114" t="str">
        <f t="shared" si="24"/>
        <v>1w</v>
      </c>
      <c r="Y739" s="112">
        <f>_xll.qlCalendarAdvance(Calendar,Y738,X739,"f",FALSE)</f>
        <v>44314</v>
      </c>
      <c r="Z739" s="115">
        <f>_xll.qlCalendarAdvance(Calendar,Y739,NDays&amp;"D")</f>
        <v>44314</v>
      </c>
      <c r="AA739" s="116">
        <v>3.4643893939327493E-2</v>
      </c>
      <c r="AB739" s="113">
        <v>3.4317785886687213E-2</v>
      </c>
    </row>
    <row r="740" spans="17:28" x14ac:dyDescent="0.2">
      <c r="Q740" s="72"/>
      <c r="T740" s="72"/>
      <c r="U740" s="93"/>
      <c r="X740" s="114" t="str">
        <f t="shared" si="24"/>
        <v>1w</v>
      </c>
      <c r="Y740" s="112">
        <f>_xll.qlCalendarAdvance(Calendar,Y739,X740,"f",FALSE)</f>
        <v>44321</v>
      </c>
      <c r="Z740" s="115">
        <f>_xll.qlCalendarAdvance(Calendar,Y740,NDays&amp;"D")</f>
        <v>44321</v>
      </c>
      <c r="AA740" s="116">
        <v>3.4675084430520531E-2</v>
      </c>
      <c r="AB740" s="113">
        <v>3.4346302997193545E-2</v>
      </c>
    </row>
    <row r="741" spans="17:28" x14ac:dyDescent="0.2">
      <c r="Q741" s="72"/>
      <c r="T741" s="72"/>
      <c r="U741" s="93"/>
      <c r="X741" s="114" t="str">
        <f t="shared" si="24"/>
        <v>1w</v>
      </c>
      <c r="Y741" s="112">
        <f>_xll.qlCalendarAdvance(Calendar,Y740,X741,"f",FALSE)</f>
        <v>44328</v>
      </c>
      <c r="Z741" s="115">
        <f>_xll.qlCalendarAdvance(Calendar,Y741,NDays&amp;"D")</f>
        <v>44328</v>
      </c>
      <c r="AA741" s="116">
        <v>3.4702506277589591E-2</v>
      </c>
      <c r="AB741" s="113">
        <v>3.4374642724541715E-2</v>
      </c>
    </row>
    <row r="742" spans="17:28" x14ac:dyDescent="0.2">
      <c r="Q742" s="72"/>
      <c r="T742" s="72"/>
      <c r="U742" s="93"/>
      <c r="X742" s="114" t="str">
        <f t="shared" si="24"/>
        <v>1w</v>
      </c>
      <c r="Y742" s="112">
        <f>_xll.qlCalendarAdvance(Calendar,Y741,X742,"f",FALSE)</f>
        <v>44335</v>
      </c>
      <c r="Z742" s="115">
        <f>_xll.qlCalendarAdvance(Calendar,Y742,NDays&amp;"D")</f>
        <v>44335</v>
      </c>
      <c r="AA742" s="116">
        <v>3.4729749391162849E-2</v>
      </c>
      <c r="AB742" s="113">
        <v>3.4402805068650677E-2</v>
      </c>
    </row>
    <row r="743" spans="17:28" x14ac:dyDescent="0.2">
      <c r="Q743" s="72"/>
      <c r="T743" s="72"/>
      <c r="U743" s="93"/>
      <c r="X743" s="114" t="str">
        <f t="shared" si="24"/>
        <v>1w</v>
      </c>
      <c r="Y743" s="112">
        <f>_xll.qlCalendarAdvance(Calendar,Y742,X743,"f",FALSE)</f>
        <v>44342</v>
      </c>
      <c r="Z743" s="115">
        <f>_xll.qlCalendarAdvance(Calendar,Y743,NDays&amp;"D")</f>
        <v>44342</v>
      </c>
      <c r="AA743" s="116">
        <v>3.4756813767589712E-2</v>
      </c>
      <c r="AB743" s="113">
        <v>3.4430790029439384E-2</v>
      </c>
    </row>
    <row r="744" spans="17:28" x14ac:dyDescent="0.2">
      <c r="Q744" s="72"/>
      <c r="T744" s="72"/>
      <c r="U744" s="93"/>
      <c r="X744" s="114" t="str">
        <f t="shared" si="24"/>
        <v>1w</v>
      </c>
      <c r="Y744" s="112">
        <f>_xll.qlCalendarAdvance(Calendar,Y743,X744,"f",FALSE)</f>
        <v>44349</v>
      </c>
      <c r="Z744" s="115">
        <f>_xll.qlCalendarAdvance(Calendar,Y744,NDays&amp;"D")</f>
        <v>44349</v>
      </c>
      <c r="AA744" s="116">
        <v>3.478369940323895E-2</v>
      </c>
      <c r="AB744" s="113">
        <v>3.4458597606907837E-2</v>
      </c>
    </row>
    <row r="745" spans="17:28" x14ac:dyDescent="0.2">
      <c r="Q745" s="72"/>
      <c r="T745" s="72"/>
      <c r="U745" s="93"/>
      <c r="X745" s="114" t="str">
        <f t="shared" si="24"/>
        <v>1w</v>
      </c>
      <c r="Y745" s="112">
        <f>_xll.qlCalendarAdvance(Calendar,Y744,X745,"f",FALSE)</f>
        <v>44356</v>
      </c>
      <c r="Z745" s="115">
        <f>_xll.qlCalendarAdvance(Calendar,Y745,NDays&amp;"D")</f>
        <v>44356</v>
      </c>
      <c r="AA745" s="116">
        <v>3.4810406294507525E-2</v>
      </c>
      <c r="AB745" s="113">
        <v>3.4486227800893943E-2</v>
      </c>
    </row>
    <row r="746" spans="17:28" x14ac:dyDescent="0.2">
      <c r="Q746" s="72"/>
      <c r="T746" s="72"/>
      <c r="U746" s="93"/>
      <c r="X746" s="114" t="str">
        <f t="shared" si="24"/>
        <v>1w</v>
      </c>
      <c r="Y746" s="112">
        <f>_xll.qlCalendarAdvance(Calendar,Y745,X746,"f",FALSE)</f>
        <v>44363</v>
      </c>
      <c r="Z746" s="115">
        <f>_xll.qlCalendarAdvance(Calendar,Y746,NDays&amp;"D")</f>
        <v>44363</v>
      </c>
      <c r="AA746" s="116">
        <v>3.4836934437813549E-2</v>
      </c>
      <c r="AB746" s="113">
        <v>3.451368061164084E-2</v>
      </c>
    </row>
    <row r="747" spans="17:28" x14ac:dyDescent="0.2">
      <c r="Q747" s="72"/>
      <c r="T747" s="72"/>
      <c r="U747" s="93"/>
      <c r="X747" s="114" t="str">
        <f t="shared" si="24"/>
        <v>1w</v>
      </c>
      <c r="Y747" s="112">
        <f>_xll.qlCalendarAdvance(Calendar,Y746,X747,"f",FALSE)</f>
        <v>44370</v>
      </c>
      <c r="Z747" s="115">
        <f>_xll.qlCalendarAdvance(Calendar,Y747,NDays&amp;"D")</f>
        <v>44370</v>
      </c>
      <c r="AA747" s="116">
        <v>3.4863283829601549E-2</v>
      </c>
      <c r="AB747" s="113">
        <v>3.4540956038824344E-2</v>
      </c>
    </row>
    <row r="748" spans="17:28" x14ac:dyDescent="0.2">
      <c r="Q748" s="72"/>
      <c r="T748" s="72"/>
      <c r="U748" s="93"/>
      <c r="X748" s="114" t="str">
        <f t="shared" si="24"/>
        <v>1w</v>
      </c>
      <c r="Y748" s="112">
        <f>_xll.qlCalendarAdvance(Calendar,Y747,X748,"f",FALSE)</f>
        <v>44377</v>
      </c>
      <c r="Z748" s="115">
        <f>_xll.qlCalendarAdvance(Calendar,Y748,NDays&amp;"D")</f>
        <v>44377</v>
      </c>
      <c r="AA748" s="116">
        <v>3.4889454466338968E-2</v>
      </c>
      <c r="AB748" s="113">
        <v>3.4568054082525501E-2</v>
      </c>
    </row>
    <row r="749" spans="17:28" x14ac:dyDescent="0.2">
      <c r="Q749" s="72"/>
      <c r="T749" s="72"/>
      <c r="U749" s="93"/>
      <c r="X749" s="114" t="str">
        <f t="shared" si="24"/>
        <v>1w</v>
      </c>
      <c r="Y749" s="112">
        <f>_xll.qlCalendarAdvance(Calendar,Y748,X749,"f",FALSE)</f>
        <v>44384</v>
      </c>
      <c r="Z749" s="115">
        <f>_xll.qlCalendarAdvance(Calendar,Y749,NDays&amp;"D")</f>
        <v>44384</v>
      </c>
      <c r="AA749" s="116">
        <v>3.4915446344515273E-2</v>
      </c>
      <c r="AB749" s="113">
        <v>3.4594974742744311E-2</v>
      </c>
    </row>
    <row r="750" spans="17:28" x14ac:dyDescent="0.2">
      <c r="Q750" s="72"/>
      <c r="T750" s="72"/>
      <c r="U750" s="93"/>
      <c r="X750" s="114" t="str">
        <f t="shared" si="24"/>
        <v>1w</v>
      </c>
      <c r="Y750" s="112">
        <f>_xll.qlCalendarAdvance(Calendar,Y749,X750,"f",FALSE)</f>
        <v>44391</v>
      </c>
      <c r="Z750" s="115">
        <f>_xll.qlCalendarAdvance(Calendar,Y750,NDays&amp;"D")</f>
        <v>44391</v>
      </c>
      <c r="AA750" s="116">
        <v>3.4941259460645469E-2</v>
      </c>
      <c r="AB750" s="113">
        <v>3.4621718019318681E-2</v>
      </c>
    </row>
    <row r="751" spans="17:28" x14ac:dyDescent="0.2">
      <c r="Q751" s="72"/>
      <c r="T751" s="72"/>
      <c r="U751" s="93"/>
      <c r="X751" s="114" t="str">
        <f t="shared" si="24"/>
        <v>1w</v>
      </c>
      <c r="Y751" s="112">
        <f>_xll.qlCalendarAdvance(Calendar,Y750,X751,"f",FALSE)</f>
        <v>44398</v>
      </c>
      <c r="Z751" s="115">
        <f>_xll.qlCalendarAdvance(Calendar,Y751,NDays&amp;"D")</f>
        <v>44398</v>
      </c>
      <c r="AA751" s="116">
        <v>3.4966893811270112E-2</v>
      </c>
      <c r="AB751" s="113">
        <v>3.4648283912410704E-2</v>
      </c>
    </row>
    <row r="752" spans="17:28" x14ac:dyDescent="0.2">
      <c r="Q752" s="72"/>
      <c r="T752" s="72"/>
      <c r="U752" s="93"/>
      <c r="X752" s="114" t="str">
        <f t="shared" si="24"/>
        <v>1w</v>
      </c>
      <c r="Y752" s="112">
        <f>_xll.qlCalendarAdvance(Calendar,Y751,X752,"f",FALSE)</f>
        <v>44405</v>
      </c>
      <c r="Z752" s="115">
        <f>_xll.qlCalendarAdvance(Calendar,Y752,NDays&amp;"D")</f>
        <v>44405</v>
      </c>
      <c r="AA752" s="116">
        <v>3.4992349392951781E-2</v>
      </c>
      <c r="AB752" s="113">
        <v>3.4674672421696195E-2</v>
      </c>
    </row>
    <row r="753" spans="17:28" x14ac:dyDescent="0.2">
      <c r="Q753" s="72"/>
      <c r="T753" s="72"/>
      <c r="U753" s="93"/>
      <c r="X753" s="114" t="str">
        <f t="shared" si="24"/>
        <v>1w</v>
      </c>
      <c r="Y753" s="112">
        <f>_xll.qlCalendarAdvance(Calendar,Y752,X753,"f",FALSE)</f>
        <v>44412</v>
      </c>
      <c r="Z753" s="115">
        <f>_xll.qlCalendarAdvance(Calendar,Y753,NDays&amp;"D")</f>
        <v>44412</v>
      </c>
      <c r="AA753" s="116">
        <v>3.5017626202277732E-2</v>
      </c>
      <c r="AB753" s="113">
        <v>3.4700883547418293E-2</v>
      </c>
    </row>
    <row r="754" spans="17:28" x14ac:dyDescent="0.2">
      <c r="Q754" s="72"/>
      <c r="T754" s="72"/>
      <c r="U754" s="93"/>
      <c r="X754" s="114" t="str">
        <f t="shared" si="24"/>
        <v>1w</v>
      </c>
      <c r="Y754" s="112">
        <f>_xll.qlCalendarAdvance(Calendar,Y753,X754,"f",FALSE)</f>
        <v>44419</v>
      </c>
      <c r="Z754" s="115">
        <f>_xll.qlCalendarAdvance(Calendar,Y754,NDays&amp;"D")</f>
        <v>44419</v>
      </c>
      <c r="AA754" s="116">
        <v>3.5042724235857234E-2</v>
      </c>
      <c r="AB754" s="113">
        <v>3.4726917289333858E-2</v>
      </c>
    </row>
    <row r="755" spans="17:28" x14ac:dyDescent="0.2">
      <c r="Q755" s="72"/>
      <c r="T755" s="72"/>
      <c r="U755" s="93"/>
      <c r="X755" s="114" t="str">
        <f t="shared" si="24"/>
        <v>1w</v>
      </c>
      <c r="Y755" s="112">
        <f>_xll.qlCalendarAdvance(Calendar,Y754,X755,"f",FALSE)</f>
        <v>44426</v>
      </c>
      <c r="Z755" s="115">
        <f>_xll.qlCalendarAdvance(Calendar,Y755,NDays&amp;"D")</f>
        <v>44426</v>
      </c>
      <c r="AA755" s="116">
        <v>3.5067643490326858E-2</v>
      </c>
      <c r="AB755" s="113">
        <v>3.4752773647442892E-2</v>
      </c>
    </row>
    <row r="756" spans="17:28" x14ac:dyDescent="0.2">
      <c r="Q756" s="72"/>
      <c r="T756" s="72"/>
      <c r="U756" s="93"/>
      <c r="X756" s="114" t="str">
        <f t="shared" si="24"/>
        <v>1w</v>
      </c>
      <c r="Y756" s="112">
        <f>_xll.qlCalendarAdvance(Calendar,Y755,X756,"f",FALSE)</f>
        <v>44433</v>
      </c>
      <c r="Z756" s="115">
        <f>_xll.qlCalendarAdvance(Calendar,Y756,NDays&amp;"D")</f>
        <v>44433</v>
      </c>
      <c r="AA756" s="116">
        <v>3.5092383962344327E-2</v>
      </c>
      <c r="AB756" s="113">
        <v>3.4778452621907485E-2</v>
      </c>
    </row>
    <row r="757" spans="17:28" x14ac:dyDescent="0.2">
      <c r="Q757" s="72"/>
      <c r="T757" s="72"/>
      <c r="U757" s="93"/>
      <c r="X757" s="114" t="str">
        <f t="shared" si="24"/>
        <v>1w</v>
      </c>
      <c r="Y757" s="112">
        <f>_xll.qlCalendarAdvance(Calendar,Y756,X757,"f",FALSE)</f>
        <v>44440</v>
      </c>
      <c r="Z757" s="115">
        <f>_xll.qlCalendarAdvance(Calendar,Y757,NDays&amp;"D")</f>
        <v>44440</v>
      </c>
      <c r="AA757" s="116">
        <v>3.5113540882711951E-2</v>
      </c>
      <c r="AB757" s="113">
        <v>3.4803954212403454E-2</v>
      </c>
    </row>
    <row r="758" spans="17:28" x14ac:dyDescent="0.2">
      <c r="Q758" s="72"/>
      <c r="T758" s="72"/>
      <c r="U758" s="93"/>
      <c r="X758" s="114" t="str">
        <f t="shared" si="24"/>
        <v>1w</v>
      </c>
      <c r="Y758" s="112">
        <f>_xll.qlCalendarAdvance(Calendar,Y757,X758,"f",FALSE)</f>
        <v>44447</v>
      </c>
      <c r="Z758" s="115">
        <f>_xll.qlCalendarAdvance(Calendar,Y758,NDays&amp;"D")</f>
        <v>44447</v>
      </c>
      <c r="AA758" s="116">
        <v>3.5137934213441691E-2</v>
      </c>
      <c r="AB758" s="113">
        <v>3.4829278419092891E-2</v>
      </c>
    </row>
    <row r="759" spans="17:28" x14ac:dyDescent="0.2">
      <c r="Q759" s="72"/>
      <c r="T759" s="72"/>
      <c r="U759" s="93"/>
      <c r="X759" s="114" t="str">
        <f t="shared" si="24"/>
        <v>1w</v>
      </c>
      <c r="Y759" s="112">
        <f>_xll.qlCalendarAdvance(Calendar,Y758,X759,"f",FALSE)</f>
        <v>44454</v>
      </c>
      <c r="Z759" s="115">
        <f>_xll.qlCalendarAdvance(Calendar,Y759,NDays&amp;"D")</f>
        <v>44454</v>
      </c>
      <c r="AA759" s="116">
        <v>3.5162148767602375E-2</v>
      </c>
      <c r="AB759" s="113">
        <v>3.4854425241813702E-2</v>
      </c>
    </row>
    <row r="760" spans="17:28" x14ac:dyDescent="0.2">
      <c r="Q760" s="72"/>
      <c r="T760" s="72"/>
      <c r="U760" s="93"/>
      <c r="X760" s="114" t="str">
        <f t="shared" si="24"/>
        <v>1w</v>
      </c>
      <c r="Y760" s="112">
        <f>_xll.qlCalendarAdvance(Calendar,Y759,X760,"f",FALSE)</f>
        <v>44461</v>
      </c>
      <c r="Z760" s="115">
        <f>_xll.qlCalendarAdvance(Calendar,Y760,NDays&amp;"D")</f>
        <v>44461</v>
      </c>
      <c r="AA760" s="116">
        <v>3.5186184541984217E-2</v>
      </c>
      <c r="AB760" s="113">
        <v>3.4879394680565889E-2</v>
      </c>
    </row>
    <row r="761" spans="17:28" x14ac:dyDescent="0.2">
      <c r="Q761" s="72"/>
      <c r="T761" s="72"/>
      <c r="U761" s="93"/>
      <c r="X761" s="114" t="str">
        <f t="shared" si="24"/>
        <v>1w</v>
      </c>
      <c r="Y761" s="112">
        <f>_xll.qlCalendarAdvance(Calendar,Y760,X761,"f",FALSE)</f>
        <v>44468</v>
      </c>
      <c r="Z761" s="115">
        <f>_xll.qlCalendarAdvance(Calendar,Y761,NDays&amp;"D")</f>
        <v>44468</v>
      </c>
      <c r="AA761" s="116">
        <v>3.5210041533397907E-2</v>
      </c>
      <c r="AB761" s="113">
        <v>3.4904186735430498E-2</v>
      </c>
    </row>
    <row r="762" spans="17:28" x14ac:dyDescent="0.2">
      <c r="Q762" s="72"/>
      <c r="T762" s="72"/>
      <c r="U762" s="93"/>
      <c r="X762" s="114" t="str">
        <f t="shared" si="24"/>
        <v>1w</v>
      </c>
      <c r="Y762" s="112">
        <f>_xll.qlCalendarAdvance(Calendar,Y761,X762,"f",FALSE)</f>
        <v>44475</v>
      </c>
      <c r="Z762" s="115">
        <f>_xll.qlCalendarAdvance(Calendar,Y762,NDays&amp;"D")</f>
        <v>44475</v>
      </c>
      <c r="AA762" s="116">
        <v>3.5237072178871447E-2</v>
      </c>
      <c r="AB762" s="113">
        <v>3.4928801406164389E-2</v>
      </c>
    </row>
    <row r="763" spans="17:28" x14ac:dyDescent="0.2">
      <c r="Q763" s="72"/>
      <c r="T763" s="72"/>
      <c r="U763" s="93"/>
      <c r="X763" s="114" t="str">
        <f t="shared" si="24"/>
        <v>1w</v>
      </c>
      <c r="Y763" s="112">
        <f>_xll.qlCalendarAdvance(Calendar,Y762,X763,"f",FALSE)</f>
        <v>44482</v>
      </c>
      <c r="Z763" s="115">
        <f>_xll.qlCalendarAdvance(Calendar,Y763,NDays&amp;"D")</f>
        <v>44482</v>
      </c>
      <c r="AA763" s="116">
        <v>3.5260561082185601E-2</v>
      </c>
      <c r="AB763" s="113">
        <v>3.4953238692929656E-2</v>
      </c>
    </row>
    <row r="764" spans="17:28" x14ac:dyDescent="0.2">
      <c r="Q764" s="72"/>
      <c r="T764" s="72"/>
      <c r="U764" s="93"/>
      <c r="X764" s="114" t="str">
        <f t="shared" si="24"/>
        <v>1w</v>
      </c>
      <c r="Y764" s="112">
        <f>_xll.qlCalendarAdvance(Calendar,Y763,X764,"f",FALSE)</f>
        <v>44489</v>
      </c>
      <c r="Z764" s="115">
        <f>_xll.qlCalendarAdvance(Calendar,Y764,NDays&amp;"D")</f>
        <v>44489</v>
      </c>
      <c r="AA764" s="116">
        <v>3.5283871177180633E-2</v>
      </c>
      <c r="AB764" s="113">
        <v>3.4977498595483159E-2</v>
      </c>
    </row>
    <row r="765" spans="17:28" x14ac:dyDescent="0.2">
      <c r="Q765" s="72"/>
      <c r="T765" s="72"/>
      <c r="U765" s="93"/>
      <c r="X765" s="114" t="str">
        <f t="shared" si="24"/>
        <v>1w</v>
      </c>
      <c r="Y765" s="112">
        <f>_xll.qlCalendarAdvance(Calendar,Y764,X765,"f",FALSE)</f>
        <v>44496</v>
      </c>
      <c r="Z765" s="115">
        <f>_xll.qlCalendarAdvance(Calendar,Y765,NDays&amp;"D")</f>
        <v>44496</v>
      </c>
      <c r="AA765" s="116">
        <v>3.5307002460730964E-2</v>
      </c>
      <c r="AB765" s="113">
        <v>3.5001581114068037E-2</v>
      </c>
    </row>
    <row r="766" spans="17:28" x14ac:dyDescent="0.2">
      <c r="Q766" s="72"/>
      <c r="T766" s="72"/>
      <c r="U766" s="93"/>
      <c r="X766" s="114" t="str">
        <f t="shared" si="24"/>
        <v>1w</v>
      </c>
      <c r="Y766" s="112">
        <f>_xll.qlCalendarAdvance(Calendar,Y765,X766,"f",FALSE)</f>
        <v>44503</v>
      </c>
      <c r="Z766" s="115">
        <f>_xll.qlCalendarAdvance(Calendar,Y766,NDays&amp;"D")</f>
        <v>44503</v>
      </c>
      <c r="AA766" s="116">
        <v>3.5329954929735702E-2</v>
      </c>
      <c r="AB766" s="113">
        <v>3.5025486248360105E-2</v>
      </c>
    </row>
    <row r="767" spans="17:28" x14ac:dyDescent="0.2">
      <c r="Q767" s="72"/>
      <c r="T767" s="72"/>
      <c r="U767" s="93"/>
      <c r="X767" s="114" t="str">
        <f t="shared" si="24"/>
        <v>1w</v>
      </c>
      <c r="Y767" s="112">
        <f>_xll.qlCalendarAdvance(Calendar,Y766,X767,"f",FALSE)</f>
        <v>44510</v>
      </c>
      <c r="Z767" s="115">
        <f>_xll.qlCalendarAdvance(Calendar,Y767,NDays&amp;"D")</f>
        <v>44510</v>
      </c>
      <c r="AA767" s="116">
        <v>3.5352728581115961E-2</v>
      </c>
      <c r="AB767" s="113">
        <v>3.5049213998521456E-2</v>
      </c>
    </row>
    <row r="768" spans="17:28" x14ac:dyDescent="0.2">
      <c r="Q768" s="72"/>
      <c r="T768" s="72"/>
      <c r="U768" s="93"/>
      <c r="X768" s="114" t="str">
        <f t="shared" si="24"/>
        <v>1w</v>
      </c>
      <c r="Y768" s="112">
        <f>_xll.qlCalendarAdvance(Calendar,Y767,X768,"f",FALSE)</f>
        <v>44517</v>
      </c>
      <c r="Z768" s="115">
        <f>_xll.qlCalendarAdvance(Calendar,Y768,NDays&amp;"D")</f>
        <v>44517</v>
      </c>
      <c r="AA768" s="116">
        <v>3.5375323411819294E-2</v>
      </c>
      <c r="AB768" s="113">
        <v>3.5072764364389997E-2</v>
      </c>
    </row>
    <row r="769" spans="17:28" x14ac:dyDescent="0.2">
      <c r="Q769" s="72"/>
      <c r="T769" s="72"/>
      <c r="U769" s="93"/>
      <c r="X769" s="114" t="str">
        <f t="shared" si="24"/>
        <v>1w</v>
      </c>
      <c r="Y769" s="112">
        <f>_xll.qlCalendarAdvance(Calendar,Y768,X769,"f",FALSE)</f>
        <v>44524</v>
      </c>
      <c r="Z769" s="115">
        <f>_xll.qlCalendarAdvance(Calendar,Y769,NDays&amp;"D")</f>
        <v>44524</v>
      </c>
      <c r="AA769" s="116">
        <v>3.5397739418815272E-2</v>
      </c>
      <c r="AB769" s="113">
        <v>3.5096137346046774E-2</v>
      </c>
    </row>
    <row r="770" spans="17:28" x14ac:dyDescent="0.2">
      <c r="Q770" s="72"/>
      <c r="T770" s="72"/>
      <c r="U770" s="93"/>
      <c r="X770" s="114" t="str">
        <f t="shared" si="24"/>
        <v>1w</v>
      </c>
      <c r="Y770" s="112">
        <f>_xll.qlCalendarAdvance(Calendar,Y769,X770,"f",FALSE)</f>
        <v>44531</v>
      </c>
      <c r="Z770" s="115">
        <f>_xll.qlCalendarAdvance(Calendar,Y770,NDays&amp;"D")</f>
        <v>44531</v>
      </c>
      <c r="AA770" s="116">
        <v>3.5413440011798532E-2</v>
      </c>
      <c r="AB770" s="113">
        <v>3.5119332943410742E-2</v>
      </c>
    </row>
    <row r="771" spans="17:28" x14ac:dyDescent="0.2">
      <c r="Q771" s="72"/>
      <c r="T771" s="72"/>
      <c r="U771" s="93"/>
      <c r="X771" s="114" t="str">
        <f t="shared" si="24"/>
        <v>1w</v>
      </c>
      <c r="Y771" s="112">
        <f>_xll.qlCalendarAdvance(Calendar,Y770,X771,"f",FALSE)</f>
        <v>44538</v>
      </c>
      <c r="Z771" s="115">
        <f>_xll.qlCalendarAdvance(Calendar,Y771,NDays&amp;"D")</f>
        <v>44538</v>
      </c>
      <c r="AA771" s="116">
        <v>3.5435519642365736E-2</v>
      </c>
      <c r="AB771" s="113">
        <v>3.5142351156400853E-2</v>
      </c>
    </row>
    <row r="772" spans="17:28" x14ac:dyDescent="0.2">
      <c r="Q772" s="72"/>
      <c r="T772" s="72"/>
      <c r="U772" s="93"/>
      <c r="X772" s="114" t="str">
        <f t="shared" si="24"/>
        <v>1w</v>
      </c>
      <c r="Y772" s="112">
        <f>_xll.qlCalendarAdvance(Calendar,Y771,X772,"f",FALSE)</f>
        <v>44545</v>
      </c>
      <c r="Z772" s="115">
        <f>_xll.qlCalendarAdvance(Calendar,Y772,NDays&amp;"D")</f>
        <v>44545</v>
      </c>
      <c r="AA772" s="116">
        <v>3.5457420472641839E-2</v>
      </c>
      <c r="AB772" s="113">
        <v>3.5165191985017108E-2</v>
      </c>
    </row>
    <row r="773" spans="17:28" x14ac:dyDescent="0.2">
      <c r="Q773" s="72"/>
      <c r="T773" s="72"/>
      <c r="U773" s="93"/>
      <c r="X773" s="114" t="str">
        <f t="shared" si="24"/>
        <v>1w</v>
      </c>
      <c r="Y773" s="112">
        <f>_xll.qlCalendarAdvance(Calendar,Y772,X773,"f",FALSE)</f>
        <v>44552</v>
      </c>
      <c r="Z773" s="115">
        <f>_xll.qlCalendarAdvance(Calendar,Y773,NDays&amp;"D")</f>
        <v>44552</v>
      </c>
      <c r="AA773" s="116">
        <v>3.5479142499754195E-2</v>
      </c>
      <c r="AB773" s="113">
        <v>3.5187855429178461E-2</v>
      </c>
    </row>
    <row r="774" spans="17:28" x14ac:dyDescent="0.2">
      <c r="Q774" s="72"/>
      <c r="T774" s="72"/>
      <c r="U774" s="93"/>
      <c r="X774" s="114" t="str">
        <f t="shared" si="24"/>
        <v>1w</v>
      </c>
      <c r="Y774" s="112">
        <f>_xll.qlCalendarAdvance(Calendar,Y773,X774,"f",FALSE)</f>
        <v>44559</v>
      </c>
      <c r="Z774" s="115">
        <f>_xll.qlCalendarAdvance(Calendar,Y774,NDays&amp;"D")</f>
        <v>44559</v>
      </c>
      <c r="AA774" s="116">
        <v>3.5500685720853582E-2</v>
      </c>
      <c r="AB774" s="113">
        <v>3.5210341489047003E-2</v>
      </c>
    </row>
    <row r="775" spans="17:28" x14ac:dyDescent="0.2">
      <c r="Q775" s="72"/>
      <c r="T775" s="72"/>
      <c r="U775" s="93"/>
      <c r="X775" s="114" t="str">
        <f t="shared" si="24"/>
        <v>1w</v>
      </c>
      <c r="Y775" s="112">
        <f>_xll.qlCalendarAdvance(Calendar,Y774,X775,"f",FALSE)</f>
        <v>44566</v>
      </c>
      <c r="Z775" s="115">
        <f>_xll.qlCalendarAdvance(Calendar,Y775,NDays&amp;"D")</f>
        <v>44566</v>
      </c>
      <c r="AA775" s="116">
        <v>3.5522050133112382E-2</v>
      </c>
      <c r="AB775" s="113">
        <v>3.5232650164298551E-2</v>
      </c>
    </row>
    <row r="776" spans="17:28" x14ac:dyDescent="0.2">
      <c r="Q776" s="72"/>
      <c r="T776" s="72"/>
      <c r="U776" s="93"/>
      <c r="X776" s="114" t="str">
        <f t="shared" si="24"/>
        <v>1w</v>
      </c>
      <c r="Y776" s="112">
        <f>_xll.qlCalendarAdvance(Calendar,Y775,X776,"f",FALSE)</f>
        <v>44573</v>
      </c>
      <c r="Z776" s="115">
        <f>_xll.qlCalendarAdvance(Calendar,Y776,NDays&amp;"D")</f>
        <v>44573</v>
      </c>
      <c r="AA776" s="116">
        <v>3.5543235733729098E-2</v>
      </c>
      <c r="AB776" s="113">
        <v>3.5254781455176243E-2</v>
      </c>
    </row>
    <row r="777" spans="17:28" x14ac:dyDescent="0.2">
      <c r="Q777" s="72"/>
      <c r="T777" s="72"/>
      <c r="U777" s="93"/>
      <c r="X777" s="114" t="str">
        <f t="shared" si="24"/>
        <v>1w</v>
      </c>
      <c r="Y777" s="112">
        <f>_xll.qlCalendarAdvance(Calendar,Y776,X777,"f",FALSE)</f>
        <v>44580</v>
      </c>
      <c r="Z777" s="115">
        <f>_xll.qlCalendarAdvance(Calendar,Y777,NDays&amp;"D")</f>
        <v>44580</v>
      </c>
      <c r="AA777" s="116">
        <v>3.556424251992564E-2</v>
      </c>
      <c r="AB777" s="113">
        <v>3.5276735361436939E-2</v>
      </c>
    </row>
    <row r="778" spans="17:28" x14ac:dyDescent="0.2">
      <c r="Q778" s="72"/>
      <c r="T778" s="72"/>
      <c r="U778" s="93"/>
      <c r="X778" s="114" t="str">
        <f t="shared" si="24"/>
        <v>1w</v>
      </c>
      <c r="Y778" s="112">
        <f>_xll.qlCalendarAdvance(Calendar,Y777,X778,"f",FALSE)</f>
        <v>44588</v>
      </c>
      <c r="Z778" s="115">
        <f>_xll.qlCalendarAdvance(Calendar,Y778,NDays&amp;"D")</f>
        <v>44588</v>
      </c>
      <c r="AA778" s="116">
        <v>3.5588031315609926E-2</v>
      </c>
      <c r="AB778" s="113">
        <v>3.5301608334448176E-2</v>
      </c>
    </row>
    <row r="779" spans="17:28" x14ac:dyDescent="0.2">
      <c r="Q779" s="72"/>
      <c r="T779" s="72"/>
      <c r="U779" s="93"/>
      <c r="X779" s="114" t="str">
        <f t="shared" si="24"/>
        <v>1w</v>
      </c>
      <c r="Y779" s="112">
        <f>_xll.qlCalendarAdvance(Calendar,Y778,X779,"f",FALSE)</f>
        <v>44595</v>
      </c>
      <c r="Z779" s="115">
        <f>_xll.qlCalendarAdvance(Calendar,Y779,NDays&amp;"D")</f>
        <v>44595</v>
      </c>
      <c r="AA779" s="116">
        <v>3.560548327262731E-2</v>
      </c>
      <c r="AB779" s="113">
        <v>3.5323182130896358E-2</v>
      </c>
    </row>
    <row r="780" spans="17:28" x14ac:dyDescent="0.2">
      <c r="Q780" s="72"/>
      <c r="T780" s="72"/>
      <c r="U780" s="93"/>
      <c r="X780" s="114" t="str">
        <f t="shared" si="24"/>
        <v>1w</v>
      </c>
      <c r="Y780" s="112">
        <f>_xll.qlCalendarAdvance(Calendar,Y779,X780,"f",FALSE)</f>
        <v>44602</v>
      </c>
      <c r="Z780" s="115">
        <f>_xll.qlCalendarAdvance(Calendar,Y780,NDays&amp;"D")</f>
        <v>44602</v>
      </c>
      <c r="AA780" s="116">
        <v>3.5625938838631147E-2</v>
      </c>
      <c r="AB780" s="113">
        <v>3.5344578542727545E-2</v>
      </c>
    </row>
    <row r="781" spans="17:28" x14ac:dyDescent="0.2">
      <c r="Q781" s="72"/>
      <c r="T781" s="72"/>
      <c r="U781" s="93"/>
      <c r="X781" s="114" t="str">
        <f t="shared" si="24"/>
        <v>1w</v>
      </c>
      <c r="Y781" s="112">
        <f>_xll.qlCalendarAdvance(Calendar,Y780,X781,"f",FALSE)</f>
        <v>44609</v>
      </c>
      <c r="Z781" s="115">
        <f>_xll.qlCalendarAdvance(Calendar,Y781,NDays&amp;"D")</f>
        <v>44609</v>
      </c>
      <c r="AA781" s="116">
        <v>3.5646216630659817E-2</v>
      </c>
      <c r="AB781" s="113">
        <v>3.5365797569860691E-2</v>
      </c>
    </row>
    <row r="782" spans="17:28" x14ac:dyDescent="0.2">
      <c r="Q782" s="72"/>
      <c r="T782" s="72"/>
      <c r="U782" s="93"/>
      <c r="X782" s="114" t="str">
        <f t="shared" si="24"/>
        <v>1w</v>
      </c>
      <c r="Y782" s="112">
        <f>_xll.qlCalendarAdvance(Calendar,Y781,X782,"f",FALSE)</f>
        <v>44616</v>
      </c>
      <c r="Z782" s="115">
        <f>_xll.qlCalendarAdvance(Calendar,Y782,NDays&amp;"D")</f>
        <v>44616</v>
      </c>
      <c r="AA782" s="116">
        <v>3.5666327851907362E-2</v>
      </c>
      <c r="AB782" s="113">
        <v>3.5386839212295795E-2</v>
      </c>
    </row>
    <row r="783" spans="17:28" x14ac:dyDescent="0.2">
      <c r="Q783" s="72"/>
      <c r="T783" s="72"/>
      <c r="U783" s="93"/>
      <c r="X783" s="114" t="str">
        <f t="shared" si="24"/>
        <v>1w</v>
      </c>
      <c r="Y783" s="112">
        <f>_xll.qlCalendarAdvance(Calendar,Y782,X783,"f",FALSE)</f>
        <v>44623</v>
      </c>
      <c r="Z783" s="115">
        <f>_xll.qlCalendarAdvance(Calendar,Y783,NDays&amp;"D")</f>
        <v>44623</v>
      </c>
      <c r="AA783" s="116">
        <v>3.5695700720938826E-2</v>
      </c>
      <c r="AB783" s="113">
        <v>3.5407703470113905E-2</v>
      </c>
    </row>
    <row r="784" spans="17:28" x14ac:dyDescent="0.2">
      <c r="Q784" s="72"/>
      <c r="T784" s="72"/>
      <c r="U784" s="93"/>
      <c r="X784" s="114" t="str">
        <f t="shared" si="24"/>
        <v>1w</v>
      </c>
      <c r="Y784" s="112">
        <f>_xll.qlCalendarAdvance(Calendar,Y783,X784,"f",FALSE)</f>
        <v>44630</v>
      </c>
      <c r="Z784" s="115">
        <f>_xll.qlCalendarAdvance(Calendar,Y784,NDays&amp;"D")</f>
        <v>44630</v>
      </c>
      <c r="AA784" s="116">
        <v>3.5715518600857595E-2</v>
      </c>
      <c r="AB784" s="113">
        <v>3.5428390343071881E-2</v>
      </c>
    </row>
    <row r="785" spans="17:28" x14ac:dyDescent="0.2">
      <c r="Q785" s="72"/>
      <c r="T785" s="72"/>
      <c r="U785" s="93"/>
      <c r="X785" s="114" t="str">
        <f t="shared" si="24"/>
        <v>1w</v>
      </c>
      <c r="Y785" s="112">
        <f>_xll.qlCalendarAdvance(Calendar,Y784,X785,"f",FALSE)</f>
        <v>44637</v>
      </c>
      <c r="Z785" s="115">
        <f>_xll.qlCalendarAdvance(Calendar,Y785,NDays&amp;"D")</f>
        <v>44637</v>
      </c>
      <c r="AA785" s="116">
        <v>3.5735225944931531E-2</v>
      </c>
      <c r="AB785" s="113">
        <v>3.5448899831250769E-2</v>
      </c>
    </row>
    <row r="786" spans="17:28" x14ac:dyDescent="0.2">
      <c r="Q786" s="72"/>
      <c r="T786" s="72"/>
      <c r="U786" s="93"/>
      <c r="X786" s="114" t="str">
        <f t="shared" si="24"/>
        <v>1w</v>
      </c>
      <c r="Y786" s="112">
        <f>_xll.qlCalendarAdvance(Calendar,Y785,X786,"f",FALSE)</f>
        <v>44644</v>
      </c>
      <c r="Z786" s="115">
        <f>_xll.qlCalendarAdvance(Calendar,Y786,NDays&amp;"D")</f>
        <v>44644</v>
      </c>
      <c r="AA786" s="116">
        <v>3.5754839245628611E-2</v>
      </c>
      <c r="AB786" s="113">
        <v>3.5469231934650569E-2</v>
      </c>
    </row>
    <row r="787" spans="17:28" x14ac:dyDescent="0.2">
      <c r="Q787" s="72"/>
      <c r="T787" s="72"/>
      <c r="U787" s="93"/>
      <c r="X787" s="114" t="str">
        <f t="shared" si="24"/>
        <v>1w</v>
      </c>
      <c r="Y787" s="112">
        <f>_xll.qlCalendarAdvance(Calendar,Y786,X787,"f",FALSE)</f>
        <v>44651</v>
      </c>
      <c r="Z787" s="115">
        <f>_xll.qlCalendarAdvance(Calendar,Y787,NDays&amp;"D")</f>
        <v>44651</v>
      </c>
      <c r="AA787" s="116">
        <v>3.5771243135231251E-2</v>
      </c>
      <c r="AB787" s="113">
        <v>3.5489386653190236E-2</v>
      </c>
    </row>
    <row r="788" spans="17:28" x14ac:dyDescent="0.2">
      <c r="Q788" s="72"/>
      <c r="T788" s="72"/>
      <c r="U788" s="93"/>
      <c r="X788" s="114" t="str">
        <f t="shared" si="24"/>
        <v>1w</v>
      </c>
      <c r="Y788" s="112">
        <f>_xll.qlCalendarAdvance(Calendar,Y787,X788,"f",FALSE)</f>
        <v>44658</v>
      </c>
      <c r="Z788" s="115">
        <f>_xll.qlCalendarAdvance(Calendar,Y788,NDays&amp;"D")</f>
        <v>44658</v>
      </c>
      <c r="AA788" s="116">
        <v>3.5790715968749942E-2</v>
      </c>
      <c r="AB788" s="113">
        <v>3.5509363986788722E-2</v>
      </c>
    </row>
    <row r="789" spans="17:28" x14ac:dyDescent="0.2">
      <c r="Q789" s="72"/>
      <c r="T789" s="72"/>
      <c r="U789" s="93"/>
      <c r="X789" s="114" t="str">
        <f t="shared" ref="X789:X852" si="25">X788</f>
        <v>1w</v>
      </c>
      <c r="Y789" s="112">
        <f>_xll.qlCalendarAdvance(Calendar,Y788,X789,"f",FALSE)</f>
        <v>44665</v>
      </c>
      <c r="Z789" s="115">
        <f>_xll.qlCalendarAdvance(Calendar,Y789,NDays&amp;"D")</f>
        <v>44665</v>
      </c>
      <c r="AA789" s="116">
        <v>3.5810143335420888E-2</v>
      </c>
      <c r="AB789" s="113">
        <v>3.554170455522998E-2</v>
      </c>
    </row>
    <row r="790" spans="17:28" x14ac:dyDescent="0.2">
      <c r="Q790" s="72"/>
      <c r="T790" s="72"/>
      <c r="U790" s="93"/>
      <c r="X790" s="114" t="str">
        <f t="shared" si="25"/>
        <v>1w</v>
      </c>
      <c r="Y790" s="112">
        <f>_xll.qlCalendarAdvance(Calendar,Y789,X790,"f",FALSE)</f>
        <v>44672</v>
      </c>
      <c r="Z790" s="115">
        <f>_xll.qlCalendarAdvance(Calendar,Y790,NDays&amp;"D")</f>
        <v>44672</v>
      </c>
      <c r="AA790" s="116">
        <v>3.5829541908632696E-2</v>
      </c>
      <c r="AB790" s="113">
        <v>3.5548786499405294E-2</v>
      </c>
    </row>
    <row r="791" spans="17:28" x14ac:dyDescent="0.2">
      <c r="Q791" s="72"/>
      <c r="T791" s="72"/>
      <c r="U791" s="93"/>
      <c r="X791" s="114" t="str">
        <f t="shared" si="25"/>
        <v>1w</v>
      </c>
      <c r="Y791" s="112">
        <f>_xll.qlCalendarAdvance(Calendar,Y790,X791,"f",FALSE)</f>
        <v>44679</v>
      </c>
      <c r="Z791" s="115">
        <f>_xll.qlCalendarAdvance(Calendar,Y791,NDays&amp;"D")</f>
        <v>44679</v>
      </c>
      <c r="AA791" s="116">
        <v>3.584892836209462E-2</v>
      </c>
      <c r="AB791" s="113">
        <v>3.5568231678261286E-2</v>
      </c>
    </row>
    <row r="792" spans="17:28" x14ac:dyDescent="0.2">
      <c r="Q792" s="72"/>
      <c r="T792" s="72"/>
      <c r="U792" s="93"/>
      <c r="X792" s="114" t="str">
        <f t="shared" si="25"/>
        <v>1w</v>
      </c>
      <c r="Y792" s="112">
        <f>_xll.qlCalendarAdvance(Calendar,Y791,X792,"f",FALSE)</f>
        <v>44686</v>
      </c>
      <c r="Z792" s="115">
        <f>_xll.qlCalendarAdvance(Calendar,Y792,NDays&amp;"D")</f>
        <v>44686</v>
      </c>
      <c r="AA792" s="116">
        <v>3.5871467758530298E-2</v>
      </c>
      <c r="AB792" s="113">
        <v>3.5587499472095052E-2</v>
      </c>
    </row>
    <row r="793" spans="17:28" x14ac:dyDescent="0.2">
      <c r="Q793" s="72"/>
      <c r="T793" s="72"/>
      <c r="U793" s="93"/>
      <c r="X793" s="114" t="str">
        <f t="shared" si="25"/>
        <v>1w</v>
      </c>
      <c r="Y793" s="112">
        <f>_xll.qlCalendarAdvance(Calendar,Y792,X793,"f",FALSE)</f>
        <v>44693</v>
      </c>
      <c r="Z793" s="115">
        <f>_xll.qlCalendarAdvance(Calendar,Y793,NDays&amp;"D")</f>
        <v>44693</v>
      </c>
      <c r="AA793" s="116">
        <v>3.5890884572179066E-2</v>
      </c>
      <c r="AB793" s="113">
        <v>3.5606590611781952E-2</v>
      </c>
    </row>
    <row r="794" spans="17:28" x14ac:dyDescent="0.2">
      <c r="Q794" s="72"/>
      <c r="T794" s="72"/>
      <c r="U794" s="93"/>
      <c r="X794" s="114" t="str">
        <f t="shared" si="25"/>
        <v>1w</v>
      </c>
      <c r="Y794" s="112">
        <f>_xll.qlCalendarAdvance(Calendar,Y793,X794,"f",FALSE)</f>
        <v>44700</v>
      </c>
      <c r="Z794" s="115">
        <f>_xll.qlCalendarAdvance(Calendar,Y794,NDays&amp;"D")</f>
        <v>44700</v>
      </c>
      <c r="AA794" s="116">
        <v>3.5910336544783594E-2</v>
      </c>
      <c r="AB794" s="113">
        <v>3.5625626415256573E-2</v>
      </c>
    </row>
    <row r="795" spans="17:28" x14ac:dyDescent="0.2">
      <c r="Q795" s="72"/>
      <c r="T795" s="72"/>
      <c r="U795" s="93"/>
      <c r="X795" s="114" t="str">
        <f t="shared" si="25"/>
        <v>1w</v>
      </c>
      <c r="Y795" s="112">
        <f>_xll.qlCalendarAdvance(Calendar,Y794,X795,"f",FALSE)</f>
        <v>44707</v>
      </c>
      <c r="Z795" s="115">
        <f>_xll.qlCalendarAdvance(Calendar,Y795,NDays&amp;"D")</f>
        <v>44707</v>
      </c>
      <c r="AA795" s="116">
        <v>3.592982642599224E-2</v>
      </c>
      <c r="AB795" s="113">
        <v>3.5644699698097471E-2</v>
      </c>
    </row>
    <row r="796" spans="17:28" x14ac:dyDescent="0.2">
      <c r="Q796" s="72"/>
      <c r="T796" s="72"/>
      <c r="U796" s="93"/>
      <c r="X796" s="114" t="str">
        <f t="shared" si="25"/>
        <v>1w</v>
      </c>
      <c r="Y796" s="112">
        <f>_xll.qlCalendarAdvance(Calendar,Y795,X796,"f",FALSE)</f>
        <v>44714</v>
      </c>
      <c r="Z796" s="115">
        <f>_xll.qlCalendarAdvance(Calendar,Y796,NDays&amp;"D")</f>
        <v>44714</v>
      </c>
      <c r="AA796" s="116">
        <v>3.5949354216357352E-2</v>
      </c>
      <c r="AB796" s="113">
        <v>3.5663810460304646E-2</v>
      </c>
    </row>
    <row r="797" spans="17:28" x14ac:dyDescent="0.2">
      <c r="Q797" s="72"/>
      <c r="T797" s="72"/>
      <c r="U797" s="93"/>
      <c r="X797" s="114" t="str">
        <f t="shared" si="25"/>
        <v>1w</v>
      </c>
      <c r="Y797" s="112">
        <f>_xll.qlCalendarAdvance(Calendar,Y796,X797,"f",FALSE)</f>
        <v>44721</v>
      </c>
      <c r="Z797" s="115">
        <f>_xll.qlCalendarAdvance(Calendar,Y797,NDays&amp;"D")</f>
        <v>44721</v>
      </c>
      <c r="AA797" s="116">
        <v>3.5968919916433043E-2</v>
      </c>
      <c r="AB797" s="113">
        <v>3.5682958701797052E-2</v>
      </c>
    </row>
    <row r="798" spans="17:28" x14ac:dyDescent="0.2">
      <c r="Q798" s="72"/>
      <c r="T798" s="72"/>
      <c r="U798" s="93"/>
      <c r="X798" s="114" t="str">
        <f t="shared" si="25"/>
        <v>1w</v>
      </c>
      <c r="Y798" s="112">
        <f>_xll.qlCalendarAdvance(Calendar,Y797,X798,"f",FALSE)</f>
        <v>44728</v>
      </c>
      <c r="Z798" s="115">
        <f>_xll.qlCalendarAdvance(Calendar,Y798,NDays&amp;"D")</f>
        <v>44728</v>
      </c>
      <c r="AA798" s="116">
        <v>3.5988523526773411E-2</v>
      </c>
      <c r="AB798" s="113">
        <v>3.5702144422736781E-2</v>
      </c>
    </row>
    <row r="799" spans="17:28" x14ac:dyDescent="0.2">
      <c r="Q799" s="72"/>
      <c r="T799" s="72"/>
      <c r="U799" s="93"/>
      <c r="X799" s="114" t="str">
        <f t="shared" si="25"/>
        <v>1w</v>
      </c>
      <c r="Y799" s="112">
        <f>_xll.qlCalendarAdvance(Calendar,Y798,X799,"f",FALSE)</f>
        <v>44735</v>
      </c>
      <c r="Z799" s="115">
        <f>_xll.qlCalendarAdvance(Calendar,Y799,NDays&amp;"D")</f>
        <v>44735</v>
      </c>
      <c r="AA799" s="116">
        <v>3.6008165047936108E-2</v>
      </c>
      <c r="AB799" s="113">
        <v>3.5721367623042788E-2</v>
      </c>
    </row>
    <row r="800" spans="17:28" x14ac:dyDescent="0.2">
      <c r="Q800" s="72"/>
      <c r="T800" s="72"/>
      <c r="U800" s="93"/>
      <c r="X800" s="114" t="str">
        <f t="shared" si="25"/>
        <v>1w</v>
      </c>
      <c r="Y800" s="112">
        <f>_xll.qlCalendarAdvance(Calendar,Y799,X800,"f",FALSE)</f>
        <v>44742</v>
      </c>
      <c r="Z800" s="115">
        <f>_xll.qlCalendarAdvance(Calendar,Y800,NDays&amp;"D")</f>
        <v>44742</v>
      </c>
      <c r="AA800" s="116">
        <v>3.6027844480476988E-2</v>
      </c>
      <c r="AB800" s="113">
        <v>3.5740628302715072E-2</v>
      </c>
    </row>
    <row r="801" spans="17:28" x14ac:dyDescent="0.2">
      <c r="Q801" s="72"/>
      <c r="T801" s="72"/>
      <c r="U801" s="93"/>
      <c r="X801" s="114" t="str">
        <f t="shared" si="25"/>
        <v>1w</v>
      </c>
      <c r="Y801" s="112">
        <f>_xll.qlCalendarAdvance(Calendar,Y800,X801,"f",FALSE)</f>
        <v>44749</v>
      </c>
      <c r="Z801" s="115">
        <f>_xll.qlCalendarAdvance(Calendar,Y801,NDays&amp;"D")</f>
        <v>44749</v>
      </c>
      <c r="AA801" s="116">
        <v>3.6047561824955464E-2</v>
      </c>
      <c r="AB801" s="113">
        <v>3.5759926461834679E-2</v>
      </c>
    </row>
    <row r="802" spans="17:28" x14ac:dyDescent="0.2">
      <c r="Q802" s="72"/>
      <c r="T802" s="72"/>
      <c r="U802" s="93"/>
      <c r="X802" s="114" t="str">
        <f t="shared" si="25"/>
        <v>1w</v>
      </c>
      <c r="Y802" s="112">
        <f>_xll.qlCalendarAdvance(Calendar,Y801,X802,"f",FALSE)</f>
        <v>44756</v>
      </c>
      <c r="Z802" s="115">
        <f>_xll.qlCalendarAdvance(Calendar,Y802,NDays&amp;"D")</f>
        <v>44756</v>
      </c>
      <c r="AA802" s="116">
        <v>3.6067317081928271E-2</v>
      </c>
      <c r="AB802" s="113">
        <v>3.5779262100320564E-2</v>
      </c>
    </row>
    <row r="803" spans="17:28" x14ac:dyDescent="0.2">
      <c r="Q803" s="72"/>
      <c r="T803" s="72"/>
      <c r="U803" s="93"/>
      <c r="X803" s="114" t="str">
        <f t="shared" si="25"/>
        <v>1w</v>
      </c>
      <c r="Y803" s="112">
        <f>_xll.qlCalendarAdvance(Calendar,Y802,X803,"f",FALSE)</f>
        <v>44763</v>
      </c>
      <c r="Z803" s="115">
        <f>_xll.qlCalendarAdvance(Calendar,Y803,NDays&amp;"D")</f>
        <v>44763</v>
      </c>
      <c r="AA803" s="116">
        <v>3.6087110251956579E-2</v>
      </c>
      <c r="AB803" s="113">
        <v>3.5798635218172725E-2</v>
      </c>
    </row>
    <row r="804" spans="17:28" x14ac:dyDescent="0.2">
      <c r="Q804" s="72"/>
      <c r="T804" s="72"/>
      <c r="U804" s="93"/>
      <c r="X804" s="114" t="str">
        <f t="shared" si="25"/>
        <v>1w</v>
      </c>
      <c r="Y804" s="112">
        <f>_xll.qlCalendarAdvance(Calendar,Y803,X804,"f",FALSE)</f>
        <v>44770</v>
      </c>
      <c r="Z804" s="115">
        <f>_xll.qlCalendarAdvance(Calendar,Y804,NDays&amp;"D")</f>
        <v>44770</v>
      </c>
      <c r="AA804" s="116">
        <v>3.6106941335604187E-2</v>
      </c>
      <c r="AB804" s="113">
        <v>3.581804581547221E-2</v>
      </c>
    </row>
    <row r="805" spans="17:28" x14ac:dyDescent="0.2">
      <c r="Q805" s="72"/>
      <c r="T805" s="72"/>
      <c r="U805" s="93"/>
      <c r="X805" s="114" t="str">
        <f t="shared" si="25"/>
        <v>1w</v>
      </c>
      <c r="Y805" s="112">
        <f>_xll.qlCalendarAdvance(Calendar,Y804,X805,"f",FALSE)</f>
        <v>44777</v>
      </c>
      <c r="Z805" s="115">
        <f>_xll.qlCalendarAdvance(Calendar,Y805,NDays&amp;"D")</f>
        <v>44777</v>
      </c>
      <c r="AA805" s="116">
        <v>3.6126810333431361E-2</v>
      </c>
      <c r="AB805" s="113">
        <v>3.5837493892219019E-2</v>
      </c>
    </row>
    <row r="806" spans="17:28" x14ac:dyDescent="0.2">
      <c r="Q806" s="72"/>
      <c r="T806" s="72"/>
      <c r="U806" s="93"/>
      <c r="X806" s="114" t="str">
        <f t="shared" si="25"/>
        <v>1w</v>
      </c>
      <c r="Y806" s="112">
        <f>_xll.qlCalendarAdvance(Calendar,Y805,X806,"f",FALSE)</f>
        <v>44784</v>
      </c>
      <c r="Z806" s="115">
        <f>_xll.qlCalendarAdvance(Calendar,Y806,NDays&amp;"D")</f>
        <v>44784</v>
      </c>
      <c r="AA806" s="116">
        <v>3.6146717246001034E-2</v>
      </c>
      <c r="AB806" s="113">
        <v>3.5856979448332105E-2</v>
      </c>
    </row>
    <row r="807" spans="17:28" x14ac:dyDescent="0.2">
      <c r="Q807" s="72"/>
      <c r="T807" s="72"/>
      <c r="U807" s="93"/>
      <c r="X807" s="114" t="str">
        <f t="shared" si="25"/>
        <v>1w</v>
      </c>
      <c r="Y807" s="112">
        <f>_xll.qlCalendarAdvance(Calendar,Y806,X807,"f",FALSE)</f>
        <v>44791</v>
      </c>
      <c r="Z807" s="115">
        <f>_xll.qlCalendarAdvance(Calendar,Y807,NDays&amp;"D")</f>
        <v>44791</v>
      </c>
      <c r="AA807" s="116">
        <v>3.6166662073879641E-2</v>
      </c>
      <c r="AB807" s="113">
        <v>3.5876502483892514E-2</v>
      </c>
    </row>
    <row r="808" spans="17:28" x14ac:dyDescent="0.2">
      <c r="Q808" s="72"/>
      <c r="T808" s="72"/>
      <c r="U808" s="93"/>
      <c r="X808" s="114" t="str">
        <f t="shared" si="25"/>
        <v>1w</v>
      </c>
      <c r="Y808" s="112">
        <f>_xll.qlCalendarAdvance(Calendar,Y807,X808,"f",FALSE)</f>
        <v>44798</v>
      </c>
      <c r="Z808" s="115">
        <f>_xll.qlCalendarAdvance(Calendar,Y808,NDays&amp;"D")</f>
        <v>44798</v>
      </c>
      <c r="AA808" s="116">
        <v>3.6186644817630988E-2</v>
      </c>
      <c r="AB808" s="113">
        <v>3.5896062998900247E-2</v>
      </c>
    </row>
    <row r="809" spans="17:28" x14ac:dyDescent="0.2">
      <c r="Q809" s="72"/>
      <c r="T809" s="72"/>
      <c r="U809" s="93"/>
      <c r="X809" s="114" t="str">
        <f t="shared" si="25"/>
        <v>1w</v>
      </c>
      <c r="Y809" s="112">
        <f>_xll.qlCalendarAdvance(Calendar,Y808,X809,"f",FALSE)</f>
        <v>44805</v>
      </c>
      <c r="Z809" s="115">
        <f>_xll.qlCalendarAdvance(Calendar,Y809,NDays&amp;"D")</f>
        <v>44805</v>
      </c>
      <c r="AA809" s="116">
        <v>3.6203438142968815E-2</v>
      </c>
      <c r="AB809" s="113">
        <v>3.5915660993355303E-2</v>
      </c>
    </row>
    <row r="810" spans="17:28" x14ac:dyDescent="0.2">
      <c r="Q810" s="72"/>
      <c r="T810" s="72"/>
      <c r="U810" s="93"/>
      <c r="X810" s="114" t="str">
        <f t="shared" si="25"/>
        <v>1w</v>
      </c>
      <c r="Y810" s="112">
        <f>_xll.qlCalendarAdvance(Calendar,Y809,X810,"f",FALSE)</f>
        <v>44812</v>
      </c>
      <c r="Z810" s="115">
        <f>_xll.qlCalendarAdvance(Calendar,Y810,NDays&amp;"D")</f>
        <v>44812</v>
      </c>
      <c r="AA810" s="116">
        <v>3.6223492030947047E-2</v>
      </c>
      <c r="AB810" s="113">
        <v>3.5935296467257682E-2</v>
      </c>
    </row>
    <row r="811" spans="17:28" x14ac:dyDescent="0.2">
      <c r="Q811" s="72"/>
      <c r="T811" s="72"/>
      <c r="U811" s="93"/>
      <c r="X811" s="114" t="str">
        <f t="shared" si="25"/>
        <v>1w</v>
      </c>
      <c r="Y811" s="112">
        <f>_xll.qlCalendarAdvance(Calendar,Y810,X811,"f",FALSE)</f>
        <v>44819</v>
      </c>
      <c r="Z811" s="115">
        <f>_xll.qlCalendarAdvance(Calendar,Y811,NDays&amp;"D")</f>
        <v>44819</v>
      </c>
      <c r="AA811" s="116">
        <v>3.6243583831622864E-2</v>
      </c>
      <c r="AB811" s="113">
        <v>3.5954969420607386E-2</v>
      </c>
    </row>
    <row r="812" spans="17:28" x14ac:dyDescent="0.2">
      <c r="Q812" s="72"/>
      <c r="T812" s="72"/>
      <c r="U812" s="93"/>
      <c r="X812" s="114" t="str">
        <f t="shared" si="25"/>
        <v>1w</v>
      </c>
      <c r="Y812" s="112">
        <f>_xll.qlCalendarAdvance(Calendar,Y811,X812,"f",FALSE)</f>
        <v>44826</v>
      </c>
      <c r="Z812" s="115">
        <f>_xll.qlCalendarAdvance(Calendar,Y812,NDays&amp;"D")</f>
        <v>44826</v>
      </c>
      <c r="AA812" s="116">
        <v>3.6263713545558247E-2</v>
      </c>
      <c r="AB812" s="113">
        <v>3.5974679853404412E-2</v>
      </c>
    </row>
    <row r="813" spans="17:28" x14ac:dyDescent="0.2">
      <c r="Q813" s="72"/>
      <c r="T813" s="72"/>
      <c r="U813" s="93"/>
      <c r="X813" s="114" t="str">
        <f t="shared" si="25"/>
        <v>1w</v>
      </c>
      <c r="Y813" s="112">
        <f>_xll.qlCalendarAdvance(Calendar,Y812,X813,"f",FALSE)</f>
        <v>44833</v>
      </c>
      <c r="Z813" s="115">
        <f>_xll.qlCalendarAdvance(Calendar,Y813,NDays&amp;"D")</f>
        <v>44833</v>
      </c>
      <c r="AA813" s="116">
        <v>3.6283881173318738E-2</v>
      </c>
      <c r="AB813" s="113">
        <v>3.5994427765729808E-2</v>
      </c>
    </row>
    <row r="814" spans="17:28" x14ac:dyDescent="0.2">
      <c r="Q814" s="72"/>
      <c r="T814" s="72"/>
      <c r="U814" s="93"/>
      <c r="X814" s="114" t="str">
        <f t="shared" si="25"/>
        <v>1w</v>
      </c>
      <c r="Y814" s="112">
        <f>_xll.qlCalendarAdvance(Calendar,Y813,X814,"f",FALSE)</f>
        <v>44840</v>
      </c>
      <c r="Z814" s="115">
        <f>_xll.qlCalendarAdvance(Calendar,Y814,NDays&amp;"D")</f>
        <v>44840</v>
      </c>
      <c r="AA814" s="116">
        <v>3.6307337545304484E-2</v>
      </c>
      <c r="AB814" s="113">
        <v>3.6014213157421482E-2</v>
      </c>
    </row>
    <row r="815" spans="17:28" x14ac:dyDescent="0.2">
      <c r="Q815" s="72"/>
      <c r="T815" s="72"/>
      <c r="U815" s="93"/>
      <c r="X815" s="114" t="str">
        <f t="shared" si="25"/>
        <v>1w</v>
      </c>
      <c r="Y815" s="112">
        <f>_xll.qlCalendarAdvance(Calendar,Y814,X815,"f",FALSE)</f>
        <v>44847</v>
      </c>
      <c r="Z815" s="115">
        <f>_xll.qlCalendarAdvance(Calendar,Y815,NDays&amp;"D")</f>
        <v>44847</v>
      </c>
      <c r="AA815" s="116">
        <v>3.6327585716101146E-2</v>
      </c>
      <c r="AB815" s="113">
        <v>3.6034036028722571E-2</v>
      </c>
    </row>
    <row r="816" spans="17:28" x14ac:dyDescent="0.2">
      <c r="Q816" s="72"/>
      <c r="T816" s="72"/>
      <c r="U816" s="93"/>
      <c r="X816" s="114" t="str">
        <f t="shared" si="25"/>
        <v>1w</v>
      </c>
      <c r="Y816" s="112">
        <f>_xll.qlCalendarAdvance(Calendar,Y815,X816,"f",FALSE)</f>
        <v>44854</v>
      </c>
      <c r="Z816" s="115">
        <f>_xll.qlCalendarAdvance(Calendar,Y816,NDays&amp;"D")</f>
        <v>44854</v>
      </c>
      <c r="AA816" s="116">
        <v>3.6347871807335563E-2</v>
      </c>
      <c r="AB816" s="113">
        <v>3.6053896379308892E-2</v>
      </c>
    </row>
    <row r="817" spans="17:28" x14ac:dyDescent="0.2">
      <c r="Q817" s="72"/>
      <c r="T817" s="72"/>
      <c r="U817" s="93"/>
      <c r="X817" s="114" t="str">
        <f t="shared" si="25"/>
        <v>1w</v>
      </c>
      <c r="Y817" s="112">
        <f>_xll.qlCalendarAdvance(Calendar,Y816,X817,"f",FALSE)</f>
        <v>44861</v>
      </c>
      <c r="Z817" s="115">
        <f>_xll.qlCalendarAdvance(Calendar,Y817,NDays&amp;"D")</f>
        <v>44861</v>
      </c>
      <c r="AA817" s="116">
        <v>3.6368195819583872E-2</v>
      </c>
      <c r="AB817" s="113">
        <v>3.6073794209504628E-2</v>
      </c>
    </row>
    <row r="818" spans="17:28" x14ac:dyDescent="0.2">
      <c r="Q818" s="72"/>
      <c r="T818" s="72"/>
      <c r="U818" s="93"/>
      <c r="X818" s="114" t="str">
        <f t="shared" si="25"/>
        <v>1w</v>
      </c>
      <c r="Y818" s="112">
        <f>_xll.qlCalendarAdvance(Calendar,Y817,X818,"f",FALSE)</f>
        <v>44868</v>
      </c>
      <c r="Z818" s="115">
        <f>_xll.qlCalendarAdvance(Calendar,Y818,NDays&amp;"D")</f>
        <v>44868</v>
      </c>
      <c r="AA818" s="116">
        <v>3.6388557753422202E-2</v>
      </c>
      <c r="AB818" s="113">
        <v>3.6093729519228734E-2</v>
      </c>
    </row>
    <row r="819" spans="17:28" x14ac:dyDescent="0.2">
      <c r="Q819" s="72"/>
      <c r="T819" s="72"/>
      <c r="U819" s="93"/>
      <c r="X819" s="114" t="str">
        <f t="shared" si="25"/>
        <v>1w</v>
      </c>
      <c r="Y819" s="112">
        <f>_xll.qlCalendarAdvance(Calendar,Y818,X819,"f",FALSE)</f>
        <v>44875</v>
      </c>
      <c r="Z819" s="115">
        <f>_xll.qlCalendarAdvance(Calendar,Y819,NDays&amp;"D")</f>
        <v>44875</v>
      </c>
      <c r="AA819" s="116">
        <v>3.640895760942757E-2</v>
      </c>
      <c r="AB819" s="113">
        <v>3.6113702308400164E-2</v>
      </c>
    </row>
    <row r="820" spans="17:28" x14ac:dyDescent="0.2">
      <c r="Q820" s="72"/>
      <c r="T820" s="72"/>
      <c r="U820" s="93"/>
      <c r="X820" s="114" t="str">
        <f t="shared" si="25"/>
        <v>1w</v>
      </c>
      <c r="Y820" s="112">
        <f>_xll.qlCalendarAdvance(Calendar,Y819,X820,"f",FALSE)</f>
        <v>44882</v>
      </c>
      <c r="Z820" s="115">
        <f>_xll.qlCalendarAdvance(Calendar,Y820,NDays&amp;"D")</f>
        <v>44882</v>
      </c>
      <c r="AA820" s="116">
        <v>3.6429395388177868E-2</v>
      </c>
      <c r="AB820" s="113">
        <v>3.6133712577099963E-2</v>
      </c>
    </row>
    <row r="821" spans="17:28" x14ac:dyDescent="0.2">
      <c r="Q821" s="72"/>
      <c r="T821" s="72"/>
      <c r="U821" s="93"/>
      <c r="X821" s="114" t="str">
        <f t="shared" si="25"/>
        <v>1w</v>
      </c>
      <c r="Y821" s="112">
        <f>_xll.qlCalendarAdvance(Calendar,Y820,X821,"f",FALSE)</f>
        <v>44889</v>
      </c>
      <c r="Z821" s="115">
        <f>_xll.qlCalendarAdvance(Calendar,Y821,NDays&amp;"D")</f>
        <v>44889</v>
      </c>
      <c r="AA821" s="116">
        <v>3.6449871090254521E-2</v>
      </c>
      <c r="AB821" s="113">
        <v>3.6153760325328133E-2</v>
      </c>
    </row>
    <row r="822" spans="17:28" x14ac:dyDescent="0.2">
      <c r="Q822" s="72"/>
      <c r="T822" s="72"/>
      <c r="U822" s="93"/>
      <c r="X822" s="114" t="str">
        <f t="shared" si="25"/>
        <v>1w</v>
      </c>
      <c r="Y822" s="112">
        <f>_xll.qlCalendarAdvance(Calendar,Y821,X822,"f",FALSE)</f>
        <v>44896</v>
      </c>
      <c r="Z822" s="115">
        <f>_xll.qlCalendarAdvance(Calendar,Y822,NDays&amp;"D")</f>
        <v>44896</v>
      </c>
      <c r="AA822" s="116">
        <v>3.6463808032864066E-2</v>
      </c>
      <c r="AB822" s="113">
        <v>3.6173845553003625E-2</v>
      </c>
    </row>
    <row r="823" spans="17:28" x14ac:dyDescent="0.2">
      <c r="Q823" s="72"/>
      <c r="T823" s="72"/>
      <c r="U823" s="93"/>
      <c r="X823" s="114" t="str">
        <f t="shared" si="25"/>
        <v>1w</v>
      </c>
      <c r="Y823" s="112">
        <f>_xll.qlCalendarAdvance(Calendar,Y822,X823,"f",FALSE)</f>
        <v>44903</v>
      </c>
      <c r="Z823" s="115">
        <f>_xll.qlCalendarAdvance(Calendar,Y823,NDays&amp;"D")</f>
        <v>44903</v>
      </c>
      <c r="AA823" s="116">
        <v>3.6484350077908477E-2</v>
      </c>
      <c r="AB823" s="113">
        <v>3.6193968260288534E-2</v>
      </c>
    </row>
    <row r="824" spans="17:28" x14ac:dyDescent="0.2">
      <c r="Q824" s="72"/>
      <c r="T824" s="72"/>
      <c r="U824" s="93"/>
      <c r="X824" s="114" t="str">
        <f t="shared" si="25"/>
        <v>1w</v>
      </c>
      <c r="Y824" s="112">
        <f>_xll.qlCalendarAdvance(Calendar,Y823,X824,"f",FALSE)</f>
        <v>44910</v>
      </c>
      <c r="Z824" s="115">
        <f>_xll.qlCalendarAdvance(Calendar,Y824,NDays&amp;"D")</f>
        <v>44910</v>
      </c>
      <c r="AA824" s="116">
        <v>3.6504930038097815E-2</v>
      </c>
      <c r="AB824" s="113">
        <v>3.6214128447101812E-2</v>
      </c>
    </row>
    <row r="825" spans="17:28" x14ac:dyDescent="0.2">
      <c r="Q825" s="72"/>
      <c r="T825" s="72"/>
      <c r="U825" s="93"/>
      <c r="X825" s="114" t="str">
        <f t="shared" si="25"/>
        <v>1w</v>
      </c>
      <c r="Y825" s="112">
        <f>_xll.qlCalendarAdvance(Calendar,Y824,X825,"f",FALSE)</f>
        <v>44917</v>
      </c>
      <c r="Z825" s="115">
        <f>_xll.qlCalendarAdvance(Calendar,Y825,NDays&amp;"D")</f>
        <v>44917</v>
      </c>
      <c r="AA825" s="116">
        <v>3.6525547914003004E-2</v>
      </c>
      <c r="AB825" s="113">
        <v>3.623432611344346E-2</v>
      </c>
    </row>
    <row r="826" spans="17:28" x14ac:dyDescent="0.2">
      <c r="Q826" s="72"/>
      <c r="T826" s="72"/>
      <c r="U826" s="93"/>
      <c r="X826" s="114" t="str">
        <f t="shared" si="25"/>
        <v>1w</v>
      </c>
      <c r="Y826" s="112">
        <f>_xll.qlCalendarAdvance(Calendar,Y825,X826,"f",FALSE)</f>
        <v>44924</v>
      </c>
      <c r="Z826" s="115">
        <f>_xll.qlCalendarAdvance(Calendar,Y826,NDays&amp;"D")</f>
        <v>44924</v>
      </c>
      <c r="AA826" s="116">
        <v>3.654620370619497E-2</v>
      </c>
      <c r="AB826" s="113">
        <v>3.6254561259313478E-2</v>
      </c>
    </row>
    <row r="827" spans="17:28" x14ac:dyDescent="0.2">
      <c r="Q827" s="72"/>
      <c r="T827" s="72"/>
      <c r="U827" s="93"/>
      <c r="X827" s="114" t="str">
        <f t="shared" si="25"/>
        <v>1w</v>
      </c>
      <c r="Y827" s="112">
        <f>_xll.qlCalendarAdvance(Calendar,Y826,X827,"f",FALSE)</f>
        <v>44931</v>
      </c>
      <c r="Z827" s="115">
        <f>_xll.qlCalendarAdvance(Calendar,Y827,NDays&amp;"D")</f>
        <v>44931</v>
      </c>
      <c r="AA827" s="116">
        <v>3.656689741524824E-2</v>
      </c>
      <c r="AB827" s="113">
        <v>3.6274833884711866E-2</v>
      </c>
    </row>
    <row r="828" spans="17:28" x14ac:dyDescent="0.2">
      <c r="Q828" s="72"/>
      <c r="T828" s="72"/>
      <c r="U828" s="93"/>
      <c r="X828" s="114" t="str">
        <f t="shared" si="25"/>
        <v>1w</v>
      </c>
      <c r="Y828" s="112">
        <f>_xll.qlCalendarAdvance(Calendar,Y827,X828,"f",FALSE)</f>
        <v>44938</v>
      </c>
      <c r="Z828" s="115">
        <f>_xll.qlCalendarAdvance(Calendar,Y828,NDays&amp;"D")</f>
        <v>44938</v>
      </c>
      <c r="AA828" s="116">
        <v>3.6587629041737339E-2</v>
      </c>
      <c r="AB828" s="113">
        <v>3.6295143989719669E-2</v>
      </c>
    </row>
    <row r="829" spans="17:28" x14ac:dyDescent="0.2">
      <c r="Q829" s="72"/>
      <c r="T829" s="72"/>
      <c r="U829" s="93"/>
      <c r="X829" s="114" t="str">
        <f t="shared" si="25"/>
        <v>1w</v>
      </c>
      <c r="Y829" s="112">
        <f>_xll.qlCalendarAdvance(Calendar,Y828,X829,"f",FALSE)</f>
        <v>44945</v>
      </c>
      <c r="Z829" s="115">
        <f>_xll.qlCalendarAdvance(Calendar,Y829,NDays&amp;"D")</f>
        <v>44945</v>
      </c>
      <c r="AA829" s="116">
        <v>3.6608398586235907E-2</v>
      </c>
      <c r="AB829" s="113">
        <v>3.6315491574255843E-2</v>
      </c>
    </row>
    <row r="830" spans="17:28" x14ac:dyDescent="0.2">
      <c r="Q830" s="72"/>
      <c r="T830" s="72"/>
      <c r="U830" s="93"/>
      <c r="X830" s="114" t="str">
        <f t="shared" si="25"/>
        <v>1w</v>
      </c>
      <c r="Y830" s="112">
        <f>_xll.qlCalendarAdvance(Calendar,Y829,X830,"f",FALSE)</f>
        <v>44953</v>
      </c>
      <c r="Z830" s="115">
        <f>_xll.qlCalendarAdvance(Calendar,Y830,NDays&amp;"D")</f>
        <v>44953</v>
      </c>
      <c r="AA830" s="116">
        <v>3.6632181639475118E-2</v>
      </c>
      <c r="AB830" s="113">
        <v>3.63453266117253E-2</v>
      </c>
    </row>
    <row r="831" spans="17:28" x14ac:dyDescent="0.2">
      <c r="Q831" s="72"/>
      <c r="T831" s="72"/>
      <c r="U831" s="93"/>
      <c r="X831" s="114" t="str">
        <f t="shared" si="25"/>
        <v>1w</v>
      </c>
      <c r="Y831" s="112">
        <f>_xll.qlCalendarAdvance(Calendar,Y830,X831,"f",FALSE)</f>
        <v>44960</v>
      </c>
      <c r="Z831" s="115">
        <f>_xll.qlCalendarAdvance(Calendar,Y831,NDays&amp;"D")</f>
        <v>44960</v>
      </c>
      <c r="AA831" s="116">
        <v>3.6649701477514014E-2</v>
      </c>
      <c r="AB831" s="113">
        <v>3.6365763934134529E-2</v>
      </c>
    </row>
    <row r="832" spans="17:28" x14ac:dyDescent="0.2">
      <c r="Q832" s="72"/>
      <c r="T832" s="72"/>
      <c r="U832" s="93"/>
      <c r="X832" s="114" t="str">
        <f t="shared" si="25"/>
        <v>1w</v>
      </c>
      <c r="Y832" s="112">
        <f>_xll.qlCalendarAdvance(Calendar,Y831,X832,"f",FALSE)</f>
        <v>44967</v>
      </c>
      <c r="Z832" s="115">
        <f>_xll.qlCalendarAdvance(Calendar,Y832,NDays&amp;"D")</f>
        <v>44967</v>
      </c>
      <c r="AA832" s="116">
        <v>3.6670585399711436E-2</v>
      </c>
      <c r="AB832" s="113">
        <v>3.6386238745905748E-2</v>
      </c>
    </row>
    <row r="833" spans="17:28" x14ac:dyDescent="0.2">
      <c r="Q833" s="72"/>
      <c r="T833" s="72"/>
      <c r="U833" s="93"/>
      <c r="X833" s="114" t="str">
        <f t="shared" si="25"/>
        <v>1w</v>
      </c>
      <c r="Y833" s="112">
        <f>_xll.qlCalendarAdvance(Calendar,Y832,X833,"f",FALSE)</f>
        <v>44974</v>
      </c>
      <c r="Z833" s="115">
        <f>_xll.qlCalendarAdvance(Calendar,Y833,NDays&amp;"D")</f>
        <v>44974</v>
      </c>
      <c r="AA833" s="116">
        <v>3.6691507237293197E-2</v>
      </c>
      <c r="AB833" s="113">
        <v>3.640675104703895E-2</v>
      </c>
    </row>
    <row r="834" spans="17:28" x14ac:dyDescent="0.2">
      <c r="Q834" s="72"/>
      <c r="T834" s="72"/>
      <c r="U834" s="93"/>
      <c r="X834" s="114" t="str">
        <f t="shared" si="25"/>
        <v>1w</v>
      </c>
      <c r="Y834" s="112">
        <f>_xll.qlCalendarAdvance(Calendar,Y833,X834,"f",FALSE)</f>
        <v>44981</v>
      </c>
      <c r="Z834" s="115">
        <f>_xll.qlCalendarAdvance(Calendar,Y834,NDays&amp;"D")</f>
        <v>44981</v>
      </c>
      <c r="AA834" s="116">
        <v>3.6712466990832089E-2</v>
      </c>
      <c r="AB834" s="113">
        <v>3.6427300837561148E-2</v>
      </c>
    </row>
    <row r="835" spans="17:28" x14ac:dyDescent="0.2">
      <c r="Q835" s="72"/>
      <c r="T835" s="72"/>
      <c r="U835" s="93"/>
      <c r="X835" s="114" t="str">
        <f t="shared" si="25"/>
        <v>1w</v>
      </c>
      <c r="Y835" s="112">
        <f>_xll.qlCalendarAdvance(Calendar,Y834,X835,"f",FALSE)</f>
        <v>44988</v>
      </c>
      <c r="Z835" s="115">
        <f>_xll.qlCalendarAdvance(Calendar,Y835,NDays&amp;"D")</f>
        <v>44988</v>
      </c>
      <c r="AA835" s="116">
        <v>3.675022238912732E-2</v>
      </c>
      <c r="AB835" s="113">
        <v>3.6447888117445336E-2</v>
      </c>
    </row>
    <row r="836" spans="17:28" x14ac:dyDescent="0.2">
      <c r="Q836" s="72"/>
      <c r="T836" s="72"/>
      <c r="U836" s="93"/>
      <c r="X836" s="114" t="str">
        <f t="shared" si="25"/>
        <v>1w</v>
      </c>
      <c r="Y836" s="112">
        <f>_xll.qlCalendarAdvance(Calendar,Y835,X836,"f",FALSE)</f>
        <v>44995</v>
      </c>
      <c r="Z836" s="115">
        <f>_xll.qlCalendarAdvance(Calendar,Y836,NDays&amp;"D")</f>
        <v>44995</v>
      </c>
      <c r="AA836" s="116">
        <v>3.6774640488717071E-2</v>
      </c>
      <c r="AB836" s="113">
        <v>3.646851288677256E-2</v>
      </c>
    </row>
    <row r="837" spans="17:28" x14ac:dyDescent="0.2">
      <c r="Q837" s="72"/>
      <c r="T837" s="72"/>
      <c r="U837" s="93"/>
      <c r="X837" s="114" t="str">
        <f t="shared" si="25"/>
        <v>1w</v>
      </c>
      <c r="Y837" s="112">
        <f>_xll.qlCalendarAdvance(Calendar,Y836,X837,"f",FALSE)</f>
        <v>45002</v>
      </c>
      <c r="Z837" s="115">
        <f>_xll.qlCalendarAdvance(Calendar,Y837,NDays&amp;"D")</f>
        <v>45002</v>
      </c>
      <c r="AA837" s="116">
        <v>3.6792379695727302E-2</v>
      </c>
      <c r="AB837" s="113">
        <v>3.6489175145569826E-2</v>
      </c>
    </row>
    <row r="838" spans="17:28" x14ac:dyDescent="0.2">
      <c r="Q838" s="72"/>
      <c r="T838" s="72"/>
      <c r="U838" s="93"/>
      <c r="X838" s="114" t="str">
        <f t="shared" si="25"/>
        <v>1w</v>
      </c>
      <c r="Y838" s="112">
        <f>_xll.qlCalendarAdvance(Calendar,Y837,X838,"f",FALSE)</f>
        <v>45009</v>
      </c>
      <c r="Z838" s="115">
        <f>_xll.qlCalendarAdvance(Calendar,Y838,NDays&amp;"D")</f>
        <v>45009</v>
      </c>
      <c r="AA838" s="116">
        <v>3.6813515264043972E-2</v>
      </c>
      <c r="AB838" s="113">
        <v>3.6509874893810121E-2</v>
      </c>
    </row>
    <row r="839" spans="17:28" x14ac:dyDescent="0.2">
      <c r="Q839" s="72"/>
      <c r="T839" s="72"/>
      <c r="U839" s="93"/>
      <c r="X839" s="114" t="str">
        <f t="shared" si="25"/>
        <v>1w</v>
      </c>
      <c r="Y839" s="112">
        <f>_xll.qlCalendarAdvance(Calendar,Y838,X839,"f",FALSE)</f>
        <v>45016</v>
      </c>
      <c r="Z839" s="115">
        <f>_xll.qlCalendarAdvance(Calendar,Y839,NDays&amp;"D")</f>
        <v>45016</v>
      </c>
      <c r="AA839" s="116">
        <v>3.6824574160466854E-2</v>
      </c>
      <c r="AB839" s="113">
        <v>3.6530612131493452E-2</v>
      </c>
    </row>
    <row r="840" spans="17:28" x14ac:dyDescent="0.2">
      <c r="Q840" s="72"/>
      <c r="T840" s="72"/>
      <c r="U840" s="93"/>
      <c r="X840" s="114" t="str">
        <f t="shared" si="25"/>
        <v>1w</v>
      </c>
      <c r="Y840" s="112">
        <f>_xll.qlCalendarAdvance(Calendar,Y839,X840,"f",FALSE)</f>
        <v>45027</v>
      </c>
      <c r="Z840" s="115">
        <f>_xll.qlCalendarAdvance(Calendar,Y840,NDays&amp;"D")</f>
        <v>45027</v>
      </c>
      <c r="AA840" s="116">
        <v>3.6857900662616287E-2</v>
      </c>
      <c r="AB840" s="113">
        <v>3.6556640075601221E-2</v>
      </c>
    </row>
    <row r="841" spans="17:28" x14ac:dyDescent="0.2">
      <c r="Q841" s="72"/>
      <c r="T841" s="72"/>
      <c r="U841" s="93"/>
      <c r="X841" s="114" t="str">
        <f t="shared" si="25"/>
        <v>1w</v>
      </c>
      <c r="Y841" s="112">
        <f>_xll.qlCalendarAdvance(Calendar,Y840,X841,"f",FALSE)</f>
        <v>45034</v>
      </c>
      <c r="Z841" s="115">
        <f>_xll.qlCalendarAdvance(Calendar,Y841,NDays&amp;"D")</f>
        <v>45034</v>
      </c>
      <c r="AA841" s="116">
        <v>3.6879157204344128E-2</v>
      </c>
      <c r="AB841" s="113">
        <v>3.6577464186576814E-2</v>
      </c>
    </row>
    <row r="842" spans="17:28" x14ac:dyDescent="0.2">
      <c r="Q842" s="72"/>
      <c r="T842" s="72"/>
      <c r="U842" s="93"/>
      <c r="X842" s="114" t="str">
        <f t="shared" si="25"/>
        <v>1w</v>
      </c>
      <c r="Y842" s="112">
        <f>_xll.qlCalendarAdvance(Calendar,Y841,X842,"f",FALSE)</f>
        <v>45042</v>
      </c>
      <c r="Z842" s="115">
        <f>_xll.qlCalendarAdvance(Calendar,Y842,NDays&amp;"D")</f>
        <v>45042</v>
      </c>
      <c r="AA842" s="116">
        <v>3.690349684116026E-2</v>
      </c>
      <c r="AB842" s="113">
        <v>3.6601309063931664E-2</v>
      </c>
    </row>
    <row r="843" spans="17:28" x14ac:dyDescent="0.2">
      <c r="Q843" s="72"/>
      <c r="T843" s="72"/>
      <c r="U843" s="93"/>
      <c r="X843" s="114" t="str">
        <f t="shared" si="25"/>
        <v>1w</v>
      </c>
      <c r="Y843" s="112">
        <f>_xll.qlCalendarAdvance(Calendar,Y842,X843,"f",FALSE)</f>
        <v>45049</v>
      </c>
      <c r="Z843" s="115">
        <f>_xll.qlCalendarAdvance(Calendar,Y843,NDays&amp;"D")</f>
        <v>45049</v>
      </c>
      <c r="AA843" s="116">
        <v>3.6928228373800588E-2</v>
      </c>
      <c r="AB843" s="113">
        <v>3.6622213488448629E-2</v>
      </c>
    </row>
    <row r="844" spans="17:28" x14ac:dyDescent="0.2">
      <c r="Q844" s="72"/>
      <c r="T844" s="72"/>
      <c r="U844" s="93"/>
      <c r="X844" s="114" t="str">
        <f t="shared" si="25"/>
        <v>1w</v>
      </c>
      <c r="Y844" s="112">
        <f>_xll.qlCalendarAdvance(Calendar,Y843,X844,"f",FALSE)</f>
        <v>45056</v>
      </c>
      <c r="Z844" s="115">
        <f>_xll.qlCalendarAdvance(Calendar,Y844,NDays&amp;"D")</f>
        <v>45056</v>
      </c>
      <c r="AA844" s="116">
        <v>3.6949608992705073E-2</v>
      </c>
      <c r="AB844" s="113">
        <v>3.6643155392656057E-2</v>
      </c>
    </row>
    <row r="845" spans="17:28" x14ac:dyDescent="0.2">
      <c r="Q845" s="72"/>
      <c r="T845" s="72"/>
      <c r="U845" s="93"/>
      <c r="X845" s="114" t="str">
        <f t="shared" si="25"/>
        <v>1w</v>
      </c>
      <c r="Y845" s="112">
        <f>_xll.qlCalendarAdvance(Calendar,Y844,X845,"f",FALSE)</f>
        <v>45063</v>
      </c>
      <c r="Z845" s="115">
        <f>_xll.qlCalendarAdvance(Calendar,Y845,NDays&amp;"D")</f>
        <v>45063</v>
      </c>
      <c r="AA845" s="116">
        <v>3.6971027549690741E-2</v>
      </c>
      <c r="AB845" s="113">
        <v>3.6664134776553947E-2</v>
      </c>
    </row>
    <row r="846" spans="17:28" x14ac:dyDescent="0.2">
      <c r="Q846" s="72"/>
      <c r="T846" s="72"/>
      <c r="U846" s="93"/>
      <c r="X846" s="114" t="str">
        <f t="shared" si="25"/>
        <v>1w</v>
      </c>
      <c r="Y846" s="112">
        <f>_xll.qlCalendarAdvance(Calendar,Y845,X846,"f",FALSE)</f>
        <v>45070</v>
      </c>
      <c r="Z846" s="115">
        <f>_xll.qlCalendarAdvance(Calendar,Y846,NDays&amp;"D")</f>
        <v>45070</v>
      </c>
      <c r="AA846" s="116">
        <v>3.6992484045365433E-2</v>
      </c>
      <c r="AB846" s="113">
        <v>3.6685151640061253E-2</v>
      </c>
    </row>
    <row r="847" spans="17:28" x14ac:dyDescent="0.2">
      <c r="Q847" s="72"/>
      <c r="T847" s="72"/>
      <c r="U847" s="93"/>
      <c r="X847" s="114" t="str">
        <f t="shared" si="25"/>
        <v>1w</v>
      </c>
      <c r="Y847" s="112">
        <f>_xll.qlCalendarAdvance(Calendar,Y846,X847,"f",FALSE)</f>
        <v>45077</v>
      </c>
      <c r="Z847" s="115">
        <f>_xll.qlCalendarAdvance(Calendar,Y847,NDays&amp;"D")</f>
        <v>45077</v>
      </c>
      <c r="AA847" s="116">
        <v>3.7013978480336995E-2</v>
      </c>
      <c r="AB847" s="113">
        <v>3.6706205983259022E-2</v>
      </c>
    </row>
    <row r="848" spans="17:28" x14ac:dyDescent="0.2">
      <c r="Q848" s="72"/>
      <c r="T848" s="72"/>
      <c r="U848" s="93"/>
      <c r="X848" s="114" t="str">
        <f t="shared" si="25"/>
        <v>1w</v>
      </c>
      <c r="Y848" s="112">
        <f>_xll.qlCalendarAdvance(Calendar,Y847,X848,"f",FALSE)</f>
        <v>45084</v>
      </c>
      <c r="Z848" s="115">
        <f>_xll.qlCalendarAdvance(Calendar,Y848,NDays&amp;"D")</f>
        <v>45084</v>
      </c>
      <c r="AA848" s="116">
        <v>3.7035510855215045E-2</v>
      </c>
      <c r="AB848" s="113">
        <v>3.6727297806228298E-2</v>
      </c>
    </row>
    <row r="849" spans="17:28" x14ac:dyDescent="0.2">
      <c r="Q849" s="72"/>
      <c r="T849" s="72"/>
      <c r="U849" s="93"/>
      <c r="X849" s="114" t="str">
        <f t="shared" si="25"/>
        <v>1w</v>
      </c>
      <c r="Y849" s="112">
        <f>_xll.qlCalendarAdvance(Calendar,Y848,X849,"f",FALSE)</f>
        <v>45091</v>
      </c>
      <c r="Z849" s="115">
        <f>_xll.qlCalendarAdvance(Calendar,Y849,NDays&amp;"D")</f>
        <v>45091</v>
      </c>
      <c r="AA849" s="116">
        <v>3.7057081170611822E-2</v>
      </c>
      <c r="AB849" s="113">
        <v>3.6748427108888038E-2</v>
      </c>
    </row>
    <row r="850" spans="17:28" x14ac:dyDescent="0.2">
      <c r="Q850" s="72"/>
      <c r="T850" s="72"/>
      <c r="U850" s="93"/>
      <c r="X850" s="114" t="str">
        <f t="shared" si="25"/>
        <v>1w</v>
      </c>
      <c r="Y850" s="112">
        <f>_xll.qlCalendarAdvance(Calendar,Y849,X850,"f",FALSE)</f>
        <v>45098</v>
      </c>
      <c r="Z850" s="115">
        <f>_xll.qlCalendarAdvance(Calendar,Y850,NDays&amp;"D")</f>
        <v>45098</v>
      </c>
      <c r="AA850" s="116">
        <v>3.7078689427136949E-2</v>
      </c>
      <c r="AB850" s="113">
        <v>3.6769593891157193E-2</v>
      </c>
    </row>
    <row r="851" spans="17:28" x14ac:dyDescent="0.2">
      <c r="Q851" s="72"/>
      <c r="T851" s="72"/>
      <c r="U851" s="93"/>
      <c r="X851" s="114" t="str">
        <f t="shared" si="25"/>
        <v>1w</v>
      </c>
      <c r="Y851" s="112">
        <f>_xll.qlCalendarAdvance(Calendar,Y850,X851,"f",FALSE)</f>
        <v>45105</v>
      </c>
      <c r="Z851" s="115">
        <f>_xll.qlCalendarAdvance(Calendar,Y851,NDays&amp;"D")</f>
        <v>45105</v>
      </c>
      <c r="AA851" s="116">
        <v>3.7100335625404428E-2</v>
      </c>
      <c r="AB851" s="113">
        <v>3.679079815311681E-2</v>
      </c>
    </row>
    <row r="852" spans="17:28" x14ac:dyDescent="0.2">
      <c r="Q852" s="72"/>
      <c r="T852" s="72"/>
      <c r="U852" s="93"/>
      <c r="X852" s="114" t="str">
        <f t="shared" si="25"/>
        <v>1w</v>
      </c>
      <c r="Y852" s="112">
        <f>_xll.qlCalendarAdvance(Calendar,Y851,X852,"f",FALSE)</f>
        <v>45112</v>
      </c>
      <c r="Z852" s="115">
        <f>_xll.qlCalendarAdvance(Calendar,Y852,NDays&amp;"D")</f>
        <v>45112</v>
      </c>
      <c r="AA852" s="116">
        <v>3.7122019766030044E-2</v>
      </c>
      <c r="AB852" s="113">
        <v>3.6812039894928983E-2</v>
      </c>
    </row>
    <row r="853" spans="17:28" x14ac:dyDescent="0.2">
      <c r="Q853" s="72"/>
      <c r="T853" s="72"/>
      <c r="U853" s="93"/>
      <c r="X853" s="114" t="str">
        <f t="shared" ref="X853:X916" si="26">X852</f>
        <v>1w</v>
      </c>
      <c r="Y853" s="112">
        <f>_xll.qlCalendarAdvance(Calendar,Y852,X853,"f",FALSE)</f>
        <v>45119</v>
      </c>
      <c r="Z853" s="115">
        <f>_xll.qlCalendarAdvance(Calendar,Y853,NDays&amp;"D")</f>
        <v>45119</v>
      </c>
      <c r="AA853" s="116">
        <v>3.7143741849626037E-2</v>
      </c>
      <c r="AB853" s="113">
        <v>3.6833319116350571E-2</v>
      </c>
    </row>
    <row r="854" spans="17:28" x14ac:dyDescent="0.2">
      <c r="Q854" s="72"/>
      <c r="T854" s="72"/>
      <c r="U854" s="93"/>
      <c r="X854" s="114" t="str">
        <f t="shared" si="26"/>
        <v>1w</v>
      </c>
      <c r="Y854" s="112">
        <f>_xll.qlCalendarAdvance(Calendar,Y853,X854,"f",FALSE)</f>
        <v>45126</v>
      </c>
      <c r="Z854" s="115">
        <f>_xll.qlCalendarAdvance(Calendar,Y854,NDays&amp;"D")</f>
        <v>45126</v>
      </c>
      <c r="AA854" s="116">
        <v>3.7165501876809955E-2</v>
      </c>
      <c r="AB854" s="113">
        <v>3.6854635817543668E-2</v>
      </c>
    </row>
    <row r="855" spans="17:28" x14ac:dyDescent="0.2">
      <c r="Q855" s="72"/>
      <c r="T855" s="72"/>
      <c r="U855" s="93"/>
      <c r="X855" s="114" t="str">
        <f t="shared" si="26"/>
        <v>1w</v>
      </c>
      <c r="Y855" s="112">
        <f>_xll.qlCalendarAdvance(Calendar,Y854,X855,"f",FALSE)</f>
        <v>45133</v>
      </c>
      <c r="Z855" s="115">
        <f>_xll.qlCalendarAdvance(Calendar,Y855,NDays&amp;"D")</f>
        <v>45133</v>
      </c>
      <c r="AA855" s="116">
        <v>3.7187299848198456E-2</v>
      </c>
      <c r="AB855" s="113">
        <v>3.6875989998508274E-2</v>
      </c>
    </row>
    <row r="856" spans="17:28" x14ac:dyDescent="0.2">
      <c r="Q856" s="72"/>
      <c r="T856" s="72"/>
      <c r="U856" s="93"/>
      <c r="X856" s="114" t="str">
        <f t="shared" si="26"/>
        <v>1w</v>
      </c>
      <c r="Y856" s="112">
        <f>_xll.qlCalendarAdvance(Calendar,Y855,X856,"f",FALSE)</f>
        <v>45140</v>
      </c>
      <c r="Z856" s="115">
        <f>_xll.qlCalendarAdvance(Calendar,Y856,NDays&amp;"D")</f>
        <v>45140</v>
      </c>
      <c r="AA856" s="116">
        <v>3.7209135764411705E-2</v>
      </c>
      <c r="AB856" s="113">
        <v>3.6897381659163342E-2</v>
      </c>
    </row>
    <row r="857" spans="17:28" x14ac:dyDescent="0.2">
      <c r="Q857" s="72"/>
      <c r="T857" s="72"/>
      <c r="U857" s="93"/>
      <c r="X857" s="114" t="str">
        <f t="shared" si="26"/>
        <v>1w</v>
      </c>
      <c r="Y857" s="112">
        <f>_xll.qlCalendarAdvance(Calendar,Y856,X857,"f",FALSE)</f>
        <v>45147</v>
      </c>
      <c r="Z857" s="115">
        <f>_xll.qlCalendarAdvance(Calendar,Y857,NDays&amp;"D")</f>
        <v>45147</v>
      </c>
      <c r="AA857" s="116">
        <v>3.7231009626066375E-2</v>
      </c>
      <c r="AB857" s="113">
        <v>3.6918810799589918E-2</v>
      </c>
    </row>
    <row r="858" spans="17:28" x14ac:dyDescent="0.2">
      <c r="Q858" s="72"/>
      <c r="T858" s="72"/>
      <c r="U858" s="93"/>
      <c r="X858" s="114" t="str">
        <f t="shared" si="26"/>
        <v>1w</v>
      </c>
      <c r="Y858" s="112">
        <f>_xll.qlCalendarAdvance(Calendar,Y857,X858,"f",FALSE)</f>
        <v>45154</v>
      </c>
      <c r="Z858" s="115">
        <f>_xll.qlCalendarAdvance(Calendar,Y858,NDays&amp;"D")</f>
        <v>45154</v>
      </c>
      <c r="AA858" s="116">
        <v>3.7252921433784399E-2</v>
      </c>
      <c r="AB858" s="113">
        <v>3.6940277419706957E-2</v>
      </c>
    </row>
    <row r="859" spans="17:28" x14ac:dyDescent="0.2">
      <c r="Q859" s="72"/>
      <c r="T859" s="72"/>
      <c r="U859" s="93"/>
      <c r="X859" s="114" t="str">
        <f t="shared" si="26"/>
        <v>1w</v>
      </c>
      <c r="Y859" s="112">
        <f>_xll.qlCalendarAdvance(Calendar,Y858,X859,"f",FALSE)</f>
        <v>45161</v>
      </c>
      <c r="Z859" s="115">
        <f>_xll.qlCalendarAdvance(Calendar,Y859,NDays&amp;"D")</f>
        <v>45161</v>
      </c>
      <c r="AA859" s="116">
        <v>3.7274871188188605E-2</v>
      </c>
      <c r="AB859" s="113">
        <v>3.6961781519676551E-2</v>
      </c>
    </row>
    <row r="860" spans="17:28" x14ac:dyDescent="0.2">
      <c r="Q860" s="72"/>
      <c r="T860" s="72"/>
      <c r="U860" s="93"/>
      <c r="X860" s="114" t="str">
        <f t="shared" si="26"/>
        <v>1w</v>
      </c>
      <c r="Y860" s="112">
        <f>_xll.qlCalendarAdvance(Calendar,Y859,X860,"f",FALSE)</f>
        <v>45168</v>
      </c>
      <c r="Z860" s="115">
        <f>_xll.qlCalendarAdvance(Calendar,Y860,NDays&amp;"D")</f>
        <v>45168</v>
      </c>
      <c r="AA860" s="116">
        <v>3.729685888989917E-2</v>
      </c>
      <c r="AB860" s="113">
        <v>3.6983323099417653E-2</v>
      </c>
    </row>
    <row r="861" spans="17:28" x14ac:dyDescent="0.2">
      <c r="Q861" s="72"/>
      <c r="T861" s="72"/>
      <c r="U861" s="93"/>
      <c r="X861" s="114" t="str">
        <f t="shared" si="26"/>
        <v>1w</v>
      </c>
      <c r="Y861" s="112">
        <f>_xll.qlCalendarAdvance(Calendar,Y860,X861,"f",FALSE)</f>
        <v>45175</v>
      </c>
      <c r="Z861" s="115">
        <f>_xll.qlCalendarAdvance(Calendar,Y861,NDays&amp;"D")</f>
        <v>45175</v>
      </c>
      <c r="AA861" s="116">
        <v>3.7315402506215803E-2</v>
      </c>
      <c r="AB861" s="113">
        <v>3.7004902158930264E-2</v>
      </c>
    </row>
    <row r="862" spans="17:28" x14ac:dyDescent="0.2">
      <c r="Q862" s="72"/>
      <c r="T862" s="72"/>
      <c r="U862" s="93"/>
      <c r="X862" s="114" t="str">
        <f t="shared" si="26"/>
        <v>1w</v>
      </c>
      <c r="Y862" s="112">
        <f>_xll.qlCalendarAdvance(Calendar,Y861,X862,"f",FALSE)</f>
        <v>45182</v>
      </c>
      <c r="Z862" s="115">
        <f>_xll.qlCalendarAdvance(Calendar,Y862,NDays&amp;"D")</f>
        <v>45182</v>
      </c>
      <c r="AA862" s="116">
        <v>3.7337461148258318E-2</v>
      </c>
      <c r="AB862" s="113">
        <v>3.7026518698214383E-2</v>
      </c>
    </row>
    <row r="863" spans="17:28" x14ac:dyDescent="0.2">
      <c r="Q863" s="72"/>
      <c r="T863" s="72"/>
      <c r="U863" s="93"/>
      <c r="X863" s="114" t="str">
        <f t="shared" si="26"/>
        <v>1w</v>
      </c>
      <c r="Y863" s="112">
        <f>_xll.qlCalendarAdvance(Calendar,Y862,X863,"f",FALSE)</f>
        <v>45189</v>
      </c>
      <c r="Z863" s="115">
        <f>_xll.qlCalendarAdvance(Calendar,Y863,NDays&amp;"D")</f>
        <v>45189</v>
      </c>
      <c r="AA863" s="116">
        <v>3.7359557734250218E-2</v>
      </c>
      <c r="AB863" s="113">
        <v>3.7048172717188965E-2</v>
      </c>
    </row>
    <row r="864" spans="17:28" x14ac:dyDescent="0.2">
      <c r="Q864" s="72"/>
      <c r="T864" s="72"/>
      <c r="U864" s="93"/>
      <c r="X864" s="114" t="str">
        <f t="shared" si="26"/>
        <v>1w</v>
      </c>
      <c r="Y864" s="112">
        <f>_xll.qlCalendarAdvance(Calendar,Y863,X864,"f",FALSE)</f>
        <v>45196</v>
      </c>
      <c r="Z864" s="115">
        <f>_xll.qlCalendarAdvance(Calendar,Y864,NDays&amp;"D")</f>
        <v>45196</v>
      </c>
      <c r="AA864" s="116">
        <v>3.738169226481227E-2</v>
      </c>
      <c r="AB864" s="113">
        <v>3.7069864216016102E-2</v>
      </c>
    </row>
    <row r="865" spans="17:28" x14ac:dyDescent="0.2">
      <c r="Q865" s="72"/>
      <c r="T865" s="72"/>
      <c r="U865" s="93"/>
      <c r="X865" s="114" t="str">
        <f t="shared" si="26"/>
        <v>1w</v>
      </c>
      <c r="Y865" s="112">
        <f>_xll.qlCalendarAdvance(Calendar,Y864,X865,"f",FALSE)</f>
        <v>45203</v>
      </c>
      <c r="Z865" s="115">
        <f>_xll.qlCalendarAdvance(Calendar,Y865,NDays&amp;"D")</f>
        <v>45203</v>
      </c>
      <c r="AA865" s="116">
        <v>3.7407366629934297E-2</v>
      </c>
      <c r="AB865" s="113">
        <v>3.7091593194695793E-2</v>
      </c>
    </row>
    <row r="866" spans="17:28" x14ac:dyDescent="0.2">
      <c r="Q866" s="72"/>
      <c r="T866" s="72"/>
      <c r="U866" s="93"/>
      <c r="X866" s="114" t="str">
        <f t="shared" si="26"/>
        <v>1w</v>
      </c>
      <c r="Y866" s="112">
        <f>_xll.qlCalendarAdvance(Calendar,Y865,X866,"f",FALSE)</f>
        <v>45210</v>
      </c>
      <c r="Z866" s="115">
        <f>_xll.qlCalendarAdvance(Calendar,Y866,NDays&amp;"D")</f>
        <v>45210</v>
      </c>
      <c r="AA866" s="116">
        <v>3.7429582028626618E-2</v>
      </c>
      <c r="AB866" s="113">
        <v>3.7113359653146993E-2</v>
      </c>
    </row>
    <row r="867" spans="17:28" x14ac:dyDescent="0.2">
      <c r="Q867" s="72"/>
      <c r="T867" s="72"/>
      <c r="U867" s="93"/>
      <c r="X867" s="114" t="str">
        <f t="shared" si="26"/>
        <v>1w</v>
      </c>
      <c r="Y867" s="112">
        <f>_xll.qlCalendarAdvance(Calendar,Y866,X867,"f",FALSE)</f>
        <v>45217</v>
      </c>
      <c r="Z867" s="115">
        <f>_xll.qlCalendarAdvance(Calendar,Y867,NDays&amp;"D")</f>
        <v>45217</v>
      </c>
      <c r="AA867" s="116">
        <v>3.7451835379015003E-2</v>
      </c>
      <c r="AB867" s="113">
        <v>3.7135163591450748E-2</v>
      </c>
    </row>
    <row r="868" spans="17:28" x14ac:dyDescent="0.2">
      <c r="Q868" s="72"/>
      <c r="T868" s="72"/>
      <c r="U868" s="93"/>
      <c r="X868" s="114" t="str">
        <f t="shared" si="26"/>
        <v>1w</v>
      </c>
      <c r="Y868" s="112">
        <f>_xll.qlCalendarAdvance(Calendar,Y867,X868,"f",FALSE)</f>
        <v>45224</v>
      </c>
      <c r="Z868" s="115">
        <f>_xll.qlCalendarAdvance(Calendar,Y868,NDays&amp;"D")</f>
        <v>45224</v>
      </c>
      <c r="AA868" s="116">
        <v>3.7474126681730224E-2</v>
      </c>
      <c r="AB868" s="113">
        <v>3.7157005009607058E-2</v>
      </c>
    </row>
    <row r="869" spans="17:28" x14ac:dyDescent="0.2">
      <c r="Q869" s="72"/>
      <c r="T869" s="72"/>
      <c r="U869" s="93"/>
      <c r="X869" s="114" t="str">
        <f t="shared" si="26"/>
        <v>1w</v>
      </c>
      <c r="Y869" s="112">
        <f>_xll.qlCalendarAdvance(Calendar,Y868,X869,"f",FALSE)</f>
        <v>45231</v>
      </c>
      <c r="Z869" s="115">
        <f>_xll.qlCalendarAdvance(Calendar,Y869,NDays&amp;"D")</f>
        <v>45231</v>
      </c>
      <c r="AA869" s="116">
        <v>3.7496455937406539E-2</v>
      </c>
      <c r="AB869" s="113">
        <v>3.7178883907534876E-2</v>
      </c>
    </row>
    <row r="870" spans="17:28" x14ac:dyDescent="0.2">
      <c r="Q870" s="72"/>
      <c r="T870" s="72"/>
      <c r="U870" s="93"/>
      <c r="X870" s="114" t="str">
        <f t="shared" si="26"/>
        <v>1w</v>
      </c>
      <c r="Y870" s="112">
        <f>_xll.qlCalendarAdvance(Calendar,Y869,X870,"f",FALSE)</f>
        <v>45238</v>
      </c>
      <c r="Z870" s="115">
        <f>_xll.qlCalendarAdvance(Calendar,Y870,NDays&amp;"D")</f>
        <v>45238</v>
      </c>
      <c r="AA870" s="116">
        <v>3.7518823146674707E-2</v>
      </c>
      <c r="AB870" s="113">
        <v>3.7200800285234203E-2</v>
      </c>
    </row>
    <row r="871" spans="17:28" x14ac:dyDescent="0.2">
      <c r="Q871" s="72"/>
      <c r="T871" s="72"/>
      <c r="U871" s="93"/>
      <c r="X871" s="114" t="str">
        <f t="shared" si="26"/>
        <v>1w</v>
      </c>
      <c r="Y871" s="112">
        <f>_xll.qlCalendarAdvance(Calendar,Y870,X871,"f",FALSE)</f>
        <v>45245</v>
      </c>
      <c r="Z871" s="115">
        <f>_xll.qlCalendarAdvance(Calendar,Y871,NDays&amp;"D")</f>
        <v>45245</v>
      </c>
      <c r="AA871" s="116">
        <v>3.7541228310172522E-2</v>
      </c>
      <c r="AB871" s="113">
        <v>3.7222754142867132E-2</v>
      </c>
    </row>
    <row r="872" spans="17:28" x14ac:dyDescent="0.2">
      <c r="Q872" s="72"/>
      <c r="T872" s="72"/>
      <c r="U872" s="93"/>
      <c r="X872" s="114" t="str">
        <f t="shared" si="26"/>
        <v>1w</v>
      </c>
      <c r="Y872" s="112">
        <f>_xll.qlCalendarAdvance(Calendar,Y871,X872,"f",FALSE)</f>
        <v>45252</v>
      </c>
      <c r="Z872" s="115">
        <f>_xll.qlCalendarAdvance(Calendar,Y872,NDays&amp;"D")</f>
        <v>45252</v>
      </c>
      <c r="AA872" s="116">
        <v>3.7563671428532501E-2</v>
      </c>
      <c r="AB872" s="113">
        <v>3.7244745480352615E-2</v>
      </c>
    </row>
    <row r="873" spans="17:28" x14ac:dyDescent="0.2">
      <c r="Q873" s="72"/>
      <c r="T873" s="72"/>
      <c r="U873" s="93"/>
      <c r="X873" s="114" t="str">
        <f t="shared" si="26"/>
        <v>1w</v>
      </c>
      <c r="Y873" s="112">
        <f>_xll.qlCalendarAdvance(Calendar,Y872,X873,"f",FALSE)</f>
        <v>45259</v>
      </c>
      <c r="Z873" s="115">
        <f>_xll.qlCalendarAdvance(Calendar,Y873,NDays&amp;"D")</f>
        <v>45259</v>
      </c>
      <c r="AA873" s="116">
        <v>3.7586152502392445E-2</v>
      </c>
      <c r="AB873" s="113">
        <v>3.7266774297609606E-2</v>
      </c>
    </row>
    <row r="874" spans="17:28" x14ac:dyDescent="0.2">
      <c r="Q874" s="72"/>
      <c r="T874" s="72"/>
      <c r="U874" s="93"/>
      <c r="X874" s="114" t="str">
        <f t="shared" si="26"/>
        <v>1w</v>
      </c>
      <c r="Y874" s="112">
        <f>_xll.qlCalendarAdvance(Calendar,Y873,X874,"f",FALSE)</f>
        <v>45266</v>
      </c>
      <c r="Z874" s="115">
        <f>_xll.qlCalendarAdvance(Calendar,Y874,NDays&amp;"D")</f>
        <v>45266</v>
      </c>
      <c r="AA874" s="116">
        <v>3.7605124658962159E-2</v>
      </c>
      <c r="AB874" s="113">
        <v>3.7288840594800199E-2</v>
      </c>
    </row>
    <row r="875" spans="17:28" x14ac:dyDescent="0.2">
      <c r="Q875" s="72"/>
      <c r="T875" s="72"/>
      <c r="U875" s="93"/>
      <c r="X875" s="114" t="str">
        <f t="shared" si="26"/>
        <v>1w</v>
      </c>
      <c r="Y875" s="112">
        <f>_xll.qlCalendarAdvance(Calendar,Y874,X875,"f",FALSE)</f>
        <v>45273</v>
      </c>
      <c r="Z875" s="115">
        <f>_xll.qlCalendarAdvance(Calendar,Y875,NDays&amp;"D")</f>
        <v>45273</v>
      </c>
      <c r="AA875" s="116">
        <v>3.7627676621022559E-2</v>
      </c>
      <c r="AB875" s="113">
        <v>3.7310944371843346E-2</v>
      </c>
    </row>
    <row r="876" spans="17:28" x14ac:dyDescent="0.2">
      <c r="Q876" s="72"/>
      <c r="T876" s="72"/>
      <c r="U876" s="93"/>
      <c r="X876" s="114" t="str">
        <f t="shared" si="26"/>
        <v>1w</v>
      </c>
      <c r="Y876" s="112">
        <f>_xll.qlCalendarAdvance(Calendar,Y875,X876,"f",FALSE)</f>
        <v>45280</v>
      </c>
      <c r="Z876" s="115">
        <f>_xll.qlCalendarAdvance(Calendar,Y876,NDays&amp;"D")</f>
        <v>45280</v>
      </c>
      <c r="AA876" s="116">
        <v>3.7650266535176162E-2</v>
      </c>
      <c r="AB876" s="113">
        <v>3.7333085628820095E-2</v>
      </c>
    </row>
    <row r="877" spans="17:28" x14ac:dyDescent="0.2">
      <c r="Q877" s="72"/>
      <c r="T877" s="72"/>
      <c r="U877" s="93"/>
      <c r="X877" s="114" t="str">
        <f t="shared" si="26"/>
        <v>1w</v>
      </c>
      <c r="Y877" s="112">
        <f>_xll.qlCalendarAdvance(Calendar,Y876,X877,"f",FALSE)</f>
        <v>45287</v>
      </c>
      <c r="Z877" s="115">
        <f>_xll.qlCalendarAdvance(Calendar,Y877,NDays&amp;"D")</f>
        <v>45287</v>
      </c>
      <c r="AA877" s="116">
        <v>3.7672894402057094E-2</v>
      </c>
      <c r="AB877" s="113">
        <v>3.7355264365649399E-2</v>
      </c>
    </row>
    <row r="878" spans="17:28" x14ac:dyDescent="0.2">
      <c r="Q878" s="72"/>
      <c r="T878" s="72"/>
      <c r="U878" s="93"/>
      <c r="X878" s="114" t="str">
        <f t="shared" si="26"/>
        <v>1w</v>
      </c>
      <c r="Y878" s="112">
        <f>_xll.qlCalendarAdvance(Calendar,Y877,X878,"f",FALSE)</f>
        <v>45294</v>
      </c>
      <c r="Z878" s="115">
        <f>_xll.qlCalendarAdvance(Calendar,Y878,NDays&amp;"D")</f>
        <v>45294</v>
      </c>
      <c r="AA878" s="116">
        <v>3.7695560222300355E-2</v>
      </c>
      <c r="AB878" s="113">
        <v>3.7377480582331257E-2</v>
      </c>
    </row>
    <row r="879" spans="17:28" x14ac:dyDescent="0.2">
      <c r="Q879" s="72"/>
      <c r="T879" s="72"/>
      <c r="U879" s="93"/>
      <c r="X879" s="114" t="str">
        <f t="shared" si="26"/>
        <v>1w</v>
      </c>
      <c r="Y879" s="112">
        <f>_xll.qlCalendarAdvance(Calendar,Y878,X879,"f",FALSE)</f>
        <v>45301</v>
      </c>
      <c r="Z879" s="115">
        <f>_xll.qlCalendarAdvance(Calendar,Y879,NDays&amp;"D")</f>
        <v>45301</v>
      </c>
      <c r="AA879" s="116">
        <v>3.7718263996542739E-2</v>
      </c>
      <c r="AB879" s="113">
        <v>3.7399734278946717E-2</v>
      </c>
    </row>
    <row r="880" spans="17:28" x14ac:dyDescent="0.2">
      <c r="Q880" s="72"/>
      <c r="T880" s="72"/>
      <c r="U880" s="93"/>
      <c r="X880" s="114" t="str">
        <f t="shared" si="26"/>
        <v>1w</v>
      </c>
      <c r="Y880" s="112">
        <f>_xll.qlCalendarAdvance(Calendar,Y879,X880,"f",FALSE)</f>
        <v>45308</v>
      </c>
      <c r="Z880" s="115">
        <f>_xll.qlCalendarAdvance(Calendar,Y880,NDays&amp;"D")</f>
        <v>45308</v>
      </c>
      <c r="AA880" s="116">
        <v>3.7741005725420149E-2</v>
      </c>
      <c r="AB880" s="113">
        <v>3.7422025455414731E-2</v>
      </c>
    </row>
    <row r="881" spans="17:28" x14ac:dyDescent="0.2">
      <c r="Q881" s="72"/>
      <c r="T881" s="72"/>
      <c r="U881" s="93"/>
      <c r="X881" s="114" t="str">
        <f t="shared" si="26"/>
        <v>1w</v>
      </c>
      <c r="Y881" s="112">
        <f>_xll.qlCalendarAdvance(Calendar,Y880,X881,"f",FALSE)</f>
        <v>45315</v>
      </c>
      <c r="Z881" s="115">
        <f>_xll.qlCalendarAdvance(Calendar,Y881,NDays&amp;"D")</f>
        <v>45315</v>
      </c>
      <c r="AA881" s="116">
        <v>3.7763785409570275E-2</v>
      </c>
      <c r="AB881" s="113">
        <v>3.7444354111816347E-2</v>
      </c>
    </row>
    <row r="882" spans="17:28" x14ac:dyDescent="0.2">
      <c r="Q882" s="72"/>
      <c r="T882" s="72"/>
      <c r="U882" s="93"/>
      <c r="X882" s="114" t="str">
        <f t="shared" si="26"/>
        <v>1w</v>
      </c>
      <c r="Y882" s="112">
        <f>_xll.qlCalendarAdvance(Calendar,Y881,X882,"f",FALSE)</f>
        <v>45322</v>
      </c>
      <c r="Z882" s="115">
        <f>_xll.qlCalendarAdvance(Calendar,Y882,NDays&amp;"D")</f>
        <v>45322</v>
      </c>
      <c r="AA882" s="116">
        <v>3.778301655843809E-2</v>
      </c>
      <c r="AB882" s="113">
        <v>3.7466720248151564E-2</v>
      </c>
    </row>
    <row r="883" spans="17:28" x14ac:dyDescent="0.2">
      <c r="Q883" s="72"/>
      <c r="T883" s="72"/>
      <c r="U883" s="93"/>
      <c r="X883" s="114" t="str">
        <f t="shared" si="26"/>
        <v>1w</v>
      </c>
      <c r="Y883" s="112">
        <f>_xll.qlCalendarAdvance(Calendar,Y882,X883,"f",FALSE)</f>
        <v>45329</v>
      </c>
      <c r="Z883" s="115">
        <f>_xll.qlCalendarAdvance(Calendar,Y883,NDays&amp;"D")</f>
        <v>45329</v>
      </c>
      <c r="AA883" s="116">
        <v>3.7805867088563413E-2</v>
      </c>
      <c r="AB883" s="113">
        <v>3.7489123864420382E-2</v>
      </c>
    </row>
    <row r="884" spans="17:28" x14ac:dyDescent="0.2">
      <c r="Q884" s="72"/>
      <c r="T884" s="72"/>
      <c r="U884" s="93"/>
      <c r="X884" s="114" t="str">
        <f t="shared" si="26"/>
        <v>1w</v>
      </c>
      <c r="Y884" s="112">
        <f>_xll.qlCalendarAdvance(Calendar,Y883,X884,"f",FALSE)</f>
        <v>45336</v>
      </c>
      <c r="Z884" s="115">
        <f>_xll.qlCalendarAdvance(Calendar,Y884,NDays&amp;"D")</f>
        <v>45336</v>
      </c>
      <c r="AA884" s="116">
        <v>3.7828755570504399E-2</v>
      </c>
      <c r="AB884" s="113">
        <v>3.7511564960541754E-2</v>
      </c>
    </row>
    <row r="885" spans="17:28" x14ac:dyDescent="0.2">
      <c r="Q885" s="72"/>
      <c r="T885" s="72"/>
      <c r="U885" s="93"/>
      <c r="X885" s="114" t="str">
        <f t="shared" si="26"/>
        <v>1w</v>
      </c>
      <c r="Y885" s="112">
        <f>_xll.qlCalendarAdvance(Calendar,Y884,X885,"f",FALSE)</f>
        <v>45343</v>
      </c>
      <c r="Z885" s="115">
        <f>_xll.qlCalendarAdvance(Calendar,Y885,NDays&amp;"D")</f>
        <v>45343</v>
      </c>
      <c r="AA885" s="116">
        <v>3.785168200489681E-2</v>
      </c>
      <c r="AB885" s="113">
        <v>3.7534043536677775E-2</v>
      </c>
    </row>
    <row r="886" spans="17:28" x14ac:dyDescent="0.2">
      <c r="Q886" s="72"/>
      <c r="T886" s="72"/>
      <c r="U886" s="93"/>
      <c r="X886" s="114" t="str">
        <f t="shared" si="26"/>
        <v>1w</v>
      </c>
      <c r="Y886" s="112">
        <f>_xll.qlCalendarAdvance(Calendar,Y885,X886,"f",FALSE)</f>
        <v>45350</v>
      </c>
      <c r="Z886" s="115">
        <f>_xll.qlCalendarAdvance(Calendar,Y886,NDays&amp;"D")</f>
        <v>45350</v>
      </c>
      <c r="AA886" s="116">
        <v>3.7874646392375519E-2</v>
      </c>
      <c r="AB886" s="113">
        <v>3.7556559592828442E-2</v>
      </c>
    </row>
    <row r="887" spans="17:28" x14ac:dyDescent="0.2">
      <c r="Q887" s="72"/>
      <c r="T887" s="72"/>
      <c r="U887" s="93"/>
      <c r="X887" s="114" t="str">
        <f t="shared" si="26"/>
        <v>1w</v>
      </c>
      <c r="Y887" s="112">
        <f>_xll.qlCalendarAdvance(Calendar,Y886,X887,"f",FALSE)</f>
        <v>45357</v>
      </c>
      <c r="Z887" s="115">
        <f>_xll.qlCalendarAdvance(Calendar,Y887,NDays&amp;"D")</f>
        <v>45357</v>
      </c>
      <c r="AA887" s="116">
        <v>3.7904873223062324E-2</v>
      </c>
      <c r="AB887" s="113">
        <v>3.7579113128831665E-2</v>
      </c>
    </row>
    <row r="888" spans="17:28" x14ac:dyDescent="0.2">
      <c r="Q888" s="72"/>
      <c r="T888" s="72"/>
      <c r="U888" s="93"/>
      <c r="X888" s="114" t="str">
        <f t="shared" si="26"/>
        <v>1w</v>
      </c>
      <c r="Y888" s="112">
        <f>_xll.qlCalendarAdvance(Calendar,Y887,X888,"f",FALSE)</f>
        <v>45364</v>
      </c>
      <c r="Z888" s="115">
        <f>_xll.qlCalendarAdvance(Calendar,Y888,NDays&amp;"D")</f>
        <v>45364</v>
      </c>
      <c r="AA888" s="116">
        <v>3.7927923706561034E-2</v>
      </c>
      <c r="AB888" s="113">
        <v>3.7601704144768489E-2</v>
      </c>
    </row>
    <row r="889" spans="17:28" x14ac:dyDescent="0.2">
      <c r="Q889" s="72"/>
      <c r="T889" s="72"/>
      <c r="U889" s="93"/>
      <c r="X889" s="114" t="str">
        <f t="shared" si="26"/>
        <v>1w</v>
      </c>
      <c r="Y889" s="112">
        <f>_xll.qlCalendarAdvance(Calendar,Y888,X889,"f",FALSE)</f>
        <v>45371</v>
      </c>
      <c r="Z889" s="115">
        <f>_xll.qlCalendarAdvance(Calendar,Y889,NDays&amp;"D")</f>
        <v>45371</v>
      </c>
      <c r="AA889" s="116">
        <v>3.7951012155892222E-2</v>
      </c>
      <c r="AB889" s="113">
        <v>3.7624332640801006E-2</v>
      </c>
    </row>
    <row r="890" spans="17:28" x14ac:dyDescent="0.2">
      <c r="Q890" s="72"/>
      <c r="T890" s="72"/>
      <c r="U890" s="93"/>
      <c r="X890" s="114" t="str">
        <f t="shared" si="26"/>
        <v>1w</v>
      </c>
      <c r="Y890" s="112">
        <f>_xll.qlCalendarAdvance(Calendar,Y889,X890,"f",FALSE)</f>
        <v>45378</v>
      </c>
      <c r="Z890" s="115">
        <f>_xll.qlCalendarAdvance(Calendar,Y890,NDays&amp;"D")</f>
        <v>45378</v>
      </c>
      <c r="AA890" s="116">
        <v>3.7974138571712196E-2</v>
      </c>
      <c r="AB890" s="113">
        <v>3.7646998616686078E-2</v>
      </c>
    </row>
    <row r="891" spans="17:28" x14ac:dyDescent="0.2">
      <c r="Q891" s="72"/>
      <c r="T891" s="72"/>
      <c r="U891" s="93"/>
      <c r="X891" s="114" t="str">
        <f t="shared" si="26"/>
        <v>1w</v>
      </c>
      <c r="Y891" s="112">
        <f>_xll.qlCalendarAdvance(Calendar,Y890,X891,"f",FALSE)</f>
        <v>45385</v>
      </c>
      <c r="Z891" s="115">
        <f>_xll.qlCalendarAdvance(Calendar,Y891,NDays&amp;"D")</f>
        <v>45385</v>
      </c>
      <c r="AA891" s="116">
        <v>3.7993669932279879E-2</v>
      </c>
      <c r="AB891" s="113">
        <v>3.7669702072585798E-2</v>
      </c>
    </row>
    <row r="892" spans="17:28" x14ac:dyDescent="0.2">
      <c r="Q892" s="72"/>
      <c r="T892" s="72"/>
      <c r="U892" s="93"/>
      <c r="X892" s="114" t="str">
        <f t="shared" si="26"/>
        <v>1w</v>
      </c>
      <c r="Y892" s="112">
        <f>_xll.qlCalendarAdvance(Calendar,Y891,X892,"f",FALSE)</f>
        <v>45392</v>
      </c>
      <c r="Z892" s="115">
        <f>_xll.qlCalendarAdvance(Calendar,Y892,NDays&amp;"D")</f>
        <v>45392</v>
      </c>
      <c r="AA892" s="116">
        <v>3.8016867166861548E-2</v>
      </c>
      <c r="AB892" s="113">
        <v>3.7692443008419119E-2</v>
      </c>
    </row>
    <row r="893" spans="17:28" x14ac:dyDescent="0.2">
      <c r="Q893" s="72"/>
      <c r="T893" s="72"/>
      <c r="U893" s="93"/>
      <c r="X893" s="114" t="str">
        <f t="shared" si="26"/>
        <v>1w</v>
      </c>
      <c r="Y893" s="112">
        <f>_xll.qlCalendarAdvance(Calendar,Y892,X893,"f",FALSE)</f>
        <v>45399</v>
      </c>
      <c r="Z893" s="115">
        <f>_xll.qlCalendarAdvance(Calendar,Y893,NDays&amp;"D")</f>
        <v>45399</v>
      </c>
      <c r="AA893" s="116">
        <v>3.804010236445985E-2</v>
      </c>
      <c r="AB893" s="113">
        <v>3.7715221424267087E-2</v>
      </c>
    </row>
    <row r="894" spans="17:28" x14ac:dyDescent="0.2">
      <c r="Q894" s="72"/>
      <c r="T894" s="72"/>
      <c r="U894" s="93"/>
      <c r="X894" s="114" t="str">
        <f t="shared" si="26"/>
        <v>1w</v>
      </c>
      <c r="Y894" s="112">
        <f>_xll.qlCalendarAdvance(Calendar,Y893,X894,"f",FALSE)</f>
        <v>45406</v>
      </c>
      <c r="Z894" s="115">
        <f>_xll.qlCalendarAdvance(Calendar,Y894,NDays&amp;"D")</f>
        <v>45406</v>
      </c>
      <c r="AA894" s="116">
        <v>3.8063375525724058E-2</v>
      </c>
      <c r="AB894" s="113">
        <v>3.7741619628876011E-2</v>
      </c>
    </row>
    <row r="895" spans="17:28" x14ac:dyDescent="0.2">
      <c r="Q895" s="72"/>
      <c r="T895" s="72"/>
      <c r="U895" s="93"/>
      <c r="X895" s="114" t="str">
        <f t="shared" si="26"/>
        <v>1w</v>
      </c>
      <c r="Y895" s="112">
        <f>_xll.qlCalendarAdvance(Calendar,Y894,X895,"f",FALSE)</f>
        <v>45413</v>
      </c>
      <c r="Z895" s="115">
        <f>_xll.qlCalendarAdvance(Calendar,Y895,NDays&amp;"D")</f>
        <v>45413</v>
      </c>
      <c r="AA895" s="116">
        <v>3.8090340171145945E-2</v>
      </c>
      <c r="AB895" s="113">
        <v>3.7760890696088012E-2</v>
      </c>
    </row>
    <row r="896" spans="17:28" x14ac:dyDescent="0.2">
      <c r="Q896" s="72"/>
      <c r="T896" s="72"/>
      <c r="U896" s="93"/>
      <c r="X896" s="114" t="str">
        <f t="shared" si="26"/>
        <v>1w</v>
      </c>
      <c r="Y896" s="112">
        <f>_xll.qlCalendarAdvance(Calendar,Y895,X896,"f",FALSE)</f>
        <v>45420</v>
      </c>
      <c r="Z896" s="115">
        <f>_xll.qlCalendarAdvance(Calendar,Y896,NDays&amp;"D")</f>
        <v>45420</v>
      </c>
      <c r="AA896" s="116">
        <v>3.811369439971523E-2</v>
      </c>
      <c r="AB896" s="113">
        <v>3.7783781551979922E-2</v>
      </c>
    </row>
    <row r="897" spans="17:28" x14ac:dyDescent="0.2">
      <c r="Q897" s="72"/>
      <c r="T897" s="72"/>
      <c r="U897" s="93"/>
      <c r="X897" s="114" t="str">
        <f t="shared" si="26"/>
        <v>1w</v>
      </c>
      <c r="Y897" s="112">
        <f>_xll.qlCalendarAdvance(Calendar,Y896,X897,"f",FALSE)</f>
        <v>45427</v>
      </c>
      <c r="Z897" s="115">
        <f>_xll.qlCalendarAdvance(Calendar,Y897,NDays&amp;"D")</f>
        <v>45427</v>
      </c>
      <c r="AA897" s="116">
        <v>3.8137086599387651E-2</v>
      </c>
      <c r="AB897" s="113">
        <v>3.780670988788648E-2</v>
      </c>
    </row>
    <row r="898" spans="17:28" x14ac:dyDescent="0.2">
      <c r="Q898" s="72"/>
      <c r="T898" s="72"/>
      <c r="U898" s="93"/>
      <c r="X898" s="114" t="str">
        <f t="shared" si="26"/>
        <v>1w</v>
      </c>
      <c r="Y898" s="112">
        <f>_xll.qlCalendarAdvance(Calendar,Y897,X898,"f",FALSE)</f>
        <v>45434</v>
      </c>
      <c r="Z898" s="115">
        <f>_xll.qlCalendarAdvance(Calendar,Y898,NDays&amp;"D")</f>
        <v>45434</v>
      </c>
      <c r="AA898" s="116">
        <v>3.8160516770829198E-2</v>
      </c>
      <c r="AB898" s="113">
        <v>3.7829675703888732E-2</v>
      </c>
    </row>
    <row r="899" spans="17:28" x14ac:dyDescent="0.2">
      <c r="Q899" s="72"/>
      <c r="T899" s="72"/>
      <c r="U899" s="93"/>
      <c r="X899" s="114" t="str">
        <f t="shared" si="26"/>
        <v>1w</v>
      </c>
      <c r="Y899" s="112">
        <f>_xll.qlCalendarAdvance(Calendar,Y898,X899,"f",FALSE)</f>
        <v>45441</v>
      </c>
      <c r="Z899" s="115">
        <f>_xll.qlCalendarAdvance(Calendar,Y899,NDays&amp;"D")</f>
        <v>45441</v>
      </c>
      <c r="AA899" s="116">
        <v>3.8183984914702332E-2</v>
      </c>
      <c r="AB899" s="113">
        <v>3.7852678999905631E-2</v>
      </c>
    </row>
    <row r="900" spans="17:28" x14ac:dyDescent="0.2">
      <c r="Q900" s="72"/>
      <c r="T900" s="72"/>
      <c r="U900" s="93"/>
      <c r="X900" s="114" t="str">
        <f t="shared" si="26"/>
        <v>1w</v>
      </c>
      <c r="Y900" s="112">
        <f>_xll.qlCalendarAdvance(Calendar,Y899,X900,"f",FALSE)</f>
        <v>45448</v>
      </c>
      <c r="Z900" s="115">
        <f>_xll.qlCalendarAdvance(Calendar,Y900,NDays&amp;"D")</f>
        <v>45448</v>
      </c>
      <c r="AA900" s="116">
        <v>3.8207491031673924E-2</v>
      </c>
      <c r="AB900" s="113">
        <v>3.7875719775937178E-2</v>
      </c>
    </row>
    <row r="901" spans="17:28" x14ac:dyDescent="0.2">
      <c r="Q901" s="72"/>
      <c r="T901" s="72"/>
      <c r="U901" s="93"/>
      <c r="X901" s="114" t="str">
        <f t="shared" si="26"/>
        <v>1w</v>
      </c>
      <c r="Y901" s="112">
        <f>_xll.qlCalendarAdvance(Calendar,Y900,X901,"f",FALSE)</f>
        <v>45455</v>
      </c>
      <c r="Z901" s="115">
        <f>_xll.qlCalendarAdvance(Calendar,Y901,NDays&amp;"D")</f>
        <v>45455</v>
      </c>
      <c r="AA901" s="116">
        <v>3.8231035122410842E-2</v>
      </c>
      <c r="AB901" s="113">
        <v>3.7898798032064418E-2</v>
      </c>
    </row>
    <row r="902" spans="17:28" x14ac:dyDescent="0.2">
      <c r="Q902" s="72"/>
      <c r="T902" s="72"/>
      <c r="U902" s="93"/>
      <c r="X902" s="114" t="str">
        <f t="shared" si="26"/>
        <v>1w</v>
      </c>
      <c r="Y902" s="112">
        <f>_xll.qlCalendarAdvance(Calendar,Y901,X902,"f",FALSE)</f>
        <v>45462</v>
      </c>
      <c r="Z902" s="115">
        <f>_xll.qlCalendarAdvance(Calendar,Y902,NDays&amp;"D")</f>
        <v>45462</v>
      </c>
      <c r="AA902" s="116">
        <v>3.8254617187581719E-2</v>
      </c>
      <c r="AB902" s="113">
        <v>3.7921913768125259E-2</v>
      </c>
    </row>
    <row r="903" spans="17:28" x14ac:dyDescent="0.2">
      <c r="Q903" s="72"/>
      <c r="T903" s="72"/>
      <c r="U903" s="93"/>
      <c r="X903" s="114" t="str">
        <f t="shared" si="26"/>
        <v>1w</v>
      </c>
      <c r="Y903" s="112">
        <f>_xll.qlCalendarAdvance(Calendar,Y902,X903,"f",FALSE)</f>
        <v>45469</v>
      </c>
      <c r="Z903" s="115">
        <f>_xll.qlCalendarAdvance(Calendar,Y903,NDays&amp;"D")</f>
        <v>45469</v>
      </c>
      <c r="AA903" s="116">
        <v>3.8278237227854311E-2</v>
      </c>
      <c r="AB903" s="113">
        <v>3.7945066984362841E-2</v>
      </c>
    </row>
    <row r="904" spans="17:28" x14ac:dyDescent="0.2">
      <c r="Q904" s="72"/>
      <c r="T904" s="72"/>
      <c r="U904" s="93"/>
      <c r="X904" s="114" t="str">
        <f t="shared" si="26"/>
        <v>1w</v>
      </c>
      <c r="Y904" s="112">
        <f>_xll.qlCalendarAdvance(Calendar,Y903,X904,"f",FALSE)</f>
        <v>45476</v>
      </c>
      <c r="Z904" s="115">
        <f>_xll.qlCalendarAdvance(Calendar,Y904,NDays&amp;"D")</f>
        <v>45476</v>
      </c>
      <c r="AA904" s="116">
        <v>3.8301895243899882E-2</v>
      </c>
      <c r="AB904" s="113">
        <v>3.796825768061507E-2</v>
      </c>
    </row>
    <row r="905" spans="17:28" x14ac:dyDescent="0.2">
      <c r="Q905" s="72"/>
      <c r="T905" s="72"/>
      <c r="U905" s="93"/>
      <c r="X905" s="114" t="str">
        <f t="shared" si="26"/>
        <v>1w</v>
      </c>
      <c r="Y905" s="112">
        <f>_xll.qlCalendarAdvance(Calendar,Y904,X905,"f",FALSE)</f>
        <v>45483</v>
      </c>
      <c r="Z905" s="115">
        <f>_xll.qlCalendarAdvance(Calendar,Y905,NDays&amp;"D")</f>
        <v>45483</v>
      </c>
      <c r="AA905" s="116">
        <v>3.8325591236388838E-2</v>
      </c>
      <c r="AB905" s="113">
        <v>3.7991485856962992E-2</v>
      </c>
    </row>
    <row r="906" spans="17:28" x14ac:dyDescent="0.2">
      <c r="Q906" s="72"/>
      <c r="T906" s="72"/>
      <c r="U906" s="93"/>
      <c r="X906" s="114" t="str">
        <f t="shared" si="26"/>
        <v>1w</v>
      </c>
      <c r="Y906" s="112">
        <f>_xll.qlCalendarAdvance(Calendar,Y905,X906,"f",FALSE)</f>
        <v>45490</v>
      </c>
      <c r="Z906" s="115">
        <f>_xll.qlCalendarAdvance(Calendar,Y906,NDays&amp;"D")</f>
        <v>45490</v>
      </c>
      <c r="AA906" s="116">
        <v>3.8349325205993323E-2</v>
      </c>
      <c r="AB906" s="113">
        <v>3.8014751513406608E-2</v>
      </c>
    </row>
    <row r="907" spans="17:28" x14ac:dyDescent="0.2">
      <c r="Q907" s="72"/>
      <c r="T907" s="72"/>
      <c r="U907" s="93"/>
      <c r="X907" s="114" t="str">
        <f t="shared" si="26"/>
        <v>1w</v>
      </c>
      <c r="Y907" s="112">
        <f>_xll.qlCalendarAdvance(Calendar,Y906,X907,"f",FALSE)</f>
        <v>45497</v>
      </c>
      <c r="Z907" s="115">
        <f>_xll.qlCalendarAdvance(Calendar,Y907,NDays&amp;"D")</f>
        <v>45497</v>
      </c>
      <c r="AA907" s="116">
        <v>3.8373097153388144E-2</v>
      </c>
      <c r="AB907" s="113">
        <v>3.8038054649945918E-2</v>
      </c>
    </row>
    <row r="908" spans="17:28" x14ac:dyDescent="0.2">
      <c r="Q908" s="72"/>
      <c r="T908" s="72"/>
      <c r="U908" s="93"/>
      <c r="X908" s="114" t="str">
        <f t="shared" si="26"/>
        <v>1w</v>
      </c>
      <c r="Y908" s="112">
        <f>_xll.qlCalendarAdvance(Calendar,Y907,X908,"f",FALSE)</f>
        <v>45504</v>
      </c>
      <c r="Z908" s="115">
        <f>_xll.qlCalendarAdvance(Calendar,Y908,NDays&amp;"D")</f>
        <v>45504</v>
      </c>
      <c r="AA908" s="116">
        <v>3.8396907079247214E-2</v>
      </c>
      <c r="AB908" s="113">
        <v>3.8061395266661968E-2</v>
      </c>
    </row>
    <row r="909" spans="17:28" x14ac:dyDescent="0.2">
      <c r="Q909" s="72"/>
      <c r="T909" s="72"/>
      <c r="U909" s="93"/>
      <c r="X909" s="114" t="str">
        <f t="shared" si="26"/>
        <v>1w</v>
      </c>
      <c r="Y909" s="112">
        <f>_xll.qlCalendarAdvance(Calendar,Y908,X909,"f",FALSE)</f>
        <v>45511</v>
      </c>
      <c r="Z909" s="115">
        <f>_xll.qlCalendarAdvance(Calendar,Y909,NDays&amp;"D")</f>
        <v>45511</v>
      </c>
      <c r="AA909" s="116">
        <v>3.8420754984244458E-2</v>
      </c>
      <c r="AB909" s="113">
        <v>3.8084773363473712E-2</v>
      </c>
    </row>
    <row r="910" spans="17:28" x14ac:dyDescent="0.2">
      <c r="Q910" s="72"/>
      <c r="T910" s="72"/>
      <c r="U910" s="93"/>
      <c r="X910" s="114" t="str">
        <f t="shared" si="26"/>
        <v>1w</v>
      </c>
      <c r="Y910" s="112">
        <f>_xll.qlCalendarAdvance(Calendar,Y909,X910,"f",FALSE)</f>
        <v>45518</v>
      </c>
      <c r="Z910" s="115">
        <f>_xll.qlCalendarAdvance(Calendar,Y910,NDays&amp;"D")</f>
        <v>45518</v>
      </c>
      <c r="AA910" s="116">
        <v>3.8444640869058182E-2</v>
      </c>
      <c r="AB910" s="113">
        <v>3.8108188940300103E-2</v>
      </c>
    </row>
    <row r="911" spans="17:28" x14ac:dyDescent="0.2">
      <c r="Q911" s="72"/>
      <c r="T911" s="72"/>
      <c r="U911" s="93"/>
      <c r="X911" s="114" t="str">
        <f t="shared" si="26"/>
        <v>1w</v>
      </c>
      <c r="Y911" s="112">
        <f>_xll.qlCalendarAdvance(Calendar,Y910,X911,"f",FALSE)</f>
        <v>45525</v>
      </c>
      <c r="Z911" s="115">
        <f>_xll.qlCalendarAdvance(Calendar,Y911,NDays&amp;"D")</f>
        <v>45525</v>
      </c>
      <c r="AA911" s="116">
        <v>3.8468564734364961E-2</v>
      </c>
      <c r="AB911" s="113">
        <v>3.8131641997303234E-2</v>
      </c>
    </row>
    <row r="912" spans="17:28" x14ac:dyDescent="0.2">
      <c r="Q912" s="72"/>
      <c r="T912" s="72"/>
      <c r="U912" s="93"/>
      <c r="X912" s="114" t="str">
        <f t="shared" si="26"/>
        <v>1w</v>
      </c>
      <c r="Y912" s="112">
        <f>_xll.qlCalendarAdvance(Calendar,Y911,X912,"f",FALSE)</f>
        <v>45532</v>
      </c>
      <c r="Z912" s="115">
        <f>_xll.qlCalendarAdvance(Calendar,Y912,NDays&amp;"D")</f>
        <v>45532</v>
      </c>
      <c r="AA912" s="116">
        <v>3.8492526580844871E-2</v>
      </c>
      <c r="AB912" s="113">
        <v>3.8155132534321012E-2</v>
      </c>
    </row>
    <row r="913" spans="17:28" x14ac:dyDescent="0.2">
      <c r="Q913" s="72"/>
      <c r="T913" s="72"/>
      <c r="U913" s="93"/>
      <c r="X913" s="114" t="str">
        <f t="shared" si="26"/>
        <v>1w</v>
      </c>
      <c r="Y913" s="112">
        <f>_xll.qlCalendarAdvance(Calendar,Y912,X913,"f",FALSE)</f>
        <v>45539</v>
      </c>
      <c r="Z913" s="115">
        <f>_xll.qlCalendarAdvance(Calendar,Y913,NDays&amp;"D")</f>
        <v>45539</v>
      </c>
      <c r="AA913" s="116">
        <v>3.8512779561400555E-2</v>
      </c>
      <c r="AB913" s="113">
        <v>3.8178660551596577E-2</v>
      </c>
    </row>
    <row r="914" spans="17:28" x14ac:dyDescent="0.2">
      <c r="Q914" s="72"/>
      <c r="T914" s="72"/>
      <c r="U914" s="93"/>
      <c r="X914" s="114" t="str">
        <f t="shared" si="26"/>
        <v>1w</v>
      </c>
      <c r="Y914" s="112">
        <f>_xll.qlCalendarAdvance(Calendar,Y913,X914,"f",FALSE)</f>
        <v>45546</v>
      </c>
      <c r="Z914" s="115">
        <f>_xll.qlCalendarAdvance(Calendar,Y914,NDays&amp;"D")</f>
        <v>45546</v>
      </c>
      <c r="AA914" s="116">
        <v>3.8536812134567416E-2</v>
      </c>
      <c r="AB914" s="113">
        <v>3.8202226049048882E-2</v>
      </c>
    </row>
    <row r="915" spans="17:28" x14ac:dyDescent="0.2">
      <c r="Q915" s="72"/>
      <c r="T915" s="72"/>
      <c r="U915" s="93"/>
      <c r="X915" s="114" t="str">
        <f t="shared" si="26"/>
        <v>1w</v>
      </c>
      <c r="Y915" s="112">
        <f>_xll.qlCalendarAdvance(Calendar,Y914,X915,"f",FALSE)</f>
        <v>45553</v>
      </c>
      <c r="Z915" s="115">
        <f>_xll.qlCalendarAdvance(Calendar,Y915,NDays&amp;"D")</f>
        <v>45553</v>
      </c>
      <c r="AA915" s="116">
        <v>3.8560882685339241E-2</v>
      </c>
      <c r="AB915" s="113">
        <v>3.822582902659688E-2</v>
      </c>
    </row>
    <row r="916" spans="17:28" x14ac:dyDescent="0.2">
      <c r="Q916" s="72"/>
      <c r="T916" s="72"/>
      <c r="U916" s="93"/>
      <c r="X916" s="114" t="str">
        <f t="shared" si="26"/>
        <v>1w</v>
      </c>
      <c r="Y916" s="112">
        <f>_xll.qlCalendarAdvance(Calendar,Y915,X916,"f",FALSE)</f>
        <v>45560</v>
      </c>
      <c r="Z916" s="115">
        <f>_xll.qlCalendarAdvance(Calendar,Y916,NDays&amp;"D")</f>
        <v>45560</v>
      </c>
      <c r="AA916" s="116">
        <v>3.8592517134671121E-2</v>
      </c>
      <c r="AB916" s="113">
        <v>3.8249469484321619E-2</v>
      </c>
    </row>
    <row r="917" spans="17:28" x14ac:dyDescent="0.2">
      <c r="Q917" s="72"/>
      <c r="T917" s="72"/>
      <c r="U917" s="93"/>
      <c r="X917" s="114" t="str">
        <f t="shared" ref="X917:X980" si="27">X916</f>
        <v>1w</v>
      </c>
      <c r="Y917" s="112">
        <f>_xll.qlCalendarAdvance(Calendar,Y916,X917,"f",FALSE)</f>
        <v>45567</v>
      </c>
      <c r="Z917" s="115">
        <f>_xll.qlCalendarAdvance(Calendar,Y917,NDays&amp;"D")</f>
        <v>45567</v>
      </c>
      <c r="AA917" s="116">
        <v>3.8612905554667294E-2</v>
      </c>
      <c r="AB917" s="113">
        <v>3.8273147422223097E-2</v>
      </c>
    </row>
    <row r="918" spans="17:28" x14ac:dyDescent="0.2">
      <c r="Q918" s="72"/>
      <c r="T918" s="72"/>
      <c r="U918" s="93"/>
      <c r="X918" s="114" t="str">
        <f t="shared" si="27"/>
        <v>1w</v>
      </c>
      <c r="Y918" s="112">
        <f>_xll.qlCalendarAdvance(Calendar,Y917,X918,"f",FALSE)</f>
        <v>45574</v>
      </c>
      <c r="Z918" s="115">
        <f>_xll.qlCalendarAdvance(Calendar,Y918,NDays&amp;"D")</f>
        <v>45574</v>
      </c>
      <c r="AA918" s="116">
        <v>3.8637095302496843E-2</v>
      </c>
      <c r="AB918" s="113">
        <v>3.8296862840220269E-2</v>
      </c>
    </row>
    <row r="919" spans="17:28" x14ac:dyDescent="0.2">
      <c r="Q919" s="72"/>
      <c r="T919" s="72"/>
      <c r="U919" s="93"/>
      <c r="X919" s="114" t="str">
        <f t="shared" si="27"/>
        <v>1w</v>
      </c>
      <c r="Y919" s="112">
        <f>_xll.qlCalendarAdvance(Calendar,Y918,X919,"f",FALSE)</f>
        <v>45581</v>
      </c>
      <c r="Z919" s="115">
        <f>_xll.qlCalendarAdvance(Calendar,Y919,NDays&amp;"D")</f>
        <v>45581</v>
      </c>
      <c r="AA919" s="116">
        <v>3.866132303628126E-2</v>
      </c>
      <c r="AB919" s="113">
        <v>3.8320615738475228E-2</v>
      </c>
    </row>
    <row r="920" spans="17:28" x14ac:dyDescent="0.2">
      <c r="Q920" s="72"/>
      <c r="T920" s="72"/>
      <c r="U920" s="93"/>
      <c r="X920" s="114" t="str">
        <f t="shared" si="27"/>
        <v>1w</v>
      </c>
      <c r="Y920" s="112">
        <f>_xll.qlCalendarAdvance(Calendar,Y919,X920,"f",FALSE)</f>
        <v>45588</v>
      </c>
      <c r="Z920" s="115">
        <f>_xll.qlCalendarAdvance(Calendar,Y920,NDays&amp;"D")</f>
        <v>45588</v>
      </c>
      <c r="AA920" s="116">
        <v>3.8685588756707676E-2</v>
      </c>
      <c r="AB920" s="113">
        <v>3.834440611682588E-2</v>
      </c>
    </row>
    <row r="921" spans="17:28" x14ac:dyDescent="0.2">
      <c r="Q921" s="72"/>
      <c r="T921" s="72"/>
      <c r="U921" s="93"/>
      <c r="X921" s="114" t="str">
        <f t="shared" si="27"/>
        <v>1w</v>
      </c>
      <c r="Y921" s="112">
        <f>_xll.qlCalendarAdvance(Calendar,Y920,X921,"f",FALSE)</f>
        <v>45595</v>
      </c>
      <c r="Z921" s="115">
        <f>_xll.qlCalendarAdvance(Calendar,Y921,NDays&amp;"D")</f>
        <v>45595</v>
      </c>
      <c r="AA921" s="116">
        <v>3.8709892464464102E-2</v>
      </c>
      <c r="AB921" s="113">
        <v>3.8368233975515365E-2</v>
      </c>
    </row>
    <row r="922" spans="17:28" x14ac:dyDescent="0.2">
      <c r="Q922" s="72"/>
      <c r="T922" s="72"/>
      <c r="U922" s="93"/>
      <c r="X922" s="114" t="str">
        <f t="shared" si="27"/>
        <v>1w</v>
      </c>
      <c r="Y922" s="112">
        <f>_xll.qlCalendarAdvance(Calendar,Y921,X922,"f",FALSE)</f>
        <v>45602</v>
      </c>
      <c r="Z922" s="115">
        <f>_xll.qlCalendarAdvance(Calendar,Y922,NDays&amp;"D")</f>
        <v>45602</v>
      </c>
      <c r="AA922" s="116">
        <v>3.8734234160240306E-2</v>
      </c>
      <c r="AB922" s="113">
        <v>3.8392099314300543E-2</v>
      </c>
    </row>
    <row r="923" spans="17:28" x14ac:dyDescent="0.2">
      <c r="Q923" s="72"/>
      <c r="T923" s="72"/>
      <c r="U923" s="93"/>
      <c r="X923" s="114" t="str">
        <f t="shared" si="27"/>
        <v>1w</v>
      </c>
      <c r="Y923" s="112">
        <f>_xll.qlCalendarAdvance(Calendar,Y922,X923,"f",FALSE)</f>
        <v>45609</v>
      </c>
      <c r="Z923" s="115">
        <f>_xll.qlCalendarAdvance(Calendar,Y923,NDays&amp;"D")</f>
        <v>45609</v>
      </c>
      <c r="AA923" s="116">
        <v>3.8758613844726945E-2</v>
      </c>
      <c r="AB923" s="113">
        <v>3.8416002133343508E-2</v>
      </c>
    </row>
    <row r="924" spans="17:28" x14ac:dyDescent="0.2">
      <c r="Q924" s="72"/>
      <c r="T924" s="72"/>
      <c r="U924" s="93"/>
      <c r="X924" s="114" t="str">
        <f t="shared" si="27"/>
        <v>1w</v>
      </c>
      <c r="Y924" s="112">
        <f>_xll.qlCalendarAdvance(Calendar,Y923,X924,"f",FALSE)</f>
        <v>45616</v>
      </c>
      <c r="Z924" s="115">
        <f>_xll.qlCalendarAdvance(Calendar,Y924,NDays&amp;"D")</f>
        <v>45616</v>
      </c>
      <c r="AA924" s="116">
        <v>3.8783031518616444E-2</v>
      </c>
      <c r="AB924" s="113">
        <v>3.8439942432482166E-2</v>
      </c>
    </row>
    <row r="925" spans="17:28" x14ac:dyDescent="0.2">
      <c r="Q925" s="72"/>
      <c r="T925" s="72"/>
      <c r="U925" s="93"/>
      <c r="X925" s="114" t="str">
        <f t="shared" si="27"/>
        <v>1w</v>
      </c>
      <c r="Y925" s="112">
        <f>_xll.qlCalendarAdvance(Calendar,Y924,X925,"f",FALSE)</f>
        <v>45623</v>
      </c>
      <c r="Z925" s="115">
        <f>_xll.qlCalendarAdvance(Calendar,Y925,NDays&amp;"D")</f>
        <v>45623</v>
      </c>
      <c r="AA925" s="116">
        <v>3.8807487182600332E-2</v>
      </c>
      <c r="AB925" s="113">
        <v>3.8463920212040703E-2</v>
      </c>
    </row>
    <row r="926" spans="17:28" x14ac:dyDescent="0.2">
      <c r="Q926" s="72"/>
      <c r="T926" s="72"/>
      <c r="U926" s="93"/>
      <c r="X926" s="114" t="str">
        <f t="shared" si="27"/>
        <v>1w</v>
      </c>
      <c r="Y926" s="112">
        <f>_xll.qlCalendarAdvance(Calendar,Y925,X926,"f",FALSE)</f>
        <v>45630</v>
      </c>
      <c r="Z926" s="115">
        <f>_xll.qlCalendarAdvance(Calendar,Y926,NDays&amp;"D")</f>
        <v>45630</v>
      </c>
      <c r="AA926" s="116">
        <v>3.8824350857641958E-2</v>
      </c>
      <c r="AB926" s="113">
        <v>3.8487935471694934E-2</v>
      </c>
    </row>
    <row r="927" spans="17:28" x14ac:dyDescent="0.2">
      <c r="Q927" s="72"/>
      <c r="T927" s="72"/>
      <c r="U927" s="93"/>
      <c r="X927" s="114" t="str">
        <f t="shared" si="27"/>
        <v>1w</v>
      </c>
      <c r="Y927" s="112">
        <f>_xll.qlCalendarAdvance(Calendar,Y926,X927,"f",FALSE)</f>
        <v>45637</v>
      </c>
      <c r="Z927" s="115">
        <f>_xll.qlCalendarAdvance(Calendar,Y927,NDays&amp;"D")</f>
        <v>45637</v>
      </c>
      <c r="AA927" s="116">
        <v>3.8848871882550193E-2</v>
      </c>
      <c r="AB927" s="113">
        <v>3.8511988211687997E-2</v>
      </c>
    </row>
    <row r="928" spans="17:28" x14ac:dyDescent="0.2">
      <c r="Q928" s="72"/>
      <c r="T928" s="72"/>
      <c r="U928" s="93"/>
      <c r="X928" s="114" t="str">
        <f t="shared" si="27"/>
        <v>1w</v>
      </c>
      <c r="Y928" s="112">
        <f>_xll.qlCalendarAdvance(Calendar,Y927,X928,"f",FALSE)</f>
        <v>45644</v>
      </c>
      <c r="Z928" s="115">
        <f>_xll.qlCalendarAdvance(Calendar,Y928,NDays&amp;"D")</f>
        <v>45644</v>
      </c>
      <c r="AA928" s="116">
        <v>3.8873430888222017E-2</v>
      </c>
      <c r="AB928" s="113">
        <v>3.8536078431857801E-2</v>
      </c>
    </row>
    <row r="929" spans="17:28" x14ac:dyDescent="0.2">
      <c r="Q929" s="72"/>
      <c r="T929" s="72"/>
      <c r="U929" s="93"/>
      <c r="X929" s="114" t="str">
        <f t="shared" si="27"/>
        <v>1w</v>
      </c>
      <c r="Y929" s="112">
        <f>_xll.qlCalendarAdvance(Calendar,Y928,X929,"f",FALSE)</f>
        <v>45653</v>
      </c>
      <c r="Z929" s="115">
        <f>_xll.qlCalendarAdvance(Calendar,Y929,NDays&amp;"D")</f>
        <v>45653</v>
      </c>
      <c r="AA929" s="116">
        <v>3.890506256222416E-2</v>
      </c>
      <c r="AB929" s="113">
        <v>3.8574634304842099E-2</v>
      </c>
    </row>
    <row r="930" spans="17:28" x14ac:dyDescent="0.2">
      <c r="Q930" s="72"/>
      <c r="T930" s="72"/>
      <c r="U930" s="93"/>
      <c r="X930" s="114" t="str">
        <f t="shared" si="27"/>
        <v>1w</v>
      </c>
      <c r="Y930" s="112">
        <f>_xll.qlCalendarAdvance(Calendar,Y929,X930,"f",FALSE)</f>
        <v>45660</v>
      </c>
      <c r="Z930" s="115">
        <f>_xll.qlCalendarAdvance(Calendar,Y930,NDays&amp;"D")</f>
        <v>45660</v>
      </c>
      <c r="AA930" s="116">
        <v>3.8929708383631884E-2</v>
      </c>
      <c r="AB930" s="113">
        <v>3.8598820660975537E-2</v>
      </c>
    </row>
    <row r="931" spans="17:28" x14ac:dyDescent="0.2">
      <c r="Q931" s="72"/>
      <c r="T931" s="72"/>
      <c r="U931" s="93"/>
      <c r="X931" s="114" t="str">
        <f t="shared" si="27"/>
        <v>1w</v>
      </c>
      <c r="Y931" s="112">
        <f>_xll.qlCalendarAdvance(Calendar,Y930,X931,"f",FALSE)</f>
        <v>45667</v>
      </c>
      <c r="Z931" s="115">
        <f>_xll.qlCalendarAdvance(Calendar,Y931,NDays&amp;"D")</f>
        <v>45667</v>
      </c>
      <c r="AA931" s="116">
        <v>3.8954392188048186E-2</v>
      </c>
      <c r="AB931" s="113">
        <v>3.8623044508524128E-2</v>
      </c>
    </row>
    <row r="932" spans="17:28" x14ac:dyDescent="0.2">
      <c r="Q932" s="72"/>
      <c r="T932" s="72"/>
      <c r="U932" s="93"/>
      <c r="X932" s="114" t="str">
        <f t="shared" si="27"/>
        <v>1w</v>
      </c>
      <c r="Y932" s="112">
        <f>_xll.qlCalendarAdvance(Calendar,Y931,X932,"f",FALSE)</f>
        <v>45674</v>
      </c>
      <c r="Z932" s="115">
        <f>_xll.qlCalendarAdvance(Calendar,Y932,NDays&amp;"D")</f>
        <v>45674</v>
      </c>
      <c r="AA932" s="116">
        <v>3.8979113976156547E-2</v>
      </c>
      <c r="AB932" s="113">
        <v>3.8647305847514898E-2</v>
      </c>
    </row>
    <row r="933" spans="17:28" x14ac:dyDescent="0.2">
      <c r="Q933" s="72"/>
      <c r="T933" s="72"/>
      <c r="U933" s="93"/>
      <c r="X933" s="114" t="str">
        <f t="shared" si="27"/>
        <v>1w</v>
      </c>
      <c r="Y933" s="112">
        <f>_xll.qlCalendarAdvance(Calendar,Y932,X933,"f",FALSE)</f>
        <v>45681</v>
      </c>
      <c r="Z933" s="115">
        <f>_xll.qlCalendarAdvance(Calendar,Y933,NDays&amp;"D")</f>
        <v>45681</v>
      </c>
      <c r="AA933" s="116">
        <v>3.9003873748644079E-2</v>
      </c>
      <c r="AB933" s="113">
        <v>3.8675390626375372E-2</v>
      </c>
    </row>
    <row r="934" spans="17:28" x14ac:dyDescent="0.2">
      <c r="Q934" s="72"/>
      <c r="T934" s="72"/>
      <c r="U934" s="93"/>
      <c r="X934" s="114" t="str">
        <f t="shared" si="27"/>
        <v>1w</v>
      </c>
      <c r="Y934" s="112">
        <f>_xll.qlCalendarAdvance(Calendar,Y933,X934,"f",FALSE)</f>
        <v>45688</v>
      </c>
      <c r="Z934" s="115">
        <f>_xll.qlCalendarAdvance(Calendar,Y934,NDays&amp;"D")</f>
        <v>45688</v>
      </c>
      <c r="AA934" s="116">
        <v>3.9024813517423214E-2</v>
      </c>
      <c r="AB934" s="113">
        <v>3.8695940999849972E-2</v>
      </c>
    </row>
    <row r="935" spans="17:28" x14ac:dyDescent="0.2">
      <c r="Q935" s="72"/>
      <c r="T935" s="72"/>
      <c r="U935" s="93"/>
      <c r="X935" s="114" t="str">
        <f t="shared" si="27"/>
        <v>1w</v>
      </c>
      <c r="Y935" s="112">
        <f>_xll.qlCalendarAdvance(Calendar,Y934,X935,"f",FALSE)</f>
        <v>45695</v>
      </c>
      <c r="Z935" s="115">
        <f>_xll.qlCalendarAdvance(Calendar,Y935,NDays&amp;"D")</f>
        <v>45695</v>
      </c>
      <c r="AA935" s="116">
        <v>3.9049643904181752E-2</v>
      </c>
      <c r="AB935" s="113">
        <v>3.8720314813248301E-2</v>
      </c>
    </row>
    <row r="936" spans="17:28" x14ac:dyDescent="0.2">
      <c r="Q936" s="72"/>
      <c r="T936" s="72"/>
      <c r="U936" s="93"/>
      <c r="X936" s="114" t="str">
        <f t="shared" si="27"/>
        <v>1w</v>
      </c>
      <c r="Y936" s="112">
        <f>_xll.qlCalendarAdvance(Calendar,Y935,X936,"f",FALSE)</f>
        <v>45702</v>
      </c>
      <c r="Z936" s="115">
        <f>_xll.qlCalendarAdvance(Calendar,Y936,NDays&amp;"D")</f>
        <v>45702</v>
      </c>
      <c r="AA936" s="116">
        <v>3.9074512208085783E-2</v>
      </c>
      <c r="AB936" s="113">
        <v>3.8744726118169856E-2</v>
      </c>
    </row>
    <row r="937" spans="17:28" x14ac:dyDescent="0.2">
      <c r="Q937" s="72"/>
      <c r="T937" s="72"/>
      <c r="U937" s="93"/>
      <c r="X937" s="114" t="str">
        <f t="shared" si="27"/>
        <v>1w</v>
      </c>
      <c r="Y937" s="112">
        <f>_xll.qlCalendarAdvance(Calendar,Y936,X937,"f",FALSE)</f>
        <v>45709</v>
      </c>
      <c r="Z937" s="115">
        <f>_xll.qlCalendarAdvance(Calendar,Y937,NDays&amp;"D")</f>
        <v>45709</v>
      </c>
      <c r="AA937" s="116">
        <v>3.9099412831267805E-2</v>
      </c>
      <c r="AB937" s="113">
        <v>3.8769174914641644E-2</v>
      </c>
    </row>
    <row r="938" spans="17:28" x14ac:dyDescent="0.2">
      <c r="Q938" s="72"/>
      <c r="T938" s="72"/>
      <c r="U938" s="93"/>
      <c r="X938" s="114" t="str">
        <f t="shared" si="27"/>
        <v>1w</v>
      </c>
      <c r="Y938" s="112">
        <f>_xll.qlCalendarAdvance(Calendar,Y937,X938,"f",FALSE)</f>
        <v>45716</v>
      </c>
      <c r="Z938" s="115">
        <f>_xll.qlCalendarAdvance(Calendar,Y938,NDays&amp;"D")</f>
        <v>45716</v>
      </c>
      <c r="AA938" s="116">
        <v>3.9132077334035245E-2</v>
      </c>
      <c r="AB938" s="113">
        <v>3.8793661202690684E-2</v>
      </c>
    </row>
    <row r="939" spans="17:28" x14ac:dyDescent="0.2">
      <c r="Q939" s="72"/>
      <c r="T939" s="72"/>
      <c r="U939" s="93"/>
      <c r="X939" s="114" t="str">
        <f t="shared" si="27"/>
        <v>1w</v>
      </c>
      <c r="Y939" s="112">
        <f>_xll.qlCalendarAdvance(Calendar,Y938,X939,"f",FALSE)</f>
        <v>45723</v>
      </c>
      <c r="Z939" s="115">
        <f>_xll.qlCalendarAdvance(Calendar,Y939,NDays&amp;"D")</f>
        <v>45723</v>
      </c>
      <c r="AA939" s="116">
        <v>3.9172484527679442E-2</v>
      </c>
      <c r="AB939" s="113">
        <v>3.8818184982289956E-2</v>
      </c>
    </row>
    <row r="940" spans="17:28" x14ac:dyDescent="0.2">
      <c r="Q940" s="72"/>
      <c r="T940" s="72"/>
      <c r="U940" s="93"/>
      <c r="X940" s="114" t="str">
        <f t="shared" si="27"/>
        <v>1w</v>
      </c>
      <c r="Y940" s="112">
        <f>_xll.qlCalendarAdvance(Calendar,Y939,X940,"f",FALSE)</f>
        <v>45730</v>
      </c>
      <c r="Z940" s="115">
        <f>_xll.qlCalendarAdvance(Calendar,Y940,NDays&amp;"D")</f>
        <v>45730</v>
      </c>
      <c r="AA940" s="116">
        <v>3.9181892224776832E-2</v>
      </c>
      <c r="AB940" s="113">
        <v>3.8842746253520508E-2</v>
      </c>
    </row>
    <row r="941" spans="17:28" x14ac:dyDescent="0.2">
      <c r="Q941" s="72"/>
      <c r="T941" s="72"/>
      <c r="U941" s="93"/>
      <c r="X941" s="114" t="str">
        <f t="shared" si="27"/>
        <v>1w</v>
      </c>
      <c r="Y941" s="112">
        <f>_xll.qlCalendarAdvance(Calendar,Y940,X941,"f",FALSE)</f>
        <v>45737</v>
      </c>
      <c r="Z941" s="115">
        <f>_xll.qlCalendarAdvance(Calendar,Y941,NDays&amp;"D")</f>
        <v>45737</v>
      </c>
      <c r="AA941" s="116">
        <v>3.9218352430650388E-2</v>
      </c>
      <c r="AB941" s="113">
        <v>3.8867345016382344E-2</v>
      </c>
    </row>
    <row r="942" spans="17:28" x14ac:dyDescent="0.2">
      <c r="Q942" s="72"/>
      <c r="T942" s="72"/>
      <c r="U942" s="93"/>
      <c r="X942" s="114" t="str">
        <f t="shared" si="27"/>
        <v>1w</v>
      </c>
      <c r="Y942" s="112">
        <f>_xll.qlCalendarAdvance(Calendar,Y941,X942,"f",FALSE)</f>
        <v>45744</v>
      </c>
      <c r="Z942" s="115">
        <f>_xll.qlCalendarAdvance(Calendar,Y942,NDays&amp;"D")</f>
        <v>45744</v>
      </c>
      <c r="AA942" s="116">
        <v>3.9243147977379343E-2</v>
      </c>
      <c r="AB942" s="113">
        <v>3.8891981270902473E-2</v>
      </c>
    </row>
    <row r="943" spans="17:28" x14ac:dyDescent="0.2">
      <c r="Q943" s="72"/>
      <c r="T943" s="72"/>
      <c r="U943" s="93"/>
      <c r="X943" s="114" t="str">
        <f t="shared" si="27"/>
        <v>1w</v>
      </c>
      <c r="Y943" s="112">
        <f>_xll.qlCalendarAdvance(Calendar,Y942,X943,"f",FALSE)</f>
        <v>45751</v>
      </c>
      <c r="Z943" s="115">
        <f>_xll.qlCalendarAdvance(Calendar,Y943,NDays&amp;"D")</f>
        <v>45751</v>
      </c>
      <c r="AA943" s="116">
        <v>3.9256311397292055E-2</v>
      </c>
      <c r="AB943" s="113">
        <v>3.8916655017107914E-2</v>
      </c>
    </row>
    <row r="944" spans="17:28" x14ac:dyDescent="0.2">
      <c r="Q944" s="72"/>
      <c r="T944" s="72"/>
      <c r="U944" s="93"/>
      <c r="X944" s="114" t="str">
        <f t="shared" si="27"/>
        <v>1w</v>
      </c>
      <c r="Y944" s="112">
        <f>_xll.qlCalendarAdvance(Calendar,Y943,X944,"f",FALSE)</f>
        <v>45758</v>
      </c>
      <c r="Z944" s="115">
        <f>_xll.qlCalendarAdvance(Calendar,Y944,NDays&amp;"D")</f>
        <v>45758</v>
      </c>
      <c r="AA944" s="116">
        <v>3.9280972989843246E-2</v>
      </c>
      <c r="AB944" s="113">
        <v>3.8941366255025686E-2</v>
      </c>
    </row>
    <row r="945" spans="17:28" x14ac:dyDescent="0.2">
      <c r="Q945" s="72"/>
      <c r="T945" s="72"/>
      <c r="U945" s="93"/>
      <c r="X945" s="114" t="str">
        <f t="shared" si="27"/>
        <v>1w</v>
      </c>
      <c r="Y945" s="112">
        <f>_xll.qlCalendarAdvance(Calendar,Y944,X945,"f",FALSE)</f>
        <v>45769</v>
      </c>
      <c r="Z945" s="115">
        <f>_xll.qlCalendarAdvance(Calendar,Y945,NDays&amp;"D")</f>
        <v>45769</v>
      </c>
      <c r="AA945" s="116">
        <v>3.9319520649967944E-2</v>
      </c>
      <c r="AB945" s="113">
        <v>3.897257139313659E-2</v>
      </c>
    </row>
    <row r="946" spans="17:28" x14ac:dyDescent="0.2">
      <c r="Q946" s="72"/>
      <c r="T946" s="72"/>
      <c r="U946" s="93"/>
      <c r="X946" s="114" t="str">
        <f t="shared" si="27"/>
        <v>1w</v>
      </c>
      <c r="Y946" s="112">
        <f>_xll.qlCalendarAdvance(Calendar,Y945,X946,"f",FALSE)</f>
        <v>45776</v>
      </c>
      <c r="Z946" s="115">
        <f>_xll.qlCalendarAdvance(Calendar,Y946,NDays&amp;"D")</f>
        <v>45776</v>
      </c>
      <c r="AA946" s="116">
        <v>3.9343895241227403E-2</v>
      </c>
      <c r="AB946" s="113">
        <v>3.899736838501644E-2</v>
      </c>
    </row>
    <row r="947" spans="17:28" x14ac:dyDescent="0.2">
      <c r="Q947" s="72"/>
      <c r="T947" s="72"/>
      <c r="U947" s="93"/>
      <c r="X947" s="114" t="str">
        <f t="shared" si="27"/>
        <v>1w</v>
      </c>
      <c r="Y947" s="112">
        <f>_xll.qlCalendarAdvance(Calendar,Y946,X947,"f",FALSE)</f>
        <v>45783</v>
      </c>
      <c r="Z947" s="115">
        <f>_xll.qlCalendarAdvance(Calendar,Y947,NDays&amp;"D")</f>
        <v>45783</v>
      </c>
      <c r="AA947" s="116">
        <v>3.9371945251266992E-2</v>
      </c>
      <c r="AB947" s="113">
        <v>3.9022202857397215E-2</v>
      </c>
    </row>
    <row r="948" spans="17:28" x14ac:dyDescent="0.2">
      <c r="Q948" s="72"/>
      <c r="T948" s="72"/>
      <c r="U948" s="93"/>
      <c r="X948" s="114" t="str">
        <f t="shared" si="27"/>
        <v>1w</v>
      </c>
      <c r="Y948" s="112">
        <f>_xll.qlCalendarAdvance(Calendar,Y947,X948,"f",FALSE)</f>
        <v>45790</v>
      </c>
      <c r="Z948" s="115">
        <f>_xll.qlCalendarAdvance(Calendar,Y948,NDays&amp;"D")</f>
        <v>45790</v>
      </c>
      <c r="AA948" s="116">
        <v>3.9396013997097981E-2</v>
      </c>
      <c r="AB948" s="113">
        <v>3.9047069909005083E-2</v>
      </c>
    </row>
    <row r="949" spans="17:28" x14ac:dyDescent="0.2">
      <c r="Q949" s="72"/>
      <c r="T949" s="72"/>
      <c r="U949" s="93"/>
      <c r="X949" s="114" t="str">
        <f t="shared" si="27"/>
        <v>1w</v>
      </c>
      <c r="Y949" s="112">
        <f>_xll.qlCalendarAdvance(Calendar,Y948,X949,"f",FALSE)</f>
        <v>45797</v>
      </c>
      <c r="Z949" s="115">
        <f>_xll.qlCalendarAdvance(Calendar,Y949,NDays&amp;"D")</f>
        <v>45797</v>
      </c>
      <c r="AA949" s="116">
        <v>3.9419914522264274E-2</v>
      </c>
      <c r="AB949" s="113">
        <v>3.9071832307009391E-2</v>
      </c>
    </row>
    <row r="950" spans="17:28" x14ac:dyDescent="0.2">
      <c r="Q950" s="72"/>
      <c r="T950" s="72"/>
      <c r="U950" s="93"/>
      <c r="X950" s="114" t="str">
        <f t="shared" si="27"/>
        <v>1w</v>
      </c>
      <c r="Y950" s="112">
        <f>_xll.qlCalendarAdvance(Calendar,Y949,X950,"f",FALSE)</f>
        <v>45804</v>
      </c>
      <c r="Z950" s="115">
        <f>_xll.qlCalendarAdvance(Calendar,Y950,NDays&amp;"D")</f>
        <v>45804</v>
      </c>
      <c r="AA950" s="116">
        <v>3.9443645163715575E-2</v>
      </c>
      <c r="AB950" s="113">
        <v>3.9096426336066026E-2</v>
      </c>
    </row>
    <row r="951" spans="17:28" x14ac:dyDescent="0.2">
      <c r="Q951" s="72"/>
      <c r="T951" s="72"/>
      <c r="U951" s="93"/>
      <c r="X951" s="114" t="str">
        <f t="shared" si="27"/>
        <v>1w</v>
      </c>
      <c r="Y951" s="112">
        <f>_xll.qlCalendarAdvance(Calendar,Y950,X951,"f",FALSE)</f>
        <v>45811</v>
      </c>
      <c r="Z951" s="115">
        <f>_xll.qlCalendarAdvance(Calendar,Y951,NDays&amp;"D")</f>
        <v>45811</v>
      </c>
      <c r="AA951" s="116">
        <v>3.9467205918433786E-2</v>
      </c>
      <c r="AB951" s="113">
        <v>3.9120851996256034E-2</v>
      </c>
    </row>
    <row r="952" spans="17:28" x14ac:dyDescent="0.2">
      <c r="Q952" s="72"/>
      <c r="T952" s="72"/>
      <c r="U952" s="93"/>
      <c r="X952" s="114" t="str">
        <f t="shared" si="27"/>
        <v>1w</v>
      </c>
      <c r="Y952" s="112">
        <f>_xll.qlCalendarAdvance(Calendar,Y951,X952,"f",FALSE)</f>
        <v>45818</v>
      </c>
      <c r="Z952" s="115">
        <f>_xll.qlCalendarAdvance(Calendar,Y952,NDays&amp;"D")</f>
        <v>45818</v>
      </c>
      <c r="AA952" s="116">
        <v>3.9490596783418437E-2</v>
      </c>
      <c r="AB952" s="113">
        <v>3.9145109287417323E-2</v>
      </c>
    </row>
    <row r="953" spans="17:28" x14ac:dyDescent="0.2">
      <c r="Q953" s="72"/>
      <c r="T953" s="72"/>
      <c r="U953" s="93"/>
      <c r="X953" s="114" t="str">
        <f t="shared" si="27"/>
        <v>1w</v>
      </c>
      <c r="Y953" s="112">
        <f>_xll.qlCalendarAdvance(Calendar,Y952,X953,"f",FALSE)</f>
        <v>45825</v>
      </c>
      <c r="Z953" s="115">
        <f>_xll.qlCalendarAdvance(Calendar,Y953,NDays&amp;"D")</f>
        <v>45825</v>
      </c>
      <c r="AA953" s="116">
        <v>3.9513817755694597E-2</v>
      </c>
      <c r="AB953" s="113">
        <v>3.9169198209711986E-2</v>
      </c>
    </row>
    <row r="954" spans="17:28" x14ac:dyDescent="0.2">
      <c r="Q954" s="72"/>
      <c r="T954" s="72"/>
      <c r="U954" s="93"/>
      <c r="X954" s="114" t="str">
        <f t="shared" si="27"/>
        <v>1w</v>
      </c>
      <c r="Y954" s="112">
        <f>_xll.qlCalendarAdvance(Calendar,Y953,X954,"f",FALSE)</f>
        <v>45832</v>
      </c>
      <c r="Z954" s="115">
        <f>_xll.qlCalendarAdvance(Calendar,Y954,NDays&amp;"D")</f>
        <v>45832</v>
      </c>
      <c r="AA954" s="116">
        <v>3.9536868832305845E-2</v>
      </c>
      <c r="AB954" s="113">
        <v>3.9193118763058976E-2</v>
      </c>
    </row>
    <row r="955" spans="17:28" x14ac:dyDescent="0.2">
      <c r="Q955" s="72"/>
      <c r="T955" s="72"/>
      <c r="U955" s="93"/>
      <c r="X955" s="114" t="str">
        <f t="shared" si="27"/>
        <v>1w</v>
      </c>
      <c r="Y955" s="112">
        <f>_xll.qlCalendarAdvance(Calendar,Y954,X955,"f",FALSE)</f>
        <v>45839</v>
      </c>
      <c r="Z955" s="115">
        <f>_xll.qlCalendarAdvance(Calendar,Y955,NDays&amp;"D")</f>
        <v>45839</v>
      </c>
      <c r="AA955" s="116">
        <v>3.9559750010317772E-2</v>
      </c>
      <c r="AB955" s="113">
        <v>3.9216870947215154E-2</v>
      </c>
    </row>
    <row r="956" spans="17:28" x14ac:dyDescent="0.2">
      <c r="Q956" s="72"/>
      <c r="T956" s="72"/>
      <c r="U956" s="93"/>
      <c r="X956" s="114" t="str">
        <f t="shared" si="27"/>
        <v>1w</v>
      </c>
      <c r="Y956" s="112">
        <f>_xll.qlCalendarAdvance(Calendar,Y955,X956,"f",FALSE)</f>
        <v>45846</v>
      </c>
      <c r="Z956" s="115">
        <f>_xll.qlCalendarAdvance(Calendar,Y956,NDays&amp;"D")</f>
        <v>45846</v>
      </c>
      <c r="AA956" s="116">
        <v>3.9582461286819762E-2</v>
      </c>
      <c r="AB956" s="113">
        <v>3.924045476242366E-2</v>
      </c>
    </row>
    <row r="957" spans="17:28" x14ac:dyDescent="0.2">
      <c r="Q957" s="72"/>
      <c r="T957" s="72"/>
      <c r="U957" s="93"/>
      <c r="X957" s="114" t="str">
        <f t="shared" si="27"/>
        <v>1w</v>
      </c>
      <c r="Y957" s="112">
        <f>_xll.qlCalendarAdvance(Calendar,Y956,X957,"f",FALSE)</f>
        <v>45853</v>
      </c>
      <c r="Z957" s="115">
        <f>_xll.qlCalendarAdvance(Calendar,Y957,NDays&amp;"D")</f>
        <v>45853</v>
      </c>
      <c r="AA957" s="116">
        <v>3.9605002658920578E-2</v>
      </c>
      <c r="AB957" s="113">
        <v>3.9263870208360308E-2</v>
      </c>
    </row>
    <row r="958" spans="17:28" x14ac:dyDescent="0.2">
      <c r="Q958" s="72"/>
      <c r="T958" s="72"/>
      <c r="U958" s="93"/>
      <c r="X958" s="114" t="str">
        <f t="shared" si="27"/>
        <v>1w</v>
      </c>
      <c r="Y958" s="112">
        <f>_xll.qlCalendarAdvance(Calendar,Y957,X958,"f",FALSE)</f>
        <v>45860</v>
      </c>
      <c r="Z958" s="115">
        <f>_xll.qlCalendarAdvance(Calendar,Y958,NDays&amp;"D")</f>
        <v>45860</v>
      </c>
      <c r="AA958" s="116">
        <v>3.9627374123751002E-2</v>
      </c>
      <c r="AB958" s="113">
        <v>3.9287117285349282E-2</v>
      </c>
    </row>
    <row r="959" spans="17:28" x14ac:dyDescent="0.2">
      <c r="Q959" s="72"/>
      <c r="T959" s="72"/>
      <c r="U959" s="93"/>
      <c r="X959" s="114" t="str">
        <f t="shared" si="27"/>
        <v>1w</v>
      </c>
      <c r="Y959" s="112">
        <f>_xll.qlCalendarAdvance(Calendar,Y958,X959,"f",FALSE)</f>
        <v>45867</v>
      </c>
      <c r="Z959" s="115">
        <f>_xll.qlCalendarAdvance(Calendar,Y959,NDays&amp;"D")</f>
        <v>45867</v>
      </c>
      <c r="AA959" s="116">
        <v>3.9649575678464721E-2</v>
      </c>
      <c r="AB959" s="113">
        <v>3.9310195992985353E-2</v>
      </c>
    </row>
    <row r="960" spans="17:28" x14ac:dyDescent="0.2">
      <c r="Q960" s="72"/>
      <c r="T960" s="72"/>
      <c r="U960" s="93"/>
      <c r="X960" s="114" t="str">
        <f t="shared" si="27"/>
        <v>1w</v>
      </c>
      <c r="Y960" s="112">
        <f>_xll.qlCalendarAdvance(Calendar,Y959,X960,"f",FALSE)</f>
        <v>45874</v>
      </c>
      <c r="Z960" s="115">
        <f>_xll.qlCalendarAdvance(Calendar,Y960,NDays&amp;"D")</f>
        <v>45874</v>
      </c>
      <c r="AA960" s="116">
        <v>3.9671607320234809E-2</v>
      </c>
      <c r="AB960" s="113">
        <v>3.9333106331430612E-2</v>
      </c>
    </row>
    <row r="961" spans="17:28" x14ac:dyDescent="0.2">
      <c r="Q961" s="72"/>
      <c r="T961" s="72"/>
      <c r="U961" s="93"/>
      <c r="X961" s="114" t="str">
        <f t="shared" si="27"/>
        <v>1w</v>
      </c>
      <c r="Y961" s="112">
        <f>_xll.qlCalendarAdvance(Calendar,Y960,X961,"f",FALSE)</f>
        <v>45881</v>
      </c>
      <c r="Z961" s="115">
        <f>_xll.qlCalendarAdvance(Calendar,Y961,NDays&amp;"D")</f>
        <v>45881</v>
      </c>
      <c r="AA961" s="116">
        <v>3.9693469046259006E-2</v>
      </c>
      <c r="AB961" s="113">
        <v>3.9355848300766105E-2</v>
      </c>
    </row>
    <row r="962" spans="17:28" x14ac:dyDescent="0.2">
      <c r="Q962" s="72"/>
      <c r="T962" s="72"/>
      <c r="U962" s="93"/>
      <c r="X962" s="114" t="str">
        <f t="shared" si="27"/>
        <v>1w</v>
      </c>
      <c r="Y962" s="112">
        <f>_xll.qlCalendarAdvance(Calendar,Y961,X962,"f",FALSE)</f>
        <v>45888</v>
      </c>
      <c r="Z962" s="115">
        <f>_xll.qlCalendarAdvance(Calendar,Y962,NDays&amp;"D")</f>
        <v>45888</v>
      </c>
      <c r="AA962" s="116">
        <v>3.9715160853754428E-2</v>
      </c>
      <c r="AB962" s="113">
        <v>3.9378421900748695E-2</v>
      </c>
    </row>
    <row r="963" spans="17:28" x14ac:dyDescent="0.2">
      <c r="Q963" s="72"/>
      <c r="T963" s="72"/>
      <c r="U963" s="93"/>
      <c r="X963" s="114" t="str">
        <f t="shared" si="27"/>
        <v>1w</v>
      </c>
      <c r="Y963" s="112">
        <f>_xll.qlCalendarAdvance(Calendar,Y962,X963,"f",FALSE)</f>
        <v>45895</v>
      </c>
      <c r="Z963" s="115">
        <f>_xll.qlCalendarAdvance(Calendar,Y963,NDays&amp;"D")</f>
        <v>45895</v>
      </c>
      <c r="AA963" s="116">
        <v>3.9736682739958451E-2</v>
      </c>
      <c r="AB963" s="113">
        <v>3.940082713137838E-2</v>
      </c>
    </row>
    <row r="964" spans="17:28" x14ac:dyDescent="0.2">
      <c r="Q964" s="72"/>
      <c r="T964" s="72"/>
      <c r="U964" s="93"/>
      <c r="X964" s="114" t="str">
        <f t="shared" si="27"/>
        <v>1w</v>
      </c>
      <c r="Y964" s="112">
        <f>_xll.qlCalendarAdvance(Calendar,Y963,X964,"f",FALSE)</f>
        <v>45902</v>
      </c>
      <c r="Z964" s="115">
        <f>_xll.qlCalendarAdvance(Calendar,Y964,NDays&amp;"D")</f>
        <v>45902</v>
      </c>
      <c r="AA964" s="116">
        <v>3.97543837501661E-2</v>
      </c>
      <c r="AB964" s="113">
        <v>3.9423063992817253E-2</v>
      </c>
    </row>
    <row r="965" spans="17:28" x14ac:dyDescent="0.2">
      <c r="Q965" s="72"/>
      <c r="T965" s="72"/>
      <c r="U965" s="93"/>
      <c r="X965" s="114" t="str">
        <f t="shared" si="27"/>
        <v>1w</v>
      </c>
      <c r="Y965" s="112">
        <f>_xll.qlCalendarAdvance(Calendar,Y964,X965,"f",FALSE)</f>
        <v>45909</v>
      </c>
      <c r="Z965" s="115">
        <f>_xll.qlCalendarAdvance(Calendar,Y965,NDays&amp;"D")</f>
        <v>45909</v>
      </c>
      <c r="AA965" s="116">
        <v>3.9775575625942861E-2</v>
      </c>
      <c r="AB965" s="113">
        <v>3.9445132484822176E-2</v>
      </c>
    </row>
    <row r="966" spans="17:28" x14ac:dyDescent="0.2">
      <c r="Q966" s="72"/>
      <c r="T966" s="72"/>
      <c r="U966" s="93"/>
      <c r="X966" s="114" t="str">
        <f t="shared" si="27"/>
        <v>1w</v>
      </c>
      <c r="Y966" s="112">
        <f>_xll.qlCalendarAdvance(Calendar,Y965,X966,"f",FALSE)</f>
        <v>45916</v>
      </c>
      <c r="Z966" s="115">
        <f>_xll.qlCalendarAdvance(Calendar,Y966,NDays&amp;"D")</f>
        <v>45916</v>
      </c>
      <c r="AA966" s="116">
        <v>3.9796597589683708E-2</v>
      </c>
      <c r="AB966" s="113">
        <v>3.9467032607393149E-2</v>
      </c>
    </row>
    <row r="967" spans="17:28" x14ac:dyDescent="0.2">
      <c r="Q967" s="72"/>
      <c r="T967" s="72"/>
      <c r="U967" s="93"/>
      <c r="X967" s="114" t="str">
        <f t="shared" si="27"/>
        <v>1w</v>
      </c>
      <c r="Y967" s="112">
        <f>_xll.qlCalendarAdvance(Calendar,Y966,X967,"f",FALSE)</f>
        <v>45923</v>
      </c>
      <c r="Z967" s="115">
        <f>_xll.qlCalendarAdvance(Calendar,Y967,NDays&amp;"D")</f>
        <v>45923</v>
      </c>
      <c r="AA967" s="116">
        <v>3.9817449638743514E-2</v>
      </c>
      <c r="AB967" s="113">
        <v>3.9488764360611217E-2</v>
      </c>
    </row>
    <row r="968" spans="17:28" x14ac:dyDescent="0.2">
      <c r="Q968" s="72"/>
      <c r="T968" s="72"/>
      <c r="U968" s="93"/>
      <c r="X968" s="114" t="str">
        <f t="shared" si="27"/>
        <v>1w</v>
      </c>
      <c r="Y968" s="112">
        <f>_xll.qlCalendarAdvance(Calendar,Y967,X968,"f",FALSE)</f>
        <v>45930</v>
      </c>
      <c r="Z968" s="115">
        <f>_xll.qlCalendarAdvance(Calendar,Y968,NDays&amp;"D")</f>
        <v>45930</v>
      </c>
      <c r="AA968" s="116">
        <v>3.984174325651918E-2</v>
      </c>
      <c r="AB968" s="113">
        <v>3.9510327744395335E-2</v>
      </c>
    </row>
    <row r="969" spans="17:28" x14ac:dyDescent="0.2">
      <c r="Q969" s="72"/>
      <c r="T969" s="72"/>
      <c r="U969" s="93"/>
      <c r="X969" s="114" t="str">
        <f t="shared" si="27"/>
        <v>1w</v>
      </c>
      <c r="Y969" s="112">
        <f>_xll.qlCalendarAdvance(Calendar,Y968,X969,"f",FALSE)</f>
        <v>45937</v>
      </c>
      <c r="Z969" s="115">
        <f>_xll.qlCalendarAdvance(Calendar,Y969,NDays&amp;"D")</f>
        <v>45937</v>
      </c>
      <c r="AA969" s="116">
        <v>3.9862245558217754E-2</v>
      </c>
      <c r="AB969" s="113">
        <v>3.953172275858341E-2</v>
      </c>
    </row>
    <row r="970" spans="17:28" x14ac:dyDescent="0.2">
      <c r="Q970" s="72"/>
      <c r="T970" s="72"/>
      <c r="U970" s="93"/>
      <c r="X970" s="114" t="str">
        <f t="shared" si="27"/>
        <v>1w</v>
      </c>
      <c r="Y970" s="112">
        <f>_xll.qlCalendarAdvance(Calendar,Y969,X970,"f",FALSE)</f>
        <v>45944</v>
      </c>
      <c r="Z970" s="115">
        <f>_xll.qlCalendarAdvance(Calendar,Y970,NDays&amp;"D")</f>
        <v>45944</v>
      </c>
      <c r="AA970" s="116">
        <v>3.9882577919906764E-2</v>
      </c>
      <c r="AB970" s="113">
        <v>3.9552949403256488E-2</v>
      </c>
    </row>
    <row r="971" spans="17:28" x14ac:dyDescent="0.2">
      <c r="Q971" s="72"/>
      <c r="T971" s="72"/>
      <c r="U971" s="93"/>
      <c r="X971" s="114" t="str">
        <f t="shared" si="27"/>
        <v>1w</v>
      </c>
      <c r="Y971" s="112">
        <f>_xll.qlCalendarAdvance(Calendar,Y970,X971,"f",FALSE)</f>
        <v>45951</v>
      </c>
      <c r="Z971" s="115">
        <f>_xll.qlCalendarAdvance(Calendar,Y971,NDays&amp;"D")</f>
        <v>45951</v>
      </c>
      <c r="AA971" s="116">
        <v>3.9902740338998016E-2</v>
      </c>
      <c r="AB971" s="113">
        <v>3.9574007678495615E-2</v>
      </c>
    </row>
    <row r="972" spans="17:28" x14ac:dyDescent="0.2">
      <c r="Q972" s="72"/>
      <c r="T972" s="72"/>
      <c r="U972" s="93"/>
      <c r="X972" s="114" t="str">
        <f t="shared" si="27"/>
        <v>1w</v>
      </c>
      <c r="Y972" s="112">
        <f>_xll.qlCalendarAdvance(Calendar,Y971,X972,"f",FALSE)</f>
        <v>45958</v>
      </c>
      <c r="Z972" s="115">
        <f>_xll.qlCalendarAdvance(Calendar,Y972,NDays&amp;"D")</f>
        <v>45958</v>
      </c>
      <c r="AA972" s="116">
        <v>3.9922732812924459E-2</v>
      </c>
      <c r="AB972" s="113">
        <v>3.9594897584057653E-2</v>
      </c>
    </row>
    <row r="973" spans="17:28" x14ac:dyDescent="0.2">
      <c r="Q973" s="72"/>
      <c r="T973" s="72"/>
      <c r="U973" s="93"/>
      <c r="X973" s="114" t="str">
        <f t="shared" si="27"/>
        <v>1w</v>
      </c>
      <c r="Y973" s="112">
        <f>_xll.qlCalendarAdvance(Calendar,Y972,X973,"f",FALSE)</f>
        <v>45965</v>
      </c>
      <c r="Z973" s="115">
        <f>_xll.qlCalendarAdvance(Calendar,Y973,NDays&amp;"D")</f>
        <v>45965</v>
      </c>
      <c r="AA973" s="116">
        <v>3.9942555339142816E-2</v>
      </c>
      <c r="AB973" s="113">
        <v>3.9615619120104695E-2</v>
      </c>
    </row>
    <row r="974" spans="17:28" x14ac:dyDescent="0.2">
      <c r="Q974" s="72"/>
      <c r="T974" s="72"/>
      <c r="U974" s="93"/>
      <c r="X974" s="114" t="str">
        <f t="shared" si="27"/>
        <v>1w</v>
      </c>
      <c r="Y974" s="112">
        <f>_xll.qlCalendarAdvance(Calendar,Y973,X974,"f",FALSE)</f>
        <v>45972</v>
      </c>
      <c r="Z974" s="115">
        <f>_xll.qlCalendarAdvance(Calendar,Y974,NDays&amp;"D")</f>
        <v>45972</v>
      </c>
      <c r="AA974" s="116">
        <v>3.9962207915128327E-2</v>
      </c>
      <c r="AB974" s="113">
        <v>3.9636172286474647E-2</v>
      </c>
    </row>
    <row r="975" spans="17:28" x14ac:dyDescent="0.2">
      <c r="Q975" s="72"/>
      <c r="T975" s="72"/>
      <c r="U975" s="93"/>
      <c r="X975" s="114" t="str">
        <f t="shared" si="27"/>
        <v>1w</v>
      </c>
      <c r="Y975" s="112">
        <f>_xll.qlCalendarAdvance(Calendar,Y974,X975,"f",FALSE)</f>
        <v>45979</v>
      </c>
      <c r="Z975" s="115">
        <f>_xll.qlCalendarAdvance(Calendar,Y975,NDays&amp;"D")</f>
        <v>45979</v>
      </c>
      <c r="AA975" s="116">
        <v>3.998169053838177E-2</v>
      </c>
      <c r="AB975" s="113">
        <v>3.9656557083248556E-2</v>
      </c>
    </row>
    <row r="976" spans="17:28" x14ac:dyDescent="0.2">
      <c r="Q976" s="72"/>
      <c r="T976" s="72"/>
      <c r="U976" s="93"/>
      <c r="X976" s="114" t="str">
        <f t="shared" si="27"/>
        <v>1w</v>
      </c>
      <c r="Y976" s="112">
        <f>_xll.qlCalendarAdvance(Calendar,Y975,X976,"f",FALSE)</f>
        <v>45986</v>
      </c>
      <c r="Z976" s="115">
        <f>_xll.qlCalendarAdvance(Calendar,Y976,NDays&amp;"D")</f>
        <v>45986</v>
      </c>
      <c r="AA976" s="116">
        <v>4.0001003206422421E-2</v>
      </c>
      <c r="AB976" s="113">
        <v>3.9676773510345376E-2</v>
      </c>
    </row>
    <row r="977" spans="17:28" x14ac:dyDescent="0.2">
      <c r="Q977" s="72"/>
      <c r="T977" s="72"/>
      <c r="U977" s="93"/>
      <c r="X977" s="114" t="str">
        <f t="shared" si="27"/>
        <v>1w</v>
      </c>
      <c r="Y977" s="112">
        <f>_xll.qlCalendarAdvance(Calendar,Y976,X977,"f",FALSE)</f>
        <v>45993</v>
      </c>
      <c r="Z977" s="115">
        <f>_xll.qlCalendarAdvance(Calendar,Y977,NDays&amp;"D")</f>
        <v>45993</v>
      </c>
      <c r="AA977" s="116">
        <v>4.0013101887395305E-2</v>
      </c>
      <c r="AB977" s="113">
        <v>3.969682156768406E-2</v>
      </c>
    </row>
    <row r="978" spans="17:28" x14ac:dyDescent="0.2">
      <c r="Q978" s="72"/>
      <c r="T978" s="72"/>
      <c r="U978" s="93"/>
      <c r="X978" s="114" t="str">
        <f t="shared" si="27"/>
        <v>1w</v>
      </c>
      <c r="Y978" s="112">
        <f>_xll.qlCalendarAdvance(Calendar,Y977,X978,"f",FALSE)</f>
        <v>46000</v>
      </c>
      <c r="Z978" s="115">
        <f>_xll.qlCalendarAdvance(Calendar,Y978,NDays&amp;"D")</f>
        <v>46000</v>
      </c>
      <c r="AA978" s="116">
        <v>4.0032094772861453E-2</v>
      </c>
      <c r="AB978" s="113">
        <v>3.9716701255264608E-2</v>
      </c>
    </row>
    <row r="979" spans="17:28" x14ac:dyDescent="0.2">
      <c r="Q979" s="72"/>
      <c r="T979" s="72"/>
      <c r="U979" s="93"/>
      <c r="X979" s="114" t="str">
        <f t="shared" si="27"/>
        <v>1w</v>
      </c>
      <c r="Y979" s="112">
        <f>_xll.qlCalendarAdvance(Calendar,Y978,X979,"f",FALSE)</f>
        <v>46007</v>
      </c>
      <c r="Z979" s="115">
        <f>_xll.qlCalendarAdvance(Calendar,Y979,NDays&amp;"D")</f>
        <v>46007</v>
      </c>
      <c r="AA979" s="116">
        <v>4.0050917731299408E-2</v>
      </c>
      <c r="AB979" s="113">
        <v>3.9736412573087021E-2</v>
      </c>
    </row>
    <row r="980" spans="17:28" x14ac:dyDescent="0.2">
      <c r="Q980" s="72"/>
      <c r="T980" s="72"/>
      <c r="U980" s="93"/>
      <c r="X980" s="114" t="str">
        <f t="shared" si="27"/>
        <v>1w</v>
      </c>
      <c r="Y980" s="112">
        <f>_xll.qlCalendarAdvance(Calendar,Y979,X980,"f",FALSE)</f>
        <v>46014</v>
      </c>
      <c r="Z980" s="115">
        <f>_xll.qlCalendarAdvance(Calendar,Y980,NDays&amp;"D")</f>
        <v>46014</v>
      </c>
      <c r="AA980" s="116">
        <v>4.0069570760370522E-2</v>
      </c>
      <c r="AB980" s="113">
        <v>3.9755955521070252E-2</v>
      </c>
    </row>
    <row r="981" spans="17:28" x14ac:dyDescent="0.2">
      <c r="Q981" s="72"/>
      <c r="T981" s="72"/>
      <c r="U981" s="93"/>
      <c r="X981" s="114" t="str">
        <f t="shared" ref="X981:X1044" si="28">X980</f>
        <v>1w</v>
      </c>
      <c r="Y981" s="112">
        <f>_xll.qlCalendarAdvance(Calendar,Y980,X981,"f",FALSE)</f>
        <v>46021</v>
      </c>
      <c r="Z981" s="115">
        <f>_xll.qlCalendarAdvance(Calendar,Y981,NDays&amp;"D")</f>
        <v>46021</v>
      </c>
      <c r="AA981" s="116">
        <v>4.0088053857748766E-2</v>
      </c>
      <c r="AB981" s="113">
        <v>3.9775330099295347E-2</v>
      </c>
    </row>
    <row r="982" spans="17:28" x14ac:dyDescent="0.2">
      <c r="Q982" s="72"/>
      <c r="T982" s="72"/>
      <c r="U982" s="93"/>
      <c r="X982" s="114" t="str">
        <f t="shared" si="28"/>
        <v>1w</v>
      </c>
      <c r="Y982" s="112">
        <f>_xll.qlCalendarAdvance(Calendar,Y981,X982,"f",FALSE)</f>
        <v>46028</v>
      </c>
      <c r="Z982" s="115">
        <f>_xll.qlCalendarAdvance(Calendar,Y982,NDays&amp;"D")</f>
        <v>46028</v>
      </c>
      <c r="AA982" s="116">
        <v>4.0109838878712063E-2</v>
      </c>
      <c r="AB982" s="113">
        <v>3.9794536307600215E-2</v>
      </c>
    </row>
    <row r="983" spans="17:28" x14ac:dyDescent="0.2">
      <c r="Q983" s="72"/>
      <c r="T983" s="72"/>
      <c r="U983" s="93"/>
      <c r="X983" s="114" t="str">
        <f t="shared" si="28"/>
        <v>1w</v>
      </c>
      <c r="Y983" s="112">
        <f>_xll.qlCalendarAdvance(Calendar,Y982,X983,"f",FALSE)</f>
        <v>46035</v>
      </c>
      <c r="Z983" s="115">
        <f>_xll.qlCalendarAdvance(Calendar,Y983,NDays&amp;"D")</f>
        <v>46035</v>
      </c>
      <c r="AA983" s="116">
        <v>4.0124510248245031E-2</v>
      </c>
      <c r="AB983" s="113">
        <v>3.9813574146146946E-2</v>
      </c>
    </row>
    <row r="984" spans="17:28" x14ac:dyDescent="0.2">
      <c r="Q984" s="72"/>
      <c r="T984" s="72"/>
      <c r="U984" s="93"/>
      <c r="X984" s="114" t="str">
        <f t="shared" si="28"/>
        <v>1w</v>
      </c>
      <c r="Y984" s="112">
        <f>_xll.qlCalendarAdvance(Calendar,Y983,X984,"f",FALSE)</f>
        <v>46042</v>
      </c>
      <c r="Z984" s="115">
        <f>_xll.qlCalendarAdvance(Calendar,Y984,NDays&amp;"D")</f>
        <v>46042</v>
      </c>
      <c r="AA984" s="116">
        <v>4.0142483536823544E-2</v>
      </c>
      <c r="AB984" s="113">
        <v>3.983244361477345E-2</v>
      </c>
    </row>
    <row r="985" spans="17:28" x14ac:dyDescent="0.2">
      <c r="Q985" s="72"/>
      <c r="T985" s="72"/>
      <c r="U985" s="93"/>
      <c r="X985" s="114" t="str">
        <f t="shared" si="28"/>
        <v>1w</v>
      </c>
      <c r="Y985" s="112">
        <f>_xll.qlCalendarAdvance(Calendar,Y984,X985,"f",FALSE)</f>
        <v>46049</v>
      </c>
      <c r="Z985" s="115">
        <f>_xll.qlCalendarAdvance(Calendar,Y985,NDays&amp;"D")</f>
        <v>46049</v>
      </c>
      <c r="AA985" s="116">
        <v>4.0160286884631115E-2</v>
      </c>
      <c r="AB985" s="113">
        <v>3.9851144713398678E-2</v>
      </c>
    </row>
    <row r="986" spans="17:28" x14ac:dyDescent="0.2">
      <c r="Q986" s="72"/>
      <c r="T986" s="72"/>
      <c r="U986" s="93"/>
      <c r="X986" s="114" t="str">
        <f t="shared" si="28"/>
        <v>1w</v>
      </c>
      <c r="Y986" s="112">
        <f>_xll.qlCalendarAdvance(Calendar,Y985,X986,"f",FALSE)</f>
        <v>46056</v>
      </c>
      <c r="Z986" s="115">
        <f>_xll.qlCalendarAdvance(Calendar,Y986,NDays&amp;"D")</f>
        <v>46056</v>
      </c>
      <c r="AA986" s="116">
        <v>4.0177920289452468E-2</v>
      </c>
      <c r="AB986" s="113">
        <v>3.9869677442103679E-2</v>
      </c>
    </row>
    <row r="987" spans="17:28" x14ac:dyDescent="0.2">
      <c r="Q987" s="72"/>
      <c r="T987" s="72"/>
      <c r="U987" s="93"/>
      <c r="X987" s="114" t="str">
        <f t="shared" si="28"/>
        <v>1w</v>
      </c>
      <c r="Y987" s="112">
        <f>_xll.qlCalendarAdvance(Calendar,Y986,X987,"f",FALSE)</f>
        <v>46063</v>
      </c>
      <c r="Z987" s="115">
        <f>_xll.qlCalendarAdvance(Calendar,Y987,NDays&amp;"D")</f>
        <v>46063</v>
      </c>
      <c r="AA987" s="116">
        <v>4.0195383749090353E-2</v>
      </c>
      <c r="AB987" s="113">
        <v>3.9888041800807406E-2</v>
      </c>
    </row>
    <row r="988" spans="17:28" x14ac:dyDescent="0.2">
      <c r="Q988" s="72"/>
      <c r="T988" s="72"/>
      <c r="U988" s="93"/>
      <c r="X988" s="114" t="str">
        <f t="shared" si="28"/>
        <v>1w</v>
      </c>
      <c r="Y988" s="112">
        <f>_xll.qlCalendarAdvance(Calendar,Y987,X988,"f",FALSE)</f>
        <v>46070</v>
      </c>
      <c r="Z988" s="115">
        <f>_xll.qlCalendarAdvance(Calendar,Y988,NDays&amp;"D")</f>
        <v>46070</v>
      </c>
      <c r="AA988" s="116">
        <v>4.0212677261370025E-2</v>
      </c>
      <c r="AB988" s="113">
        <v>3.9906237789509857E-2</v>
      </c>
    </row>
    <row r="989" spans="17:28" x14ac:dyDescent="0.2">
      <c r="Q989" s="72"/>
      <c r="T989" s="72"/>
      <c r="U989" s="93"/>
      <c r="X989" s="114" t="str">
        <f t="shared" si="28"/>
        <v>1w</v>
      </c>
      <c r="Y989" s="112">
        <f>_xll.qlCalendarAdvance(Calendar,Y988,X989,"f",FALSE)</f>
        <v>46077</v>
      </c>
      <c r="Z989" s="115">
        <f>_xll.qlCalendarAdvance(Calendar,Y989,NDays&amp;"D")</f>
        <v>46077</v>
      </c>
      <c r="AA989" s="116">
        <v>4.022980082413926E-2</v>
      </c>
      <c r="AB989" s="113">
        <v>3.9924265408129989E-2</v>
      </c>
    </row>
    <row r="990" spans="17:28" x14ac:dyDescent="0.2">
      <c r="Q990" s="72"/>
      <c r="T990" s="72"/>
      <c r="U990" s="93"/>
      <c r="X990" s="114" t="str">
        <f t="shared" si="28"/>
        <v>1w</v>
      </c>
      <c r="Y990" s="112">
        <f>_xll.qlCalendarAdvance(Calendar,Y989,X990,"f",FALSE)</f>
        <v>46084</v>
      </c>
      <c r="Z990" s="115">
        <f>_xll.qlCalendarAdvance(Calendar,Y990,NDays&amp;"D")</f>
        <v>46084</v>
      </c>
      <c r="AA990" s="116">
        <v>4.0253533924469585E-2</v>
      </c>
      <c r="AB990" s="113">
        <v>3.9942124656829892E-2</v>
      </c>
    </row>
    <row r="991" spans="17:28" x14ac:dyDescent="0.2">
      <c r="Q991" s="72"/>
      <c r="T991" s="72"/>
      <c r="U991" s="93"/>
      <c r="X991" s="114" t="str">
        <f t="shared" si="28"/>
        <v>1w</v>
      </c>
      <c r="Y991" s="112">
        <f>_xll.qlCalendarAdvance(Calendar,Y990,X991,"f",FALSE)</f>
        <v>46091</v>
      </c>
      <c r="Z991" s="115">
        <f>_xll.qlCalendarAdvance(Calendar,Y991,NDays&amp;"D")</f>
        <v>46091</v>
      </c>
      <c r="AA991" s="116">
        <v>4.0270296981458065E-2</v>
      </c>
      <c r="AB991" s="113">
        <v>3.9959815535366427E-2</v>
      </c>
    </row>
    <row r="992" spans="17:28" x14ac:dyDescent="0.2">
      <c r="Q992" s="72"/>
      <c r="T992" s="72"/>
      <c r="U992" s="93"/>
      <c r="X992" s="114" t="str">
        <f t="shared" si="28"/>
        <v>1w</v>
      </c>
      <c r="Y992" s="112">
        <f>_xll.qlCalendarAdvance(Calendar,Y991,X992,"f",FALSE)</f>
        <v>46098</v>
      </c>
      <c r="Z992" s="115">
        <f>_xll.qlCalendarAdvance(Calendar,Y992,NDays&amp;"D")</f>
        <v>46098</v>
      </c>
      <c r="AA992" s="116">
        <v>4.0286890046498644E-2</v>
      </c>
      <c r="AB992" s="113">
        <v>3.9977338043820643E-2</v>
      </c>
    </row>
    <row r="993" spans="17:28" x14ac:dyDescent="0.2">
      <c r="Q993" s="72"/>
      <c r="T993" s="72"/>
      <c r="U993" s="93"/>
      <c r="X993" s="114" t="str">
        <f t="shared" si="28"/>
        <v>1w</v>
      </c>
      <c r="Y993" s="112">
        <f>_xll.qlCalendarAdvance(Calendar,Y992,X993,"f",FALSE)</f>
        <v>46105</v>
      </c>
      <c r="Z993" s="115">
        <f>_xll.qlCalendarAdvance(Calendar,Y993,NDays&amp;"D")</f>
        <v>46105</v>
      </c>
      <c r="AA993" s="116">
        <v>4.0303313117478839E-2</v>
      </c>
      <c r="AB993" s="113">
        <v>3.9994692182111491E-2</v>
      </c>
    </row>
    <row r="994" spans="17:28" x14ac:dyDescent="0.2">
      <c r="Q994" s="72"/>
      <c r="T994" s="72"/>
      <c r="U994" s="93"/>
      <c r="X994" s="114" t="str">
        <f t="shared" si="28"/>
        <v>1w</v>
      </c>
      <c r="Y994" s="112">
        <f>_xll.qlCalendarAdvance(Calendar,Y993,X994,"f",FALSE)</f>
        <v>46112</v>
      </c>
      <c r="Z994" s="115">
        <f>_xll.qlCalendarAdvance(Calendar,Y994,NDays&amp;"D")</f>
        <v>46112</v>
      </c>
      <c r="AA994" s="116">
        <v>4.031621812962094E-2</v>
      </c>
      <c r="AB994" s="113">
        <v>4.0011877950320018E-2</v>
      </c>
    </row>
    <row r="995" spans="17:28" x14ac:dyDescent="0.2">
      <c r="Q995" s="72"/>
      <c r="T995" s="72"/>
      <c r="U995" s="93"/>
      <c r="X995" s="114" t="str">
        <f t="shared" si="28"/>
        <v>1w</v>
      </c>
      <c r="Y995" s="112">
        <f>_xll.qlCalendarAdvance(Calendar,Y994,X995,"f",FALSE)</f>
        <v>46119</v>
      </c>
      <c r="Z995" s="115">
        <f>_xll.qlCalendarAdvance(Calendar,Y995,NDays&amp;"D")</f>
        <v>46119</v>
      </c>
      <c r="AA995" s="116">
        <v>4.0332311579955739E-2</v>
      </c>
      <c r="AB995" s="113">
        <v>4.0028895348203086E-2</v>
      </c>
    </row>
    <row r="996" spans="17:28" x14ac:dyDescent="0.2">
      <c r="Q996" s="72"/>
      <c r="T996" s="72"/>
      <c r="U996" s="93"/>
      <c r="X996" s="114" t="str">
        <f t="shared" si="28"/>
        <v>1w</v>
      </c>
      <c r="Y996" s="112">
        <f>_xll.qlCalendarAdvance(Calendar,Y995,X996,"f",FALSE)</f>
        <v>46126</v>
      </c>
      <c r="Z996" s="115">
        <f>_xll.qlCalendarAdvance(Calendar,Y996,NDays&amp;"D")</f>
        <v>46126</v>
      </c>
      <c r="AA996" s="116">
        <v>4.0348235048164732E-2</v>
      </c>
      <c r="AB996" s="113">
        <v>4.0045744376003833E-2</v>
      </c>
    </row>
    <row r="997" spans="17:28" x14ac:dyDescent="0.2">
      <c r="Q997" s="72"/>
      <c r="T997" s="72"/>
      <c r="U997" s="93"/>
      <c r="X997" s="114" t="str">
        <f t="shared" si="28"/>
        <v>1w</v>
      </c>
      <c r="Y997" s="112">
        <f>_xll.qlCalendarAdvance(Calendar,Y996,X997,"f",FALSE)</f>
        <v>46133</v>
      </c>
      <c r="Z997" s="115">
        <f>_xll.qlCalendarAdvance(Calendar,Y997,NDays&amp;"D")</f>
        <v>46133</v>
      </c>
      <c r="AA997" s="116">
        <v>4.0363988532241366E-2</v>
      </c>
      <c r="AB997" s="113">
        <v>4.0062425033560167E-2</v>
      </c>
    </row>
    <row r="998" spans="17:28" x14ac:dyDescent="0.2">
      <c r="Q998" s="72"/>
      <c r="T998" s="72"/>
      <c r="U998" s="93"/>
      <c r="X998" s="114" t="str">
        <f t="shared" si="28"/>
        <v>1w</v>
      </c>
      <c r="Y998" s="112">
        <f>_xll.qlCalendarAdvance(Calendar,Y997,X998,"f",FALSE)</f>
        <v>46140</v>
      </c>
      <c r="Z998" s="115">
        <f>_xll.qlCalendarAdvance(Calendar,Y998,NDays&amp;"D")</f>
        <v>46140</v>
      </c>
      <c r="AA998" s="116">
        <v>4.0379572030204897E-2</v>
      </c>
      <c r="AB998" s="113">
        <v>4.0078937320872088E-2</v>
      </c>
    </row>
    <row r="999" spans="17:28" x14ac:dyDescent="0.2">
      <c r="Q999" s="72"/>
      <c r="T999" s="72"/>
      <c r="U999" s="93"/>
      <c r="X999" s="114" t="str">
        <f t="shared" si="28"/>
        <v>1w</v>
      </c>
      <c r="Y999" s="112">
        <f>_xll.qlCalendarAdvance(Calendar,Y998,X999,"f",FALSE)</f>
        <v>46147</v>
      </c>
      <c r="Z999" s="115">
        <f>_xll.qlCalendarAdvance(Calendar,Y999,NDays&amp;"D")</f>
        <v>46147</v>
      </c>
      <c r="AA999" s="116">
        <v>4.0398281552573634E-2</v>
      </c>
      <c r="AB999" s="113">
        <v>4.0095281237858549E-2</v>
      </c>
    </row>
    <row r="1000" spans="17:28" x14ac:dyDescent="0.2">
      <c r="Q1000" s="72"/>
      <c r="T1000" s="72"/>
      <c r="U1000" s="93"/>
      <c r="X1000" s="114" t="str">
        <f t="shared" si="28"/>
        <v>1w</v>
      </c>
      <c r="Y1000" s="112">
        <f>_xll.qlCalendarAdvance(Calendar,Y999,X1000,"f",FALSE)</f>
        <v>46154</v>
      </c>
      <c r="Z1000" s="115">
        <f>_xll.qlCalendarAdvance(Calendar,Y1000,NDays&amp;"D")</f>
        <v>46154</v>
      </c>
      <c r="AA1000" s="116">
        <v>4.0413514607820833E-2</v>
      </c>
      <c r="AB1000" s="113">
        <v>4.0111456784681643E-2</v>
      </c>
    </row>
    <row r="1001" spans="17:28" x14ac:dyDescent="0.2">
      <c r="Q1001" s="72"/>
      <c r="T1001" s="72"/>
      <c r="U1001" s="93"/>
      <c r="X1001" s="114" t="str">
        <f t="shared" si="28"/>
        <v>1w</v>
      </c>
      <c r="Y1001" s="112">
        <f>_xll.qlCalendarAdvance(Calendar,Y1000,X1001,"f",FALSE)</f>
        <v>46161</v>
      </c>
      <c r="Z1001" s="115">
        <f>_xll.qlCalendarAdvance(Calendar,Y1001,NDays&amp;"D")</f>
        <v>46161</v>
      </c>
      <c r="AA1001" s="116">
        <v>4.0428577652890006E-2</v>
      </c>
      <c r="AB1001" s="113">
        <v>4.0127463961098231E-2</v>
      </c>
    </row>
    <row r="1002" spans="17:28" x14ac:dyDescent="0.2">
      <c r="Q1002" s="72"/>
      <c r="T1002" s="72"/>
      <c r="U1002" s="93"/>
      <c r="X1002" s="114" t="str">
        <f t="shared" si="28"/>
        <v>1w</v>
      </c>
      <c r="Y1002" s="112">
        <f>_xll.qlCalendarAdvance(Calendar,Y1001,X1002,"f",FALSE)</f>
        <v>46168</v>
      </c>
      <c r="Z1002" s="115">
        <f>_xll.qlCalendarAdvance(Calendar,Y1002,NDays&amp;"D")</f>
        <v>46168</v>
      </c>
      <c r="AA1002" s="116">
        <v>4.0443470685865998E-2</v>
      </c>
      <c r="AB1002" s="113">
        <v>4.0143302767108313E-2</v>
      </c>
    </row>
    <row r="1003" spans="17:28" x14ac:dyDescent="0.2">
      <c r="Q1003" s="72"/>
      <c r="T1003" s="72"/>
      <c r="U1003" s="93"/>
      <c r="X1003" s="114" t="str">
        <f t="shared" si="28"/>
        <v>1w</v>
      </c>
      <c r="Y1003" s="112">
        <f>_xll.qlCalendarAdvance(Calendar,Y1002,X1003,"f",FALSE)</f>
        <v>46175</v>
      </c>
      <c r="Z1003" s="115">
        <f>_xll.qlCalendarAdvance(Calendar,Y1003,NDays&amp;"D")</f>
        <v>46175</v>
      </c>
      <c r="AA1003" s="116">
        <v>4.0458193704851264E-2</v>
      </c>
      <c r="AB1003" s="113">
        <v>4.0158973202873982E-2</v>
      </c>
    </row>
    <row r="1004" spans="17:28" x14ac:dyDescent="0.2">
      <c r="Q1004" s="72"/>
      <c r="T1004" s="72"/>
      <c r="U1004" s="93"/>
      <c r="X1004" s="114" t="str">
        <f t="shared" si="28"/>
        <v>1w</v>
      </c>
      <c r="Y1004" s="112">
        <f>_xll.qlCalendarAdvance(Calendar,Y1003,X1004,"f",FALSE)</f>
        <v>46182</v>
      </c>
      <c r="Z1004" s="115">
        <f>_xll.qlCalendarAdvance(Calendar,Y1004,NDays&amp;"D")</f>
        <v>46182</v>
      </c>
      <c r="AA1004" s="116">
        <v>4.0472746707972934E-2</v>
      </c>
      <c r="AB1004" s="113">
        <v>4.0174475268314191E-2</v>
      </c>
    </row>
    <row r="1005" spans="17:28" x14ac:dyDescent="0.2">
      <c r="Q1005" s="72"/>
      <c r="T1005" s="72"/>
      <c r="U1005" s="93"/>
      <c r="X1005" s="114" t="str">
        <f t="shared" si="28"/>
        <v>1w</v>
      </c>
      <c r="Y1005" s="112">
        <f>_xll.qlCalendarAdvance(Calendar,Y1004,X1005,"f",FALSE)</f>
        <v>46189</v>
      </c>
      <c r="Z1005" s="115">
        <f>_xll.qlCalendarAdvance(Calendar,Y1005,NDays&amp;"D")</f>
        <v>46189</v>
      </c>
      <c r="AA1005" s="116">
        <v>4.0487129693378393E-2</v>
      </c>
      <c r="AB1005" s="113">
        <v>4.0189808963266849E-2</v>
      </c>
    </row>
    <row r="1006" spans="17:28" x14ac:dyDescent="0.2">
      <c r="Q1006" s="72"/>
      <c r="T1006" s="72"/>
      <c r="U1006" s="93"/>
      <c r="X1006" s="114" t="str">
        <f t="shared" si="28"/>
        <v>1w</v>
      </c>
      <c r="Y1006" s="112">
        <f>_xll.qlCalendarAdvance(Calendar,Y1005,X1006,"f",FALSE)</f>
        <v>46196</v>
      </c>
      <c r="Z1006" s="115">
        <f>_xll.qlCalendarAdvance(Calendar,Y1006,NDays&amp;"D")</f>
        <v>46196</v>
      </c>
      <c r="AA1006" s="116">
        <v>4.0501342659237938E-2</v>
      </c>
      <c r="AB1006" s="113">
        <v>4.0204974287731954E-2</v>
      </c>
    </row>
    <row r="1007" spans="17:28" x14ac:dyDescent="0.2">
      <c r="Q1007" s="72"/>
      <c r="T1007" s="72"/>
      <c r="U1007" s="93"/>
      <c r="X1007" s="114" t="str">
        <f t="shared" si="28"/>
        <v>1w</v>
      </c>
      <c r="Y1007" s="112">
        <f>_xll.qlCalendarAdvance(Calendar,Y1006,X1007,"f",FALSE)</f>
        <v>46203</v>
      </c>
      <c r="Z1007" s="115">
        <f>_xll.qlCalendarAdvance(Calendar,Y1007,NDays&amp;"D")</f>
        <v>46203</v>
      </c>
      <c r="AA1007" s="116">
        <v>4.0515385603738588E-2</v>
      </c>
      <c r="AB1007" s="113">
        <v>4.0219971241790553E-2</v>
      </c>
    </row>
    <row r="1008" spans="17:28" x14ac:dyDescent="0.2">
      <c r="Q1008" s="72"/>
      <c r="T1008" s="72"/>
      <c r="U1008" s="93"/>
      <c r="X1008" s="114" t="str">
        <f t="shared" si="28"/>
        <v>1w</v>
      </c>
      <c r="Y1008" s="112">
        <f>_xll.qlCalendarAdvance(Calendar,Y1007,X1008,"f",FALSE)</f>
        <v>46210</v>
      </c>
      <c r="Z1008" s="115">
        <f>_xll.qlCalendarAdvance(Calendar,Y1008,NDays&amp;"D")</f>
        <v>46210</v>
      </c>
      <c r="AA1008" s="116">
        <v>4.0529258525096451E-2</v>
      </c>
      <c r="AB1008" s="113">
        <v>4.0234799825442646E-2</v>
      </c>
    </row>
    <row r="1009" spans="17:28" x14ac:dyDescent="0.2">
      <c r="Q1009" s="72"/>
      <c r="T1009" s="72"/>
      <c r="U1009" s="93"/>
      <c r="X1009" s="114" t="str">
        <f t="shared" si="28"/>
        <v>1w</v>
      </c>
      <c r="Y1009" s="112">
        <f>_xll.qlCalendarAdvance(Calendar,Y1008,X1009,"f",FALSE)</f>
        <v>46217</v>
      </c>
      <c r="Z1009" s="115">
        <f>_xll.qlCalendarAdvance(Calendar,Y1009,NDays&amp;"D")</f>
        <v>46217</v>
      </c>
      <c r="AA1009" s="116">
        <v>4.0542961421545252E-2</v>
      </c>
      <c r="AB1009" s="113">
        <v>4.0249460038526141E-2</v>
      </c>
    </row>
    <row r="1010" spans="17:28" x14ac:dyDescent="0.2">
      <c r="Q1010" s="72"/>
      <c r="T1010" s="72"/>
      <c r="U1010" s="93"/>
      <c r="X1010" s="114" t="str">
        <f t="shared" si="28"/>
        <v>1w</v>
      </c>
      <c r="Y1010" s="112">
        <f>_xll.qlCalendarAdvance(Calendar,Y1009,X1010,"f",FALSE)</f>
        <v>46224</v>
      </c>
      <c r="Z1010" s="115">
        <f>_xll.qlCalendarAdvance(Calendar,Y1010,NDays&amp;"D")</f>
        <v>46224</v>
      </c>
      <c r="AA1010" s="116">
        <v>4.0556494291340728E-2</v>
      </c>
      <c r="AB1010" s="113">
        <v>4.0263951881203131E-2</v>
      </c>
    </row>
    <row r="1011" spans="17:28" x14ac:dyDescent="0.2">
      <c r="Q1011" s="72"/>
      <c r="T1011" s="72"/>
      <c r="U1011" s="93"/>
      <c r="X1011" s="114" t="str">
        <f t="shared" si="28"/>
        <v>1w</v>
      </c>
      <c r="Y1011" s="112">
        <f>_xll.qlCalendarAdvance(Calendar,Y1010,X1011,"f",FALSE)</f>
        <v>46231</v>
      </c>
      <c r="Z1011" s="115">
        <f>_xll.qlCalendarAdvance(Calendar,Y1011,NDays&amp;"D")</f>
        <v>46231</v>
      </c>
      <c r="AA1011" s="116">
        <v>4.0569857132758E-2</v>
      </c>
      <c r="AB1011" s="113">
        <v>4.0278275353230475E-2</v>
      </c>
    </row>
    <row r="1012" spans="17:28" x14ac:dyDescent="0.2">
      <c r="Q1012" s="72"/>
      <c r="T1012" s="72"/>
      <c r="U1012" s="93"/>
      <c r="X1012" s="114" t="str">
        <f t="shared" si="28"/>
        <v>1w</v>
      </c>
      <c r="Y1012" s="112">
        <f>_xll.qlCalendarAdvance(Calendar,Y1011,X1012,"f",FALSE)</f>
        <v>46238</v>
      </c>
      <c r="Z1012" s="115">
        <f>_xll.qlCalendarAdvance(Calendar,Y1012,NDays&amp;"D")</f>
        <v>46238</v>
      </c>
      <c r="AA1012" s="116">
        <v>4.0583049944097747E-2</v>
      </c>
      <c r="AB1012" s="113">
        <v>4.0292430454851313E-2</v>
      </c>
    </row>
    <row r="1013" spans="17:28" x14ac:dyDescent="0.2">
      <c r="Q1013" s="72"/>
      <c r="T1013" s="72"/>
      <c r="U1013" s="93"/>
      <c r="X1013" s="114" t="str">
        <f t="shared" si="28"/>
        <v>1w</v>
      </c>
      <c r="Y1013" s="112">
        <f>_xll.qlCalendarAdvance(Calendar,Y1012,X1013,"f",FALSE)</f>
        <v>46245</v>
      </c>
      <c r="Z1013" s="115">
        <f>_xll.qlCalendarAdvance(Calendar,Y1013,NDays&amp;"D")</f>
        <v>46245</v>
      </c>
      <c r="AA1013" s="116">
        <v>4.0596072723682652E-2</v>
      </c>
      <c r="AB1013" s="113">
        <v>4.0306417185903554E-2</v>
      </c>
    </row>
    <row r="1014" spans="17:28" x14ac:dyDescent="0.2">
      <c r="Q1014" s="72"/>
      <c r="T1014" s="72"/>
      <c r="U1014" s="93"/>
      <c r="X1014" s="114" t="str">
        <f t="shared" si="28"/>
        <v>1w</v>
      </c>
      <c r="Y1014" s="112">
        <f>_xll.qlCalendarAdvance(Calendar,Y1013,X1014,"f",FALSE)</f>
        <v>46252</v>
      </c>
      <c r="Z1014" s="115">
        <f>_xll.qlCalendarAdvance(Calendar,Y1014,NDays&amp;"D")</f>
        <v>46252</v>
      </c>
      <c r="AA1014" s="116">
        <v>4.0608925469850399E-2</v>
      </c>
      <c r="AB1014" s="113">
        <v>4.0320235546306149E-2</v>
      </c>
    </row>
    <row r="1015" spans="17:28" x14ac:dyDescent="0.2">
      <c r="Q1015" s="72"/>
      <c r="T1015" s="72"/>
      <c r="U1015" s="93"/>
      <c r="X1015" s="114" t="str">
        <f t="shared" si="28"/>
        <v>1w</v>
      </c>
      <c r="Y1015" s="112">
        <f>_xll.qlCalendarAdvance(Calendar,Y1014,X1015,"f",FALSE)</f>
        <v>46259</v>
      </c>
      <c r="Z1015" s="115">
        <f>_xll.qlCalendarAdvance(Calendar,Y1015,NDays&amp;"D")</f>
        <v>46259</v>
      </c>
      <c r="AA1015" s="116">
        <v>4.0621608180968598E-2</v>
      </c>
      <c r="AB1015" s="113">
        <v>4.03338855360591E-2</v>
      </c>
    </row>
    <row r="1016" spans="17:28" x14ac:dyDescent="0.2">
      <c r="Q1016" s="72"/>
      <c r="T1016" s="72"/>
      <c r="U1016" s="93"/>
      <c r="X1016" s="114" t="str">
        <f t="shared" si="28"/>
        <v>1w</v>
      </c>
      <c r="Y1016" s="112">
        <f>_xll.qlCalendarAdvance(Calendar,Y1015,X1016,"f",FALSE)</f>
        <v>46266</v>
      </c>
      <c r="Z1016" s="115">
        <f>_xll.qlCalendarAdvance(Calendar,Y1016,NDays&amp;"D")</f>
        <v>46266</v>
      </c>
      <c r="AA1016" s="116">
        <v>4.063100523494604E-2</v>
      </c>
      <c r="AB1016" s="113">
        <v>4.0347367155162406E-2</v>
      </c>
    </row>
    <row r="1017" spans="17:28" x14ac:dyDescent="0.2">
      <c r="Q1017" s="72"/>
      <c r="T1017" s="72"/>
      <c r="U1017" s="93"/>
      <c r="X1017" s="114" t="str">
        <f t="shared" si="28"/>
        <v>1w</v>
      </c>
      <c r="Y1017" s="112">
        <f>_xll.qlCalendarAdvance(Calendar,Y1016,X1017,"f",FALSE)</f>
        <v>46273</v>
      </c>
      <c r="Z1017" s="115">
        <f>_xll.qlCalendarAdvance(Calendar,Y1017,NDays&amp;"D")</f>
        <v>46273</v>
      </c>
      <c r="AA1017" s="116">
        <v>4.064335864834543E-2</v>
      </c>
      <c r="AB1017" s="113">
        <v>4.0360680403697113E-2</v>
      </c>
    </row>
    <row r="1018" spans="17:28" x14ac:dyDescent="0.2">
      <c r="Q1018" s="72"/>
      <c r="T1018" s="72"/>
      <c r="U1018" s="93"/>
      <c r="X1018" s="114" t="str">
        <f t="shared" si="28"/>
        <v>1w</v>
      </c>
      <c r="Y1018" s="112">
        <f>_xll.qlCalendarAdvance(Calendar,Y1017,X1018,"f",FALSE)</f>
        <v>46280</v>
      </c>
      <c r="Z1018" s="115">
        <f>_xll.qlCalendarAdvance(Calendar,Y1018,NDays&amp;"D")</f>
        <v>46280</v>
      </c>
      <c r="AA1018" s="116">
        <v>4.0655542040456745E-2</v>
      </c>
      <c r="AB1018" s="113">
        <v>4.0373825281663223E-2</v>
      </c>
    </row>
    <row r="1019" spans="17:28" x14ac:dyDescent="0.2">
      <c r="Q1019" s="72"/>
      <c r="T1019" s="72"/>
      <c r="U1019" s="93"/>
      <c r="X1019" s="114" t="str">
        <f t="shared" si="28"/>
        <v>1w</v>
      </c>
      <c r="Y1019" s="112">
        <f>_xll.qlCalendarAdvance(Calendar,Y1018,X1019,"f",FALSE)</f>
        <v>46287</v>
      </c>
      <c r="Z1019" s="115">
        <f>_xll.qlCalendarAdvance(Calendar,Y1019,NDays&amp;"D")</f>
        <v>46287</v>
      </c>
      <c r="AA1019" s="116">
        <v>4.0667555409743671E-2</v>
      </c>
      <c r="AB1019" s="113">
        <v>4.0386801788817595E-2</v>
      </c>
    </row>
    <row r="1020" spans="17:28" x14ac:dyDescent="0.2">
      <c r="Q1020" s="72"/>
      <c r="T1020" s="72"/>
      <c r="U1020" s="93"/>
      <c r="X1020" s="114" t="str">
        <f t="shared" si="28"/>
        <v>1w</v>
      </c>
      <c r="Y1020" s="112">
        <f>_xll.qlCalendarAdvance(Calendar,Y1019,X1020,"f",FALSE)</f>
        <v>46294</v>
      </c>
      <c r="Z1020" s="115">
        <f>_xll.qlCalendarAdvance(Calendar,Y1020,NDays&amp;"D")</f>
        <v>46294</v>
      </c>
      <c r="AA1020" s="116">
        <v>4.0679398754695721E-2</v>
      </c>
      <c r="AB1020" s="113">
        <v>4.0399609925322322E-2</v>
      </c>
    </row>
    <row r="1021" spans="17:28" x14ac:dyDescent="0.2">
      <c r="Q1021" s="72"/>
      <c r="T1021" s="72"/>
      <c r="U1021" s="93"/>
      <c r="X1021" s="114" t="str">
        <f t="shared" si="28"/>
        <v>1w</v>
      </c>
      <c r="Y1021" s="112">
        <f>_xll.qlCalendarAdvance(Calendar,Y1020,X1021,"f",FALSE)</f>
        <v>46301</v>
      </c>
      <c r="Z1021" s="115">
        <f>_xll.qlCalendarAdvance(Calendar,Y1021,NDays&amp;"D")</f>
        <v>46301</v>
      </c>
      <c r="AA1021" s="116">
        <v>4.0694133622721708E-2</v>
      </c>
      <c r="AB1021" s="113">
        <v>4.0412249691096358E-2</v>
      </c>
    </row>
    <row r="1022" spans="17:28" x14ac:dyDescent="0.2">
      <c r="Q1022" s="72"/>
      <c r="T1022" s="72"/>
      <c r="U1022" s="93"/>
      <c r="X1022" s="114" t="str">
        <f t="shared" si="28"/>
        <v>1w</v>
      </c>
      <c r="Y1022" s="112">
        <f>_xll.qlCalendarAdvance(Calendar,Y1021,X1022,"f",FALSE)</f>
        <v>46308</v>
      </c>
      <c r="Z1022" s="115">
        <f>_xll.qlCalendarAdvance(Calendar,Y1022,NDays&amp;"D")</f>
        <v>46308</v>
      </c>
      <c r="AA1022" s="116">
        <v>4.0705626044494674E-2</v>
      </c>
      <c r="AB1022" s="113">
        <v>4.042472108622075E-2</v>
      </c>
    </row>
    <row r="1023" spans="17:28" x14ac:dyDescent="0.2">
      <c r="Q1023" s="72"/>
      <c r="T1023" s="72"/>
      <c r="U1023" s="93"/>
      <c r="X1023" s="114" t="str">
        <f t="shared" si="28"/>
        <v>1w</v>
      </c>
      <c r="Y1023" s="112">
        <f>_xll.qlCalendarAdvance(Calendar,Y1022,X1023,"f",FALSE)</f>
        <v>46315</v>
      </c>
      <c r="Z1023" s="115">
        <f>_xll.qlCalendarAdvance(Calendar,Y1023,NDays&amp;"D")</f>
        <v>46315</v>
      </c>
      <c r="AA1023" s="116">
        <v>4.07169484189061E-2</v>
      </c>
      <c r="AB1023" s="113">
        <v>4.0437024110533404E-2</v>
      </c>
    </row>
    <row r="1024" spans="17:28" x14ac:dyDescent="0.2">
      <c r="Q1024" s="72"/>
      <c r="T1024" s="72"/>
      <c r="U1024" s="93"/>
      <c r="X1024" s="114" t="str">
        <f t="shared" si="28"/>
        <v>1w</v>
      </c>
      <c r="Y1024" s="112">
        <f>_xll.qlCalendarAdvance(Calendar,Y1023,X1024,"f",FALSE)</f>
        <v>46322</v>
      </c>
      <c r="Z1024" s="115">
        <f>_xll.qlCalendarAdvance(Calendar,Y1024,NDays&amp;"D")</f>
        <v>46322</v>
      </c>
      <c r="AA1024" s="116">
        <v>4.072810074451743E-2</v>
      </c>
      <c r="AB1024" s="113">
        <v>4.0449158764115367E-2</v>
      </c>
    </row>
    <row r="1025" spans="17:28" x14ac:dyDescent="0.2">
      <c r="Q1025" s="72"/>
      <c r="T1025" s="72"/>
      <c r="U1025" s="93"/>
      <c r="X1025" s="114" t="str">
        <f t="shared" si="28"/>
        <v>1w</v>
      </c>
      <c r="Y1025" s="112">
        <f>_xll.qlCalendarAdvance(Calendar,Y1024,X1025,"f",FALSE)</f>
        <v>46329</v>
      </c>
      <c r="Z1025" s="115">
        <f>_xll.qlCalendarAdvance(Calendar,Y1025,NDays&amp;"D")</f>
        <v>46329</v>
      </c>
      <c r="AA1025" s="116">
        <v>4.073908301990771E-2</v>
      </c>
      <c r="AB1025" s="113">
        <v>4.0461125046804547E-2</v>
      </c>
    </row>
    <row r="1026" spans="17:28" x14ac:dyDescent="0.2">
      <c r="Q1026" s="72"/>
      <c r="T1026" s="72"/>
      <c r="U1026" s="93"/>
      <c r="X1026" s="114" t="str">
        <f t="shared" si="28"/>
        <v>1w</v>
      </c>
      <c r="Y1026" s="112">
        <f>_xll.qlCalendarAdvance(Calendar,Y1025,X1026,"f",FALSE)</f>
        <v>46336</v>
      </c>
      <c r="Z1026" s="115">
        <f>_xll.qlCalendarAdvance(Calendar,Y1026,NDays&amp;"D")</f>
        <v>46336</v>
      </c>
      <c r="AA1026" s="116">
        <v>4.0749895243678884E-2</v>
      </c>
      <c r="AB1026" s="113">
        <v>4.0472922958763036E-2</v>
      </c>
    </row>
    <row r="1027" spans="17:28" x14ac:dyDescent="0.2">
      <c r="Q1027" s="72"/>
      <c r="T1027" s="72"/>
      <c r="U1027" s="93"/>
      <c r="X1027" s="114" t="str">
        <f t="shared" si="28"/>
        <v>1w</v>
      </c>
      <c r="Y1027" s="112">
        <f>_xll.qlCalendarAdvance(Calendar,Y1026,X1027,"f",FALSE)</f>
        <v>46343</v>
      </c>
      <c r="Z1027" s="115">
        <f>_xll.qlCalendarAdvance(Calendar,Y1027,NDays&amp;"D")</f>
        <v>46343</v>
      </c>
      <c r="AA1027" s="116">
        <v>4.0760537414454928E-2</v>
      </c>
      <c r="AB1027" s="113">
        <v>4.0484552499909787E-2</v>
      </c>
    </row>
    <row r="1028" spans="17:28" x14ac:dyDescent="0.2">
      <c r="Q1028" s="72"/>
      <c r="T1028" s="72"/>
      <c r="U1028" s="93"/>
      <c r="X1028" s="114" t="str">
        <f t="shared" si="28"/>
        <v>1w</v>
      </c>
      <c r="Y1028" s="112">
        <f>_xll.qlCalendarAdvance(Calendar,Y1027,X1028,"f",FALSE)</f>
        <v>46350</v>
      </c>
      <c r="Z1028" s="115">
        <f>_xll.qlCalendarAdvance(Calendar,Y1028,NDays&amp;"D")</f>
        <v>46350</v>
      </c>
      <c r="AA1028" s="116">
        <v>4.0771009530881842E-2</v>
      </c>
      <c r="AB1028" s="113">
        <v>4.0496013670244801E-2</v>
      </c>
    </row>
    <row r="1029" spans="17:28" x14ac:dyDescent="0.2">
      <c r="Q1029" s="72"/>
      <c r="T1029" s="72"/>
      <c r="U1029" s="93"/>
      <c r="X1029" s="114" t="str">
        <f t="shared" si="28"/>
        <v>1w</v>
      </c>
      <c r="Y1029" s="112">
        <f>_xll.qlCalendarAdvance(Calendar,Y1028,X1029,"f",FALSE)</f>
        <v>46357</v>
      </c>
      <c r="Z1029" s="115">
        <f>_xll.qlCalendarAdvance(Calendar,Y1029,NDays&amp;"D")</f>
        <v>46357</v>
      </c>
      <c r="AA1029" s="116">
        <v>4.0775362626910804E-2</v>
      </c>
      <c r="AB1029" s="113">
        <v>4.0507306469687032E-2</v>
      </c>
    </row>
    <row r="1030" spans="17:28" x14ac:dyDescent="0.2">
      <c r="Q1030" s="72"/>
      <c r="T1030" s="72"/>
      <c r="U1030" s="93"/>
      <c r="X1030" s="114" t="str">
        <f t="shared" si="28"/>
        <v>1w</v>
      </c>
      <c r="Y1030" s="112">
        <f>_xll.qlCalendarAdvance(Calendar,Y1029,X1030,"f",FALSE)</f>
        <v>46364</v>
      </c>
      <c r="Z1030" s="115">
        <f>_xll.qlCalendarAdvance(Calendar,Y1030,NDays&amp;"D")</f>
        <v>46364</v>
      </c>
      <c r="AA1030" s="116">
        <v>4.0785516666844088E-2</v>
      </c>
      <c r="AB1030" s="113">
        <v>4.0518430898236479E-2</v>
      </c>
    </row>
    <row r="1031" spans="17:28" x14ac:dyDescent="0.2">
      <c r="Q1031" s="72"/>
      <c r="T1031" s="72"/>
      <c r="U1031" s="93"/>
      <c r="X1031" s="114" t="str">
        <f t="shared" si="28"/>
        <v>1w</v>
      </c>
      <c r="Y1031" s="112">
        <f>_xll.qlCalendarAdvance(Calendar,Y1030,X1031,"f",FALSE)</f>
        <v>46371</v>
      </c>
      <c r="Z1031" s="115">
        <f>_xll.qlCalendarAdvance(Calendar,Y1031,NDays&amp;"D")</f>
        <v>46371</v>
      </c>
      <c r="AA1031" s="116">
        <v>4.0795500685935397E-2</v>
      </c>
      <c r="AB1031" s="113">
        <v>4.0529386956055236E-2</v>
      </c>
    </row>
    <row r="1032" spans="17:28" x14ac:dyDescent="0.2">
      <c r="Q1032" s="72"/>
      <c r="T1032" s="72"/>
      <c r="U1032" s="93"/>
      <c r="X1032" s="114" t="str">
        <f t="shared" si="28"/>
        <v>1w</v>
      </c>
      <c r="Y1032" s="112">
        <f>_xll.qlCalendarAdvance(Calendar,Y1031,X1032,"f",FALSE)</f>
        <v>46378</v>
      </c>
      <c r="Z1032" s="115">
        <f>_xll.qlCalendarAdvance(Calendar,Y1032,NDays&amp;"D")</f>
        <v>46378</v>
      </c>
      <c r="AA1032" s="116">
        <v>4.0805314682940221E-2</v>
      </c>
      <c r="AB1032" s="113">
        <v>4.0540174642900162E-2</v>
      </c>
    </row>
    <row r="1033" spans="17:28" x14ac:dyDescent="0.2">
      <c r="Q1033" s="72"/>
      <c r="T1033" s="72"/>
      <c r="U1033" s="93"/>
      <c r="X1033" s="114" t="str">
        <f t="shared" si="28"/>
        <v>1w</v>
      </c>
      <c r="Y1033" s="112">
        <f>_xll.qlCalendarAdvance(Calendar,Y1032,X1033,"f",FALSE)</f>
        <v>46385</v>
      </c>
      <c r="Z1033" s="115">
        <f>_xll.qlCalendarAdvance(Calendar,Y1033,NDays&amp;"D")</f>
        <v>46385</v>
      </c>
      <c r="AA1033" s="116">
        <v>4.0817889375267924E-2</v>
      </c>
      <c r="AB1033" s="113">
        <v>4.0550793958852305E-2</v>
      </c>
    </row>
    <row r="1034" spans="17:28" x14ac:dyDescent="0.2">
      <c r="Q1034" s="72"/>
      <c r="T1034" s="72"/>
      <c r="U1034" s="93"/>
      <c r="X1034" s="114" t="str">
        <f t="shared" si="28"/>
        <v>1w</v>
      </c>
      <c r="Y1034" s="112">
        <f>_xll.qlCalendarAdvance(Calendar,Y1033,X1034,"f",FALSE)</f>
        <v>46392</v>
      </c>
      <c r="Z1034" s="115">
        <f>_xll.qlCalendarAdvance(Calendar,Y1034,NDays&amp;"D")</f>
        <v>46392</v>
      </c>
      <c r="AA1034" s="116">
        <v>4.0824432605825842E-2</v>
      </c>
      <c r="AB1034" s="113">
        <v>4.0561244903830618E-2</v>
      </c>
    </row>
    <row r="1035" spans="17:28" x14ac:dyDescent="0.2">
      <c r="Q1035" s="72"/>
      <c r="T1035" s="72"/>
      <c r="U1035" s="93"/>
      <c r="X1035" s="114" t="str">
        <f t="shared" si="28"/>
        <v>1w</v>
      </c>
      <c r="Y1035" s="112">
        <f>_xll.qlCalendarAdvance(Calendar,Y1034,X1035,"f",FALSE)</f>
        <v>46399</v>
      </c>
      <c r="Z1035" s="115">
        <f>_xll.qlCalendarAdvance(Calendar,Y1035,NDays&amp;"D")</f>
        <v>46399</v>
      </c>
      <c r="AA1035" s="116">
        <v>4.0833736529324774E-2</v>
      </c>
      <c r="AB1035" s="113">
        <v>4.0571527477835101E-2</v>
      </c>
    </row>
    <row r="1036" spans="17:28" x14ac:dyDescent="0.2">
      <c r="Q1036" s="72"/>
      <c r="T1036" s="72"/>
      <c r="U1036" s="93"/>
      <c r="X1036" s="114" t="str">
        <f t="shared" si="28"/>
        <v>1w</v>
      </c>
      <c r="Y1036" s="112">
        <f>_xll.qlCalendarAdvance(Calendar,Y1035,X1036,"f",FALSE)</f>
        <v>46406</v>
      </c>
      <c r="Z1036" s="115">
        <f>_xll.qlCalendarAdvance(Calendar,Y1036,NDays&amp;"D")</f>
        <v>46406</v>
      </c>
      <c r="AA1036" s="116">
        <v>4.0842870425978006E-2</v>
      </c>
      <c r="AB1036" s="113">
        <v>4.0581641680946801E-2</v>
      </c>
    </row>
    <row r="1037" spans="17:28" x14ac:dyDescent="0.2">
      <c r="Q1037" s="72"/>
      <c r="T1037" s="72"/>
      <c r="U1037" s="93"/>
      <c r="X1037" s="114" t="str">
        <f t="shared" si="28"/>
        <v>1w</v>
      </c>
      <c r="Y1037" s="112">
        <f>_xll.qlCalendarAdvance(Calendar,Y1036,X1037,"f",FALSE)</f>
        <v>46414</v>
      </c>
      <c r="Z1037" s="115">
        <f>_xll.qlCalendarAdvance(Calendar,Y1037,NDays&amp;"D")</f>
        <v>46414</v>
      </c>
      <c r="AA1037" s="116">
        <v>4.0853100967411127E-2</v>
      </c>
      <c r="AB1037" s="113">
        <v>4.0592994601735821E-2</v>
      </c>
    </row>
    <row r="1038" spans="17:28" x14ac:dyDescent="0.2">
      <c r="Q1038" s="72"/>
      <c r="T1038" s="72"/>
      <c r="U1038" s="93"/>
      <c r="X1038" s="114" t="str">
        <f t="shared" si="28"/>
        <v>1w</v>
      </c>
      <c r="Y1038" s="112">
        <f>_xll.qlCalendarAdvance(Calendar,Y1037,X1038,"f",FALSE)</f>
        <v>46421</v>
      </c>
      <c r="Z1038" s="115">
        <f>_xll.qlCalendarAdvance(Calendar,Y1038,NDays&amp;"D")</f>
        <v>46421</v>
      </c>
      <c r="AA1038" s="116">
        <v>4.0858996186939917E-2</v>
      </c>
      <c r="AB1038" s="113">
        <v>4.0602748009984646E-2</v>
      </c>
    </row>
    <row r="1039" spans="17:28" x14ac:dyDescent="0.2">
      <c r="Q1039" s="72"/>
      <c r="T1039" s="72"/>
      <c r="U1039" s="93"/>
      <c r="X1039" s="114" t="str">
        <f t="shared" si="28"/>
        <v>1w</v>
      </c>
      <c r="Y1039" s="112">
        <f>_xll.qlCalendarAdvance(Calendar,Y1038,X1039,"f",FALSE)</f>
        <v>46428</v>
      </c>
      <c r="Z1039" s="115">
        <f>_xll.qlCalendarAdvance(Calendar,Y1039,NDays&amp;"D")</f>
        <v>46428</v>
      </c>
      <c r="AA1039" s="116">
        <v>4.0867606892022193E-2</v>
      </c>
      <c r="AB1039" s="113">
        <v>4.0612333047178595E-2</v>
      </c>
    </row>
    <row r="1040" spans="17:28" x14ac:dyDescent="0.2">
      <c r="Q1040" s="72"/>
      <c r="T1040" s="72"/>
      <c r="U1040" s="93"/>
      <c r="X1040" s="114" t="str">
        <f t="shared" si="28"/>
        <v>1w</v>
      </c>
      <c r="Y1040" s="112">
        <f>_xll.qlCalendarAdvance(Calendar,Y1039,X1040,"f",FALSE)</f>
        <v>46435</v>
      </c>
      <c r="Z1040" s="115">
        <f>_xll.qlCalendarAdvance(Calendar,Y1040,NDays&amp;"D")</f>
        <v>46435</v>
      </c>
      <c r="AA1040" s="116">
        <v>4.0876047655613992E-2</v>
      </c>
      <c r="AB1040" s="113">
        <v>4.0621749713317667E-2</v>
      </c>
    </row>
    <row r="1041" spans="17:28" x14ac:dyDescent="0.2">
      <c r="Q1041" s="72"/>
      <c r="T1041" s="72"/>
      <c r="U1041" s="93"/>
      <c r="X1041" s="114" t="str">
        <f t="shared" si="28"/>
        <v>1w</v>
      </c>
      <c r="Y1041" s="112">
        <f>_xll.qlCalendarAdvance(Calendar,Y1040,X1041,"f",FALSE)</f>
        <v>46442</v>
      </c>
      <c r="Z1041" s="115">
        <f>_xll.qlCalendarAdvance(Calendar,Y1041,NDays&amp;"D")</f>
        <v>46442</v>
      </c>
      <c r="AA1041" s="116">
        <v>4.0884319246387371E-2</v>
      </c>
      <c r="AB1041" s="113">
        <v>4.0630998008401864E-2</v>
      </c>
    </row>
    <row r="1042" spans="17:28" x14ac:dyDescent="0.2">
      <c r="Q1042" s="72"/>
      <c r="T1042" s="72"/>
      <c r="U1042" s="93"/>
      <c r="X1042" s="114" t="str">
        <f t="shared" si="28"/>
        <v>1w</v>
      </c>
      <c r="Y1042" s="112">
        <f>_xll.qlCalendarAdvance(Calendar,Y1041,X1042,"f",FALSE)</f>
        <v>46449</v>
      </c>
      <c r="Z1042" s="115">
        <f>_xll.qlCalendarAdvance(Calendar,Y1042,NDays&amp;"D")</f>
        <v>46449</v>
      </c>
      <c r="AA1042" s="116">
        <v>4.0900910614938842E-2</v>
      </c>
      <c r="AB1042" s="113">
        <v>4.0640077932593277E-2</v>
      </c>
    </row>
    <row r="1043" spans="17:28" x14ac:dyDescent="0.2">
      <c r="Q1043" s="72"/>
      <c r="T1043" s="72"/>
      <c r="U1043" s="93"/>
      <c r="X1043" s="114" t="str">
        <f t="shared" si="28"/>
        <v>1w</v>
      </c>
      <c r="Y1043" s="112">
        <f>_xll.qlCalendarAdvance(Calendar,Y1042,X1043,"f",FALSE)</f>
        <v>46456</v>
      </c>
      <c r="Z1043" s="115">
        <f>_xll.qlCalendarAdvance(Calendar,Y1043,NDays&amp;"D")</f>
        <v>46456</v>
      </c>
      <c r="AA1043" s="116">
        <v>4.0908815036991682E-2</v>
      </c>
      <c r="AB1043" s="113">
        <v>4.0648989485567721E-2</v>
      </c>
    </row>
    <row r="1044" spans="17:28" x14ac:dyDescent="0.2">
      <c r="Q1044" s="72"/>
      <c r="T1044" s="72"/>
      <c r="U1044" s="93"/>
      <c r="X1044" s="114" t="str">
        <f t="shared" si="28"/>
        <v>1w</v>
      </c>
      <c r="Y1044" s="112">
        <f>_xll.qlCalendarAdvance(Calendar,Y1043,X1044,"f",FALSE)</f>
        <v>46463</v>
      </c>
      <c r="Z1044" s="115">
        <f>_xll.qlCalendarAdvance(Calendar,Y1044,NDays&amp;"D")</f>
        <v>46463</v>
      </c>
      <c r="AA1044" s="116">
        <v>4.0916554079659814E-2</v>
      </c>
      <c r="AB1044" s="113">
        <v>4.0657732667649382E-2</v>
      </c>
    </row>
    <row r="1045" spans="17:28" x14ac:dyDescent="0.2">
      <c r="Q1045" s="72"/>
      <c r="T1045" s="72"/>
      <c r="U1045" s="93"/>
      <c r="X1045" s="114" t="str">
        <f t="shared" ref="X1045:X1108" si="29">X1044</f>
        <v>1w</v>
      </c>
      <c r="Y1045" s="112">
        <f>_xll.qlCalendarAdvance(Calendar,Y1044,X1045,"f",FALSE)</f>
        <v>46470</v>
      </c>
      <c r="Z1045" s="115">
        <f>_xll.qlCalendarAdvance(Calendar,Y1045,NDays&amp;"D")</f>
        <v>46470</v>
      </c>
      <c r="AA1045" s="116">
        <v>4.0924128874973029E-2</v>
      </c>
      <c r="AB1045" s="113">
        <v>4.0666307478595121E-2</v>
      </c>
    </row>
    <row r="1046" spans="17:28" x14ac:dyDescent="0.2">
      <c r="Q1046" s="72"/>
      <c r="T1046" s="72"/>
      <c r="U1046" s="93"/>
      <c r="X1046" s="114" t="str">
        <f t="shared" si="29"/>
        <v>1w</v>
      </c>
      <c r="Y1046" s="112">
        <f>_xll.qlCalendarAdvance(Calendar,Y1045,X1046,"f",FALSE)</f>
        <v>46477</v>
      </c>
      <c r="Z1046" s="115">
        <f>_xll.qlCalendarAdvance(Calendar,Y1046,NDays&amp;"D")</f>
        <v>46477</v>
      </c>
      <c r="AA1046" s="116">
        <v>4.092875464811168E-2</v>
      </c>
      <c r="AB1046" s="113">
        <v>4.0674713918404937E-2</v>
      </c>
    </row>
    <row r="1047" spans="17:28" x14ac:dyDescent="0.2">
      <c r="Q1047" s="72"/>
      <c r="T1047" s="72"/>
      <c r="U1047" s="93"/>
      <c r="X1047" s="114" t="str">
        <f t="shared" si="29"/>
        <v>1w</v>
      </c>
      <c r="Y1047" s="112">
        <f>_xll.qlCalendarAdvance(Calendar,Y1046,X1047,"f",FALSE)</f>
        <v>46484</v>
      </c>
      <c r="Z1047" s="115">
        <f>_xll.qlCalendarAdvance(Calendar,Y1047,NDays&amp;"D")</f>
        <v>46484</v>
      </c>
      <c r="AA1047" s="116">
        <v>4.0936014808398216E-2</v>
      </c>
      <c r="AB1047" s="113">
        <v>4.0682951987240923E-2</v>
      </c>
    </row>
    <row r="1048" spans="17:28" x14ac:dyDescent="0.2">
      <c r="Q1048" s="72"/>
      <c r="T1048" s="72"/>
      <c r="U1048" s="93"/>
      <c r="X1048" s="114" t="str">
        <f t="shared" si="29"/>
        <v>1w</v>
      </c>
      <c r="Y1048" s="112">
        <f>_xll.qlCalendarAdvance(Calendar,Y1047,X1048,"f",FALSE)</f>
        <v>46491</v>
      </c>
      <c r="Z1048" s="115">
        <f>_xll.qlCalendarAdvance(Calendar,Y1048,NDays&amp;"D")</f>
        <v>46491</v>
      </c>
      <c r="AA1048" s="116">
        <v>4.0943114073221258E-2</v>
      </c>
      <c r="AB1048" s="113">
        <v>4.069102168485994E-2</v>
      </c>
    </row>
    <row r="1049" spans="17:28" x14ac:dyDescent="0.2">
      <c r="Q1049" s="72"/>
      <c r="T1049" s="72"/>
      <c r="U1049" s="93"/>
      <c r="X1049" s="114" t="str">
        <f t="shared" si="29"/>
        <v>1w</v>
      </c>
      <c r="Y1049" s="112">
        <f>_xll.qlCalendarAdvance(Calendar,Y1048,X1049,"f",FALSE)</f>
        <v>46498</v>
      </c>
      <c r="Z1049" s="115">
        <f>_xll.qlCalendarAdvance(Calendar,Y1049,NDays&amp;"D")</f>
        <v>46498</v>
      </c>
      <c r="AA1049" s="116">
        <v>4.0950053587056709E-2</v>
      </c>
      <c r="AB1049" s="113">
        <v>4.0698923011424082E-2</v>
      </c>
    </row>
    <row r="1050" spans="17:28" x14ac:dyDescent="0.2">
      <c r="Q1050" s="72"/>
      <c r="T1050" s="72"/>
      <c r="U1050" s="93"/>
      <c r="X1050" s="114" t="str">
        <f t="shared" si="29"/>
        <v>1w</v>
      </c>
      <c r="Y1050" s="112">
        <f>_xll.qlCalendarAdvance(Calendar,Y1049,X1050,"f",FALSE)</f>
        <v>46505</v>
      </c>
      <c r="Z1050" s="115">
        <f>_xll.qlCalendarAdvance(Calendar,Y1050,NDays&amp;"D")</f>
        <v>46505</v>
      </c>
      <c r="AA1050" s="116">
        <v>4.0956834494406298E-2</v>
      </c>
      <c r="AB1050" s="113">
        <v>4.0706655966771255E-2</v>
      </c>
    </row>
    <row r="1051" spans="17:28" x14ac:dyDescent="0.2">
      <c r="Q1051" s="72"/>
      <c r="T1051" s="72"/>
      <c r="U1051" s="93"/>
      <c r="X1051" s="114" t="str">
        <f t="shared" si="29"/>
        <v>1w</v>
      </c>
      <c r="Y1051" s="112">
        <f>_xll.qlCalendarAdvance(Calendar,Y1050,X1051,"f",FALSE)</f>
        <v>46512</v>
      </c>
      <c r="Z1051" s="115">
        <f>_xll.qlCalendarAdvance(Calendar,Y1051,NDays&amp;"D")</f>
        <v>46512</v>
      </c>
      <c r="AA1051" s="116">
        <v>4.0966191849817937E-2</v>
      </c>
      <c r="AB1051" s="113">
        <v>4.0714220551063551E-2</v>
      </c>
    </row>
    <row r="1052" spans="17:28" x14ac:dyDescent="0.2">
      <c r="Q1052" s="72"/>
      <c r="T1052" s="72"/>
      <c r="U1052" s="93"/>
      <c r="X1052" s="114" t="str">
        <f t="shared" si="29"/>
        <v>1w</v>
      </c>
      <c r="Y1052" s="112">
        <f>_xll.qlCalendarAdvance(Calendar,Y1051,X1052,"f",FALSE)</f>
        <v>46519</v>
      </c>
      <c r="Z1052" s="115">
        <f>_xll.qlCalendarAdvance(Calendar,Y1052,NDays&amp;"D")</f>
        <v>46519</v>
      </c>
      <c r="AA1052" s="116">
        <v>4.0972648612927903E-2</v>
      </c>
      <c r="AB1052" s="113">
        <v>4.0721616814387573E-2</v>
      </c>
    </row>
    <row r="1053" spans="17:28" x14ac:dyDescent="0.2">
      <c r="Q1053" s="72"/>
      <c r="T1053" s="72"/>
      <c r="U1053" s="93"/>
      <c r="X1053" s="114" t="str">
        <f t="shared" si="29"/>
        <v>1w</v>
      </c>
      <c r="Y1053" s="112">
        <f>_xll.qlCalendarAdvance(Calendar,Y1052,X1053,"f",FALSE)</f>
        <v>46526</v>
      </c>
      <c r="Z1053" s="115">
        <f>_xll.qlCalendarAdvance(Calendar,Y1053,NDays&amp;"D")</f>
        <v>46526</v>
      </c>
      <c r="AA1053" s="116">
        <v>4.0978949997109687E-2</v>
      </c>
      <c r="AB1053" s="113">
        <v>4.0728853079385896E-2</v>
      </c>
    </row>
    <row r="1054" spans="17:28" x14ac:dyDescent="0.2">
      <c r="Q1054" s="72"/>
      <c r="T1054" s="72"/>
      <c r="U1054" s="93"/>
      <c r="X1054" s="114" t="str">
        <f t="shared" si="29"/>
        <v>1w</v>
      </c>
      <c r="Y1054" s="112">
        <f>_xll.qlCalendarAdvance(Calendar,Y1053,X1054,"f",FALSE)</f>
        <v>46533</v>
      </c>
      <c r="Z1054" s="115">
        <f>_xll.qlCalendarAdvance(Calendar,Y1054,NDays&amp;"D")</f>
        <v>46533</v>
      </c>
      <c r="AA1054" s="116">
        <v>4.098509619046465E-2</v>
      </c>
      <c r="AB1054" s="113">
        <v>4.0735935713621663E-2</v>
      </c>
    </row>
    <row r="1055" spans="17:28" x14ac:dyDescent="0.2">
      <c r="Q1055" s="72"/>
      <c r="T1055" s="72"/>
      <c r="U1055" s="93"/>
      <c r="X1055" s="114" t="str">
        <f t="shared" si="29"/>
        <v>1w</v>
      </c>
      <c r="Y1055" s="112">
        <f>_xll.qlCalendarAdvance(Calendar,Y1054,X1055,"f",FALSE)</f>
        <v>46540</v>
      </c>
      <c r="Z1055" s="115">
        <f>_xll.qlCalendarAdvance(Calendar,Y1055,NDays&amp;"D")</f>
        <v>46540</v>
      </c>
      <c r="AA1055" s="116">
        <v>4.0991087192277467E-2</v>
      </c>
      <c r="AB1055" s="113">
        <v>4.0742864716932781E-2</v>
      </c>
    </row>
    <row r="1056" spans="17:28" x14ac:dyDescent="0.2">
      <c r="Q1056" s="72"/>
      <c r="T1056" s="72"/>
      <c r="U1056" s="93"/>
      <c r="X1056" s="114" t="str">
        <f t="shared" si="29"/>
        <v>1w</v>
      </c>
      <c r="Y1056" s="112">
        <f>_xll.qlCalendarAdvance(Calendar,Y1055,X1056,"f",FALSE)</f>
        <v>46547</v>
      </c>
      <c r="Z1056" s="115">
        <f>_xll.qlCalendarAdvance(Calendar,Y1056,NDays&amp;"D")</f>
        <v>46547</v>
      </c>
      <c r="AA1056" s="116">
        <v>4.0996923001854847E-2</v>
      </c>
      <c r="AB1056" s="113">
        <v>4.0749640089481343E-2</v>
      </c>
    </row>
    <row r="1057" spans="17:28" x14ac:dyDescent="0.2">
      <c r="Q1057" s="72"/>
      <c r="T1057" s="72"/>
      <c r="U1057" s="93"/>
      <c r="X1057" s="114" t="str">
        <f t="shared" si="29"/>
        <v>1w</v>
      </c>
      <c r="Y1057" s="112">
        <f>_xll.qlCalendarAdvance(Calendar,Y1056,X1057,"f",FALSE)</f>
        <v>46554</v>
      </c>
      <c r="Z1057" s="115">
        <f>_xll.qlCalendarAdvance(Calendar,Y1057,NDays&amp;"D")</f>
        <v>46554</v>
      </c>
      <c r="AA1057" s="116">
        <v>4.100260361851759E-2</v>
      </c>
      <c r="AB1057" s="113">
        <v>4.0756261831186302E-2</v>
      </c>
    </row>
    <row r="1058" spans="17:28" x14ac:dyDescent="0.2">
      <c r="Q1058" s="72"/>
      <c r="T1058" s="72"/>
      <c r="U1058" s="93"/>
      <c r="X1058" s="114" t="str">
        <f t="shared" si="29"/>
        <v>1w</v>
      </c>
      <c r="Y1058" s="112">
        <f>_xll.qlCalendarAdvance(Calendar,Y1057,X1058,"f",FALSE)</f>
        <v>46561</v>
      </c>
      <c r="Z1058" s="115">
        <f>_xll.qlCalendarAdvance(Calendar,Y1058,NDays&amp;"D")</f>
        <v>46561</v>
      </c>
      <c r="AA1058" s="116">
        <v>4.1008129041604099E-2</v>
      </c>
      <c r="AB1058" s="113">
        <v>4.0762729941966613E-2</v>
      </c>
    </row>
    <row r="1059" spans="17:28" x14ac:dyDescent="0.2">
      <c r="Q1059" s="72"/>
      <c r="T1059" s="72"/>
      <c r="U1059" s="93"/>
      <c r="X1059" s="114" t="str">
        <f t="shared" si="29"/>
        <v>1w</v>
      </c>
      <c r="Y1059" s="112">
        <f>_xll.qlCalendarAdvance(Calendar,Y1058,X1059,"f",FALSE)</f>
        <v>46568</v>
      </c>
      <c r="Z1059" s="115">
        <f>_xll.qlCalendarAdvance(Calendar,Y1059,NDays&amp;"D")</f>
        <v>46568</v>
      </c>
      <c r="AA1059" s="116">
        <v>4.1013499270475706E-2</v>
      </c>
      <c r="AB1059" s="113">
        <v>4.0769044421822276E-2</v>
      </c>
    </row>
    <row r="1060" spans="17:28" x14ac:dyDescent="0.2">
      <c r="Q1060" s="72"/>
      <c r="T1060" s="72"/>
      <c r="U1060" s="93"/>
      <c r="X1060" s="114" t="str">
        <f t="shared" si="29"/>
        <v>1w</v>
      </c>
      <c r="Y1060" s="112">
        <f>_xll.qlCalendarAdvance(Calendar,Y1059,X1060,"f",FALSE)</f>
        <v>46575</v>
      </c>
      <c r="Z1060" s="115">
        <f>_xll.qlCalendarAdvance(Calendar,Y1060,NDays&amp;"D")</f>
        <v>46575</v>
      </c>
      <c r="AA1060" s="116">
        <v>4.1018714304506938E-2</v>
      </c>
      <c r="AB1060" s="113">
        <v>4.0775205270996429E-2</v>
      </c>
    </row>
    <row r="1061" spans="17:28" x14ac:dyDescent="0.2">
      <c r="Q1061" s="72"/>
      <c r="T1061" s="72"/>
      <c r="U1061" s="93"/>
      <c r="X1061" s="114" t="str">
        <f t="shared" si="29"/>
        <v>1w</v>
      </c>
      <c r="Y1061" s="112">
        <f>_xll.qlCalendarAdvance(Calendar,Y1060,X1061,"f",FALSE)</f>
        <v>46582</v>
      </c>
      <c r="Z1061" s="115">
        <f>_xll.qlCalendarAdvance(Calendar,Y1061,NDays&amp;"D")</f>
        <v>46582</v>
      </c>
      <c r="AA1061" s="116">
        <v>4.1023774143094355E-2</v>
      </c>
      <c r="AB1061" s="113">
        <v>4.0781212489164886E-2</v>
      </c>
    </row>
    <row r="1062" spans="17:28" x14ac:dyDescent="0.2">
      <c r="Q1062" s="72"/>
      <c r="T1062" s="72"/>
      <c r="U1062" s="93"/>
      <c r="X1062" s="114" t="str">
        <f t="shared" si="29"/>
        <v>1w</v>
      </c>
      <c r="Y1062" s="112">
        <f>_xll.qlCalendarAdvance(Calendar,Y1061,X1062,"f",FALSE)</f>
        <v>46589</v>
      </c>
      <c r="Z1062" s="115">
        <f>_xll.qlCalendarAdvance(Calendar,Y1062,NDays&amp;"D")</f>
        <v>46589</v>
      </c>
      <c r="AA1062" s="116">
        <v>4.1028678785645971E-2</v>
      </c>
      <c r="AB1062" s="113">
        <v>4.0787066076489742E-2</v>
      </c>
    </row>
    <row r="1063" spans="17:28" x14ac:dyDescent="0.2">
      <c r="Q1063" s="72"/>
      <c r="T1063" s="72"/>
      <c r="U1063" s="93"/>
      <c r="X1063" s="114" t="str">
        <f t="shared" si="29"/>
        <v>1w</v>
      </c>
      <c r="Y1063" s="112">
        <f>_xll.qlCalendarAdvance(Calendar,Y1062,X1063,"f",FALSE)</f>
        <v>46596</v>
      </c>
      <c r="Z1063" s="115">
        <f>_xll.qlCalendarAdvance(Calendar,Y1063,NDays&amp;"D")</f>
        <v>46596</v>
      </c>
      <c r="AA1063" s="116">
        <v>4.1033428231594449E-2</v>
      </c>
      <c r="AB1063" s="113">
        <v>4.0792766032889949E-2</v>
      </c>
    </row>
    <row r="1064" spans="17:28" x14ac:dyDescent="0.2">
      <c r="Q1064" s="72"/>
      <c r="T1064" s="72"/>
      <c r="U1064" s="93"/>
      <c r="X1064" s="114" t="str">
        <f t="shared" si="29"/>
        <v>1w</v>
      </c>
      <c r="Y1064" s="112">
        <f>_xll.qlCalendarAdvance(Calendar,Y1063,X1064,"f",FALSE)</f>
        <v>46603</v>
      </c>
      <c r="Z1064" s="115">
        <f>_xll.qlCalendarAdvance(Calendar,Y1064,NDays&amp;"D")</f>
        <v>46603</v>
      </c>
      <c r="AA1064" s="116">
        <v>4.1038022480388341E-2</v>
      </c>
      <c r="AB1064" s="113">
        <v>4.0798312358365507E-2</v>
      </c>
    </row>
    <row r="1065" spans="17:28" x14ac:dyDescent="0.2">
      <c r="Q1065" s="72"/>
      <c r="T1065" s="72"/>
      <c r="U1065" s="93"/>
      <c r="X1065" s="114" t="str">
        <f t="shared" si="29"/>
        <v>1w</v>
      </c>
      <c r="Y1065" s="112">
        <f>_xll.qlCalendarAdvance(Calendar,Y1064,X1065,"f",FALSE)</f>
        <v>46610</v>
      </c>
      <c r="Z1065" s="115">
        <f>_xll.qlCalendarAdvance(Calendar,Y1065,NDays&amp;"D")</f>
        <v>46610</v>
      </c>
      <c r="AA1065" s="116">
        <v>4.1042461531494663E-2</v>
      </c>
      <c r="AB1065" s="113">
        <v>4.0803705052916417E-2</v>
      </c>
    </row>
    <row r="1066" spans="17:28" x14ac:dyDescent="0.2">
      <c r="Q1066" s="72"/>
      <c r="T1066" s="72"/>
      <c r="U1066" s="93"/>
      <c r="X1066" s="114" t="str">
        <f t="shared" si="29"/>
        <v>1w</v>
      </c>
      <c r="Y1066" s="112">
        <f>_xll.qlCalendarAdvance(Calendar,Y1065,X1066,"f",FALSE)</f>
        <v>46617</v>
      </c>
      <c r="Z1066" s="115">
        <f>_xll.qlCalendarAdvance(Calendar,Y1066,NDays&amp;"D")</f>
        <v>46617</v>
      </c>
      <c r="AA1066" s="116">
        <v>4.1046745384395428E-2</v>
      </c>
      <c r="AB1066" s="113">
        <v>4.0808944116623724E-2</v>
      </c>
    </row>
    <row r="1067" spans="17:28" x14ac:dyDescent="0.2">
      <c r="Q1067" s="72"/>
      <c r="T1067" s="72"/>
      <c r="U1067" s="93"/>
      <c r="X1067" s="114" t="str">
        <f t="shared" si="29"/>
        <v>1w</v>
      </c>
      <c r="Y1067" s="112">
        <f>_xll.qlCalendarAdvance(Calendar,Y1066,X1067,"f",FALSE)</f>
        <v>46624</v>
      </c>
      <c r="Z1067" s="115">
        <f>_xll.qlCalendarAdvance(Calendar,Y1067,NDays&amp;"D")</f>
        <v>46624</v>
      </c>
      <c r="AA1067" s="116">
        <v>4.105087403859467E-2</v>
      </c>
      <c r="AB1067" s="113">
        <v>4.0814029549325337E-2</v>
      </c>
    </row>
    <row r="1068" spans="17:28" x14ac:dyDescent="0.2">
      <c r="Q1068" s="72"/>
      <c r="T1068" s="72"/>
      <c r="U1068" s="93"/>
      <c r="X1068" s="114" t="str">
        <f t="shared" si="29"/>
        <v>1w</v>
      </c>
      <c r="Y1068" s="112">
        <f>_xll.qlCalendarAdvance(Calendar,Y1067,X1068,"f",FALSE)</f>
        <v>46631</v>
      </c>
      <c r="Z1068" s="115">
        <f>_xll.qlCalendarAdvance(Calendar,Y1068,NDays&amp;"D")</f>
        <v>46631</v>
      </c>
      <c r="AA1068" s="116">
        <v>4.1052292106735361E-2</v>
      </c>
      <c r="AB1068" s="113">
        <v>4.0818961351183347E-2</v>
      </c>
    </row>
    <row r="1069" spans="17:28" x14ac:dyDescent="0.2">
      <c r="Q1069" s="72"/>
      <c r="T1069" s="72"/>
      <c r="U1069" s="93"/>
      <c r="X1069" s="114" t="str">
        <f t="shared" si="29"/>
        <v>1w</v>
      </c>
      <c r="Y1069" s="112">
        <f>_xll.qlCalendarAdvance(Calendar,Y1068,X1069,"f",FALSE)</f>
        <v>46638</v>
      </c>
      <c r="Z1069" s="115">
        <f>_xll.qlCalendarAdvance(Calendar,Y1069,NDays&amp;"D")</f>
        <v>46638</v>
      </c>
      <c r="AA1069" s="116">
        <v>4.1056121019336672E-2</v>
      </c>
      <c r="AB1069" s="113">
        <v>4.0823739521954616E-2</v>
      </c>
    </row>
    <row r="1070" spans="17:28" x14ac:dyDescent="0.2">
      <c r="Q1070" s="72"/>
      <c r="T1070" s="72"/>
      <c r="U1070" s="93"/>
      <c r="X1070" s="114" t="str">
        <f t="shared" si="29"/>
        <v>1w</v>
      </c>
      <c r="Y1070" s="112">
        <f>_xll.qlCalendarAdvance(Calendar,Y1069,X1070,"f",FALSE)</f>
        <v>46645</v>
      </c>
      <c r="Z1070" s="115">
        <f>_xll.qlCalendarAdvance(Calendar,Y1070,NDays&amp;"D")</f>
        <v>46645</v>
      </c>
      <c r="AA1070" s="116">
        <v>4.1059794749211294E-2</v>
      </c>
      <c r="AB1070" s="113">
        <v>4.0828364061882283E-2</v>
      </c>
    </row>
    <row r="1071" spans="17:28" x14ac:dyDescent="0.2">
      <c r="Q1071" s="72"/>
      <c r="T1071" s="72"/>
      <c r="U1071" s="93"/>
      <c r="X1071" s="114" t="str">
        <f t="shared" si="29"/>
        <v>1w</v>
      </c>
      <c r="Y1071" s="112">
        <f>_xll.qlCalendarAdvance(Calendar,Y1070,X1071,"f",FALSE)</f>
        <v>46652</v>
      </c>
      <c r="Z1071" s="115">
        <f>_xll.qlCalendarAdvance(Calendar,Y1071,NDays&amp;"D")</f>
        <v>46652</v>
      </c>
      <c r="AA1071" s="116">
        <v>4.1063313295937064E-2</v>
      </c>
      <c r="AB1071" s="113">
        <v>4.0832834970804255E-2</v>
      </c>
    </row>
    <row r="1072" spans="17:28" x14ac:dyDescent="0.2">
      <c r="Q1072" s="72"/>
      <c r="T1072" s="72"/>
      <c r="U1072" s="93"/>
      <c r="X1072" s="114" t="str">
        <f t="shared" si="29"/>
        <v>1w</v>
      </c>
      <c r="Y1072" s="112">
        <f>_xll.qlCalendarAdvance(Calendar,Y1071,X1072,"f",FALSE)</f>
        <v>46659</v>
      </c>
      <c r="Z1072" s="115">
        <f>_xll.qlCalendarAdvance(Calendar,Y1072,NDays&amp;"D")</f>
        <v>46659</v>
      </c>
      <c r="AA1072" s="116">
        <v>4.106667665911054E-2</v>
      </c>
      <c r="AB1072" s="113">
        <v>4.0837152248882624E-2</v>
      </c>
    </row>
    <row r="1073" spans="17:28" x14ac:dyDescent="0.2">
      <c r="Q1073" s="72"/>
      <c r="T1073" s="72"/>
      <c r="U1073" s="93"/>
      <c r="X1073" s="114" t="str">
        <f t="shared" si="29"/>
        <v>1w</v>
      </c>
      <c r="Y1073" s="112">
        <f>_xll.qlCalendarAdvance(Calendar,Y1072,X1073,"f",FALSE)</f>
        <v>46666</v>
      </c>
      <c r="Z1073" s="115">
        <f>_xll.qlCalendarAdvance(Calendar,Y1073,NDays&amp;"D")</f>
        <v>46666</v>
      </c>
      <c r="AA1073" s="116">
        <v>4.1072386765461627E-2</v>
      </c>
      <c r="AB1073" s="113">
        <v>4.0841315895955299E-2</v>
      </c>
    </row>
    <row r="1074" spans="17:28" x14ac:dyDescent="0.2">
      <c r="Q1074" s="72"/>
      <c r="T1074" s="72"/>
      <c r="U1074" s="93"/>
      <c r="X1074" s="114" t="str">
        <f t="shared" si="29"/>
        <v>1w</v>
      </c>
      <c r="Y1074" s="112">
        <f>_xll.qlCalendarAdvance(Calendar,Y1073,X1074,"f",FALSE)</f>
        <v>46673</v>
      </c>
      <c r="Z1074" s="115">
        <f>_xll.qlCalendarAdvance(Calendar,Y1074,NDays&amp;"D")</f>
        <v>46673</v>
      </c>
      <c r="AA1074" s="116">
        <v>4.1075429016330746E-2</v>
      </c>
      <c r="AB1074" s="113">
        <v>4.0845325912022279E-2</v>
      </c>
    </row>
    <row r="1075" spans="17:28" x14ac:dyDescent="0.2">
      <c r="Q1075" s="72"/>
      <c r="T1075" s="72"/>
      <c r="U1075" s="93"/>
      <c r="X1075" s="114" t="str">
        <f t="shared" si="29"/>
        <v>1w</v>
      </c>
      <c r="Y1075" s="112">
        <f>_xll.qlCalendarAdvance(Calendar,Y1074,X1075,"f",FALSE)</f>
        <v>46680</v>
      </c>
      <c r="Z1075" s="115">
        <f>_xll.qlCalendarAdvance(Calendar,Y1075,NDays&amp;"D")</f>
        <v>46680</v>
      </c>
      <c r="AA1075" s="116">
        <v>4.1078316065164877E-2</v>
      </c>
      <c r="AB1075" s="113">
        <v>4.084918229716461E-2</v>
      </c>
    </row>
    <row r="1076" spans="17:28" x14ac:dyDescent="0.2">
      <c r="Q1076" s="72"/>
      <c r="T1076" s="72"/>
      <c r="U1076" s="93"/>
      <c r="X1076" s="114" t="str">
        <f t="shared" si="29"/>
        <v>1w</v>
      </c>
      <c r="Y1076" s="112">
        <f>_xll.qlCalendarAdvance(Calendar,Y1075,X1076,"f",FALSE)</f>
        <v>46687</v>
      </c>
      <c r="Z1076" s="115">
        <f>_xll.qlCalendarAdvance(Calendar,Y1076,NDays&amp;"D")</f>
        <v>46687</v>
      </c>
      <c r="AA1076" s="116">
        <v>4.1081047911631904E-2</v>
      </c>
      <c r="AB1076" s="113">
        <v>4.0852885051301246E-2</v>
      </c>
    </row>
    <row r="1077" spans="17:28" x14ac:dyDescent="0.2">
      <c r="Q1077" s="72"/>
      <c r="T1077" s="72"/>
      <c r="U1077" s="93"/>
      <c r="X1077" s="114" t="str">
        <f t="shared" si="29"/>
        <v>1w</v>
      </c>
      <c r="Y1077" s="112">
        <f>_xll.qlCalendarAdvance(Calendar,Y1076,X1077,"f",FALSE)</f>
        <v>46694</v>
      </c>
      <c r="Z1077" s="115">
        <f>_xll.qlCalendarAdvance(Calendar,Y1077,NDays&amp;"D")</f>
        <v>46694</v>
      </c>
      <c r="AA1077" s="116">
        <v>4.1083624555411161E-2</v>
      </c>
      <c r="AB1077" s="113">
        <v>4.0856434174432188E-2</v>
      </c>
    </row>
    <row r="1078" spans="17:28" x14ac:dyDescent="0.2">
      <c r="Q1078" s="72"/>
      <c r="T1078" s="72"/>
      <c r="U1078" s="93"/>
      <c r="X1078" s="114" t="str">
        <f t="shared" si="29"/>
        <v>1w</v>
      </c>
      <c r="Y1078" s="112">
        <f>_xll.qlCalendarAdvance(Calendar,Y1077,X1078,"f",FALSE)</f>
        <v>46701</v>
      </c>
      <c r="Z1078" s="115">
        <f>_xll.qlCalendarAdvance(Calendar,Y1078,NDays&amp;"D")</f>
        <v>46701</v>
      </c>
      <c r="AA1078" s="116">
        <v>4.1086045996205772E-2</v>
      </c>
      <c r="AB1078" s="113">
        <v>4.0859829666557435E-2</v>
      </c>
    </row>
    <row r="1079" spans="17:28" x14ac:dyDescent="0.2">
      <c r="Q1079" s="72"/>
      <c r="T1079" s="72"/>
      <c r="U1079" s="93"/>
      <c r="X1079" s="114" t="str">
        <f t="shared" si="29"/>
        <v>1w</v>
      </c>
      <c r="Y1079" s="112">
        <f>_xll.qlCalendarAdvance(Calendar,Y1078,X1079,"f",FALSE)</f>
        <v>46708</v>
      </c>
      <c r="Z1079" s="115">
        <f>_xll.qlCalendarAdvance(Calendar,Y1079,NDays&amp;"D")</f>
        <v>46708</v>
      </c>
      <c r="AA1079" s="116">
        <v>4.1088312233733847E-2</v>
      </c>
      <c r="AB1079" s="113">
        <v>4.0863071527758033E-2</v>
      </c>
    </row>
    <row r="1080" spans="17:28" x14ac:dyDescent="0.2">
      <c r="Q1080" s="72"/>
      <c r="T1080" s="72"/>
      <c r="U1080" s="93"/>
      <c r="X1080" s="114" t="str">
        <f t="shared" si="29"/>
        <v>1w</v>
      </c>
      <c r="Y1080" s="112">
        <f>_xll.qlCalendarAdvance(Calendar,Y1079,X1080,"f",FALSE)</f>
        <v>46715</v>
      </c>
      <c r="Z1080" s="115">
        <f>_xll.qlCalendarAdvance(Calendar,Y1080,NDays&amp;"D")</f>
        <v>46715</v>
      </c>
      <c r="AA1080" s="116">
        <v>4.1090423267731095E-2</v>
      </c>
      <c r="AB1080" s="113">
        <v>4.0866159757871889E-2</v>
      </c>
    </row>
    <row r="1081" spans="17:28" x14ac:dyDescent="0.2">
      <c r="Q1081" s="72"/>
      <c r="T1081" s="72"/>
      <c r="U1081" s="93"/>
      <c r="X1081" s="114" t="str">
        <f t="shared" si="29"/>
        <v>1w</v>
      </c>
      <c r="Y1081" s="112">
        <f>_xll.qlCalendarAdvance(Calendar,Y1080,X1081,"f",FALSE)</f>
        <v>46722</v>
      </c>
      <c r="Z1081" s="115">
        <f>_xll.qlCalendarAdvance(Calendar,Y1081,NDays&amp;"D")</f>
        <v>46722</v>
      </c>
      <c r="AA1081" s="116">
        <v>4.1089963609892664E-2</v>
      </c>
      <c r="AB1081" s="113">
        <v>4.0869094357142144E-2</v>
      </c>
    </row>
    <row r="1082" spans="17:28" x14ac:dyDescent="0.2">
      <c r="Q1082" s="72"/>
      <c r="T1082" s="72"/>
      <c r="U1082" s="93"/>
      <c r="X1082" s="114" t="str">
        <f t="shared" si="29"/>
        <v>1w</v>
      </c>
      <c r="Y1082" s="112">
        <f>_xll.qlCalendarAdvance(Calendar,Y1081,X1082,"f",FALSE)</f>
        <v>46729</v>
      </c>
      <c r="Z1082" s="115">
        <f>_xll.qlCalendarAdvance(Calendar,Y1082,NDays&amp;"D")</f>
        <v>46729</v>
      </c>
      <c r="AA1082" s="116">
        <v>4.1091775119221373E-2</v>
      </c>
      <c r="AB1082" s="113">
        <v>4.0871875325325657E-2</v>
      </c>
    </row>
    <row r="1083" spans="17:28" x14ac:dyDescent="0.2">
      <c r="Q1083" s="72"/>
      <c r="T1083" s="72"/>
      <c r="U1083" s="93"/>
      <c r="X1083" s="114" t="str">
        <f t="shared" si="29"/>
        <v>1w</v>
      </c>
      <c r="Y1083" s="112">
        <f>_xll.qlCalendarAdvance(Calendar,Y1082,X1083,"f",FALSE)</f>
        <v>46736</v>
      </c>
      <c r="Z1083" s="115">
        <f>_xll.qlCalendarAdvance(Calendar,Y1083,NDays&amp;"D")</f>
        <v>46736</v>
      </c>
      <c r="AA1083" s="116">
        <v>4.1093431441727432E-2</v>
      </c>
      <c r="AB1083" s="113">
        <v>4.0874502662503476E-2</v>
      </c>
    </row>
    <row r="1084" spans="17:28" x14ac:dyDescent="0.2">
      <c r="Q1084" s="72"/>
      <c r="T1084" s="72"/>
      <c r="U1084" s="93"/>
      <c r="X1084" s="114" t="str">
        <f t="shared" si="29"/>
        <v>1w</v>
      </c>
      <c r="Y1084" s="112">
        <f>_xll.qlCalendarAdvance(Calendar,Y1083,X1084,"f",FALSE)</f>
        <v>46743</v>
      </c>
      <c r="Z1084" s="115">
        <f>_xll.qlCalendarAdvance(Calendar,Y1084,NDays&amp;"D")</f>
        <v>46743</v>
      </c>
      <c r="AA1084" s="116">
        <v>4.1094932577219363E-2</v>
      </c>
      <c r="AB1084" s="113">
        <v>4.0876976368675599E-2</v>
      </c>
    </row>
    <row r="1085" spans="17:28" x14ac:dyDescent="0.2">
      <c r="Q1085" s="72"/>
      <c r="T1085" s="72"/>
      <c r="U1085" s="93"/>
      <c r="X1085" s="114" t="str">
        <f t="shared" si="29"/>
        <v>1w</v>
      </c>
      <c r="Y1085" s="112">
        <f>_xll.qlCalendarAdvance(Calendar,Y1084,X1085,"f",FALSE)</f>
        <v>46750</v>
      </c>
      <c r="Z1085" s="115">
        <f>_xll.qlCalendarAdvance(Calendar,Y1085,NDays&amp;"D")</f>
        <v>46750</v>
      </c>
      <c r="AA1085" s="116">
        <v>4.1096278525524381E-2</v>
      </c>
      <c r="AB1085" s="113">
        <v>4.0879296443842028E-2</v>
      </c>
    </row>
    <row r="1086" spans="17:28" x14ac:dyDescent="0.2">
      <c r="Q1086" s="72"/>
      <c r="T1086" s="72"/>
      <c r="U1086" s="93"/>
      <c r="X1086" s="114" t="str">
        <f t="shared" si="29"/>
        <v>1w</v>
      </c>
      <c r="Y1086" s="112">
        <f>_xll.qlCalendarAdvance(Calendar,Y1085,X1086,"f",FALSE)</f>
        <v>46757</v>
      </c>
      <c r="Z1086" s="115">
        <f>_xll.qlCalendarAdvance(Calendar,Y1086,NDays&amp;"D")</f>
        <v>46757</v>
      </c>
      <c r="AA1086" s="116">
        <v>4.109746928649019E-2</v>
      </c>
      <c r="AB1086" s="113">
        <v>4.0881462888002762E-2</v>
      </c>
    </row>
    <row r="1087" spans="17:28" x14ac:dyDescent="0.2">
      <c r="Q1087" s="72"/>
      <c r="T1087" s="72"/>
      <c r="U1087" s="93"/>
      <c r="X1087" s="114" t="str">
        <f t="shared" si="29"/>
        <v>1w</v>
      </c>
      <c r="Y1087" s="112">
        <f>_xll.qlCalendarAdvance(Calendar,Y1086,X1087,"f",FALSE)</f>
        <v>46764</v>
      </c>
      <c r="Z1087" s="115">
        <f>_xll.qlCalendarAdvance(Calendar,Y1087,NDays&amp;"D")</f>
        <v>46764</v>
      </c>
      <c r="AA1087" s="116">
        <v>4.1098504859976973E-2</v>
      </c>
      <c r="AB1087" s="113">
        <v>4.0883475701076755E-2</v>
      </c>
    </row>
    <row r="1088" spans="17:28" x14ac:dyDescent="0.2">
      <c r="Q1088" s="72"/>
      <c r="T1088" s="72"/>
      <c r="U1088" s="93"/>
      <c r="X1088" s="114" t="str">
        <f t="shared" si="29"/>
        <v>1w</v>
      </c>
      <c r="Y1088" s="112">
        <f>_xll.qlCalendarAdvance(Calendar,Y1087,X1088,"f",FALSE)</f>
        <v>46771</v>
      </c>
      <c r="Z1088" s="115">
        <f>_xll.qlCalendarAdvance(Calendar,Y1088,NDays&amp;"D")</f>
        <v>46771</v>
      </c>
      <c r="AA1088" s="116">
        <v>4.109938524586805E-2</v>
      </c>
      <c r="AB1088" s="113">
        <v>4.0885334883145052E-2</v>
      </c>
    </row>
    <row r="1089" spans="17:28" x14ac:dyDescent="0.2">
      <c r="Q1089" s="72"/>
      <c r="T1089" s="72"/>
      <c r="U1089" s="93"/>
      <c r="X1089" s="114" t="str">
        <f t="shared" si="29"/>
        <v>1w</v>
      </c>
      <c r="Y1089" s="112">
        <f>_xll.qlCalendarAdvance(Calendar,Y1088,X1089,"f",FALSE)</f>
        <v>46779</v>
      </c>
      <c r="Z1089" s="115">
        <f>_xll.qlCalendarAdvance(Calendar,Y1089,NDays&amp;"D")</f>
        <v>46779</v>
      </c>
      <c r="AA1089" s="116">
        <v>4.1100201375415056E-2</v>
      </c>
      <c r="AB1089" s="113">
        <v>4.0887271543107451E-2</v>
      </c>
    </row>
    <row r="1090" spans="17:28" x14ac:dyDescent="0.2">
      <c r="Q1090" s="72"/>
      <c r="T1090" s="72"/>
      <c r="U1090" s="93"/>
      <c r="X1090" s="114" t="str">
        <f t="shared" si="29"/>
        <v>1w</v>
      </c>
      <c r="Y1090" s="112">
        <f>_xll.qlCalendarAdvance(Calendar,Y1089,X1090,"f",FALSE)</f>
        <v>46786</v>
      </c>
      <c r="Z1090" s="115">
        <f>_xll.qlCalendarAdvance(Calendar,Y1090,NDays&amp;"D")</f>
        <v>46786</v>
      </c>
      <c r="AA1090" s="116">
        <v>4.109843299693932E-2</v>
      </c>
      <c r="AB1090" s="113">
        <v>4.0888801515831519E-2</v>
      </c>
    </row>
    <row r="1091" spans="17:28" x14ac:dyDescent="0.2">
      <c r="Q1091" s="72"/>
      <c r="T1091" s="72"/>
      <c r="U1091" s="93"/>
      <c r="X1091" s="114" t="str">
        <f t="shared" si="29"/>
        <v>1w</v>
      </c>
      <c r="Y1091" s="112">
        <f>_xll.qlCalendarAdvance(Calendar,Y1090,X1091,"f",FALSE)</f>
        <v>46793</v>
      </c>
      <c r="Z1091" s="115">
        <f>_xll.qlCalendarAdvance(Calendar,Y1091,NDays&amp;"D")</f>
        <v>46793</v>
      </c>
      <c r="AA1091" s="116">
        <v>4.1098836689430228E-2</v>
      </c>
      <c r="AB1091" s="113">
        <v>4.0890177857549892E-2</v>
      </c>
    </row>
    <row r="1092" spans="17:28" x14ac:dyDescent="0.2">
      <c r="Q1092" s="72"/>
      <c r="T1092" s="72"/>
      <c r="U1092" s="93"/>
      <c r="X1092" s="114" t="str">
        <f t="shared" si="29"/>
        <v>1w</v>
      </c>
      <c r="Y1092" s="112">
        <f>_xll.qlCalendarAdvance(Calendar,Y1091,X1092,"f",FALSE)</f>
        <v>46800</v>
      </c>
      <c r="Z1092" s="115">
        <f>_xll.qlCalendarAdvance(Calendar,Y1092,NDays&amp;"D")</f>
        <v>46800</v>
      </c>
      <c r="AA1092" s="116">
        <v>4.1099085211408017E-2</v>
      </c>
      <c r="AB1092" s="113">
        <v>4.089140056826257E-2</v>
      </c>
    </row>
    <row r="1093" spans="17:28" x14ac:dyDescent="0.2">
      <c r="Q1093" s="72"/>
      <c r="T1093" s="72"/>
      <c r="U1093" s="93"/>
      <c r="X1093" s="114" t="str">
        <f t="shared" si="29"/>
        <v>1w</v>
      </c>
      <c r="Y1093" s="112">
        <f>_xll.qlCalendarAdvance(Calendar,Y1092,X1093,"f",FALSE)</f>
        <v>46807</v>
      </c>
      <c r="Z1093" s="115">
        <f>_xll.qlCalendarAdvance(Calendar,Y1093,NDays&amp;"D")</f>
        <v>46807</v>
      </c>
      <c r="AA1093" s="116">
        <v>4.1099178562845666E-2</v>
      </c>
      <c r="AB1093" s="113">
        <v>4.08924696480506E-2</v>
      </c>
    </row>
    <row r="1094" spans="17:28" x14ac:dyDescent="0.2">
      <c r="Q1094" s="72"/>
      <c r="T1094" s="72"/>
      <c r="U1094" s="93"/>
      <c r="X1094" s="114" t="str">
        <f t="shared" si="29"/>
        <v>1w</v>
      </c>
      <c r="Y1094" s="112">
        <f>_xll.qlCalendarAdvance(Calendar,Y1093,X1094,"f",FALSE)</f>
        <v>46814</v>
      </c>
      <c r="Z1094" s="115">
        <f>_xll.qlCalendarAdvance(Calendar,Y1094,NDays&amp;"D")</f>
        <v>46814</v>
      </c>
      <c r="AA1094" s="116">
        <v>4.1103659765435244E-2</v>
      </c>
      <c r="AB1094" s="113">
        <v>4.0893385096670842E-2</v>
      </c>
    </row>
    <row r="1095" spans="17:28" x14ac:dyDescent="0.2">
      <c r="Q1095" s="72"/>
      <c r="T1095" s="72"/>
      <c r="U1095" s="93"/>
      <c r="X1095" s="114" t="str">
        <f t="shared" si="29"/>
        <v>1w</v>
      </c>
      <c r="Y1095" s="112">
        <f>_xll.qlCalendarAdvance(Calendar,Y1094,X1095,"f",FALSE)</f>
        <v>46821</v>
      </c>
      <c r="Z1095" s="115">
        <f>_xll.qlCalendarAdvance(Calendar,Y1095,NDays&amp;"D")</f>
        <v>46821</v>
      </c>
      <c r="AA1095" s="116">
        <v>4.1103420554965985E-2</v>
      </c>
      <c r="AB1095" s="113">
        <v>4.0894146914204343E-2</v>
      </c>
    </row>
    <row r="1096" spans="17:28" x14ac:dyDescent="0.2">
      <c r="Q1096" s="72"/>
      <c r="T1096" s="72"/>
      <c r="U1096" s="93"/>
      <c r="X1096" s="114" t="str">
        <f t="shared" si="29"/>
        <v>1w</v>
      </c>
      <c r="Y1096" s="112">
        <f>_xll.qlCalendarAdvance(Calendar,Y1095,X1096,"f",FALSE)</f>
        <v>46828</v>
      </c>
      <c r="Z1096" s="115">
        <f>_xll.qlCalendarAdvance(Calendar,Y1096,NDays&amp;"D")</f>
        <v>46828</v>
      </c>
      <c r="AA1096" s="116">
        <v>4.1103026139212837E-2</v>
      </c>
      <c r="AB1096" s="113">
        <v>4.0894755100894242E-2</v>
      </c>
    </row>
    <row r="1097" spans="17:28" x14ac:dyDescent="0.2">
      <c r="Q1097" s="72"/>
      <c r="T1097" s="72"/>
      <c r="U1097" s="93"/>
      <c r="X1097" s="114" t="str">
        <f t="shared" si="29"/>
        <v>1w</v>
      </c>
      <c r="Y1097" s="112">
        <f>_xll.qlCalendarAdvance(Calendar,Y1096,X1097,"f",FALSE)</f>
        <v>46835</v>
      </c>
      <c r="Z1097" s="115">
        <f>_xll.qlCalendarAdvance(Calendar,Y1097,NDays&amp;"D")</f>
        <v>46835</v>
      </c>
      <c r="AA1097" s="116">
        <v>4.1102476518219841E-2</v>
      </c>
      <c r="AB1097" s="113">
        <v>4.0895209656416354E-2</v>
      </c>
    </row>
    <row r="1098" spans="17:28" x14ac:dyDescent="0.2">
      <c r="Q1098" s="72"/>
      <c r="T1098" s="72"/>
      <c r="U1098" s="93"/>
      <c r="X1098" s="114" t="str">
        <f t="shared" si="29"/>
        <v>1w</v>
      </c>
      <c r="Y1098" s="112">
        <f>_xll.qlCalendarAdvance(Calendar,Y1097,X1098,"f",FALSE)</f>
        <v>46842</v>
      </c>
      <c r="Z1098" s="115">
        <f>_xll.qlCalendarAdvance(Calendar,Y1098,NDays&amp;"D")</f>
        <v>46842</v>
      </c>
      <c r="AA1098" s="116">
        <v>4.1101771692051314E-2</v>
      </c>
      <c r="AB1098" s="113">
        <v>4.089551058093277E-2</v>
      </c>
    </row>
    <row r="1099" spans="17:28" x14ac:dyDescent="0.2">
      <c r="Q1099" s="72"/>
      <c r="T1099" s="72"/>
      <c r="U1099" s="93"/>
      <c r="X1099" s="114" t="str">
        <f t="shared" si="29"/>
        <v>1w</v>
      </c>
      <c r="Y1099" s="112">
        <f>_xll.qlCalendarAdvance(Calendar,Y1098,X1099,"f",FALSE)</f>
        <v>46849</v>
      </c>
      <c r="Z1099" s="115">
        <f>_xll.qlCalendarAdvance(Calendar,Y1099,NDays&amp;"D")</f>
        <v>46849</v>
      </c>
      <c r="AA1099" s="116">
        <v>4.1098696327536828E-2</v>
      </c>
      <c r="AB1099" s="113">
        <v>4.0895657874443492E-2</v>
      </c>
    </row>
    <row r="1100" spans="17:28" x14ac:dyDescent="0.2">
      <c r="Q1100" s="72"/>
      <c r="T1100" s="72"/>
      <c r="U1100" s="93"/>
      <c r="X1100" s="114" t="str">
        <f t="shared" si="29"/>
        <v>1w</v>
      </c>
      <c r="Y1100" s="112">
        <f>_xll.qlCalendarAdvance(Calendar,Y1099,X1100,"f",FALSE)</f>
        <v>46856</v>
      </c>
      <c r="Z1100" s="115">
        <f>_xll.qlCalendarAdvance(Calendar,Y1100,NDays&amp;"D")</f>
        <v>46856</v>
      </c>
      <c r="AA1100" s="116">
        <v>4.109769228982587E-2</v>
      </c>
      <c r="AB1100" s="113">
        <v>4.0904783518057597E-2</v>
      </c>
    </row>
    <row r="1101" spans="17:28" x14ac:dyDescent="0.2">
      <c r="Q1101" s="72"/>
      <c r="T1101" s="72"/>
      <c r="U1101" s="93"/>
      <c r="X1101" s="114" t="str">
        <f t="shared" si="29"/>
        <v>1w</v>
      </c>
      <c r="Y1101" s="112">
        <f>_xll.qlCalendarAdvance(Calendar,Y1100,X1101,"f",FALSE)</f>
        <v>46863</v>
      </c>
      <c r="Z1101" s="115">
        <f>_xll.qlCalendarAdvance(Calendar,Y1101,NDays&amp;"D")</f>
        <v>46863</v>
      </c>
      <c r="AA1101" s="116">
        <v>4.1096533064612722E-2</v>
      </c>
      <c r="AB1101" s="113">
        <v>4.0895491568285758E-2</v>
      </c>
    </row>
    <row r="1102" spans="17:28" x14ac:dyDescent="0.2">
      <c r="Q1102" s="72"/>
      <c r="T1102" s="72"/>
      <c r="U1102" s="93"/>
      <c r="X1102" s="114" t="str">
        <f t="shared" si="29"/>
        <v>1w</v>
      </c>
      <c r="Y1102" s="112">
        <f>_xll.qlCalendarAdvance(Calendar,Y1101,X1102,"f",FALSE)</f>
        <v>46870</v>
      </c>
      <c r="Z1102" s="115">
        <f>_xll.qlCalendarAdvance(Calendar,Y1102,NDays&amp;"D")</f>
        <v>46870</v>
      </c>
      <c r="AA1102" s="116">
        <v>4.1095218652028302E-2</v>
      </c>
      <c r="AB1102" s="113">
        <v>4.0895177968617302E-2</v>
      </c>
    </row>
    <row r="1103" spans="17:28" x14ac:dyDescent="0.2">
      <c r="Q1103" s="72"/>
      <c r="T1103" s="72"/>
      <c r="U1103" s="93"/>
      <c r="X1103" s="114" t="str">
        <f t="shared" si="29"/>
        <v>1w</v>
      </c>
      <c r="Y1103" s="112">
        <f>_xll.qlCalendarAdvance(Calendar,Y1102,X1103,"f",FALSE)</f>
        <v>46877</v>
      </c>
      <c r="Z1103" s="115">
        <f>_xll.qlCalendarAdvance(Calendar,Y1103,NDays&amp;"D")</f>
        <v>46877</v>
      </c>
      <c r="AA1103" s="116">
        <v>4.1095919487077373E-2</v>
      </c>
      <c r="AB1103" s="113">
        <v>4.0894710737943152E-2</v>
      </c>
    </row>
    <row r="1104" spans="17:28" x14ac:dyDescent="0.2">
      <c r="Q1104" s="72"/>
      <c r="T1104" s="72"/>
      <c r="U1104" s="93"/>
      <c r="X1104" s="114" t="str">
        <f t="shared" si="29"/>
        <v>1w</v>
      </c>
      <c r="Y1104" s="112">
        <f>_xll.qlCalendarAdvance(Calendar,Y1103,X1104,"f",FALSE)</f>
        <v>46884</v>
      </c>
      <c r="Z1104" s="115">
        <f>_xll.qlCalendarAdvance(Calendar,Y1104,NDays&amp;"D")</f>
        <v>46884</v>
      </c>
      <c r="AA1104" s="116">
        <v>4.1094283432207737E-2</v>
      </c>
      <c r="AB1104" s="113">
        <v>4.0894089876263306E-2</v>
      </c>
    </row>
    <row r="1105" spans="17:28" x14ac:dyDescent="0.2">
      <c r="Q1105" s="72"/>
      <c r="T1105" s="72"/>
      <c r="U1105" s="93"/>
      <c r="X1105" s="114" t="str">
        <f t="shared" si="29"/>
        <v>1w</v>
      </c>
      <c r="Y1105" s="112">
        <f>_xll.qlCalendarAdvance(Calendar,Y1104,X1105,"f",FALSE)</f>
        <v>46891</v>
      </c>
      <c r="Z1105" s="115">
        <f>_xll.qlCalendarAdvance(Calendar,Y1105,NDays&amp;"D")</f>
        <v>46891</v>
      </c>
      <c r="AA1105" s="116">
        <v>4.1092492173114857E-2</v>
      </c>
      <c r="AB1105" s="113">
        <v>4.0893315383577766E-2</v>
      </c>
    </row>
    <row r="1106" spans="17:28" x14ac:dyDescent="0.2">
      <c r="Q1106" s="72"/>
      <c r="T1106" s="72"/>
      <c r="U1106" s="93"/>
      <c r="X1106" s="114" t="str">
        <f t="shared" si="29"/>
        <v>1w</v>
      </c>
      <c r="Y1106" s="112">
        <f>_xll.qlCalendarAdvance(Calendar,Y1105,X1106,"f",FALSE)</f>
        <v>46898</v>
      </c>
      <c r="Z1106" s="115">
        <f>_xll.qlCalendarAdvance(Calendar,Y1106,NDays&amp;"D")</f>
        <v>46898</v>
      </c>
      <c r="AA1106" s="116">
        <v>4.109054571000488E-2</v>
      </c>
      <c r="AB1106" s="113">
        <v>4.0892387259805485E-2</v>
      </c>
    </row>
    <row r="1107" spans="17:28" x14ac:dyDescent="0.2">
      <c r="Q1107" s="72"/>
      <c r="T1107" s="72"/>
      <c r="U1107" s="93"/>
      <c r="X1107" s="114" t="str">
        <f t="shared" si="29"/>
        <v>1w</v>
      </c>
      <c r="Y1107" s="112">
        <f>_xll.qlCalendarAdvance(Calendar,Y1106,X1107,"f",FALSE)</f>
        <v>46905</v>
      </c>
      <c r="Z1107" s="115">
        <f>_xll.qlCalendarAdvance(Calendar,Y1107,NDays&amp;"D")</f>
        <v>46905</v>
      </c>
      <c r="AA1107" s="116">
        <v>4.1088444043106839E-2</v>
      </c>
      <c r="AB1107" s="113">
        <v>4.0891305505027509E-2</v>
      </c>
    </row>
    <row r="1108" spans="17:28" x14ac:dyDescent="0.2">
      <c r="Q1108" s="72"/>
      <c r="T1108" s="72"/>
      <c r="U1108" s="93"/>
      <c r="X1108" s="114" t="str">
        <f t="shared" si="29"/>
        <v>1w</v>
      </c>
      <c r="Y1108" s="112">
        <f>_xll.qlCalendarAdvance(Calendar,Y1107,X1108,"f",FALSE)</f>
        <v>46912</v>
      </c>
      <c r="Z1108" s="115">
        <f>_xll.qlCalendarAdvance(Calendar,Y1108,NDays&amp;"D")</f>
        <v>46912</v>
      </c>
      <c r="AA1108" s="116">
        <v>4.1086187172663005E-2</v>
      </c>
      <c r="AB1108" s="113">
        <v>4.0890070119243838E-2</v>
      </c>
    </row>
    <row r="1109" spans="17:28" x14ac:dyDescent="0.2">
      <c r="Q1109" s="72"/>
      <c r="T1109" s="72"/>
      <c r="U1109" s="93"/>
      <c r="X1109" s="114" t="str">
        <f t="shared" ref="X1109:X1172" si="30">X1108</f>
        <v>1w</v>
      </c>
      <c r="Y1109" s="112">
        <f>_xll.qlCalendarAdvance(Calendar,Y1108,X1109,"f",FALSE)</f>
        <v>46919</v>
      </c>
      <c r="Z1109" s="115">
        <f>_xll.qlCalendarAdvance(Calendar,Y1109,NDays&amp;"D")</f>
        <v>46919</v>
      </c>
      <c r="AA1109" s="116">
        <v>4.1083775098935002E-2</v>
      </c>
      <c r="AB1109" s="113">
        <v>4.0888681102373425E-2</v>
      </c>
    </row>
    <row r="1110" spans="17:28" x14ac:dyDescent="0.2">
      <c r="Q1110" s="72"/>
      <c r="T1110" s="72"/>
      <c r="U1110" s="93"/>
      <c r="X1110" s="114" t="str">
        <f t="shared" si="30"/>
        <v>1w</v>
      </c>
      <c r="Y1110" s="112">
        <f>_xll.qlCalendarAdvance(Calendar,Y1109,X1110,"f",FALSE)</f>
        <v>46926</v>
      </c>
      <c r="Z1110" s="115">
        <f>_xll.qlCalendarAdvance(Calendar,Y1110,NDays&amp;"D")</f>
        <v>46926</v>
      </c>
      <c r="AA1110" s="116">
        <v>4.1081207822205625E-2</v>
      </c>
      <c r="AB1110" s="113">
        <v>4.0887138454497318E-2</v>
      </c>
    </row>
    <row r="1111" spans="17:28" x14ac:dyDescent="0.2">
      <c r="Q1111" s="72"/>
      <c r="T1111" s="72"/>
      <c r="U1111" s="93"/>
      <c r="X1111" s="114" t="str">
        <f t="shared" si="30"/>
        <v>1w</v>
      </c>
      <c r="Y1111" s="112">
        <f>_xll.qlCalendarAdvance(Calendar,Y1110,X1111,"f",FALSE)</f>
        <v>46933</v>
      </c>
      <c r="Z1111" s="115">
        <f>_xll.qlCalendarAdvance(Calendar,Y1111,NDays&amp;"D")</f>
        <v>46933</v>
      </c>
      <c r="AA1111" s="116">
        <v>4.1078485342770858E-2</v>
      </c>
      <c r="AB1111" s="113">
        <v>4.0885442175615516E-2</v>
      </c>
    </row>
    <row r="1112" spans="17:28" x14ac:dyDescent="0.2">
      <c r="Q1112" s="72"/>
      <c r="T1112" s="72"/>
      <c r="U1112" s="93"/>
      <c r="X1112" s="114" t="str">
        <f t="shared" si="30"/>
        <v>1w</v>
      </c>
      <c r="Y1112" s="112">
        <f>_xll.qlCalendarAdvance(Calendar,Y1111,X1112,"f",FALSE)</f>
        <v>46940</v>
      </c>
      <c r="Z1112" s="115">
        <f>_xll.qlCalendarAdvance(Calendar,Y1112,NDays&amp;"D")</f>
        <v>46940</v>
      </c>
      <c r="AA1112" s="116">
        <v>4.1075607660946964E-2</v>
      </c>
      <c r="AB1112" s="113">
        <v>4.0883592265646973E-2</v>
      </c>
    </row>
    <row r="1113" spans="17:28" x14ac:dyDescent="0.2">
      <c r="Q1113" s="72"/>
      <c r="T1113" s="72"/>
      <c r="U1113" s="93"/>
      <c r="X1113" s="114" t="str">
        <f t="shared" si="30"/>
        <v>1w</v>
      </c>
      <c r="Y1113" s="112">
        <f>_xll.qlCalendarAdvance(Calendar,Y1112,X1113,"f",FALSE)</f>
        <v>46947</v>
      </c>
      <c r="Z1113" s="115">
        <f>_xll.qlCalendarAdvance(Calendar,Y1113,NDays&amp;"D")</f>
        <v>46947</v>
      </c>
      <c r="AA1113" s="116">
        <v>4.1072574777069576E-2</v>
      </c>
      <c r="AB1113" s="113">
        <v>4.0881588724672735E-2</v>
      </c>
    </row>
    <row r="1114" spans="17:28" x14ac:dyDescent="0.2">
      <c r="Q1114" s="72"/>
      <c r="T1114" s="72"/>
      <c r="U1114" s="93"/>
      <c r="X1114" s="114" t="str">
        <f t="shared" si="30"/>
        <v>1w</v>
      </c>
      <c r="Y1114" s="112">
        <f>_xll.qlCalendarAdvance(Calendar,Y1113,X1114,"f",FALSE)</f>
        <v>46954</v>
      </c>
      <c r="Z1114" s="115">
        <f>_xll.qlCalendarAdvance(Calendar,Y1114,NDays&amp;"D")</f>
        <v>46954</v>
      </c>
      <c r="AA1114" s="116">
        <v>4.1069386691490191E-2</v>
      </c>
      <c r="AB1114" s="113">
        <v>4.0879431552773848E-2</v>
      </c>
    </row>
    <row r="1115" spans="17:28" x14ac:dyDescent="0.2">
      <c r="Q1115" s="72"/>
      <c r="T1115" s="72"/>
      <c r="U1115" s="93"/>
      <c r="X1115" s="114" t="str">
        <f t="shared" si="30"/>
        <v>1w</v>
      </c>
      <c r="Y1115" s="112">
        <f>_xll.qlCalendarAdvance(Calendar,Y1114,X1115,"f",FALSE)</f>
        <v>46961</v>
      </c>
      <c r="Z1115" s="115">
        <f>_xll.qlCalendarAdvance(Calendar,Y1115,NDays&amp;"D")</f>
        <v>46961</v>
      </c>
      <c r="AA1115" s="116">
        <v>4.1066043404578804E-2</v>
      </c>
      <c r="AB1115" s="113">
        <v>4.0877120749788221E-2</v>
      </c>
    </row>
    <row r="1116" spans="17:28" x14ac:dyDescent="0.2">
      <c r="Q1116" s="72"/>
      <c r="T1116" s="72"/>
      <c r="U1116" s="93"/>
      <c r="X1116" s="114" t="str">
        <f t="shared" si="30"/>
        <v>1w</v>
      </c>
      <c r="Y1116" s="112">
        <f>_xll.qlCalendarAdvance(Calendar,Y1115,X1116,"f",FALSE)</f>
        <v>46968</v>
      </c>
      <c r="Z1116" s="115">
        <f>_xll.qlCalendarAdvance(Calendar,Y1116,NDays&amp;"D")</f>
        <v>46968</v>
      </c>
      <c r="AA1116" s="116">
        <v>4.1062544916723911E-2</v>
      </c>
      <c r="AB1116" s="113">
        <v>4.0874656315877944E-2</v>
      </c>
    </row>
    <row r="1117" spans="17:28" x14ac:dyDescent="0.2">
      <c r="Q1117" s="72"/>
      <c r="T1117" s="72"/>
      <c r="U1117" s="93"/>
      <c r="X1117" s="114" t="str">
        <f t="shared" si="30"/>
        <v>1w</v>
      </c>
      <c r="Y1117" s="112">
        <f>_xll.qlCalendarAdvance(Calendar,Y1116,X1117,"f",FALSE)</f>
        <v>46975</v>
      </c>
      <c r="Z1117" s="115">
        <f>_xll.qlCalendarAdvance(Calendar,Y1117,NDays&amp;"D")</f>
        <v>46975</v>
      </c>
      <c r="AA1117" s="116">
        <v>4.1058891228331618E-2</v>
      </c>
      <c r="AB1117" s="113">
        <v>4.0872038250880927E-2</v>
      </c>
    </row>
    <row r="1118" spans="17:28" x14ac:dyDescent="0.2">
      <c r="Q1118" s="72"/>
      <c r="T1118" s="72"/>
      <c r="U1118" s="93"/>
      <c r="X1118" s="114" t="str">
        <f t="shared" si="30"/>
        <v>1w</v>
      </c>
      <c r="Y1118" s="112">
        <f>_xll.qlCalendarAdvance(Calendar,Y1117,X1118,"f",FALSE)</f>
        <v>46982</v>
      </c>
      <c r="Z1118" s="115">
        <f>_xll.qlCalendarAdvance(Calendar,Y1118,NDays&amp;"D")</f>
        <v>46982</v>
      </c>
      <c r="AA1118" s="116">
        <v>4.1055082339827416E-2</v>
      </c>
      <c r="AB1118" s="113">
        <v>4.0869266554878214E-2</v>
      </c>
    </row>
    <row r="1119" spans="17:28" x14ac:dyDescent="0.2">
      <c r="Q1119" s="72"/>
      <c r="T1119" s="72"/>
      <c r="U1119" s="93"/>
      <c r="X1119" s="114" t="str">
        <f t="shared" si="30"/>
        <v>1w</v>
      </c>
      <c r="Y1119" s="112">
        <f>_xll.qlCalendarAdvance(Calendar,Y1118,X1119,"f",FALSE)</f>
        <v>46989</v>
      </c>
      <c r="Z1119" s="115">
        <f>_xll.qlCalendarAdvance(Calendar,Y1119,NDays&amp;"D")</f>
        <v>46989</v>
      </c>
      <c r="AA1119" s="116">
        <v>4.105111825165178E-2</v>
      </c>
      <c r="AB1119" s="113">
        <v>4.0866341227788761E-2</v>
      </c>
    </row>
    <row r="1120" spans="17:28" x14ac:dyDescent="0.2">
      <c r="Q1120" s="72"/>
      <c r="T1120" s="72"/>
      <c r="U1120" s="93"/>
      <c r="X1120" s="114" t="str">
        <f t="shared" si="30"/>
        <v>1w</v>
      </c>
      <c r="Y1120" s="112">
        <f>_xll.qlCalendarAdvance(Calendar,Y1119,X1120,"f",FALSE)</f>
        <v>46996</v>
      </c>
      <c r="Z1120" s="115">
        <f>_xll.qlCalendarAdvance(Calendar,Y1120,NDays&amp;"D")</f>
        <v>46996</v>
      </c>
      <c r="AA1120" s="116">
        <v>4.1045022443808914E-2</v>
      </c>
      <c r="AB1120" s="113">
        <v>4.0863262269855705E-2</v>
      </c>
    </row>
    <row r="1121" spans="17:28" x14ac:dyDescent="0.2">
      <c r="Q1121" s="72"/>
      <c r="T1121" s="72"/>
      <c r="U1121" s="93"/>
      <c r="X1121" s="114" t="str">
        <f t="shared" si="30"/>
        <v>1w</v>
      </c>
      <c r="Y1121" s="112">
        <f>_xll.qlCalendarAdvance(Calendar,Y1120,X1121,"f",FALSE)</f>
        <v>47003</v>
      </c>
      <c r="Z1121" s="115">
        <f>_xll.qlCalendarAdvance(Calendar,Y1121,NDays&amp;"D")</f>
        <v>47003</v>
      </c>
      <c r="AA1121" s="116">
        <v>4.1040759520214083E-2</v>
      </c>
      <c r="AB1121" s="113">
        <v>4.0860029680754861E-2</v>
      </c>
    </row>
    <row r="1122" spans="17:28" x14ac:dyDescent="0.2">
      <c r="Q1122" s="72"/>
      <c r="T1122" s="72"/>
      <c r="U1122" s="93"/>
      <c r="X1122" s="114" t="str">
        <f t="shared" si="30"/>
        <v>1w</v>
      </c>
      <c r="Y1122" s="112">
        <f>_xll.qlCalendarAdvance(Calendar,Y1121,X1122,"f",FALSE)</f>
        <v>47010</v>
      </c>
      <c r="Z1122" s="115">
        <f>_xll.qlCalendarAdvance(Calendar,Y1122,NDays&amp;"D")</f>
        <v>47010</v>
      </c>
      <c r="AA1122" s="116">
        <v>4.1036341415660441E-2</v>
      </c>
      <c r="AB1122" s="113">
        <v>4.0856643460810416E-2</v>
      </c>
    </row>
    <row r="1123" spans="17:28" x14ac:dyDescent="0.2">
      <c r="Q1123" s="72"/>
      <c r="T1123" s="72"/>
      <c r="U1123" s="93"/>
      <c r="X1123" s="114" t="str">
        <f t="shared" si="30"/>
        <v>1w</v>
      </c>
      <c r="Y1123" s="112">
        <f>_xll.qlCalendarAdvance(Calendar,Y1122,X1123,"f",FALSE)</f>
        <v>47017</v>
      </c>
      <c r="Z1123" s="115">
        <f>_xll.qlCalendarAdvance(Calendar,Y1123,NDays&amp;"D")</f>
        <v>47017</v>
      </c>
      <c r="AA1123" s="116">
        <v>4.1031768130650285E-2</v>
      </c>
      <c r="AB1123" s="113">
        <v>4.0853103609860275E-2</v>
      </c>
    </row>
    <row r="1124" spans="17:28" x14ac:dyDescent="0.2">
      <c r="Q1124" s="72"/>
      <c r="T1124" s="72"/>
      <c r="U1124" s="93"/>
      <c r="X1124" s="114" t="str">
        <f t="shared" si="30"/>
        <v>1w</v>
      </c>
      <c r="Y1124" s="112">
        <f>_xll.qlCalendarAdvance(Calendar,Y1123,X1124,"f",FALSE)</f>
        <v>47024</v>
      </c>
      <c r="Z1124" s="115">
        <f>_xll.qlCalendarAdvance(Calendar,Y1124,NDays&amp;"D")</f>
        <v>47024</v>
      </c>
      <c r="AA1124" s="116">
        <v>4.1027039665712653E-2</v>
      </c>
      <c r="AB1124" s="113">
        <v>4.084941012790444E-2</v>
      </c>
    </row>
    <row r="1125" spans="17:28" x14ac:dyDescent="0.2">
      <c r="Q1125" s="72"/>
      <c r="T1125" s="72"/>
      <c r="U1125" s="93"/>
      <c r="X1125" s="114" t="str">
        <f t="shared" si="30"/>
        <v>1w</v>
      </c>
      <c r="Y1125" s="112">
        <f>_xll.qlCalendarAdvance(Calendar,Y1124,X1125,"f",FALSE)</f>
        <v>47031</v>
      </c>
      <c r="Z1125" s="115">
        <f>_xll.qlCalendarAdvance(Calendar,Y1125,NDays&amp;"D")</f>
        <v>47031</v>
      </c>
      <c r="AA1125" s="116">
        <v>4.1024074556579616E-2</v>
      </c>
      <c r="AB1125" s="113">
        <v>4.0845563014942909E-2</v>
      </c>
    </row>
    <row r="1126" spans="17:28" x14ac:dyDescent="0.2">
      <c r="Q1126" s="72"/>
      <c r="T1126" s="72"/>
      <c r="U1126" s="93"/>
      <c r="X1126" s="114" t="str">
        <f t="shared" si="30"/>
        <v>1w</v>
      </c>
      <c r="Y1126" s="112">
        <f>_xll.qlCalendarAdvance(Calendar,Y1125,X1126,"f",FALSE)</f>
        <v>47038</v>
      </c>
      <c r="Z1126" s="115">
        <f>_xll.qlCalendarAdvance(Calendar,Y1126,NDays&amp;"D")</f>
        <v>47038</v>
      </c>
      <c r="AA1126" s="116">
        <v>4.1019024084615698E-2</v>
      </c>
      <c r="AB1126" s="113">
        <v>4.0841562271056731E-2</v>
      </c>
    </row>
    <row r="1127" spans="17:28" x14ac:dyDescent="0.2">
      <c r="Q1127" s="72"/>
      <c r="T1127" s="72"/>
      <c r="U1127" s="93"/>
      <c r="X1127" s="114" t="str">
        <f t="shared" si="30"/>
        <v>1w</v>
      </c>
      <c r="Y1127" s="112">
        <f>_xll.qlCalendarAdvance(Calendar,Y1126,X1127,"f",FALSE)</f>
        <v>47045</v>
      </c>
      <c r="Z1127" s="115">
        <f>_xll.qlCalendarAdvance(Calendar,Y1127,NDays&amp;"D")</f>
        <v>47045</v>
      </c>
      <c r="AA1127" s="116">
        <v>4.1013818417170091E-2</v>
      </c>
      <c r="AB1127" s="113">
        <v>4.0837407896245903E-2</v>
      </c>
    </row>
    <row r="1128" spans="17:28" x14ac:dyDescent="0.2">
      <c r="Q1128" s="72"/>
      <c r="T1128" s="72"/>
      <c r="U1128" s="93"/>
      <c r="X1128" s="114" t="str">
        <f t="shared" si="30"/>
        <v>1w</v>
      </c>
      <c r="Y1128" s="112">
        <f>_xll.qlCalendarAdvance(Calendar,Y1127,X1128,"f",FALSE)</f>
        <v>47052</v>
      </c>
      <c r="Z1128" s="115">
        <f>_xll.qlCalendarAdvance(Calendar,Y1128,NDays&amp;"D")</f>
        <v>47052</v>
      </c>
      <c r="AA1128" s="116">
        <v>4.1014102303776001E-2</v>
      </c>
      <c r="AB1128" s="113">
        <v>4.0833099890429381E-2</v>
      </c>
    </row>
    <row r="1129" spans="17:28" x14ac:dyDescent="0.2">
      <c r="Q1129" s="72"/>
      <c r="T1129" s="72"/>
      <c r="U1129" s="93"/>
      <c r="X1129" s="114" t="str">
        <f t="shared" si="30"/>
        <v>1w</v>
      </c>
      <c r="Y1129" s="112">
        <f>_xll.qlCalendarAdvance(Calendar,Y1128,X1129,"f",FALSE)</f>
        <v>47059</v>
      </c>
      <c r="Z1129" s="115">
        <f>_xll.qlCalendarAdvance(Calendar,Y1129,NDays&amp;"D")</f>
        <v>47059</v>
      </c>
      <c r="AA1129" s="116">
        <v>4.1002941498271342E-2</v>
      </c>
      <c r="AB1129" s="113">
        <v>4.082863825368821E-2</v>
      </c>
    </row>
    <row r="1130" spans="17:28" x14ac:dyDescent="0.2">
      <c r="Q1130" s="72"/>
      <c r="T1130" s="72"/>
      <c r="U1130" s="93"/>
      <c r="X1130" s="114" t="str">
        <f t="shared" si="30"/>
        <v>1w</v>
      </c>
      <c r="Y1130" s="112">
        <f>_xll.qlCalendarAdvance(Calendar,Y1129,X1130,"f",FALSE)</f>
        <v>47066</v>
      </c>
      <c r="Z1130" s="115">
        <f>_xll.qlCalendarAdvance(Calendar,Y1130,NDays&amp;"D")</f>
        <v>47066</v>
      </c>
      <c r="AA1130" s="116">
        <v>4.0997270248081467E-2</v>
      </c>
      <c r="AB1130" s="113">
        <v>4.0824022985860298E-2</v>
      </c>
    </row>
    <row r="1131" spans="17:28" x14ac:dyDescent="0.2">
      <c r="Q1131" s="72"/>
      <c r="T1131" s="72"/>
      <c r="U1131" s="93"/>
      <c r="X1131" s="114" t="str">
        <f t="shared" si="30"/>
        <v>1w</v>
      </c>
      <c r="Y1131" s="112">
        <f>_xll.qlCalendarAdvance(Calendar,Y1130,X1131,"f",FALSE)</f>
        <v>47073</v>
      </c>
      <c r="Z1131" s="115">
        <f>_xll.qlCalendarAdvance(Calendar,Y1131,NDays&amp;"D")</f>
        <v>47073</v>
      </c>
      <c r="AA1131" s="116">
        <v>4.0991443804934663E-2</v>
      </c>
      <c r="AB1131" s="113">
        <v>4.0819254087188783E-2</v>
      </c>
    </row>
    <row r="1132" spans="17:28" x14ac:dyDescent="0.2">
      <c r="Q1132" s="72"/>
      <c r="T1132" s="72"/>
      <c r="U1132" s="93"/>
      <c r="X1132" s="114" t="str">
        <f t="shared" si="30"/>
        <v>1w</v>
      </c>
      <c r="Y1132" s="112">
        <f>_xll.qlCalendarAdvance(Calendar,Y1131,X1132,"f",FALSE)</f>
        <v>47080</v>
      </c>
      <c r="Z1132" s="115">
        <f>_xll.qlCalendarAdvance(Calendar,Y1132,NDays&amp;"D")</f>
        <v>47080</v>
      </c>
      <c r="AA1132" s="116">
        <v>4.0985462169512779E-2</v>
      </c>
      <c r="AB1132" s="113">
        <v>4.081433155759262E-2</v>
      </c>
    </row>
    <row r="1133" spans="17:28" x14ac:dyDescent="0.2">
      <c r="Q1133" s="72"/>
      <c r="T1133" s="72"/>
      <c r="U1133" s="93"/>
      <c r="X1133" s="114" t="str">
        <f t="shared" si="30"/>
        <v>1w</v>
      </c>
      <c r="Y1133" s="112">
        <f>_xll.qlCalendarAdvance(Calendar,Y1132,X1133,"f",FALSE)</f>
        <v>47087</v>
      </c>
      <c r="Z1133" s="115">
        <f>_xll.qlCalendarAdvance(Calendar,Y1133,NDays&amp;"D")</f>
        <v>47087</v>
      </c>
      <c r="AA1133" s="116">
        <v>4.0975674628377666E-2</v>
      </c>
      <c r="AB1133" s="113">
        <v>4.0809255396990762E-2</v>
      </c>
    </row>
    <row r="1134" spans="17:28" x14ac:dyDescent="0.2">
      <c r="Q1134" s="72"/>
      <c r="T1134" s="72"/>
      <c r="U1134" s="93"/>
      <c r="X1134" s="114" t="str">
        <f t="shared" si="30"/>
        <v>1w</v>
      </c>
      <c r="Y1134" s="112">
        <f>_xll.qlCalendarAdvance(Calendar,Y1133,X1134,"f",FALSE)</f>
        <v>47094</v>
      </c>
      <c r="Z1134" s="115">
        <f>_xll.qlCalendarAdvance(Calendar,Y1134,NDays&amp;"D")</f>
        <v>47094</v>
      </c>
      <c r="AA1134" s="116">
        <v>4.0969406180910314E-2</v>
      </c>
      <c r="AB1134" s="113">
        <v>4.0804025605545302E-2</v>
      </c>
    </row>
    <row r="1135" spans="17:28" x14ac:dyDescent="0.2">
      <c r="Q1135" s="72"/>
      <c r="T1135" s="72"/>
      <c r="U1135" s="93"/>
      <c r="X1135" s="114" t="str">
        <f t="shared" si="30"/>
        <v>1w</v>
      </c>
      <c r="Y1135" s="112">
        <f>_xll.qlCalendarAdvance(Calendar,Y1134,X1135,"f",FALSE)</f>
        <v>47101</v>
      </c>
      <c r="Z1135" s="115">
        <f>_xll.qlCalendarAdvance(Calendar,Y1135,NDays&amp;"D")</f>
        <v>47101</v>
      </c>
      <c r="AA1135" s="116">
        <v>4.0962982577637939E-2</v>
      </c>
      <c r="AB1135" s="113">
        <v>4.0798642183094147E-2</v>
      </c>
    </row>
    <row r="1136" spans="17:28" x14ac:dyDescent="0.2">
      <c r="Q1136" s="72"/>
      <c r="T1136" s="72"/>
      <c r="U1136" s="93"/>
      <c r="X1136" s="114" t="str">
        <f t="shared" si="30"/>
        <v>1w</v>
      </c>
      <c r="Y1136" s="112">
        <f>_xll.qlCalendarAdvance(Calendar,Y1135,X1136,"f",FALSE)</f>
        <v>47108</v>
      </c>
      <c r="Z1136" s="115">
        <f>_xll.qlCalendarAdvance(Calendar,Y1136,NDays&amp;"D")</f>
        <v>47108</v>
      </c>
      <c r="AA1136" s="116">
        <v>4.0956403819289965E-2</v>
      </c>
      <c r="AB1136" s="113">
        <v>4.079310512979939E-2</v>
      </c>
    </row>
    <row r="1137" spans="17:28" x14ac:dyDescent="0.2">
      <c r="Q1137" s="72"/>
      <c r="T1137" s="72"/>
      <c r="U1137" s="93"/>
      <c r="X1137" s="114" t="str">
        <f t="shared" si="30"/>
        <v>1w</v>
      </c>
      <c r="Y1137" s="112">
        <f>_xll.qlCalendarAdvance(Calendar,Y1136,X1137,"f",FALSE)</f>
        <v>47115</v>
      </c>
      <c r="Z1137" s="115">
        <f>_xll.qlCalendarAdvance(Calendar,Y1137,NDays&amp;"D")</f>
        <v>47115</v>
      </c>
      <c r="AA1137" s="116">
        <v>4.0949669906613813E-2</v>
      </c>
      <c r="AB1137" s="113">
        <v>4.078741444566103E-2</v>
      </c>
    </row>
    <row r="1138" spans="17:28" x14ac:dyDescent="0.2">
      <c r="Q1138" s="72"/>
      <c r="T1138" s="72"/>
      <c r="U1138" s="93"/>
      <c r="X1138" s="114" t="str">
        <f t="shared" si="30"/>
        <v>1w</v>
      </c>
      <c r="Y1138" s="112">
        <f>_xll.qlCalendarAdvance(Calendar,Y1137,X1138,"f",FALSE)</f>
        <v>47122</v>
      </c>
      <c r="Z1138" s="115">
        <f>_xll.qlCalendarAdvance(Calendar,Y1138,NDays&amp;"D")</f>
        <v>47122</v>
      </c>
      <c r="AA1138" s="116">
        <v>4.0942780840374927E-2</v>
      </c>
      <c r="AB1138" s="113">
        <v>4.0781570130516975E-2</v>
      </c>
    </row>
    <row r="1139" spans="17:28" x14ac:dyDescent="0.2">
      <c r="Q1139" s="72"/>
      <c r="T1139" s="72"/>
      <c r="U1139" s="93"/>
      <c r="X1139" s="114" t="str">
        <f t="shared" si="30"/>
        <v>1w</v>
      </c>
      <c r="Y1139" s="112">
        <f>_xll.qlCalendarAdvance(Calendar,Y1138,X1139,"f",FALSE)</f>
        <v>47129</v>
      </c>
      <c r="Z1139" s="115">
        <f>_xll.qlCalendarAdvance(Calendar,Y1139,NDays&amp;"D")</f>
        <v>47129</v>
      </c>
      <c r="AA1139" s="116">
        <v>4.0935736621354947E-2</v>
      </c>
      <c r="AB1139" s="113">
        <v>4.0775572184448272E-2</v>
      </c>
    </row>
    <row r="1140" spans="17:28" x14ac:dyDescent="0.2">
      <c r="Q1140" s="72"/>
      <c r="T1140" s="72"/>
      <c r="U1140" s="93"/>
      <c r="X1140" s="114" t="str">
        <f t="shared" si="30"/>
        <v>1w</v>
      </c>
      <c r="Y1140" s="112">
        <f>_xll.qlCalendarAdvance(Calendar,Y1139,X1140,"f",FALSE)</f>
        <v>47136</v>
      </c>
      <c r="Z1140" s="115">
        <f>_xll.qlCalendarAdvance(Calendar,Y1140,NDays&amp;"D")</f>
        <v>47136</v>
      </c>
      <c r="AA1140" s="116">
        <v>4.092853725035623E-2</v>
      </c>
      <c r="AB1140" s="113">
        <v>4.0769420607535967E-2</v>
      </c>
    </row>
    <row r="1141" spans="17:28" x14ac:dyDescent="0.2">
      <c r="Q1141" s="72"/>
      <c r="T1141" s="72"/>
      <c r="U1141" s="93"/>
      <c r="X1141" s="114" t="str">
        <f t="shared" si="30"/>
        <v>1w</v>
      </c>
      <c r="Y1141" s="112">
        <f>_xll.qlCalendarAdvance(Calendar,Y1140,X1141,"f",FALSE)</f>
        <v>47143</v>
      </c>
      <c r="Z1141" s="115">
        <f>_xll.qlCalendarAdvance(Calendar,Y1141,NDays&amp;"D")</f>
        <v>47143</v>
      </c>
      <c r="AA1141" s="116">
        <v>4.0922913828178441E-2</v>
      </c>
      <c r="AB1141" s="113">
        <v>4.0768571007863963E-2</v>
      </c>
    </row>
    <row r="1142" spans="17:28" x14ac:dyDescent="0.2">
      <c r="Q1142" s="72"/>
      <c r="T1142" s="72"/>
      <c r="U1142" s="93"/>
      <c r="X1142" s="114" t="str">
        <f t="shared" si="30"/>
        <v>1w</v>
      </c>
      <c r="Y1142" s="112">
        <f>_xll.qlCalendarAdvance(Calendar,Y1141,X1142,"f",FALSE)</f>
        <v>47150</v>
      </c>
      <c r="Z1142" s="115">
        <f>_xll.qlCalendarAdvance(Calendar,Y1142,NDays&amp;"D")</f>
        <v>47150</v>
      </c>
      <c r="AA1142" s="116">
        <v>4.0911952865148898E-2</v>
      </c>
      <c r="AB1142" s="113">
        <v>4.0756656561180549E-2</v>
      </c>
    </row>
    <row r="1143" spans="17:28" x14ac:dyDescent="0.2">
      <c r="Q1143" s="72"/>
      <c r="T1143" s="72"/>
      <c r="U1143" s="93"/>
      <c r="X1143" s="114" t="str">
        <f t="shared" si="30"/>
        <v>1w</v>
      </c>
      <c r="Y1143" s="112">
        <f>_xll.qlCalendarAdvance(Calendar,Y1142,X1143,"f",FALSE)</f>
        <v>47157</v>
      </c>
      <c r="Z1143" s="115">
        <f>_xll.qlCalendarAdvance(Calendar,Y1143,NDays&amp;"D")</f>
        <v>47157</v>
      </c>
      <c r="AA1143" s="116">
        <v>4.0904299978733585E-2</v>
      </c>
      <c r="AB1143" s="113">
        <v>4.0750044091737436E-2</v>
      </c>
    </row>
    <row r="1144" spans="17:28" x14ac:dyDescent="0.2">
      <c r="Q1144" s="72"/>
      <c r="T1144" s="72"/>
      <c r="U1144" s="93"/>
      <c r="X1144" s="114" t="str">
        <f t="shared" si="30"/>
        <v>1w</v>
      </c>
      <c r="Y1144" s="112">
        <f>_xll.qlCalendarAdvance(Calendar,Y1143,X1144,"f",FALSE)</f>
        <v>47164</v>
      </c>
      <c r="Z1144" s="115">
        <f>_xll.qlCalendarAdvance(Calendar,Y1144,NDays&amp;"D")</f>
        <v>47164</v>
      </c>
      <c r="AA1144" s="116">
        <v>4.0896491960788948E-2</v>
      </c>
      <c r="AB1144" s="113">
        <v>4.0743277991288629E-2</v>
      </c>
    </row>
    <row r="1145" spans="17:28" x14ac:dyDescent="0.2">
      <c r="Q1145" s="72"/>
      <c r="T1145" s="72"/>
      <c r="U1145" s="93"/>
      <c r="X1145" s="114" t="str">
        <f t="shared" si="30"/>
        <v>1w</v>
      </c>
      <c r="Y1145" s="112">
        <f>_xll.qlCalendarAdvance(Calendar,Y1144,X1145,"f",FALSE)</f>
        <v>47171</v>
      </c>
      <c r="Z1145" s="115">
        <f>_xll.qlCalendarAdvance(Calendar,Y1145,NDays&amp;"D")</f>
        <v>47171</v>
      </c>
      <c r="AA1145" s="116">
        <v>4.0888528812194666E-2</v>
      </c>
      <c r="AB1145" s="113">
        <v>4.0736358260158312E-2</v>
      </c>
    </row>
    <row r="1146" spans="17:28" x14ac:dyDescent="0.2">
      <c r="Q1146" s="72"/>
      <c r="T1146" s="72"/>
      <c r="U1146" s="93"/>
      <c r="X1146" s="114" t="str">
        <f t="shared" si="30"/>
        <v>1w</v>
      </c>
      <c r="Y1146" s="112">
        <f>_xll.qlCalendarAdvance(Calendar,Y1145,X1146,"f",FALSE)</f>
        <v>47178</v>
      </c>
      <c r="Z1146" s="115">
        <f>_xll.qlCalendarAdvance(Calendar,Y1146,NDays&amp;"D")</f>
        <v>47178</v>
      </c>
      <c r="AA1146" s="116">
        <v>4.0885424506264798E-2</v>
      </c>
      <c r="AB1146" s="113">
        <v>4.0729284898184392E-2</v>
      </c>
    </row>
    <row r="1147" spans="17:28" x14ac:dyDescent="0.2">
      <c r="Q1147" s="72"/>
      <c r="T1147" s="72"/>
      <c r="U1147" s="93"/>
      <c r="X1147" s="114" t="str">
        <f t="shared" si="30"/>
        <v>1w</v>
      </c>
      <c r="Y1147" s="112">
        <f>_xll.qlCalendarAdvance(Calendar,Y1146,X1147,"f",FALSE)</f>
        <v>47185</v>
      </c>
      <c r="Z1147" s="115">
        <f>_xll.qlCalendarAdvance(Calendar,Y1147,NDays&amp;"D")</f>
        <v>47185</v>
      </c>
      <c r="AA1147" s="116">
        <v>4.0877115080138381E-2</v>
      </c>
      <c r="AB1147" s="113">
        <v>4.0722057905285824E-2</v>
      </c>
    </row>
    <row r="1148" spans="17:28" x14ac:dyDescent="0.2">
      <c r="Q1148" s="72"/>
      <c r="T1148" s="72"/>
      <c r="U1148" s="93"/>
      <c r="X1148" s="114" t="str">
        <f t="shared" si="30"/>
        <v>1w</v>
      </c>
      <c r="Y1148" s="112">
        <f>_xll.qlCalendarAdvance(Calendar,Y1147,X1148,"f",FALSE)</f>
        <v>47192</v>
      </c>
      <c r="Z1148" s="115">
        <f>_xll.qlCalendarAdvance(Calendar,Y1148,NDays&amp;"D")</f>
        <v>47192</v>
      </c>
      <c r="AA1148" s="116">
        <v>4.08686504750135E-2</v>
      </c>
      <c r="AB1148" s="113">
        <v>4.07146772816247E-2</v>
      </c>
    </row>
    <row r="1149" spans="17:28" x14ac:dyDescent="0.2">
      <c r="Q1149" s="72"/>
      <c r="T1149" s="72"/>
      <c r="U1149" s="93"/>
      <c r="X1149" s="114" t="str">
        <f t="shared" si="30"/>
        <v>1w</v>
      </c>
      <c r="Y1149" s="112">
        <f>_xll.qlCalendarAdvance(Calendar,Y1148,X1149,"f",FALSE)</f>
        <v>47199</v>
      </c>
      <c r="Z1149" s="115">
        <f>_xll.qlCalendarAdvance(Calendar,Y1149,NDays&amp;"D")</f>
        <v>47199</v>
      </c>
      <c r="AA1149" s="116">
        <v>4.0860030691872398E-2</v>
      </c>
      <c r="AB1149" s="113">
        <v>4.0707143027119974E-2</v>
      </c>
    </row>
    <row r="1150" spans="17:28" x14ac:dyDescent="0.2">
      <c r="Q1150" s="72"/>
      <c r="T1150" s="72"/>
      <c r="U1150" s="93"/>
      <c r="X1150" s="114" t="str">
        <f t="shared" si="30"/>
        <v>1w</v>
      </c>
      <c r="Y1150" s="112">
        <f>_xll.qlCalendarAdvance(Calendar,Y1149,X1150,"f",FALSE)</f>
        <v>47206</v>
      </c>
      <c r="Z1150" s="115">
        <f>_xll.qlCalendarAdvance(Calendar,Y1150,NDays&amp;"D")</f>
        <v>47206</v>
      </c>
      <c r="AA1150" s="116">
        <v>4.0851255731718467E-2</v>
      </c>
      <c r="AB1150" s="113">
        <v>4.0706303682789047E-2</v>
      </c>
    </row>
    <row r="1151" spans="17:28" x14ac:dyDescent="0.2">
      <c r="Q1151" s="72"/>
      <c r="T1151" s="72"/>
      <c r="U1151" s="93"/>
      <c r="X1151" s="114" t="str">
        <f t="shared" si="30"/>
        <v>1w</v>
      </c>
      <c r="Y1151" s="112">
        <f>_xll.qlCalendarAdvance(Calendar,Y1150,X1151,"f",FALSE)</f>
        <v>47213</v>
      </c>
      <c r="Z1151" s="115">
        <f>_xll.qlCalendarAdvance(Calendar,Y1151,NDays&amp;"D")</f>
        <v>47213</v>
      </c>
      <c r="AA1151" s="116">
        <v>4.0840715507812847E-2</v>
      </c>
      <c r="AB1151" s="113">
        <v>4.0691613625822853E-2</v>
      </c>
    </row>
    <row r="1152" spans="17:28" x14ac:dyDescent="0.2">
      <c r="Q1152" s="72"/>
      <c r="T1152" s="72"/>
      <c r="U1152" s="93"/>
      <c r="X1152" s="114" t="str">
        <f t="shared" si="30"/>
        <v>1w</v>
      </c>
      <c r="Y1152" s="112">
        <f>_xll.qlCalendarAdvance(Calendar,Y1151,X1152,"f",FALSE)</f>
        <v>47220</v>
      </c>
      <c r="Z1152" s="115">
        <f>_xll.qlCalendarAdvance(Calendar,Y1152,NDays&amp;"D")</f>
        <v>47220</v>
      </c>
      <c r="AA1152" s="116">
        <v>4.0831642290577903E-2</v>
      </c>
      <c r="AB1152" s="113">
        <v>4.0683618478949413E-2</v>
      </c>
    </row>
    <row r="1153" spans="17:28" x14ac:dyDescent="0.2">
      <c r="Q1153" s="72"/>
      <c r="T1153" s="72"/>
      <c r="U1153" s="93"/>
      <c r="X1153" s="114" t="str">
        <f t="shared" si="30"/>
        <v>1w</v>
      </c>
      <c r="Y1153" s="112">
        <f>_xll.qlCalendarAdvance(Calendar,Y1152,X1153,"f",FALSE)</f>
        <v>47227</v>
      </c>
      <c r="Z1153" s="115">
        <f>_xll.qlCalendarAdvance(Calendar,Y1153,NDays&amp;"D")</f>
        <v>47227</v>
      </c>
      <c r="AA1153" s="116">
        <v>4.0822413916405016E-2</v>
      </c>
      <c r="AB1153" s="113">
        <v>4.0675469701394462E-2</v>
      </c>
    </row>
    <row r="1154" spans="17:28" x14ac:dyDescent="0.2">
      <c r="Q1154" s="72"/>
      <c r="T1154" s="72"/>
      <c r="U1154" s="93"/>
      <c r="X1154" s="114" t="str">
        <f t="shared" si="30"/>
        <v>1w</v>
      </c>
      <c r="Y1154" s="112">
        <f>_xll.qlCalendarAdvance(Calendar,Y1153,X1154,"f",FALSE)</f>
        <v>47234</v>
      </c>
      <c r="Z1154" s="115">
        <f>_xll.qlCalendarAdvance(Calendar,Y1154,NDays&amp;"D")</f>
        <v>47234</v>
      </c>
      <c r="AA1154" s="116">
        <v>4.0813030386357578E-2</v>
      </c>
      <c r="AB1154" s="113">
        <v>4.0667167293076956E-2</v>
      </c>
    </row>
    <row r="1155" spans="17:28" x14ac:dyDescent="0.2">
      <c r="Q1155" s="72"/>
      <c r="T1155" s="72"/>
      <c r="U1155" s="93"/>
      <c r="X1155" s="114" t="str">
        <f t="shared" si="30"/>
        <v>1w</v>
      </c>
      <c r="Y1155" s="112">
        <f>_xll.qlCalendarAdvance(Calendar,Y1154,X1155,"f",FALSE)</f>
        <v>47241</v>
      </c>
      <c r="Z1155" s="115">
        <f>_xll.qlCalendarAdvance(Calendar,Y1155,NDays&amp;"D")</f>
        <v>47241</v>
      </c>
      <c r="AA1155" s="116">
        <v>4.0805053312041227E-2</v>
      </c>
      <c r="AB1155" s="113">
        <v>4.0658711253915847E-2</v>
      </c>
    </row>
    <row r="1156" spans="17:28" x14ac:dyDescent="0.2">
      <c r="Q1156" s="72"/>
      <c r="T1156" s="72"/>
      <c r="U1156" s="93"/>
      <c r="X1156" s="114" t="str">
        <f t="shared" si="30"/>
        <v>1w</v>
      </c>
      <c r="Y1156" s="112">
        <f>_xll.qlCalendarAdvance(Calendar,Y1155,X1156,"f",FALSE)</f>
        <v>47248</v>
      </c>
      <c r="Z1156" s="115">
        <f>_xll.qlCalendarAdvance(Calendar,Y1156,NDays&amp;"D")</f>
        <v>47248</v>
      </c>
      <c r="AA1156" s="116">
        <v>4.079534731183726E-2</v>
      </c>
      <c r="AB1156" s="113">
        <v>4.0650101584073228E-2</v>
      </c>
    </row>
    <row r="1157" spans="17:28" x14ac:dyDescent="0.2">
      <c r="Q1157" s="72"/>
      <c r="T1157" s="72"/>
      <c r="U1157" s="93"/>
      <c r="X1157" s="114" t="str">
        <f t="shared" si="30"/>
        <v>1w</v>
      </c>
      <c r="Y1157" s="112">
        <f>_xll.qlCalendarAdvance(Calendar,Y1156,X1157,"f",FALSE)</f>
        <v>47255</v>
      </c>
      <c r="Z1157" s="115">
        <f>_xll.qlCalendarAdvance(Calendar,Y1157,NDays&amp;"D")</f>
        <v>47255</v>
      </c>
      <c r="AA1157" s="116">
        <v>4.0785486142132218E-2</v>
      </c>
      <c r="AB1157" s="113">
        <v>4.0641338283468054E-2</v>
      </c>
    </row>
    <row r="1158" spans="17:28" x14ac:dyDescent="0.2">
      <c r="Q1158" s="72"/>
      <c r="T1158" s="72"/>
      <c r="U1158" s="93"/>
      <c r="X1158" s="114" t="str">
        <f t="shared" si="30"/>
        <v>1w</v>
      </c>
      <c r="Y1158" s="112">
        <f>_xll.qlCalendarAdvance(Calendar,Y1157,X1158,"f",FALSE)</f>
        <v>47262</v>
      </c>
      <c r="Z1158" s="115">
        <f>_xll.qlCalendarAdvance(Calendar,Y1158,NDays&amp;"D")</f>
        <v>47262</v>
      </c>
      <c r="AA1158" s="116">
        <v>4.0775469804072199E-2</v>
      </c>
      <c r="AB1158" s="113">
        <v>4.0632421352262416E-2</v>
      </c>
    </row>
    <row r="1159" spans="17:28" x14ac:dyDescent="0.2">
      <c r="Q1159" s="72"/>
      <c r="T1159" s="72"/>
      <c r="U1159" s="93"/>
      <c r="X1159" s="114" t="str">
        <f t="shared" si="30"/>
        <v>1w</v>
      </c>
      <c r="Y1159" s="112">
        <f>_xll.qlCalendarAdvance(Calendar,Y1158,X1159,"f",FALSE)</f>
        <v>47269</v>
      </c>
      <c r="Z1159" s="115">
        <f>_xll.qlCalendarAdvance(Calendar,Y1159,NDays&amp;"D")</f>
        <v>47269</v>
      </c>
      <c r="AA1159" s="116">
        <v>4.0765298298819155E-2</v>
      </c>
      <c r="AB1159" s="113">
        <v>4.0623350790132129E-2</v>
      </c>
    </row>
    <row r="1160" spans="17:28" x14ac:dyDescent="0.2">
      <c r="Q1160" s="72"/>
      <c r="T1160" s="72"/>
      <c r="U1160" s="93"/>
      <c r="X1160" s="114" t="str">
        <f t="shared" si="30"/>
        <v>1w</v>
      </c>
      <c r="Y1160" s="112">
        <f>_xll.qlCalendarAdvance(Calendar,Y1159,X1160,"f",FALSE)</f>
        <v>47276</v>
      </c>
      <c r="Z1160" s="115">
        <f>_xll.qlCalendarAdvance(Calendar,Y1160,NDays&amp;"D")</f>
        <v>47276</v>
      </c>
      <c r="AA1160" s="116">
        <v>4.0754971627556195E-2</v>
      </c>
      <c r="AB1160" s="113">
        <v>4.0614126597563471E-2</v>
      </c>
    </row>
    <row r="1161" spans="17:28" x14ac:dyDescent="0.2">
      <c r="Q1161" s="72"/>
      <c r="T1161" s="72"/>
      <c r="U1161" s="93"/>
      <c r="X1161" s="114" t="str">
        <f t="shared" si="30"/>
        <v>1w</v>
      </c>
      <c r="Y1161" s="112">
        <f>_xll.qlCalendarAdvance(Calendar,Y1160,X1161,"f",FALSE)</f>
        <v>47283</v>
      </c>
      <c r="Z1161" s="115">
        <f>_xll.qlCalendarAdvance(Calendar,Y1161,NDays&amp;"D")</f>
        <v>47283</v>
      </c>
      <c r="AA1161" s="116">
        <v>4.074448979148227E-2</v>
      </c>
      <c r="AB1161" s="113">
        <v>4.0604748774151211E-2</v>
      </c>
    </row>
    <row r="1162" spans="17:28" x14ac:dyDescent="0.2">
      <c r="Q1162" s="72"/>
      <c r="T1162" s="72"/>
      <c r="U1162" s="93"/>
      <c r="X1162" s="114" t="str">
        <f t="shared" si="30"/>
        <v>1w</v>
      </c>
      <c r="Y1162" s="112">
        <f>_xll.qlCalendarAdvance(Calendar,Y1161,X1162,"f",FALSE)</f>
        <v>47290</v>
      </c>
      <c r="Z1162" s="115">
        <f>_xll.qlCalendarAdvance(Calendar,Y1162,NDays&amp;"D")</f>
        <v>47290</v>
      </c>
      <c r="AA1162" s="116">
        <v>4.0733852791813956E-2</v>
      </c>
      <c r="AB1162" s="113">
        <v>4.0595217320138488E-2</v>
      </c>
    </row>
    <row r="1163" spans="17:28" x14ac:dyDescent="0.2">
      <c r="Q1163" s="72"/>
      <c r="T1163" s="72"/>
      <c r="U1163" s="93"/>
      <c r="X1163" s="114" t="str">
        <f t="shared" si="30"/>
        <v>1w</v>
      </c>
      <c r="Y1163" s="112">
        <f>_xll.qlCalendarAdvance(Calendar,Y1162,X1163,"f",FALSE)</f>
        <v>47297</v>
      </c>
      <c r="Z1163" s="115">
        <f>_xll.qlCalendarAdvance(Calendar,Y1163,NDays&amp;"D")</f>
        <v>47297</v>
      </c>
      <c r="AA1163" s="116">
        <v>4.0723060629787214E-2</v>
      </c>
      <c r="AB1163" s="113">
        <v>4.0585532235444255E-2</v>
      </c>
    </row>
    <row r="1164" spans="17:28" x14ac:dyDescent="0.2">
      <c r="Q1164" s="72"/>
      <c r="T1164" s="72"/>
      <c r="U1164" s="93"/>
      <c r="X1164" s="114" t="str">
        <f t="shared" si="30"/>
        <v>1w</v>
      </c>
      <c r="Y1164" s="112">
        <f>_xll.qlCalendarAdvance(Calendar,Y1163,X1164,"f",FALSE)</f>
        <v>47304</v>
      </c>
      <c r="Z1164" s="115">
        <f>_xll.qlCalendarAdvance(Calendar,Y1164,NDays&amp;"D")</f>
        <v>47304</v>
      </c>
      <c r="AA1164" s="116">
        <v>4.0712113306656486E-2</v>
      </c>
      <c r="AB1164" s="113">
        <v>4.0575693520149558E-2</v>
      </c>
    </row>
    <row r="1165" spans="17:28" x14ac:dyDescent="0.2">
      <c r="Q1165" s="72"/>
      <c r="T1165" s="72"/>
      <c r="U1165" s="93"/>
      <c r="X1165" s="114" t="str">
        <f t="shared" si="30"/>
        <v>1w</v>
      </c>
      <c r="Y1165" s="112">
        <f>_xll.qlCalendarAdvance(Calendar,Y1164,X1165,"f",FALSE)</f>
        <v>47311</v>
      </c>
      <c r="Z1165" s="115">
        <f>_xll.qlCalendarAdvance(Calendar,Y1165,NDays&amp;"D")</f>
        <v>47311</v>
      </c>
      <c r="AA1165" s="116">
        <v>4.0701010823692103E-2</v>
      </c>
      <c r="AB1165" s="113">
        <v>4.0565701174254398E-2</v>
      </c>
    </row>
    <row r="1166" spans="17:28" x14ac:dyDescent="0.2">
      <c r="Q1166" s="72"/>
      <c r="T1166" s="72"/>
      <c r="U1166" s="93"/>
      <c r="X1166" s="114" t="str">
        <f t="shared" si="30"/>
        <v>1w</v>
      </c>
      <c r="Y1166" s="112">
        <f>_xll.qlCalendarAdvance(Calendar,Y1165,X1166,"f",FALSE)</f>
        <v>47318</v>
      </c>
      <c r="Z1166" s="115">
        <f>_xll.qlCalendarAdvance(Calendar,Y1166,NDays&amp;"D")</f>
        <v>47318</v>
      </c>
      <c r="AA1166" s="116">
        <v>4.0689753182183742E-2</v>
      </c>
      <c r="AB1166" s="113">
        <v>4.0555555197677728E-2</v>
      </c>
    </row>
    <row r="1167" spans="17:28" x14ac:dyDescent="0.2">
      <c r="Q1167" s="72"/>
      <c r="T1167" s="72"/>
      <c r="U1167" s="93"/>
      <c r="X1167" s="114" t="str">
        <f t="shared" si="30"/>
        <v>1w</v>
      </c>
      <c r="Y1167" s="112">
        <f>_xll.qlCalendarAdvance(Calendar,Y1166,X1167,"f",FALSE)</f>
        <v>47325</v>
      </c>
      <c r="Z1167" s="115">
        <f>_xll.qlCalendarAdvance(Calendar,Y1167,NDays&amp;"D")</f>
        <v>47325</v>
      </c>
      <c r="AA1167" s="116">
        <v>4.0678340383438719E-2</v>
      </c>
      <c r="AB1167" s="113">
        <v>4.0545255590419549E-2</v>
      </c>
    </row>
    <row r="1168" spans="17:28" x14ac:dyDescent="0.2">
      <c r="Q1168" s="72"/>
      <c r="T1168" s="72"/>
      <c r="U1168" s="93"/>
      <c r="X1168" s="114" t="str">
        <f t="shared" si="30"/>
        <v>1w</v>
      </c>
      <c r="Y1168" s="112">
        <f>_xll.qlCalendarAdvance(Calendar,Y1167,X1168,"f",FALSE)</f>
        <v>47332</v>
      </c>
      <c r="Z1168" s="115">
        <f>_xll.qlCalendarAdvance(Calendar,Y1168,NDays&amp;"D")</f>
        <v>47332</v>
      </c>
      <c r="AA1168" s="116">
        <v>4.0666772428783735E-2</v>
      </c>
      <c r="AB1168" s="113">
        <v>4.0534802352641952E-2</v>
      </c>
    </row>
    <row r="1169" spans="17:28" x14ac:dyDescent="0.2">
      <c r="Q1169" s="72"/>
      <c r="T1169" s="72"/>
      <c r="U1169" s="93"/>
      <c r="X1169" s="114" t="str">
        <f t="shared" si="30"/>
        <v>1w</v>
      </c>
      <c r="Y1169" s="112">
        <f>_xll.qlCalendarAdvance(Calendar,Y1168,X1169,"f",FALSE)</f>
        <v>47339</v>
      </c>
      <c r="Z1169" s="115">
        <f>_xll.qlCalendarAdvance(Calendar,Y1169,NDays&amp;"D")</f>
        <v>47339</v>
      </c>
      <c r="AA1169" s="116">
        <v>4.0655049319561327E-2</v>
      </c>
      <c r="AB1169" s="113">
        <v>4.0524195484344938E-2</v>
      </c>
    </row>
    <row r="1170" spans="17:28" x14ac:dyDescent="0.2">
      <c r="Q1170" s="72"/>
      <c r="T1170" s="72"/>
      <c r="U1170" s="93"/>
      <c r="X1170" s="114" t="str">
        <f t="shared" si="30"/>
        <v>1w</v>
      </c>
      <c r="Y1170" s="112">
        <f>_xll.qlCalendarAdvance(Calendar,Y1169,X1170,"f",FALSE)</f>
        <v>47346</v>
      </c>
      <c r="Z1170" s="115">
        <f>_xll.qlCalendarAdvance(Calendar,Y1170,NDays&amp;"D")</f>
        <v>47346</v>
      </c>
      <c r="AA1170" s="116">
        <v>4.0643171057135191E-2</v>
      </c>
      <c r="AB1170" s="113">
        <v>4.0513434985366414E-2</v>
      </c>
    </row>
    <row r="1171" spans="17:28" x14ac:dyDescent="0.2">
      <c r="Q1171" s="72"/>
      <c r="T1171" s="72"/>
      <c r="U1171" s="93"/>
      <c r="X1171" s="114" t="str">
        <f t="shared" si="30"/>
        <v>1w</v>
      </c>
      <c r="Y1171" s="112">
        <f>_xll.qlCalendarAdvance(Calendar,Y1170,X1171,"f",FALSE)</f>
        <v>47353</v>
      </c>
      <c r="Z1171" s="115">
        <f>_xll.qlCalendarAdvance(Calendar,Y1171,NDays&amp;"D")</f>
        <v>47353</v>
      </c>
      <c r="AA1171" s="116">
        <v>4.0631137642882238E-2</v>
      </c>
      <c r="AB1171" s="113">
        <v>4.050252085594952E-2</v>
      </c>
    </row>
    <row r="1172" spans="17:28" x14ac:dyDescent="0.2">
      <c r="Q1172" s="72"/>
      <c r="T1172" s="72"/>
      <c r="U1172" s="93"/>
      <c r="X1172" s="114" t="str">
        <f t="shared" si="30"/>
        <v>1w</v>
      </c>
      <c r="Y1172" s="112">
        <f>_xll.qlCalendarAdvance(Calendar,Y1171,X1172,"f",FALSE)</f>
        <v>47360</v>
      </c>
      <c r="Z1172" s="115">
        <f>_xll.qlCalendarAdvance(Calendar,Y1172,NDays&amp;"D")</f>
        <v>47360</v>
      </c>
      <c r="AA1172" s="116">
        <v>4.0618949078201398E-2</v>
      </c>
      <c r="AB1172" s="113">
        <v>4.0491453095932162E-2</v>
      </c>
    </row>
    <row r="1173" spans="17:28" x14ac:dyDescent="0.2">
      <c r="Q1173" s="72"/>
      <c r="T1173" s="72"/>
      <c r="U1173" s="93"/>
      <c r="X1173" s="114" t="str">
        <f t="shared" ref="X1173:X1236" si="31">X1172</f>
        <v>1w</v>
      </c>
      <c r="Y1173" s="112">
        <f>_xll.qlCalendarAdvance(Calendar,Y1172,X1173,"f",FALSE)</f>
        <v>47367</v>
      </c>
      <c r="Z1173" s="115">
        <f>_xll.qlCalendarAdvance(Calendar,Y1173,NDays&amp;"D")</f>
        <v>47367</v>
      </c>
      <c r="AA1173" s="116">
        <v>4.0605265239536968E-2</v>
      </c>
      <c r="AB1173" s="113">
        <v>4.048023170531434E-2</v>
      </c>
    </row>
    <row r="1174" spans="17:28" x14ac:dyDescent="0.2">
      <c r="Q1174" s="72"/>
      <c r="T1174" s="72"/>
      <c r="U1174" s="93"/>
      <c r="X1174" s="114" t="str">
        <f t="shared" si="31"/>
        <v>1w</v>
      </c>
      <c r="Y1174" s="112">
        <f>_xll.qlCalendarAdvance(Calendar,Y1173,X1174,"f",FALSE)</f>
        <v>47374</v>
      </c>
      <c r="Z1174" s="115">
        <f>_xll.qlCalendarAdvance(Calendar,Y1174,NDays&amp;"D")</f>
        <v>47374</v>
      </c>
      <c r="AA1174" s="116">
        <v>4.0592778842070909E-2</v>
      </c>
      <c r="AB1174" s="113">
        <v>4.0468856684339194E-2</v>
      </c>
    </row>
    <row r="1175" spans="17:28" x14ac:dyDescent="0.2">
      <c r="Q1175" s="72"/>
      <c r="T1175" s="72"/>
      <c r="U1175" s="93"/>
      <c r="X1175" s="114" t="str">
        <f t="shared" si="31"/>
        <v>1w</v>
      </c>
      <c r="Y1175" s="112">
        <f>_xll.qlCalendarAdvance(Calendar,Y1174,X1175,"f",FALSE)</f>
        <v>47381</v>
      </c>
      <c r="Z1175" s="115">
        <f>_xll.qlCalendarAdvance(Calendar,Y1175,NDays&amp;"D")</f>
        <v>47381</v>
      </c>
      <c r="AA1175" s="116">
        <v>4.0580137315111321E-2</v>
      </c>
      <c r="AB1175" s="113">
        <v>4.0457328032763584E-2</v>
      </c>
    </row>
    <row r="1176" spans="17:28" x14ac:dyDescent="0.2">
      <c r="Q1176" s="72"/>
      <c r="T1176" s="72"/>
      <c r="U1176" s="93"/>
      <c r="X1176" s="114" t="str">
        <f t="shared" si="31"/>
        <v>1w</v>
      </c>
      <c r="Y1176" s="112">
        <f>_xll.qlCalendarAdvance(Calendar,Y1175,X1176,"f",FALSE)</f>
        <v>47388</v>
      </c>
      <c r="Z1176" s="115">
        <f>_xll.qlCalendarAdvance(Calendar,Y1176,NDays&amp;"D")</f>
        <v>47388</v>
      </c>
      <c r="AA1176" s="116">
        <v>4.0567340660109009E-2</v>
      </c>
      <c r="AB1176" s="113">
        <v>4.0445645750749604E-2</v>
      </c>
    </row>
    <row r="1177" spans="17:28" x14ac:dyDescent="0.2">
      <c r="Q1177" s="72"/>
      <c r="T1177" s="72"/>
      <c r="U1177" s="93"/>
      <c r="X1177" s="114" t="str">
        <f t="shared" si="31"/>
        <v>1w</v>
      </c>
      <c r="Y1177" s="112">
        <f>_xll.qlCalendarAdvance(Calendar,Y1176,X1177,"f",FALSE)</f>
        <v>47395</v>
      </c>
      <c r="Z1177" s="115">
        <f>_xll.qlCalendarAdvance(Calendar,Y1177,NDays&amp;"D")</f>
        <v>47395</v>
      </c>
      <c r="AA1177" s="116">
        <v>4.0555679048554366E-2</v>
      </c>
      <c r="AB1177" s="113">
        <v>4.0433809838216206E-2</v>
      </c>
    </row>
    <row r="1178" spans="17:28" x14ac:dyDescent="0.2">
      <c r="Q1178" s="72"/>
      <c r="T1178" s="72"/>
      <c r="U1178" s="93"/>
      <c r="X1178" s="114" t="str">
        <f t="shared" si="31"/>
        <v>1w</v>
      </c>
      <c r="Y1178" s="112">
        <f>_xll.qlCalendarAdvance(Calendar,Y1177,X1178,"f",FALSE)</f>
        <v>47402</v>
      </c>
      <c r="Z1178" s="115">
        <f>_xll.qlCalendarAdvance(Calendar,Y1178,NDays&amp;"D")</f>
        <v>47402</v>
      </c>
      <c r="AA1178" s="116">
        <v>4.0542559611665932E-2</v>
      </c>
      <c r="AB1178" s="113">
        <v>4.0421820295325483E-2</v>
      </c>
    </row>
    <row r="1179" spans="17:28" x14ac:dyDescent="0.2">
      <c r="Q1179" s="72"/>
      <c r="T1179" s="72"/>
      <c r="U1179" s="93"/>
      <c r="X1179" s="114" t="str">
        <f t="shared" si="31"/>
        <v>1w</v>
      </c>
      <c r="Y1179" s="112">
        <f>_xll.qlCalendarAdvance(Calendar,Y1178,X1179,"f",FALSE)</f>
        <v>47409</v>
      </c>
      <c r="Z1179" s="115">
        <f>_xll.qlCalendarAdvance(Calendar,Y1179,NDays&amp;"D")</f>
        <v>47409</v>
      </c>
      <c r="AA1179" s="116">
        <v>4.0529285034635439E-2</v>
      </c>
      <c r="AB1179" s="113">
        <v>4.0409677121915344E-2</v>
      </c>
    </row>
    <row r="1180" spans="17:28" x14ac:dyDescent="0.2">
      <c r="Q1180" s="72"/>
      <c r="T1180" s="72"/>
      <c r="U1180" s="93"/>
      <c r="X1180" s="114" t="str">
        <f t="shared" si="31"/>
        <v>1w</v>
      </c>
      <c r="Y1180" s="112">
        <f>_xll.qlCalendarAdvance(Calendar,Y1179,X1180,"f",FALSE)</f>
        <v>47416</v>
      </c>
      <c r="Z1180" s="115">
        <f>_xll.qlCalendarAdvance(Calendar,Y1180,NDays&amp;"D")</f>
        <v>47416</v>
      </c>
      <c r="AA1180" s="116">
        <v>4.0515855319008927E-2</v>
      </c>
      <c r="AB1180" s="113">
        <v>4.039738031814788E-2</v>
      </c>
    </row>
    <row r="1181" spans="17:28" x14ac:dyDescent="0.2">
      <c r="Q1181" s="72"/>
      <c r="T1181" s="72"/>
      <c r="U1181" s="93"/>
      <c r="X1181" s="114" t="str">
        <f t="shared" si="31"/>
        <v>1w</v>
      </c>
      <c r="Y1181" s="112">
        <f>_xll.qlCalendarAdvance(Calendar,Y1180,X1181,"f",FALSE)</f>
        <v>47423</v>
      </c>
      <c r="Z1181" s="115">
        <f>_xll.qlCalendarAdvance(Calendar,Y1181,NDays&amp;"D")</f>
        <v>47423</v>
      </c>
      <c r="AA1181" s="116">
        <v>4.050227046634302E-2</v>
      </c>
      <c r="AB1181" s="113">
        <v>4.0384929883942045E-2</v>
      </c>
    </row>
    <row r="1182" spans="17:28" x14ac:dyDescent="0.2">
      <c r="Q1182" s="72"/>
      <c r="T1182" s="72"/>
      <c r="U1182" s="93"/>
      <c r="X1182" s="114" t="str">
        <f t="shared" si="31"/>
        <v>1w</v>
      </c>
      <c r="Y1182" s="112">
        <f>_xll.qlCalendarAdvance(Calendar,Y1181,X1182,"f",FALSE)</f>
        <v>47430</v>
      </c>
      <c r="Z1182" s="115">
        <f>_xll.qlCalendarAdvance(Calendar,Y1182,NDays&amp;"D")</f>
        <v>47430</v>
      </c>
      <c r="AA1182" s="116">
        <v>4.048853047821635E-2</v>
      </c>
      <c r="AB1182" s="113">
        <v>4.0372325819297838E-2</v>
      </c>
    </row>
    <row r="1183" spans="17:28" x14ac:dyDescent="0.2">
      <c r="Q1183" s="72"/>
      <c r="T1183" s="72"/>
      <c r="U1183" s="93"/>
      <c r="X1183" s="114" t="str">
        <f t="shared" si="31"/>
        <v>1w</v>
      </c>
      <c r="Y1183" s="112">
        <f>_xll.qlCalendarAdvance(Calendar,Y1182,X1183,"f",FALSE)</f>
        <v>47437</v>
      </c>
      <c r="Z1183" s="115">
        <f>_xll.qlCalendarAdvance(Calendar,Y1183,NDays&amp;"D")</f>
        <v>47437</v>
      </c>
      <c r="AA1183" s="116">
        <v>4.0474635356226946E-2</v>
      </c>
      <c r="AB1183" s="113">
        <v>4.0359568124377354E-2</v>
      </c>
    </row>
    <row r="1184" spans="17:28" x14ac:dyDescent="0.2">
      <c r="Q1184" s="72"/>
      <c r="T1184" s="72"/>
      <c r="U1184" s="93"/>
      <c r="X1184" s="114" t="str">
        <f t="shared" si="31"/>
        <v>1w</v>
      </c>
      <c r="Y1184" s="112">
        <f>_xll.qlCalendarAdvance(Calendar,Y1183,X1184,"f",FALSE)</f>
        <v>47444</v>
      </c>
      <c r="Z1184" s="115">
        <f>_xll.qlCalendarAdvance(Calendar,Y1184,NDays&amp;"D")</f>
        <v>47444</v>
      </c>
      <c r="AA1184" s="116">
        <v>4.0460585101985157E-2</v>
      </c>
      <c r="AB1184" s="113">
        <v>4.0346656799099545E-2</v>
      </c>
    </row>
    <row r="1185" spans="17:28" x14ac:dyDescent="0.2">
      <c r="Q1185" s="72"/>
      <c r="T1185" s="72"/>
      <c r="U1185" s="93"/>
      <c r="X1185" s="114" t="str">
        <f t="shared" si="31"/>
        <v>1w</v>
      </c>
      <c r="Y1185" s="112">
        <f>_xll.qlCalendarAdvance(Calendar,Y1184,X1185,"f",FALSE)</f>
        <v>47451</v>
      </c>
      <c r="Z1185" s="115">
        <f>_xll.qlCalendarAdvance(Calendar,Y1185,NDays&amp;"D")</f>
        <v>47451</v>
      </c>
      <c r="AA1185" s="116">
        <v>4.0445190251688475E-2</v>
      </c>
      <c r="AB1185" s="113">
        <v>4.0333591843383365E-2</v>
      </c>
    </row>
    <row r="1186" spans="17:28" x14ac:dyDescent="0.2">
      <c r="Q1186" s="72"/>
      <c r="T1186" s="72"/>
      <c r="U1186" s="93"/>
      <c r="X1186" s="114" t="str">
        <f t="shared" si="31"/>
        <v>1w</v>
      </c>
      <c r="Y1186" s="112">
        <f>_xll.qlCalendarAdvance(Calendar,Y1185,X1186,"f",FALSE)</f>
        <v>47458</v>
      </c>
      <c r="Z1186" s="115">
        <f>_xll.qlCalendarAdvance(Calendar,Y1186,NDays&amp;"D")</f>
        <v>47458</v>
      </c>
      <c r="AA1186" s="116">
        <v>4.0429664473294304E-2</v>
      </c>
      <c r="AB1186" s="113">
        <v>4.0320373257390907E-2</v>
      </c>
    </row>
    <row r="1187" spans="17:28" x14ac:dyDescent="0.2">
      <c r="Q1187" s="72"/>
      <c r="T1187" s="72"/>
      <c r="U1187" s="93"/>
      <c r="X1187" s="114" t="str">
        <f t="shared" si="31"/>
        <v>1w</v>
      </c>
      <c r="Y1187" s="112">
        <f>_xll.qlCalendarAdvance(Calendar,Y1186,X1187,"f",FALSE)</f>
        <v>47465</v>
      </c>
      <c r="Z1187" s="115">
        <f>_xll.qlCalendarAdvance(Calendar,Y1187,NDays&amp;"D")</f>
        <v>47465</v>
      </c>
      <c r="AA1187" s="116">
        <v>4.041517418688511E-2</v>
      </c>
      <c r="AB1187" s="113">
        <v>4.0307001040960078E-2</v>
      </c>
    </row>
    <row r="1188" spans="17:28" x14ac:dyDescent="0.2">
      <c r="Q1188" s="72"/>
      <c r="T1188" s="72"/>
      <c r="U1188" s="93"/>
      <c r="X1188" s="114" t="str">
        <f t="shared" si="31"/>
        <v>1w</v>
      </c>
      <c r="Y1188" s="112">
        <f>_xll.qlCalendarAdvance(Calendar,Y1187,X1188,"f",FALSE)</f>
        <v>47472</v>
      </c>
      <c r="Z1188" s="115">
        <f>_xll.qlCalendarAdvance(Calendar,Y1188,NDays&amp;"D")</f>
        <v>47472</v>
      </c>
      <c r="AA1188" s="116">
        <v>4.0400528807645657E-2</v>
      </c>
      <c r="AB1188" s="113">
        <v>4.0293475194415063E-2</v>
      </c>
    </row>
    <row r="1189" spans="17:28" x14ac:dyDescent="0.2">
      <c r="Q1189" s="72"/>
      <c r="T1189" s="72"/>
      <c r="U1189" s="93"/>
      <c r="X1189" s="114" t="str">
        <f t="shared" si="31"/>
        <v>1w</v>
      </c>
      <c r="Y1189" s="112">
        <f>_xll.qlCalendarAdvance(Calendar,Y1188,X1189,"f",FALSE)</f>
        <v>47479</v>
      </c>
      <c r="Z1189" s="115">
        <f>_xll.qlCalendarAdvance(Calendar,Y1189,NDays&amp;"D")</f>
        <v>47479</v>
      </c>
      <c r="AA1189" s="116">
        <v>4.0385728337238296E-2</v>
      </c>
      <c r="AB1189" s="113">
        <v>4.0279795717512723E-2</v>
      </c>
    </row>
    <row r="1190" spans="17:28" x14ac:dyDescent="0.2">
      <c r="Q1190" s="72"/>
      <c r="T1190" s="72"/>
      <c r="U1190" s="93"/>
      <c r="X1190" s="114" t="str">
        <f t="shared" si="31"/>
        <v>1w</v>
      </c>
      <c r="Y1190" s="112">
        <f>_xll.qlCalendarAdvance(Calendar,Y1189,X1190,"f",FALSE)</f>
        <v>47486</v>
      </c>
      <c r="Z1190" s="115">
        <f>_xll.qlCalendarAdvance(Calendar,Y1190,NDays&amp;"D")</f>
        <v>47486</v>
      </c>
      <c r="AA1190" s="116">
        <v>4.0370772777346083E-2</v>
      </c>
      <c r="AB1190" s="113">
        <v>4.0265962610415151E-2</v>
      </c>
    </row>
    <row r="1191" spans="17:28" x14ac:dyDescent="0.2">
      <c r="Q1191" s="72"/>
      <c r="T1191" s="72"/>
      <c r="U1191" s="93"/>
      <c r="X1191" s="114" t="str">
        <f t="shared" si="31"/>
        <v>1w</v>
      </c>
      <c r="Y1191" s="112">
        <f>_xll.qlCalendarAdvance(Calendar,Y1190,X1191,"f",FALSE)</f>
        <v>47493</v>
      </c>
      <c r="Z1191" s="115">
        <f>_xll.qlCalendarAdvance(Calendar,Y1191,NDays&amp;"D")</f>
        <v>47493</v>
      </c>
      <c r="AA1191" s="116">
        <v>4.03556621296665E-2</v>
      </c>
      <c r="AB1191" s="113">
        <v>4.0251975873041301E-2</v>
      </c>
    </row>
    <row r="1192" spans="17:28" x14ac:dyDescent="0.2">
      <c r="Q1192" s="72"/>
      <c r="T1192" s="72"/>
      <c r="U1192" s="93"/>
      <c r="X1192" s="114" t="str">
        <f t="shared" si="31"/>
        <v>1w</v>
      </c>
      <c r="Y1192" s="112">
        <f>_xll.qlCalendarAdvance(Calendar,Y1191,X1192,"f",FALSE)</f>
        <v>47500</v>
      </c>
      <c r="Z1192" s="115">
        <f>_xll.qlCalendarAdvance(Calendar,Y1192,NDays&amp;"D")</f>
        <v>47500</v>
      </c>
      <c r="AA1192" s="116">
        <v>4.0340396395917716E-2</v>
      </c>
      <c r="AB1192" s="113">
        <v>4.0237835505391173E-2</v>
      </c>
    </row>
    <row r="1193" spans="17:28" x14ac:dyDescent="0.2">
      <c r="Q1193" s="72"/>
      <c r="T1193" s="72"/>
      <c r="U1193" s="93"/>
      <c r="X1193" s="114" t="str">
        <f t="shared" si="31"/>
        <v>1w</v>
      </c>
      <c r="Y1193" s="112">
        <f>_xll.qlCalendarAdvance(Calendar,Y1192,X1193,"f",FALSE)</f>
        <v>47507</v>
      </c>
      <c r="Z1193" s="115">
        <f>_xll.qlCalendarAdvance(Calendar,Y1193,NDays&amp;"D")</f>
        <v>47507</v>
      </c>
      <c r="AA1193" s="116">
        <v>4.0324975577834127E-2</v>
      </c>
      <c r="AB1193" s="113">
        <v>4.0223541507545812E-2</v>
      </c>
    </row>
    <row r="1194" spans="17:28" x14ac:dyDescent="0.2">
      <c r="Q1194" s="72"/>
      <c r="T1194" s="72"/>
      <c r="U1194" s="93"/>
      <c r="X1194" s="114" t="str">
        <f t="shared" si="31"/>
        <v>1w</v>
      </c>
      <c r="Y1194" s="112">
        <f>_xll.qlCalendarAdvance(Calendar,Y1193,X1194,"f",FALSE)</f>
        <v>47514</v>
      </c>
      <c r="Z1194" s="115">
        <f>_xll.qlCalendarAdvance(Calendar,Y1194,NDays&amp;"D")</f>
        <v>47514</v>
      </c>
      <c r="AA1194" s="116">
        <v>4.0308322473682975E-2</v>
      </c>
      <c r="AB1194" s="113">
        <v>4.0209093879667313E-2</v>
      </c>
    </row>
    <row r="1195" spans="17:28" x14ac:dyDescent="0.2">
      <c r="Q1195" s="72"/>
      <c r="T1195" s="72"/>
      <c r="U1195" s="93"/>
      <c r="X1195" s="114" t="str">
        <f t="shared" si="31"/>
        <v>1w</v>
      </c>
      <c r="Y1195" s="112">
        <f>_xll.qlCalendarAdvance(Calendar,Y1194,X1195,"f",FALSE)</f>
        <v>47521</v>
      </c>
      <c r="Z1195" s="115">
        <f>_xll.qlCalendarAdvance(Calendar,Y1195,NDays&amp;"D")</f>
        <v>47521</v>
      </c>
      <c r="AA1195" s="116">
        <v>4.0292604296356213E-2</v>
      </c>
      <c r="AB1195" s="113">
        <v>4.0194492621431488E-2</v>
      </c>
    </row>
    <row r="1196" spans="17:28" x14ac:dyDescent="0.2">
      <c r="Q1196" s="72"/>
      <c r="T1196" s="72"/>
      <c r="U1196" s="93"/>
      <c r="X1196" s="114" t="str">
        <f t="shared" si="31"/>
        <v>1w</v>
      </c>
      <c r="Y1196" s="112">
        <f>_xll.qlCalendarAdvance(Calendar,Y1195,X1196,"f",FALSE)</f>
        <v>47528</v>
      </c>
      <c r="Z1196" s="115">
        <f>_xll.qlCalendarAdvance(Calendar,Y1196,NDays&amp;"D")</f>
        <v>47528</v>
      </c>
      <c r="AA1196" s="116">
        <v>4.0276731064318345E-2</v>
      </c>
      <c r="AB1196" s="113">
        <v>4.0179737733162524E-2</v>
      </c>
    </row>
    <row r="1197" spans="17:28" x14ac:dyDescent="0.2">
      <c r="Q1197" s="72"/>
      <c r="T1197" s="72"/>
      <c r="U1197" s="93"/>
      <c r="X1197" s="114" t="str">
        <f t="shared" si="31"/>
        <v>1w</v>
      </c>
      <c r="Y1197" s="112">
        <f>_xll.qlCalendarAdvance(Calendar,Y1196,X1197,"f",FALSE)</f>
        <v>47535</v>
      </c>
      <c r="Z1197" s="115">
        <f>_xll.qlCalendarAdvance(Calendar,Y1197,NDays&amp;"D")</f>
        <v>47535</v>
      </c>
      <c r="AA1197" s="116">
        <v>4.0260706894861588E-2</v>
      </c>
      <c r="AB1197" s="113">
        <v>4.0164829214698328E-2</v>
      </c>
    </row>
    <row r="1198" spans="17:28" x14ac:dyDescent="0.2">
      <c r="Q1198" s="72"/>
      <c r="T1198" s="72"/>
      <c r="U1198" s="93"/>
      <c r="X1198" s="114" t="str">
        <f t="shared" si="31"/>
        <v>1w</v>
      </c>
      <c r="Y1198" s="112">
        <f>_xll.qlCalendarAdvance(Calendar,Y1197,X1198,"f",FALSE)</f>
        <v>47542</v>
      </c>
      <c r="Z1198" s="115">
        <f>_xll.qlCalendarAdvance(Calendar,Y1198,NDays&amp;"D")</f>
        <v>47542</v>
      </c>
      <c r="AA1198" s="116">
        <v>4.0247639234575396E-2</v>
      </c>
      <c r="AB1198" s="113">
        <v>4.0149767066200992E-2</v>
      </c>
    </row>
    <row r="1199" spans="17:28" x14ac:dyDescent="0.2">
      <c r="Q1199" s="72"/>
      <c r="T1199" s="72"/>
      <c r="U1199" s="93"/>
      <c r="X1199" s="114" t="str">
        <f t="shared" si="31"/>
        <v>1w</v>
      </c>
      <c r="Y1199" s="112">
        <f>_xll.qlCalendarAdvance(Calendar,Y1198,X1199,"f",FALSE)</f>
        <v>47549</v>
      </c>
      <c r="Z1199" s="115">
        <f>_xll.qlCalendarAdvance(Calendar,Y1199,NDays&amp;"D")</f>
        <v>47549</v>
      </c>
      <c r="AA1199" s="116">
        <v>4.0231338825959854E-2</v>
      </c>
      <c r="AB1199" s="113">
        <v>4.0134551287589471E-2</v>
      </c>
    </row>
    <row r="1200" spans="17:28" x14ac:dyDescent="0.2">
      <c r="Q1200" s="72"/>
      <c r="T1200" s="72"/>
      <c r="U1200" s="93"/>
      <c r="X1200" s="114" t="str">
        <f t="shared" si="31"/>
        <v>1w</v>
      </c>
      <c r="Y1200" s="112">
        <f>_xll.qlCalendarAdvance(Calendar,Y1199,X1200,"f",FALSE)</f>
        <v>47556</v>
      </c>
      <c r="Z1200" s="115">
        <f>_xll.qlCalendarAdvance(Calendar,Y1200,NDays&amp;"D")</f>
        <v>47556</v>
      </c>
      <c r="AA1200" s="116">
        <v>4.021494082132223E-2</v>
      </c>
      <c r="AB1200" s="113">
        <v>4.0119181878782717E-2</v>
      </c>
    </row>
    <row r="1201" spans="17:28" x14ac:dyDescent="0.2">
      <c r="Q1201" s="72"/>
      <c r="T1201" s="72"/>
      <c r="U1201" s="93"/>
      <c r="X1201" s="114" t="str">
        <f t="shared" si="31"/>
        <v>1w</v>
      </c>
      <c r="Y1201" s="112">
        <f>_xll.qlCalendarAdvance(Calendar,Y1200,X1201,"f",FALSE)</f>
        <v>47563</v>
      </c>
      <c r="Z1201" s="115">
        <f>_xll.qlCalendarAdvance(Calendar,Y1201,NDays&amp;"D")</f>
        <v>47563</v>
      </c>
      <c r="AA1201" s="116">
        <v>4.0198461324201754E-2</v>
      </c>
      <c r="AB1201" s="113">
        <v>4.010365884002387E-2</v>
      </c>
    </row>
    <row r="1202" spans="17:28" x14ac:dyDescent="0.2">
      <c r="Q1202" s="72"/>
      <c r="T1202" s="72"/>
      <c r="U1202" s="93"/>
      <c r="X1202" s="114" t="str">
        <f t="shared" si="31"/>
        <v>1w</v>
      </c>
      <c r="Y1202" s="112">
        <f>_xll.qlCalendarAdvance(Calendar,Y1201,X1202,"f",FALSE)</f>
        <v>47570</v>
      </c>
      <c r="Z1202" s="115">
        <f>_xll.qlCalendarAdvance(Calendar,Y1202,NDays&amp;"D")</f>
        <v>47570</v>
      </c>
      <c r="AA1202" s="116">
        <v>4.0181916437875997E-2</v>
      </c>
      <c r="AB1202" s="113">
        <v>4.0087982171231884E-2</v>
      </c>
    </row>
    <row r="1203" spans="17:28" x14ac:dyDescent="0.2">
      <c r="Q1203" s="72"/>
      <c r="T1203" s="72"/>
      <c r="U1203" s="93"/>
      <c r="X1203" s="114" t="str">
        <f t="shared" si="31"/>
        <v>1w</v>
      </c>
      <c r="Y1203" s="112">
        <f>_xll.qlCalendarAdvance(Calendar,Y1202,X1203,"f",FALSE)</f>
        <v>47577</v>
      </c>
      <c r="Z1203" s="115">
        <f>_xll.qlCalendarAdvance(Calendar,Y1203,NDays&amp;"D")</f>
        <v>47577</v>
      </c>
      <c r="AA1203" s="116">
        <v>4.0164310483689618E-2</v>
      </c>
      <c r="AB1203" s="113">
        <v>4.0072151872487805E-2</v>
      </c>
    </row>
    <row r="1204" spans="17:28" x14ac:dyDescent="0.2">
      <c r="Q1204" s="72"/>
      <c r="T1204" s="72"/>
      <c r="U1204" s="93"/>
      <c r="X1204" s="114" t="str">
        <f t="shared" si="31"/>
        <v>1w</v>
      </c>
      <c r="Y1204" s="112">
        <f>_xll.qlCalendarAdvance(Calendar,Y1203,X1204,"f",FALSE)</f>
        <v>47584</v>
      </c>
      <c r="Z1204" s="115">
        <f>_xll.qlCalendarAdvance(Calendar,Y1204,NDays&amp;"D")</f>
        <v>47584</v>
      </c>
      <c r="AA1204" s="116">
        <v>4.0147683193084815E-2</v>
      </c>
      <c r="AB1204" s="113">
        <v>4.0056167943467447E-2</v>
      </c>
    </row>
    <row r="1205" spans="17:28" x14ac:dyDescent="0.2">
      <c r="Q1205" s="72"/>
      <c r="T1205" s="72"/>
      <c r="U1205" s="93"/>
      <c r="X1205" s="114" t="str">
        <f t="shared" si="31"/>
        <v>1w</v>
      </c>
      <c r="Y1205" s="112">
        <f>_xll.qlCalendarAdvance(Calendar,Y1204,X1205,"f",FALSE)</f>
        <v>47591</v>
      </c>
      <c r="Z1205" s="115">
        <f>_xll.qlCalendarAdvance(Calendar,Y1205,NDays&amp;"D")</f>
        <v>47591</v>
      </c>
      <c r="AA1205" s="116">
        <v>4.0131038013852288E-2</v>
      </c>
      <c r="AB1205" s="113">
        <v>4.0044171906840731E-2</v>
      </c>
    </row>
    <row r="1206" spans="17:28" x14ac:dyDescent="0.2">
      <c r="Q1206" s="72"/>
      <c r="T1206" s="72"/>
      <c r="U1206" s="93"/>
      <c r="X1206" s="114" t="str">
        <f t="shared" si="31"/>
        <v>1w</v>
      </c>
      <c r="Y1206" s="112">
        <f>_xll.qlCalendarAdvance(Calendar,Y1205,X1206,"f",FALSE)</f>
        <v>47599</v>
      </c>
      <c r="Z1206" s="115">
        <f>_xll.qlCalendarAdvance(Calendar,Y1206,NDays&amp;"D")</f>
        <v>47599</v>
      </c>
      <c r="AA1206" s="116">
        <v>4.0112013928039147E-2</v>
      </c>
      <c r="AB1206" s="113">
        <v>4.0023443207312846E-2</v>
      </c>
    </row>
    <row r="1207" spans="17:28" x14ac:dyDescent="0.2">
      <c r="Q1207" s="72"/>
      <c r="T1207" s="72"/>
      <c r="U1207" s="93"/>
      <c r="X1207" s="114" t="str">
        <f t="shared" si="31"/>
        <v>1w</v>
      </c>
      <c r="Y1207" s="112">
        <f>_xll.qlCalendarAdvance(Calendar,Y1206,X1207,"f",FALSE)</f>
        <v>47606</v>
      </c>
      <c r="Z1207" s="115">
        <f>_xll.qlCalendarAdvance(Calendar,Y1207,NDays&amp;"D")</f>
        <v>47606</v>
      </c>
      <c r="AA1207" s="116">
        <v>4.0099450755629477E-2</v>
      </c>
      <c r="AB1207" s="113">
        <v>4.0006950879241485E-2</v>
      </c>
    </row>
    <row r="1208" spans="17:28" x14ac:dyDescent="0.2">
      <c r="Q1208" s="72"/>
      <c r="T1208" s="72"/>
      <c r="U1208" s="93"/>
      <c r="X1208" s="114" t="str">
        <f t="shared" si="31"/>
        <v>1w</v>
      </c>
      <c r="Y1208" s="112">
        <f>_xll.qlCalendarAdvance(Calendar,Y1207,X1208,"f",FALSE)</f>
        <v>47613</v>
      </c>
      <c r="Z1208" s="115">
        <f>_xll.qlCalendarAdvance(Calendar,Y1208,NDays&amp;"D")</f>
        <v>47613</v>
      </c>
      <c r="AA1208" s="116">
        <v>4.0081844941666764E-2</v>
      </c>
      <c r="AB1208" s="113">
        <v>3.9990304889042656E-2</v>
      </c>
    </row>
    <row r="1209" spans="17:28" x14ac:dyDescent="0.2">
      <c r="Q1209" s="72"/>
      <c r="T1209" s="72"/>
      <c r="U1209" s="93"/>
      <c r="X1209" s="114" t="str">
        <f t="shared" si="31"/>
        <v>1w</v>
      </c>
      <c r="Y1209" s="112">
        <f>_xll.qlCalendarAdvance(Calendar,Y1208,X1209,"f",FALSE)</f>
        <v>47620</v>
      </c>
      <c r="Z1209" s="115">
        <f>_xll.qlCalendarAdvance(Calendar,Y1209,NDays&amp;"D")</f>
        <v>47620</v>
      </c>
      <c r="AA1209" s="116">
        <v>4.0065305232934618E-2</v>
      </c>
      <c r="AB1209" s="113">
        <v>3.9973571531574478E-2</v>
      </c>
    </row>
    <row r="1210" spans="17:28" x14ac:dyDescent="0.2">
      <c r="Q1210" s="72"/>
      <c r="T1210" s="72"/>
      <c r="U1210" s="93"/>
      <c r="X1210" s="114" t="str">
        <f t="shared" si="31"/>
        <v>1w</v>
      </c>
      <c r="Y1210" s="112">
        <f>_xll.qlCalendarAdvance(Calendar,Y1209,X1210,"f",FALSE)</f>
        <v>47627</v>
      </c>
      <c r="Z1210" s="115">
        <f>_xll.qlCalendarAdvance(Calendar,Y1210,NDays&amp;"D")</f>
        <v>47627</v>
      </c>
      <c r="AA1210" s="116">
        <v>4.0048821857765107E-2</v>
      </c>
      <c r="AB1210" s="113">
        <v>3.9956887673257377E-2</v>
      </c>
    </row>
    <row r="1211" spans="17:28" x14ac:dyDescent="0.2">
      <c r="Q1211" s="72"/>
      <c r="T1211" s="72"/>
      <c r="U1211" s="93"/>
      <c r="X1211" s="114" t="str">
        <f t="shared" si="31"/>
        <v>1w</v>
      </c>
      <c r="Y1211" s="112">
        <f>_xll.qlCalendarAdvance(Calendar,Y1210,X1211,"f",FALSE)</f>
        <v>47634</v>
      </c>
      <c r="Z1211" s="115">
        <f>_xll.qlCalendarAdvance(Calendar,Y1211,NDays&amp;"D")</f>
        <v>47634</v>
      </c>
      <c r="AA1211" s="116">
        <v>4.0029319743127525E-2</v>
      </c>
      <c r="AB1211" s="113">
        <v>3.994025972971494E-2</v>
      </c>
    </row>
    <row r="1212" spans="17:28" x14ac:dyDescent="0.2">
      <c r="Q1212" s="72"/>
      <c r="T1212" s="72"/>
      <c r="U1212" s="93"/>
      <c r="X1212" s="114" t="str">
        <f t="shared" si="31"/>
        <v>1w</v>
      </c>
      <c r="Y1212" s="112">
        <f>_xll.qlCalendarAdvance(Calendar,Y1211,X1212,"f",FALSE)</f>
        <v>47641</v>
      </c>
      <c r="Z1212" s="115">
        <f>_xll.qlCalendarAdvance(Calendar,Y1212,NDays&amp;"D")</f>
        <v>47641</v>
      </c>
      <c r="AA1212" s="116">
        <v>4.0016024725665962E-2</v>
      </c>
      <c r="AB1212" s="113">
        <v>3.9924689594455776E-2</v>
      </c>
    </row>
    <row r="1213" spans="17:28" x14ac:dyDescent="0.2">
      <c r="Q1213" s="72"/>
      <c r="T1213" s="72"/>
      <c r="U1213" s="93"/>
      <c r="X1213" s="114" t="str">
        <f t="shared" si="31"/>
        <v>1w</v>
      </c>
      <c r="Y1213" s="112">
        <f>_xll.qlCalendarAdvance(Calendar,Y1212,X1213,"f",FALSE)</f>
        <v>47648</v>
      </c>
      <c r="Z1213" s="115">
        <f>_xll.qlCalendarAdvance(Calendar,Y1213,NDays&amp;"D")</f>
        <v>47648</v>
      </c>
      <c r="AA1213" s="116">
        <v>3.9996622159564899E-2</v>
      </c>
      <c r="AB1213" s="113">
        <v>3.9907171586927033E-2</v>
      </c>
    </row>
    <row r="1214" spans="17:28" x14ac:dyDescent="0.2">
      <c r="Q1214" s="72"/>
      <c r="T1214" s="72"/>
      <c r="U1214" s="93"/>
      <c r="X1214" s="114" t="str">
        <f t="shared" si="31"/>
        <v>1w</v>
      </c>
      <c r="Y1214" s="112">
        <f>_xll.qlCalendarAdvance(Calendar,Y1213,X1214,"f",FALSE)</f>
        <v>47655</v>
      </c>
      <c r="Z1214" s="115">
        <f>_xll.qlCalendarAdvance(Calendar,Y1214,NDays&amp;"D")</f>
        <v>47655</v>
      </c>
      <c r="AA1214" s="116">
        <v>3.9983453746502057E-2</v>
      </c>
      <c r="AB1214" s="113">
        <v>3.9890711387573503E-2</v>
      </c>
    </row>
    <row r="1215" spans="17:28" x14ac:dyDescent="0.2">
      <c r="Q1215" s="72"/>
      <c r="T1215" s="72"/>
      <c r="U1215" s="93"/>
      <c r="X1215" s="114" t="str">
        <f t="shared" si="31"/>
        <v>1w</v>
      </c>
      <c r="Y1215" s="112">
        <f>_xll.qlCalendarAdvance(Calendar,Y1214,X1215,"f",FALSE)</f>
        <v>47662</v>
      </c>
      <c r="Z1215" s="115">
        <f>_xll.qlCalendarAdvance(Calendar,Y1215,NDays&amp;"D")</f>
        <v>47662</v>
      </c>
      <c r="AA1215" s="116">
        <v>3.996725306251022E-2</v>
      </c>
      <c r="AB1215" s="113">
        <v>3.9874307102913585E-2</v>
      </c>
    </row>
    <row r="1216" spans="17:28" x14ac:dyDescent="0.2">
      <c r="Q1216" s="72"/>
      <c r="T1216" s="72"/>
      <c r="U1216" s="93"/>
      <c r="X1216" s="114" t="str">
        <f t="shared" si="31"/>
        <v>1w</v>
      </c>
      <c r="Y1216" s="112">
        <f>_xll.qlCalendarAdvance(Calendar,Y1215,X1216,"f",FALSE)</f>
        <v>47669</v>
      </c>
      <c r="Z1216" s="115">
        <f>_xll.qlCalendarAdvance(Calendar,Y1216,NDays&amp;"D")</f>
        <v>47669</v>
      </c>
      <c r="AA1216" s="116">
        <v>3.9952145920752101E-2</v>
      </c>
      <c r="AB1216" s="113">
        <v>3.9857958732947292E-2</v>
      </c>
    </row>
    <row r="1217" spans="17:28" x14ac:dyDescent="0.2">
      <c r="Q1217" s="72"/>
      <c r="T1217" s="72"/>
      <c r="U1217" s="93"/>
      <c r="X1217" s="114" t="str">
        <f t="shared" si="31"/>
        <v>1w</v>
      </c>
      <c r="Y1217" s="112">
        <f>_xll.qlCalendarAdvance(Calendar,Y1216,X1217,"f",FALSE)</f>
        <v>47676</v>
      </c>
      <c r="Z1217" s="115">
        <f>_xll.qlCalendarAdvance(Calendar,Y1217,NDays&amp;"D")</f>
        <v>47676</v>
      </c>
      <c r="AA1217" s="116">
        <v>3.9935021302207135E-2</v>
      </c>
      <c r="AB1217" s="113">
        <v>3.9841666277593564E-2</v>
      </c>
    </row>
    <row r="1218" spans="17:28" x14ac:dyDescent="0.2">
      <c r="Q1218" s="72"/>
      <c r="T1218" s="72"/>
      <c r="U1218" s="93"/>
      <c r="X1218" s="114" t="str">
        <f t="shared" si="31"/>
        <v>1w</v>
      </c>
      <c r="Y1218" s="112">
        <f>_xll.qlCalendarAdvance(Calendar,Y1217,X1218,"f",FALSE)</f>
        <v>47683</v>
      </c>
      <c r="Z1218" s="115">
        <f>_xll.qlCalendarAdvance(Calendar,Y1218,NDays&amp;"D")</f>
        <v>47683</v>
      </c>
      <c r="AA1218" s="116">
        <v>3.9918990224503438E-2</v>
      </c>
      <c r="AB1218" s="113">
        <v>3.9825429736852401E-2</v>
      </c>
    </row>
    <row r="1219" spans="17:28" x14ac:dyDescent="0.2">
      <c r="Q1219" s="72"/>
      <c r="T1219" s="72"/>
      <c r="U1219" s="93"/>
      <c r="X1219" s="114" t="str">
        <f t="shared" si="31"/>
        <v>1w</v>
      </c>
      <c r="Y1219" s="112">
        <f>_xll.qlCalendarAdvance(Calendar,Y1218,X1219,"f",FALSE)</f>
        <v>47690</v>
      </c>
      <c r="Z1219" s="115">
        <f>_xll.qlCalendarAdvance(Calendar,Y1219,NDays&amp;"D")</f>
        <v>47690</v>
      </c>
      <c r="AA1219" s="116">
        <v>3.9903015680839843E-2</v>
      </c>
      <c r="AB1219" s="113">
        <v>3.9809249110696797E-2</v>
      </c>
    </row>
    <row r="1220" spans="17:28" x14ac:dyDescent="0.2">
      <c r="Q1220" s="72"/>
      <c r="T1220" s="72"/>
      <c r="U1220" s="93"/>
      <c r="X1220" s="114" t="str">
        <f t="shared" si="31"/>
        <v>1w</v>
      </c>
      <c r="Y1220" s="112">
        <f>_xll.qlCalendarAdvance(Calendar,Y1219,X1220,"f",FALSE)</f>
        <v>47697</v>
      </c>
      <c r="Z1220" s="115">
        <f>_xll.qlCalendarAdvance(Calendar,Y1220,NDays&amp;"D")</f>
        <v>47697</v>
      </c>
      <c r="AA1220" s="116">
        <v>3.988709767052917E-2</v>
      </c>
      <c r="AB1220" s="113">
        <v>3.9794143991650488E-2</v>
      </c>
    </row>
    <row r="1221" spans="17:28" x14ac:dyDescent="0.2">
      <c r="Q1221" s="72"/>
      <c r="T1221" s="72"/>
      <c r="U1221" s="93"/>
      <c r="X1221" s="114" t="str">
        <f t="shared" si="31"/>
        <v>1w</v>
      </c>
      <c r="Y1221" s="112">
        <f>_xll.qlCalendarAdvance(Calendar,Y1220,X1221,"f",FALSE)</f>
        <v>47704</v>
      </c>
      <c r="Z1221" s="115">
        <f>_xll.qlCalendarAdvance(Calendar,Y1221,NDays&amp;"D")</f>
        <v>47704</v>
      </c>
      <c r="AA1221" s="116">
        <v>3.9871236192880806E-2</v>
      </c>
      <c r="AB1221" s="113">
        <v>3.9777055602115238E-2</v>
      </c>
    </row>
    <row r="1222" spans="17:28" x14ac:dyDescent="0.2">
      <c r="Q1222" s="72"/>
      <c r="T1222" s="72"/>
      <c r="U1222" s="93"/>
      <c r="X1222" s="114" t="str">
        <f t="shared" si="31"/>
        <v>1w</v>
      </c>
      <c r="Y1222" s="112">
        <f>_xll.qlCalendarAdvance(Calendar,Y1221,X1222,"f",FALSE)</f>
        <v>47711</v>
      </c>
      <c r="Z1222" s="115">
        <f>_xll.qlCalendarAdvance(Calendar,Y1222,NDays&amp;"D")</f>
        <v>47711</v>
      </c>
      <c r="AA1222" s="116">
        <v>3.985543124721018E-2</v>
      </c>
      <c r="AB1222" s="113">
        <v>3.9761042719635251E-2</v>
      </c>
    </row>
    <row r="1223" spans="17:28" x14ac:dyDescent="0.2">
      <c r="Q1223" s="72"/>
      <c r="T1223" s="72"/>
      <c r="U1223" s="93"/>
      <c r="X1223" s="114" t="str">
        <f t="shared" si="31"/>
        <v>1w</v>
      </c>
      <c r="Y1223" s="112">
        <f>_xll.qlCalendarAdvance(Calendar,Y1222,X1223,"f",FALSE)</f>
        <v>47718</v>
      </c>
      <c r="Z1223" s="115">
        <f>_xll.qlCalendarAdvance(Calendar,Y1223,NDays&amp;"D")</f>
        <v>47718</v>
      </c>
      <c r="AA1223" s="116">
        <v>3.9839682832834414E-2</v>
      </c>
      <c r="AB1223" s="113">
        <v>3.9745085751632755E-2</v>
      </c>
    </row>
    <row r="1224" spans="17:28" x14ac:dyDescent="0.2">
      <c r="Q1224" s="72"/>
      <c r="T1224" s="72"/>
      <c r="U1224" s="93"/>
      <c r="X1224" s="114" t="str">
        <f t="shared" si="31"/>
        <v>1w</v>
      </c>
      <c r="Y1224" s="112">
        <f>_xll.qlCalendarAdvance(Calendar,Y1223,X1224,"f",FALSE)</f>
        <v>47725</v>
      </c>
      <c r="Z1224" s="115">
        <f>_xll.qlCalendarAdvance(Calendar,Y1224,NDays&amp;"D")</f>
        <v>47725</v>
      </c>
      <c r="AA1224" s="116">
        <v>3.9820826272717338E-2</v>
      </c>
      <c r="AB1224" s="113">
        <v>3.9729184698134766E-2</v>
      </c>
    </row>
    <row r="1225" spans="17:28" x14ac:dyDescent="0.2">
      <c r="Q1225" s="72"/>
      <c r="T1225" s="72"/>
      <c r="U1225" s="93"/>
      <c r="X1225" s="114" t="str">
        <f t="shared" si="31"/>
        <v>1w</v>
      </c>
      <c r="Y1225" s="112">
        <f>_xll.qlCalendarAdvance(Calendar,Y1224,X1225,"f",FALSE)</f>
        <v>47732</v>
      </c>
      <c r="Z1225" s="115">
        <f>_xll.qlCalendarAdvance(Calendar,Y1225,NDays&amp;"D")</f>
        <v>47732</v>
      </c>
      <c r="AA1225" s="116">
        <v>3.9805183899749186E-2</v>
      </c>
      <c r="AB1225" s="113">
        <v>3.9713339559087256E-2</v>
      </c>
    </row>
    <row r="1226" spans="17:28" x14ac:dyDescent="0.2">
      <c r="Q1226" s="72"/>
      <c r="T1226" s="72"/>
      <c r="U1226" s="93"/>
      <c r="X1226" s="114" t="str">
        <f t="shared" si="31"/>
        <v>1w</v>
      </c>
      <c r="Y1226" s="112">
        <f>_xll.qlCalendarAdvance(Calendar,Y1225,X1226,"f",FALSE)</f>
        <v>47739</v>
      </c>
      <c r="Z1226" s="115">
        <f>_xll.qlCalendarAdvance(Calendar,Y1226,NDays&amp;"D")</f>
        <v>47739</v>
      </c>
      <c r="AA1226" s="116">
        <v>3.9789598035801579E-2</v>
      </c>
      <c r="AB1226" s="113">
        <v>3.9697550334490225E-2</v>
      </c>
    </row>
    <row r="1227" spans="17:28" x14ac:dyDescent="0.2">
      <c r="Q1227" s="72"/>
      <c r="T1227" s="72"/>
      <c r="U1227" s="93"/>
      <c r="X1227" s="114" t="str">
        <f t="shared" si="31"/>
        <v>1w</v>
      </c>
      <c r="Y1227" s="112">
        <f>_xll.qlCalendarAdvance(Calendar,Y1226,X1227,"f",FALSE)</f>
        <v>47746</v>
      </c>
      <c r="Z1227" s="115">
        <f>_xll.qlCalendarAdvance(Calendar,Y1227,NDays&amp;"D")</f>
        <v>47746</v>
      </c>
      <c r="AA1227" s="116">
        <v>3.9774068680223464E-2</v>
      </c>
      <c r="AB1227" s="113">
        <v>3.9681817024316654E-2</v>
      </c>
    </row>
    <row r="1228" spans="17:28" x14ac:dyDescent="0.2">
      <c r="Q1228" s="72"/>
      <c r="T1228" s="72"/>
      <c r="U1228" s="93"/>
      <c r="X1228" s="114" t="str">
        <f t="shared" si="31"/>
        <v>1w</v>
      </c>
      <c r="Y1228" s="112">
        <f>_xll.qlCalendarAdvance(Calendar,Y1227,X1228,"f",FALSE)</f>
        <v>47753</v>
      </c>
      <c r="Z1228" s="115">
        <f>_xll.qlCalendarAdvance(Calendar,Y1228,NDays&amp;"D")</f>
        <v>47753</v>
      </c>
      <c r="AA1228" s="116">
        <v>3.9758595832365587E-2</v>
      </c>
      <c r="AB1228" s="113">
        <v>3.9666139628566542E-2</v>
      </c>
    </row>
    <row r="1229" spans="17:28" x14ac:dyDescent="0.2">
      <c r="Q1229" s="72"/>
      <c r="T1229" s="72"/>
      <c r="U1229" s="93"/>
      <c r="X1229" s="114" t="str">
        <f t="shared" si="31"/>
        <v>1w</v>
      </c>
      <c r="Y1229" s="112">
        <f>_xll.qlCalendarAdvance(Calendar,Y1228,X1229,"f",FALSE)</f>
        <v>47760</v>
      </c>
      <c r="Z1229" s="115">
        <f>_xll.qlCalendarAdvance(Calendar,Y1229,NDays&amp;"D")</f>
        <v>47760</v>
      </c>
      <c r="AA1229" s="116">
        <v>3.9746379465857962E-2</v>
      </c>
      <c r="AB1229" s="113">
        <v>3.9651558171281132E-2</v>
      </c>
    </row>
    <row r="1230" spans="17:28" x14ac:dyDescent="0.2">
      <c r="Q1230" s="72"/>
      <c r="T1230" s="72"/>
      <c r="U1230" s="93"/>
      <c r="X1230" s="114" t="str">
        <f t="shared" si="31"/>
        <v>1w</v>
      </c>
      <c r="Y1230" s="112">
        <f>_xll.qlCalendarAdvance(Calendar,Y1229,X1230,"f",FALSE)</f>
        <v>47767</v>
      </c>
      <c r="Z1230" s="115">
        <f>_xll.qlCalendarAdvance(Calendar,Y1230,NDays&amp;"D")</f>
        <v>47767</v>
      </c>
      <c r="AA1230" s="116">
        <v>3.9731026751638365E-2</v>
      </c>
      <c r="AB1230" s="113">
        <v>3.9634952580066558E-2</v>
      </c>
    </row>
    <row r="1231" spans="17:28" x14ac:dyDescent="0.2">
      <c r="Q1231" s="72"/>
      <c r="T1231" s="72"/>
      <c r="U1231" s="93"/>
      <c r="X1231" s="114" t="str">
        <f t="shared" si="31"/>
        <v>1w</v>
      </c>
      <c r="Y1231" s="112">
        <f>_xll.qlCalendarAdvance(Calendar,Y1230,X1231,"f",FALSE)</f>
        <v>47774</v>
      </c>
      <c r="Z1231" s="115">
        <f>_xll.qlCalendarAdvance(Calendar,Y1231,NDays&amp;"D")</f>
        <v>47774</v>
      </c>
      <c r="AA1231" s="116">
        <v>3.9715730563338714E-2</v>
      </c>
      <c r="AB1231" s="113">
        <v>3.9619442927343693E-2</v>
      </c>
    </row>
    <row r="1232" spans="17:28" x14ac:dyDescent="0.2">
      <c r="Q1232" s="72"/>
      <c r="T1232" s="72"/>
      <c r="U1232" s="93"/>
      <c r="X1232" s="114" t="str">
        <f t="shared" si="31"/>
        <v>1w</v>
      </c>
      <c r="Y1232" s="112">
        <f>_xll.qlCalendarAdvance(Calendar,Y1231,X1232,"f",FALSE)</f>
        <v>47781</v>
      </c>
      <c r="Z1232" s="115">
        <f>_xll.qlCalendarAdvance(Calendar,Y1232,NDays&amp;"D")</f>
        <v>47781</v>
      </c>
      <c r="AA1232" s="116">
        <v>3.9701565311668213E-2</v>
      </c>
      <c r="AB1232" s="113">
        <v>3.9603989188909214E-2</v>
      </c>
    </row>
    <row r="1233" spans="17:28" x14ac:dyDescent="0.2">
      <c r="Q1233" s="72"/>
      <c r="T1233" s="72"/>
      <c r="U1233" s="93"/>
      <c r="X1233" s="114" t="str">
        <f t="shared" si="31"/>
        <v>1w</v>
      </c>
      <c r="Y1233" s="112">
        <f>_xll.qlCalendarAdvance(Calendar,Y1232,X1233,"f",FALSE)</f>
        <v>47788</v>
      </c>
      <c r="Z1233" s="115">
        <f>_xll.qlCalendarAdvance(Calendar,Y1233,NDays&amp;"D")</f>
        <v>47788</v>
      </c>
      <c r="AA1233" s="116">
        <v>3.9685307761862673E-2</v>
      </c>
      <c r="AB1233" s="113">
        <v>3.9588591364817148E-2</v>
      </c>
    </row>
    <row r="1234" spans="17:28" x14ac:dyDescent="0.2">
      <c r="Q1234" s="72"/>
      <c r="T1234" s="72"/>
      <c r="U1234" s="93"/>
      <c r="X1234" s="114" t="str">
        <f t="shared" si="31"/>
        <v>1w</v>
      </c>
      <c r="Y1234" s="112">
        <f>_xll.qlCalendarAdvance(Calendar,Y1233,X1234,"f",FALSE)</f>
        <v>47795</v>
      </c>
      <c r="Z1234" s="115">
        <f>_xll.qlCalendarAdvance(Calendar,Y1234,NDays&amp;"D")</f>
        <v>47795</v>
      </c>
      <c r="AA1234" s="116">
        <v>3.9670181147371433E-2</v>
      </c>
      <c r="AB1234" s="113">
        <v>3.9573249454932423E-2</v>
      </c>
    </row>
    <row r="1235" spans="17:28" x14ac:dyDescent="0.2">
      <c r="Q1235" s="72"/>
      <c r="T1235" s="72"/>
      <c r="U1235" s="93"/>
      <c r="X1235" s="114" t="str">
        <f t="shared" si="31"/>
        <v>1w</v>
      </c>
      <c r="Y1235" s="112">
        <f>_xll.qlCalendarAdvance(Calendar,Y1234,X1235,"f",FALSE)</f>
        <v>47802</v>
      </c>
      <c r="Z1235" s="115">
        <f>_xll.qlCalendarAdvance(Calendar,Y1235,NDays&amp;"D")</f>
        <v>47802</v>
      </c>
      <c r="AA1235" s="116">
        <v>3.9651868059463878E-2</v>
      </c>
      <c r="AB1235" s="113">
        <v>3.9557963459336085E-2</v>
      </c>
    </row>
    <row r="1236" spans="17:28" x14ac:dyDescent="0.2">
      <c r="Q1236" s="72"/>
      <c r="T1236" s="72"/>
      <c r="U1236" s="93"/>
      <c r="X1236" s="114" t="str">
        <f t="shared" si="31"/>
        <v>1w</v>
      </c>
      <c r="Y1236" s="112">
        <f>_xll.qlCalendarAdvance(Calendar,Y1235,X1236,"f",FALSE)</f>
        <v>47809</v>
      </c>
      <c r="Z1236" s="115">
        <f>_xll.qlCalendarAdvance(Calendar,Y1236,NDays&amp;"D")</f>
        <v>47809</v>
      </c>
      <c r="AA1236" s="116">
        <v>3.964009748761653E-2</v>
      </c>
      <c r="AB1236" s="113">
        <v>3.95427333779741E-2</v>
      </c>
    </row>
    <row r="1237" spans="17:28" x14ac:dyDescent="0.2">
      <c r="Q1237" s="72"/>
      <c r="T1237" s="72"/>
      <c r="U1237" s="93"/>
      <c r="X1237" s="114" t="str">
        <f t="shared" ref="X1237:X1300" si="32">X1236</f>
        <v>1w</v>
      </c>
      <c r="Y1237" s="112">
        <f>_xll.qlCalendarAdvance(Calendar,Y1236,X1237,"f",FALSE)</f>
        <v>47816</v>
      </c>
      <c r="Z1237" s="115">
        <f>_xll.qlCalendarAdvance(Calendar,Y1237,NDays&amp;"D")</f>
        <v>47816</v>
      </c>
      <c r="AA1237" s="116">
        <v>3.9621882943057518E-2</v>
      </c>
      <c r="AB1237" s="113">
        <v>3.9527559210765416E-2</v>
      </c>
    </row>
    <row r="1238" spans="17:28" x14ac:dyDescent="0.2">
      <c r="Q1238" s="72"/>
      <c r="T1238" s="72"/>
      <c r="U1238" s="93"/>
      <c r="X1238" s="114" t="str">
        <f t="shared" si="32"/>
        <v>1w</v>
      </c>
      <c r="Y1238" s="112">
        <f>_xll.qlCalendarAdvance(Calendar,Y1237,X1238,"f",FALSE)</f>
        <v>47823</v>
      </c>
      <c r="Z1238" s="115">
        <f>_xll.qlCalendarAdvance(Calendar,Y1238,NDays&amp;"D")</f>
        <v>47823</v>
      </c>
      <c r="AA1238" s="116">
        <v>3.9605887499666217E-2</v>
      </c>
      <c r="AB1238" s="113">
        <v>3.9512440957791092E-2</v>
      </c>
    </row>
    <row r="1239" spans="17:28" x14ac:dyDescent="0.2">
      <c r="Q1239" s="72"/>
      <c r="T1239" s="72"/>
      <c r="U1239" s="93"/>
      <c r="X1239" s="114" t="str">
        <f t="shared" si="32"/>
        <v>1w</v>
      </c>
      <c r="Y1239" s="112">
        <f>_xll.qlCalendarAdvance(Calendar,Y1238,X1239,"f",FALSE)</f>
        <v>47830</v>
      </c>
      <c r="Z1239" s="115">
        <f>_xll.qlCalendarAdvance(Calendar,Y1239,NDays&amp;"D")</f>
        <v>47830</v>
      </c>
      <c r="AA1239" s="116">
        <v>3.9591033762564259E-2</v>
      </c>
      <c r="AB1239" s="113">
        <v>3.9497378618943056E-2</v>
      </c>
    </row>
    <row r="1240" spans="17:28" x14ac:dyDescent="0.2">
      <c r="Q1240" s="72"/>
      <c r="T1240" s="72"/>
      <c r="U1240" s="93"/>
      <c r="X1240" s="114" t="str">
        <f t="shared" si="32"/>
        <v>1w</v>
      </c>
      <c r="Y1240" s="112">
        <f>_xll.qlCalendarAdvance(Calendar,Y1239,X1240,"f",FALSE)</f>
        <v>47837</v>
      </c>
      <c r="Z1240" s="115">
        <f>_xll.qlCalendarAdvance(Calendar,Y1240,NDays&amp;"D")</f>
        <v>47837</v>
      </c>
      <c r="AA1240" s="116">
        <v>3.9576236518921816E-2</v>
      </c>
      <c r="AB1240" s="113">
        <v>3.9482372194248334E-2</v>
      </c>
    </row>
    <row r="1241" spans="17:28" x14ac:dyDescent="0.2">
      <c r="Q1241" s="72"/>
      <c r="T1241" s="72"/>
      <c r="U1241" s="93"/>
      <c r="X1241" s="114" t="str">
        <f t="shared" si="32"/>
        <v>1w</v>
      </c>
      <c r="Y1241" s="112">
        <f>_xll.qlCalendarAdvance(Calendar,Y1240,X1241,"f",FALSE)</f>
        <v>47844</v>
      </c>
      <c r="Z1241" s="115">
        <f>_xll.qlCalendarAdvance(Calendar,Y1241,NDays&amp;"D")</f>
        <v>47844</v>
      </c>
      <c r="AA1241" s="116">
        <v>3.9561495768129236E-2</v>
      </c>
      <c r="AB1241" s="113">
        <v>3.94674216836799E-2</v>
      </c>
    </row>
    <row r="1242" spans="17:28" x14ac:dyDescent="0.2">
      <c r="Q1242" s="72"/>
      <c r="T1242" s="72"/>
      <c r="U1242" s="93"/>
      <c r="X1242" s="114" t="str">
        <f t="shared" si="32"/>
        <v>1w</v>
      </c>
      <c r="Y1242" s="112">
        <f>_xll.qlCalendarAdvance(Calendar,Y1241,X1242,"f",FALSE)</f>
        <v>47851</v>
      </c>
      <c r="Z1242" s="115">
        <f>_xll.qlCalendarAdvance(Calendar,Y1242,NDays&amp;"D")</f>
        <v>47851</v>
      </c>
      <c r="AA1242" s="116">
        <v>3.9546811509575078E-2</v>
      </c>
      <c r="AB1242" s="113">
        <v>3.945252708721074E-2</v>
      </c>
    </row>
    <row r="1243" spans="17:28" x14ac:dyDescent="0.2">
      <c r="Q1243" s="72"/>
      <c r="T1243" s="72"/>
      <c r="U1243" s="93"/>
      <c r="X1243" s="114" t="str">
        <f t="shared" si="32"/>
        <v>1w</v>
      </c>
      <c r="Y1243" s="112">
        <f>_xll.qlCalendarAdvance(Calendar,Y1242,X1243,"f",FALSE)</f>
        <v>47858</v>
      </c>
      <c r="Z1243" s="115">
        <f>_xll.qlCalendarAdvance(Calendar,Y1243,NDays&amp;"D")</f>
        <v>47858</v>
      </c>
      <c r="AA1243" s="116">
        <v>3.9532183742651487E-2</v>
      </c>
      <c r="AB1243" s="113">
        <v>3.9437688404867874E-2</v>
      </c>
    </row>
    <row r="1244" spans="17:28" x14ac:dyDescent="0.2">
      <c r="Q1244" s="72"/>
      <c r="T1244" s="72"/>
      <c r="U1244" s="93"/>
      <c r="X1244" s="114" t="str">
        <f t="shared" si="32"/>
        <v>1w</v>
      </c>
      <c r="Y1244" s="112">
        <f>_xll.qlCalendarAdvance(Calendar,Y1243,X1244,"f",FALSE)</f>
        <v>47865</v>
      </c>
      <c r="Z1244" s="115">
        <f>_xll.qlCalendarAdvance(Calendar,Y1244,NDays&amp;"D")</f>
        <v>47865</v>
      </c>
      <c r="AA1244" s="116">
        <v>3.9517612466755128E-2</v>
      </c>
      <c r="AB1244" s="113">
        <v>3.9422905636516223E-2</v>
      </c>
    </row>
    <row r="1245" spans="17:28" x14ac:dyDescent="0.2">
      <c r="Q1245" s="72"/>
      <c r="T1245" s="72"/>
      <c r="U1245" s="93"/>
      <c r="X1245" s="114" t="str">
        <f t="shared" si="32"/>
        <v>1w</v>
      </c>
      <c r="Y1245" s="112">
        <f>_xll.qlCalendarAdvance(Calendar,Y1244,X1245,"f",FALSE)</f>
        <v>47872</v>
      </c>
      <c r="Z1245" s="115">
        <f>_xll.qlCalendarAdvance(Calendar,Y1245,NDays&amp;"D")</f>
        <v>47872</v>
      </c>
      <c r="AA1245" s="116">
        <v>3.9503097681281747E-2</v>
      </c>
      <c r="AB1245" s="113">
        <v>3.9409256473550147E-2</v>
      </c>
    </row>
    <row r="1246" spans="17:28" x14ac:dyDescent="0.2">
      <c r="Q1246" s="72"/>
      <c r="T1246" s="72"/>
      <c r="U1246" s="93"/>
      <c r="X1246" s="114" t="str">
        <f t="shared" si="32"/>
        <v>1w</v>
      </c>
      <c r="Y1246" s="112">
        <f>_xll.qlCalendarAdvance(Calendar,Y1245,X1246,"f",FALSE)</f>
        <v>47879</v>
      </c>
      <c r="Z1246" s="115">
        <f>_xll.qlCalendarAdvance(Calendar,Y1246,NDays&amp;"D")</f>
        <v>47879</v>
      </c>
      <c r="AA1246" s="116">
        <v>3.9487532423488854E-2</v>
      </c>
      <c r="AB1246" s="113">
        <v>3.9393507841948658E-2</v>
      </c>
    </row>
    <row r="1247" spans="17:28" x14ac:dyDescent="0.2">
      <c r="Q1247" s="72"/>
      <c r="T1247" s="72"/>
      <c r="U1247" s="93"/>
      <c r="X1247" s="114" t="str">
        <f t="shared" si="32"/>
        <v>1w</v>
      </c>
      <c r="Y1247" s="112">
        <f>_xll.qlCalendarAdvance(Calendar,Y1246,X1247,"f",FALSE)</f>
        <v>47886</v>
      </c>
      <c r="Z1247" s="115">
        <f>_xll.qlCalendarAdvance(Calendar,Y1247,NDays&amp;"D")</f>
        <v>47886</v>
      </c>
      <c r="AA1247" s="116">
        <v>3.9473128132847E-2</v>
      </c>
      <c r="AB1247" s="113">
        <v>3.9378892815705731E-2</v>
      </c>
    </row>
    <row r="1248" spans="17:28" x14ac:dyDescent="0.2">
      <c r="Q1248" s="72"/>
      <c r="T1248" s="72"/>
      <c r="U1248" s="93"/>
      <c r="X1248" s="114" t="str">
        <f t="shared" si="32"/>
        <v>1w</v>
      </c>
      <c r="Y1248" s="112">
        <f>_xll.qlCalendarAdvance(Calendar,Y1247,X1248,"f",FALSE)</f>
        <v>47893</v>
      </c>
      <c r="Z1248" s="115">
        <f>_xll.qlCalendarAdvance(Calendar,Y1248,NDays&amp;"D")</f>
        <v>47893</v>
      </c>
      <c r="AA1248" s="116">
        <v>3.9458780324237906E-2</v>
      </c>
      <c r="AB1248" s="113">
        <v>3.9364333703426999E-2</v>
      </c>
    </row>
    <row r="1249" spans="17:28" x14ac:dyDescent="0.2">
      <c r="Q1249" s="72"/>
      <c r="T1249" s="72"/>
      <c r="U1249" s="93"/>
      <c r="X1249" s="114" t="str">
        <f t="shared" si="32"/>
        <v>1w</v>
      </c>
      <c r="Y1249" s="112">
        <f>_xll.qlCalendarAdvance(Calendar,Y1248,X1249,"f",FALSE)</f>
        <v>47900</v>
      </c>
      <c r="Z1249" s="115">
        <f>_xll.qlCalendarAdvance(Calendar,Y1249,NDays&amp;"D")</f>
        <v>47900</v>
      </c>
      <c r="AA1249" s="116">
        <v>3.9444488997071474E-2</v>
      </c>
      <c r="AB1249" s="113">
        <v>3.9349830505112468E-2</v>
      </c>
    </row>
    <row r="1250" spans="17:28" x14ac:dyDescent="0.2">
      <c r="Q1250" s="72"/>
      <c r="T1250" s="72"/>
      <c r="U1250" s="93"/>
      <c r="X1250" s="114" t="str">
        <f t="shared" si="32"/>
        <v>1w</v>
      </c>
      <c r="Y1250" s="112">
        <f>_xll.qlCalendarAdvance(Calendar,Y1249,X1250,"f",FALSE)</f>
        <v>47907</v>
      </c>
      <c r="Z1250" s="115">
        <f>_xll.qlCalendarAdvance(Calendar,Y1250,NDays&amp;"D")</f>
        <v>47907</v>
      </c>
      <c r="AA1250" s="116">
        <v>3.9432488348096636E-2</v>
      </c>
      <c r="AB1250" s="113">
        <v>3.9335383220681093E-2</v>
      </c>
    </row>
    <row r="1251" spans="17:28" x14ac:dyDescent="0.2">
      <c r="Q1251" s="72"/>
      <c r="T1251" s="72"/>
      <c r="U1251" s="93"/>
      <c r="X1251" s="114" t="str">
        <f t="shared" si="32"/>
        <v>1w</v>
      </c>
      <c r="Y1251" s="112">
        <f>_xll.qlCalendarAdvance(Calendar,Y1250,X1251,"f",FALSE)</f>
        <v>47914</v>
      </c>
      <c r="Z1251" s="115">
        <f>_xll.qlCalendarAdvance(Calendar,Y1251,NDays&amp;"D")</f>
        <v>47914</v>
      </c>
      <c r="AA1251" s="116">
        <v>3.9422797296015256E-2</v>
      </c>
      <c r="AB1251" s="113">
        <v>3.9320991850240926E-2</v>
      </c>
    </row>
    <row r="1252" spans="17:28" x14ac:dyDescent="0.2">
      <c r="Q1252" s="72"/>
      <c r="T1252" s="72"/>
      <c r="U1252" s="93"/>
      <c r="X1252" s="114" t="str">
        <f t="shared" si="32"/>
        <v>1w</v>
      </c>
      <c r="Y1252" s="112">
        <f>_xll.qlCalendarAdvance(Calendar,Y1251,X1252,"f",FALSE)</f>
        <v>47921</v>
      </c>
      <c r="Z1252" s="115">
        <f>_xll.qlCalendarAdvance(Calendar,Y1252,NDays&amp;"D")</f>
        <v>47921</v>
      </c>
      <c r="AA1252" s="116">
        <v>3.9404198152728928E-2</v>
      </c>
      <c r="AB1252" s="113">
        <v>3.9306656393629888E-2</v>
      </c>
    </row>
    <row r="1253" spans="17:28" x14ac:dyDescent="0.2">
      <c r="Q1253" s="72"/>
      <c r="T1253" s="72"/>
      <c r="U1253" s="93"/>
      <c r="X1253" s="114" t="str">
        <f t="shared" si="32"/>
        <v>1w</v>
      </c>
      <c r="Y1253" s="112">
        <f>_xll.qlCalendarAdvance(Calendar,Y1252,X1253,"f",FALSE)</f>
        <v>47928</v>
      </c>
      <c r="Z1253" s="115">
        <f>_xll.qlCalendarAdvance(Calendar,Y1253,NDays&amp;"D")</f>
        <v>47928</v>
      </c>
      <c r="AA1253" s="116">
        <v>3.9393514167323472E-2</v>
      </c>
      <c r="AB1253" s="113">
        <v>3.9292376850956032E-2</v>
      </c>
    </row>
    <row r="1254" spans="17:28" x14ac:dyDescent="0.2">
      <c r="Q1254" s="72"/>
      <c r="T1254" s="72"/>
      <c r="U1254" s="93"/>
      <c r="X1254" s="114" t="str">
        <f t="shared" si="32"/>
        <v>1w</v>
      </c>
      <c r="Y1254" s="112">
        <f>_xll.qlCalendarAdvance(Calendar,Y1253,X1254,"f",FALSE)</f>
        <v>47935</v>
      </c>
      <c r="Z1254" s="115">
        <f>_xll.qlCalendarAdvance(Calendar,Y1254,NDays&amp;"D")</f>
        <v>47935</v>
      </c>
      <c r="AA1254" s="116">
        <v>3.9379517897778389E-2</v>
      </c>
      <c r="AB1254" s="113">
        <v>3.9278153222138311E-2</v>
      </c>
    </row>
    <row r="1255" spans="17:28" x14ac:dyDescent="0.2">
      <c r="Q1255" s="72"/>
      <c r="T1255" s="72"/>
      <c r="U1255" s="93"/>
      <c r="X1255" s="114" t="str">
        <f t="shared" si="32"/>
        <v>1w</v>
      </c>
      <c r="Y1255" s="112">
        <f>_xll.qlCalendarAdvance(Calendar,Y1254,X1255,"f",FALSE)</f>
        <v>47942</v>
      </c>
      <c r="Z1255" s="115">
        <f>_xll.qlCalendarAdvance(Calendar,Y1255,NDays&amp;"D")</f>
        <v>47942</v>
      </c>
      <c r="AA1255" s="116">
        <v>3.936218655010567E-2</v>
      </c>
      <c r="AB1255" s="113">
        <v>3.9263985507122699E-2</v>
      </c>
    </row>
    <row r="1256" spans="17:28" x14ac:dyDescent="0.2">
      <c r="Q1256" s="72"/>
      <c r="T1256" s="72"/>
      <c r="U1256" s="93"/>
      <c r="X1256" s="114" t="str">
        <f t="shared" si="32"/>
        <v>1w</v>
      </c>
      <c r="Y1256" s="112">
        <f>_xll.qlCalendarAdvance(Calendar,Y1255,X1256,"f",FALSE)</f>
        <v>47953</v>
      </c>
      <c r="Z1256" s="115">
        <f>_xll.qlCalendarAdvance(Calendar,Y1256,NDays&amp;"D")</f>
        <v>47953</v>
      </c>
      <c r="AA1256" s="116">
        <v>3.9340383378178218E-2</v>
      </c>
      <c r="AB1256" s="113">
        <v>3.9239623888271957E-2</v>
      </c>
    </row>
    <row r="1257" spans="17:28" x14ac:dyDescent="0.2">
      <c r="Q1257" s="72"/>
      <c r="T1257" s="72"/>
      <c r="U1257" s="93"/>
      <c r="X1257" s="114" t="str">
        <f t="shared" si="32"/>
        <v>1w</v>
      </c>
      <c r="Y1257" s="112">
        <f>_xll.qlCalendarAdvance(Calendar,Y1256,X1257,"f",FALSE)</f>
        <v>47960</v>
      </c>
      <c r="Z1257" s="115">
        <f>_xll.qlCalendarAdvance(Calendar,Y1257,NDays&amp;"D")</f>
        <v>47960</v>
      </c>
      <c r="AA1257" s="116">
        <v>3.9326581262014382E-2</v>
      </c>
      <c r="AB1257" s="113">
        <v>3.9225594979924727E-2</v>
      </c>
    </row>
    <row r="1258" spans="17:28" x14ac:dyDescent="0.2">
      <c r="Q1258" s="72"/>
      <c r="T1258" s="72"/>
      <c r="U1258" s="93"/>
      <c r="X1258" s="114" t="str">
        <f t="shared" si="32"/>
        <v>1w</v>
      </c>
      <c r="Y1258" s="112">
        <f>_xll.qlCalendarAdvance(Calendar,Y1257,X1258,"f",FALSE)</f>
        <v>47967</v>
      </c>
      <c r="Z1258" s="115">
        <f>_xll.qlCalendarAdvance(Calendar,Y1258,NDays&amp;"D")</f>
        <v>47967</v>
      </c>
      <c r="AA1258" s="116">
        <v>3.9312835634854444E-2</v>
      </c>
      <c r="AB1258" s="113">
        <v>3.9211621972277122E-2</v>
      </c>
    </row>
    <row r="1259" spans="17:28" x14ac:dyDescent="0.2">
      <c r="Q1259" s="72"/>
      <c r="T1259" s="72"/>
      <c r="U1259" s="93"/>
      <c r="X1259" s="114" t="str">
        <f t="shared" si="32"/>
        <v>1w</v>
      </c>
      <c r="Y1259" s="112">
        <f>_xll.qlCalendarAdvance(Calendar,Y1258,X1259,"f",FALSE)</f>
        <v>47974</v>
      </c>
      <c r="Z1259" s="115">
        <f>_xll.qlCalendarAdvance(Calendar,Y1259,NDays&amp;"D")</f>
        <v>47974</v>
      </c>
      <c r="AA1259" s="116">
        <v>3.9300288388714924E-2</v>
      </c>
      <c r="AB1259" s="113">
        <v>3.9197704865248095E-2</v>
      </c>
    </row>
    <row r="1260" spans="17:28" x14ac:dyDescent="0.2">
      <c r="Q1260" s="72"/>
      <c r="T1260" s="72"/>
      <c r="U1260" s="93"/>
      <c r="X1260" s="114" t="str">
        <f t="shared" si="32"/>
        <v>1w</v>
      </c>
      <c r="Y1260" s="112">
        <f>_xll.qlCalendarAdvance(Calendar,Y1259,X1260,"f",FALSE)</f>
        <v>47981</v>
      </c>
      <c r="Z1260" s="115">
        <f>_xll.qlCalendarAdvance(Calendar,Y1260,NDays&amp;"D")</f>
        <v>47981</v>
      </c>
      <c r="AA1260" s="116">
        <v>3.9286658312617226E-2</v>
      </c>
      <c r="AB1260" s="113">
        <v>3.9183843659161832E-2</v>
      </c>
    </row>
    <row r="1261" spans="17:28" x14ac:dyDescent="0.2">
      <c r="Q1261" s="72"/>
      <c r="T1261" s="72"/>
      <c r="U1261" s="93"/>
      <c r="X1261" s="114" t="str">
        <f t="shared" si="32"/>
        <v>1w</v>
      </c>
      <c r="Y1261" s="112">
        <f>_xll.qlCalendarAdvance(Calendar,Y1260,X1261,"f",FALSE)</f>
        <v>47988</v>
      </c>
      <c r="Z1261" s="115">
        <f>_xll.qlCalendarAdvance(Calendar,Y1261,NDays&amp;"D")</f>
        <v>47988</v>
      </c>
      <c r="AA1261" s="116">
        <v>3.927308473031936E-2</v>
      </c>
      <c r="AB1261" s="113">
        <v>3.9170038353451009E-2</v>
      </c>
    </row>
    <row r="1262" spans="17:28" x14ac:dyDescent="0.2">
      <c r="Q1262" s="72"/>
      <c r="T1262" s="72"/>
      <c r="U1262" s="93"/>
      <c r="X1262" s="114" t="str">
        <f t="shared" si="32"/>
        <v>1w</v>
      </c>
      <c r="Y1262" s="112">
        <f>_xll.qlCalendarAdvance(Calendar,Y1261,X1262,"f",FALSE)</f>
        <v>47995</v>
      </c>
      <c r="Z1262" s="115">
        <f>_xll.qlCalendarAdvance(Calendar,Y1262,NDays&amp;"D")</f>
        <v>47995</v>
      </c>
      <c r="AA1262" s="116">
        <v>3.9259567641249597E-2</v>
      </c>
      <c r="AB1262" s="113">
        <v>3.915628894843981E-2</v>
      </c>
    </row>
    <row r="1263" spans="17:28" x14ac:dyDescent="0.2">
      <c r="Q1263" s="72"/>
      <c r="T1263" s="72"/>
      <c r="U1263" s="93"/>
      <c r="X1263" s="114" t="str">
        <f t="shared" si="32"/>
        <v>1w</v>
      </c>
      <c r="Y1263" s="112">
        <f>_xll.qlCalendarAdvance(Calendar,Y1262,X1263,"f",FALSE)</f>
        <v>48002</v>
      </c>
      <c r="Z1263" s="115">
        <f>_xll.qlCalendarAdvance(Calendar,Y1263,NDays&amp;"D")</f>
        <v>48002</v>
      </c>
      <c r="AA1263" s="116">
        <v>3.9246107044835325E-2</v>
      </c>
      <c r="AB1263" s="113">
        <v>3.9142595444128236E-2</v>
      </c>
    </row>
    <row r="1264" spans="17:28" x14ac:dyDescent="0.2">
      <c r="Q1264" s="72"/>
      <c r="T1264" s="72"/>
      <c r="U1264" s="93"/>
      <c r="X1264" s="114" t="str">
        <f t="shared" si="32"/>
        <v>1w</v>
      </c>
      <c r="Y1264" s="112">
        <f>_xll.qlCalendarAdvance(Calendar,Y1263,X1264,"f",FALSE)</f>
        <v>48009</v>
      </c>
      <c r="Z1264" s="115">
        <f>_xll.qlCalendarAdvance(Calendar,Y1264,NDays&amp;"D")</f>
        <v>48009</v>
      </c>
      <c r="AA1264" s="116">
        <v>3.9232702940507465E-2</v>
      </c>
      <c r="AB1264" s="113">
        <v>3.9128957840435241E-2</v>
      </c>
    </row>
    <row r="1265" spans="17:28" x14ac:dyDescent="0.2">
      <c r="Q1265" s="72"/>
      <c r="T1265" s="72"/>
      <c r="U1265" s="93"/>
      <c r="X1265" s="114" t="str">
        <f t="shared" si="32"/>
        <v>1w</v>
      </c>
      <c r="Y1265" s="112">
        <f>_xll.qlCalendarAdvance(Calendar,Y1264,X1265,"f",FALSE)</f>
        <v>48016</v>
      </c>
      <c r="Z1265" s="115">
        <f>_xll.qlCalendarAdvance(Calendar,Y1265,NDays&amp;"D")</f>
        <v>48016</v>
      </c>
      <c r="AA1265" s="116">
        <v>3.9219355327701329E-2</v>
      </c>
      <c r="AB1265" s="113">
        <v>3.9115376137441871E-2</v>
      </c>
    </row>
    <row r="1266" spans="17:28" x14ac:dyDescent="0.2">
      <c r="Q1266" s="72"/>
      <c r="T1266" s="72"/>
      <c r="U1266" s="93"/>
      <c r="X1266" s="114" t="str">
        <f t="shared" si="32"/>
        <v>1w</v>
      </c>
      <c r="Y1266" s="112">
        <f>_xll.qlCalendarAdvance(Calendar,Y1265,X1266,"f",FALSE)</f>
        <v>48023</v>
      </c>
      <c r="Z1266" s="115">
        <f>_xll.qlCalendarAdvance(Calendar,Y1266,NDays&amp;"D")</f>
        <v>48023</v>
      </c>
      <c r="AA1266" s="116">
        <v>3.9206064205849593E-2</v>
      </c>
      <c r="AB1266" s="113">
        <v>3.9101850335067079E-2</v>
      </c>
    </row>
    <row r="1267" spans="17:28" x14ac:dyDescent="0.2">
      <c r="Q1267" s="72"/>
      <c r="T1267" s="72"/>
      <c r="U1267" s="93"/>
      <c r="X1267" s="114" t="str">
        <f t="shared" si="32"/>
        <v>1w</v>
      </c>
      <c r="Y1267" s="112">
        <f>_xll.qlCalendarAdvance(Calendar,Y1266,X1267,"f",FALSE)</f>
        <v>48030</v>
      </c>
      <c r="Z1267" s="115">
        <f>_xll.qlCalendarAdvance(Calendar,Y1267,NDays&amp;"D")</f>
        <v>48030</v>
      </c>
      <c r="AA1267" s="116">
        <v>3.9192829574392865E-2</v>
      </c>
      <c r="AB1267" s="113">
        <v>3.9088380433391912E-2</v>
      </c>
    </row>
    <row r="1268" spans="17:28" x14ac:dyDescent="0.2">
      <c r="Q1268" s="72"/>
      <c r="T1268" s="72"/>
      <c r="U1268" s="93"/>
      <c r="X1268" s="114" t="str">
        <f t="shared" si="32"/>
        <v>1w</v>
      </c>
      <c r="Y1268" s="112">
        <f>_xll.qlCalendarAdvance(Calendar,Y1267,X1268,"f",FALSE)</f>
        <v>48037</v>
      </c>
      <c r="Z1268" s="115">
        <f>_xll.qlCalendarAdvance(Calendar,Y1268,NDays&amp;"D")</f>
        <v>48037</v>
      </c>
      <c r="AA1268" s="116">
        <v>3.9179651432768227E-2</v>
      </c>
      <c r="AB1268" s="113">
        <v>3.9074966432254277E-2</v>
      </c>
    </row>
    <row r="1269" spans="17:28" x14ac:dyDescent="0.2">
      <c r="Q1269" s="72"/>
      <c r="T1269" s="72"/>
      <c r="U1269" s="93"/>
      <c r="X1269" s="114" t="str">
        <f t="shared" si="32"/>
        <v>1w</v>
      </c>
      <c r="Y1269" s="112">
        <f>_xll.qlCalendarAdvance(Calendar,Y1268,X1269,"f",FALSE)</f>
        <v>48044</v>
      </c>
      <c r="Z1269" s="115">
        <f>_xll.qlCalendarAdvance(Calendar,Y1269,NDays&amp;"D")</f>
        <v>48044</v>
      </c>
      <c r="AA1269" s="116">
        <v>3.9166529780422447E-2</v>
      </c>
      <c r="AB1269" s="113">
        <v>3.906160833173522E-2</v>
      </c>
    </row>
    <row r="1270" spans="17:28" x14ac:dyDescent="0.2">
      <c r="Q1270" s="72"/>
      <c r="T1270" s="72"/>
      <c r="U1270" s="93"/>
      <c r="X1270" s="114" t="str">
        <f t="shared" si="32"/>
        <v>1w</v>
      </c>
      <c r="Y1270" s="112">
        <f>_xll.qlCalendarAdvance(Calendar,Y1269,X1270,"f",FALSE)</f>
        <v>48051</v>
      </c>
      <c r="Z1270" s="115">
        <f>_xll.qlCalendarAdvance(Calendar,Y1270,NDays&amp;"D")</f>
        <v>48051</v>
      </c>
      <c r="AA1270" s="116">
        <v>3.9153464616797889E-2</v>
      </c>
      <c r="AB1270" s="113">
        <v>3.9048306131753696E-2</v>
      </c>
    </row>
    <row r="1271" spans="17:28" x14ac:dyDescent="0.2">
      <c r="Q1271" s="72"/>
      <c r="T1271" s="72"/>
      <c r="U1271" s="93"/>
      <c r="X1271" s="114" t="str">
        <f t="shared" si="32"/>
        <v>1w</v>
      </c>
      <c r="Y1271" s="112">
        <f>_xll.qlCalendarAdvance(Calendar,Y1270,X1271,"f",FALSE)</f>
        <v>48058</v>
      </c>
      <c r="Z1271" s="115">
        <f>_xll.qlCalendarAdvance(Calendar,Y1271,NDays&amp;"D")</f>
        <v>48058</v>
      </c>
      <c r="AA1271" s="116">
        <v>3.9140455941344854E-2</v>
      </c>
      <c r="AB1271" s="113">
        <v>3.9035059832390751E-2</v>
      </c>
    </row>
    <row r="1272" spans="17:28" x14ac:dyDescent="0.2">
      <c r="Q1272" s="72"/>
      <c r="T1272" s="72"/>
      <c r="U1272" s="93"/>
      <c r="X1272" s="114" t="str">
        <f t="shared" si="32"/>
        <v>1w</v>
      </c>
      <c r="Y1272" s="112">
        <f>_xll.qlCalendarAdvance(Calendar,Y1271,X1272,"f",FALSE)</f>
        <v>48065</v>
      </c>
      <c r="Z1272" s="115">
        <f>_xll.qlCalendarAdvance(Calendar,Y1272,NDays&amp;"D")</f>
        <v>48065</v>
      </c>
      <c r="AA1272" s="116">
        <v>3.9127503753511872E-2</v>
      </c>
      <c r="AB1272" s="113">
        <v>3.9021869433646383E-2</v>
      </c>
    </row>
    <row r="1273" spans="17:28" x14ac:dyDescent="0.2">
      <c r="Q1273" s="72"/>
      <c r="T1273" s="72"/>
      <c r="U1273" s="93"/>
      <c r="X1273" s="114" t="str">
        <f t="shared" si="32"/>
        <v>1w</v>
      </c>
      <c r="Y1273" s="112">
        <f>_xll.qlCalendarAdvance(Calendar,Y1272,X1273,"f",FALSE)</f>
        <v>48072</v>
      </c>
      <c r="Z1273" s="115">
        <f>_xll.qlCalendarAdvance(Calendar,Y1273,NDays&amp;"D")</f>
        <v>48072</v>
      </c>
      <c r="AA1273" s="116">
        <v>3.9114608052751874E-2</v>
      </c>
      <c r="AB1273" s="113">
        <v>3.9008734935520595E-2</v>
      </c>
    </row>
    <row r="1274" spans="17:28" x14ac:dyDescent="0.2">
      <c r="Q1274" s="72"/>
      <c r="T1274" s="72"/>
      <c r="U1274" s="93"/>
      <c r="X1274" s="114" t="str">
        <f t="shared" si="32"/>
        <v>1w</v>
      </c>
      <c r="Y1274" s="112">
        <f>_xll.qlCalendarAdvance(Calendar,Y1273,X1274,"f",FALSE)</f>
        <v>48079</v>
      </c>
      <c r="Z1274" s="115">
        <f>_xll.qlCalendarAdvance(Calendar,Y1274,NDays&amp;"D")</f>
        <v>48079</v>
      </c>
      <c r="AA1274" s="116">
        <v>3.9101768838519568E-2</v>
      </c>
      <c r="AB1274" s="113">
        <v>3.8995656338013385E-2</v>
      </c>
    </row>
    <row r="1275" spans="17:28" x14ac:dyDescent="0.2">
      <c r="Q1275" s="72"/>
      <c r="T1275" s="72"/>
      <c r="U1275" s="93"/>
      <c r="X1275" s="114" t="str">
        <f t="shared" si="32"/>
        <v>1w</v>
      </c>
      <c r="Y1275" s="112">
        <f>_xll.qlCalendarAdvance(Calendar,Y1274,X1275,"f",FALSE)</f>
        <v>48086</v>
      </c>
      <c r="Z1275" s="115">
        <f>_xll.qlCalendarAdvance(Calendar,Y1275,NDays&amp;"D")</f>
        <v>48086</v>
      </c>
      <c r="AA1275" s="116">
        <v>3.9088986110271416E-2</v>
      </c>
      <c r="AB1275" s="113">
        <v>3.8982633641043707E-2</v>
      </c>
    </row>
    <row r="1276" spans="17:28" x14ac:dyDescent="0.2">
      <c r="Q1276" s="72"/>
      <c r="T1276" s="72"/>
      <c r="U1276" s="93"/>
      <c r="X1276" s="114" t="str">
        <f t="shared" si="32"/>
        <v>1w</v>
      </c>
      <c r="Y1276" s="112">
        <f>_xll.qlCalendarAdvance(Calendar,Y1275,X1276,"f",FALSE)</f>
        <v>48093</v>
      </c>
      <c r="Z1276" s="115">
        <f>_xll.qlCalendarAdvance(Calendar,Y1276,NDays&amp;"D")</f>
        <v>48093</v>
      </c>
      <c r="AA1276" s="116">
        <v>3.9075073322305018E-2</v>
      </c>
      <c r="AB1276" s="113">
        <v>3.8969666844611561E-2</v>
      </c>
    </row>
    <row r="1277" spans="17:28" x14ac:dyDescent="0.2">
      <c r="Q1277" s="72"/>
      <c r="T1277" s="72"/>
      <c r="U1277" s="93"/>
      <c r="X1277" s="114" t="str">
        <f t="shared" si="32"/>
        <v>1w</v>
      </c>
      <c r="Y1277" s="112">
        <f>_xll.qlCalendarAdvance(Calendar,Y1276,X1277,"f",FALSE)</f>
        <v>48100</v>
      </c>
      <c r="Z1277" s="115">
        <f>_xll.qlCalendarAdvance(Calendar,Y1277,NDays&amp;"D")</f>
        <v>48100</v>
      </c>
      <c r="AA1277" s="116">
        <v>3.9062400879752664E-2</v>
      </c>
      <c r="AB1277" s="113">
        <v>3.8956755948797994E-2</v>
      </c>
    </row>
    <row r="1278" spans="17:28" x14ac:dyDescent="0.2">
      <c r="Q1278" s="72"/>
      <c r="T1278" s="72"/>
      <c r="U1278" s="93"/>
      <c r="X1278" s="114" t="str">
        <f t="shared" si="32"/>
        <v>1w</v>
      </c>
      <c r="Y1278" s="112">
        <f>_xll.qlCalendarAdvance(Calendar,Y1277,X1278,"f",FALSE)</f>
        <v>48107</v>
      </c>
      <c r="Z1278" s="115">
        <f>_xll.qlCalendarAdvance(Calendar,Y1278,NDays&amp;"D")</f>
        <v>48107</v>
      </c>
      <c r="AA1278" s="116">
        <v>3.9049784915161423E-2</v>
      </c>
      <c r="AB1278" s="113">
        <v>3.8943900953603006E-2</v>
      </c>
    </row>
    <row r="1279" spans="17:28" x14ac:dyDescent="0.2">
      <c r="Q1279" s="72"/>
      <c r="T1279" s="72"/>
      <c r="U1279" s="93"/>
      <c r="X1279" s="114" t="str">
        <f t="shared" si="32"/>
        <v>1w</v>
      </c>
      <c r="Y1279" s="112">
        <f>_xll.qlCalendarAdvance(Calendar,Y1278,X1279,"f",FALSE)</f>
        <v>48114</v>
      </c>
      <c r="Z1279" s="115">
        <f>_xll.qlCalendarAdvance(Calendar,Y1279,NDays&amp;"D")</f>
        <v>48114</v>
      </c>
      <c r="AA1279" s="116">
        <v>3.9037225428001379E-2</v>
      </c>
      <c r="AB1279" s="113">
        <v>3.8931101858783457E-2</v>
      </c>
    </row>
    <row r="1280" spans="17:28" x14ac:dyDescent="0.2">
      <c r="Q1280" s="72"/>
      <c r="T1280" s="72"/>
      <c r="U1280" s="93"/>
      <c r="X1280" s="114" t="str">
        <f t="shared" si="32"/>
        <v>1w</v>
      </c>
      <c r="Y1280" s="112">
        <f>_xll.qlCalendarAdvance(Calendar,Y1279,X1280,"f",FALSE)</f>
        <v>48121</v>
      </c>
      <c r="Z1280" s="115">
        <f>_xll.qlCalendarAdvance(Calendar,Y1280,NDays&amp;"D")</f>
        <v>48121</v>
      </c>
      <c r="AA1280" s="116">
        <v>3.9025919739970792E-2</v>
      </c>
      <c r="AB1280" s="113">
        <v>3.8918358664663533E-2</v>
      </c>
    </row>
    <row r="1281" spans="17:28" x14ac:dyDescent="0.2">
      <c r="Q1281" s="72"/>
      <c r="T1281" s="72"/>
      <c r="U1281" s="93"/>
      <c r="X1281" s="114" t="str">
        <f t="shared" si="32"/>
        <v>1w</v>
      </c>
      <c r="Y1281" s="112">
        <f>_xll.qlCalendarAdvance(Calendar,Y1280,X1281,"f",FALSE)</f>
        <v>48128</v>
      </c>
      <c r="Z1281" s="115">
        <f>_xll.qlCalendarAdvance(Calendar,Y1281,NDays&amp;"D")</f>
        <v>48128</v>
      </c>
      <c r="AA1281" s="116">
        <v>3.9013475916365635E-2</v>
      </c>
      <c r="AB1281" s="113">
        <v>3.8905671371000095E-2</v>
      </c>
    </row>
    <row r="1282" spans="17:28" x14ac:dyDescent="0.2">
      <c r="Q1282" s="72"/>
      <c r="T1282" s="72"/>
      <c r="U1282" s="93"/>
      <c r="X1282" s="114" t="str">
        <f t="shared" si="32"/>
        <v>1w</v>
      </c>
      <c r="Y1282" s="112">
        <f>_xll.qlCalendarAdvance(Calendar,Y1281,X1282,"f",FALSE)</f>
        <v>48135</v>
      </c>
      <c r="Z1282" s="115">
        <f>_xll.qlCalendarAdvance(Calendar,Y1282,NDays&amp;"D")</f>
        <v>48135</v>
      </c>
      <c r="AA1282" s="116">
        <v>3.9001088575013859E-2</v>
      </c>
      <c r="AB1282" s="113">
        <v>3.8893039977955235E-2</v>
      </c>
    </row>
    <row r="1283" spans="17:28" x14ac:dyDescent="0.2">
      <c r="Q1283" s="72"/>
      <c r="T1283" s="72"/>
      <c r="U1283" s="93"/>
      <c r="X1283" s="114" t="str">
        <f t="shared" si="32"/>
        <v>1w</v>
      </c>
      <c r="Y1283" s="112">
        <f>_xll.qlCalendarAdvance(Calendar,Y1282,X1283,"f",FALSE)</f>
        <v>48142</v>
      </c>
      <c r="Z1283" s="115">
        <f>_xll.qlCalendarAdvance(Calendar,Y1283,NDays&amp;"D")</f>
        <v>48142</v>
      </c>
      <c r="AA1283" s="116">
        <v>3.8988757715389538E-2</v>
      </c>
      <c r="AB1283" s="113">
        <v>3.8880464485366861E-2</v>
      </c>
    </row>
    <row r="1284" spans="17:28" x14ac:dyDescent="0.2">
      <c r="Q1284" s="72"/>
      <c r="T1284" s="72"/>
      <c r="U1284" s="93"/>
      <c r="X1284" s="114" t="str">
        <f t="shared" si="32"/>
        <v>1w</v>
      </c>
      <c r="Y1284" s="112">
        <f>_xll.qlCalendarAdvance(Calendar,Y1283,X1284,"f",FALSE)</f>
        <v>48149</v>
      </c>
      <c r="Z1284" s="115">
        <f>_xll.qlCalendarAdvance(Calendar,Y1284,NDays&amp;"D")</f>
        <v>48149</v>
      </c>
      <c r="AA1284" s="116">
        <v>3.8976483336972047E-2</v>
      </c>
      <c r="AB1284" s="113">
        <v>3.8867944893234974E-2</v>
      </c>
    </row>
    <row r="1285" spans="17:28" x14ac:dyDescent="0.2">
      <c r="Q1285" s="72"/>
      <c r="T1285" s="72"/>
      <c r="U1285" s="93"/>
      <c r="X1285" s="114" t="str">
        <f t="shared" si="32"/>
        <v>1w</v>
      </c>
      <c r="Y1285" s="112">
        <f>_xll.qlCalendarAdvance(Calendar,Y1284,X1285,"f",FALSE)</f>
        <v>48156</v>
      </c>
      <c r="Z1285" s="115">
        <f>_xll.qlCalendarAdvance(Calendar,Y1285,NDays&amp;"D")</f>
        <v>48156</v>
      </c>
      <c r="AA1285" s="116">
        <v>3.8964265439244271E-2</v>
      </c>
      <c r="AB1285" s="113">
        <v>3.8855481201721664E-2</v>
      </c>
    </row>
    <row r="1286" spans="17:28" x14ac:dyDescent="0.2">
      <c r="Q1286" s="72"/>
      <c r="T1286" s="72"/>
      <c r="U1286" s="93"/>
      <c r="X1286" s="114" t="str">
        <f t="shared" si="32"/>
        <v>1w</v>
      </c>
      <c r="Y1286" s="112">
        <f>_xll.qlCalendarAdvance(Calendar,Y1285,X1286,"f",FALSE)</f>
        <v>48163</v>
      </c>
      <c r="Z1286" s="115">
        <f>_xll.qlCalendarAdvance(Calendar,Y1286,NDays&amp;"D")</f>
        <v>48163</v>
      </c>
      <c r="AA1286" s="116">
        <v>3.8952104021687334E-2</v>
      </c>
      <c r="AB1286" s="113">
        <v>3.8843073410826934E-2</v>
      </c>
    </row>
    <row r="1287" spans="17:28" x14ac:dyDescent="0.2">
      <c r="Q1287" s="72"/>
      <c r="T1287" s="72"/>
      <c r="U1287" s="93"/>
      <c r="X1287" s="114" t="str">
        <f t="shared" si="32"/>
        <v>1w</v>
      </c>
      <c r="Y1287" s="112">
        <f>_xll.qlCalendarAdvance(Calendar,Y1286,X1287,"f",FALSE)</f>
        <v>48170</v>
      </c>
      <c r="Z1287" s="115">
        <f>_xll.qlCalendarAdvance(Calendar,Y1287,NDays&amp;"D")</f>
        <v>48170</v>
      </c>
      <c r="AA1287" s="116">
        <v>3.8939999083788535E-2</v>
      </c>
      <c r="AB1287" s="113">
        <v>3.8830721520388689E-2</v>
      </c>
    </row>
    <row r="1288" spans="17:28" x14ac:dyDescent="0.2">
      <c r="Q1288" s="72"/>
      <c r="T1288" s="72"/>
      <c r="U1288" s="93"/>
      <c r="X1288" s="114" t="str">
        <f t="shared" si="32"/>
        <v>1w</v>
      </c>
      <c r="Y1288" s="112">
        <f>_xll.qlCalendarAdvance(Calendar,Y1287,X1288,"f",FALSE)</f>
        <v>48177</v>
      </c>
      <c r="Z1288" s="115">
        <f>_xll.qlCalendarAdvance(Calendar,Y1288,NDays&amp;"D")</f>
        <v>48177</v>
      </c>
      <c r="AA1288" s="116">
        <v>3.8927950625035158E-2</v>
      </c>
      <c r="AB1288" s="113">
        <v>3.8818425530325884E-2</v>
      </c>
    </row>
    <row r="1289" spans="17:28" x14ac:dyDescent="0.2">
      <c r="Q1289" s="72"/>
      <c r="T1289" s="72"/>
      <c r="U1289" s="93"/>
      <c r="X1289" s="114" t="str">
        <f t="shared" si="32"/>
        <v>1w</v>
      </c>
      <c r="Y1289" s="112">
        <f>_xll.qlCalendarAdvance(Calendar,Y1288,X1289,"f",FALSE)</f>
        <v>48184</v>
      </c>
      <c r="Z1289" s="115">
        <f>_xll.qlCalendarAdvance(Calendar,Y1289,NDays&amp;"D")</f>
        <v>48184</v>
      </c>
      <c r="AA1289" s="116">
        <v>3.8914736700794074E-2</v>
      </c>
      <c r="AB1289" s="113">
        <v>3.8806185440881658E-2</v>
      </c>
    </row>
    <row r="1290" spans="17:28" x14ac:dyDescent="0.2">
      <c r="Q1290" s="72"/>
      <c r="T1290" s="72"/>
      <c r="U1290" s="93"/>
      <c r="X1290" s="114" t="str">
        <f t="shared" si="32"/>
        <v>1w</v>
      </c>
      <c r="Y1290" s="112">
        <f>_xll.qlCalendarAdvance(Calendar,Y1289,X1290,"f",FALSE)</f>
        <v>48191</v>
      </c>
      <c r="Z1290" s="115">
        <f>_xll.qlCalendarAdvance(Calendar,Y1290,NDays&amp;"D")</f>
        <v>48191</v>
      </c>
      <c r="AA1290" s="116">
        <v>3.8902798431244195E-2</v>
      </c>
      <c r="AB1290" s="113">
        <v>3.8794001251812871E-2</v>
      </c>
    </row>
    <row r="1291" spans="17:28" x14ac:dyDescent="0.2">
      <c r="Q1291" s="72"/>
      <c r="T1291" s="72"/>
      <c r="U1291" s="93"/>
      <c r="X1291" s="114" t="str">
        <f t="shared" si="32"/>
        <v>1w</v>
      </c>
      <c r="Y1291" s="112">
        <f>_xll.qlCalendarAdvance(Calendar,Y1290,X1291,"f",FALSE)</f>
        <v>48198</v>
      </c>
      <c r="Z1291" s="115">
        <f>_xll.qlCalendarAdvance(Calendar,Y1291,NDays&amp;"D")</f>
        <v>48198</v>
      </c>
      <c r="AA1291" s="116">
        <v>3.8890916632980249E-2</v>
      </c>
      <c r="AB1291" s="113">
        <v>3.8781872963362662E-2</v>
      </c>
    </row>
    <row r="1292" spans="17:28" x14ac:dyDescent="0.2">
      <c r="Q1292" s="72"/>
      <c r="T1292" s="72"/>
      <c r="U1292" s="93"/>
      <c r="X1292" s="114" t="str">
        <f t="shared" si="32"/>
        <v>1w</v>
      </c>
      <c r="Y1292" s="112">
        <f>_xll.qlCalendarAdvance(Calendar,Y1291,X1292,"f",FALSE)</f>
        <v>48205</v>
      </c>
      <c r="Z1292" s="115">
        <f>_xll.qlCalendarAdvance(Calendar,Y1292,NDays&amp;"D")</f>
        <v>48205</v>
      </c>
      <c r="AA1292" s="116">
        <v>3.8879091305504369E-2</v>
      </c>
      <c r="AB1292" s="113">
        <v>3.8769800575206848E-2</v>
      </c>
    </row>
    <row r="1293" spans="17:28" x14ac:dyDescent="0.2">
      <c r="Q1293" s="72"/>
      <c r="T1293" s="72"/>
      <c r="U1293" s="93"/>
      <c r="X1293" s="114" t="str">
        <f t="shared" si="32"/>
        <v>1w</v>
      </c>
      <c r="Y1293" s="112">
        <f>_xll.qlCalendarAdvance(Calendar,Y1292,X1293,"f",FALSE)</f>
        <v>48212</v>
      </c>
      <c r="Z1293" s="115">
        <f>_xll.qlCalendarAdvance(Calendar,Y1293,NDays&amp;"D")</f>
        <v>48212</v>
      </c>
      <c r="AA1293" s="116">
        <v>3.8867322448324047E-2</v>
      </c>
      <c r="AB1293" s="113">
        <v>3.8757784087750657E-2</v>
      </c>
    </row>
    <row r="1294" spans="17:28" x14ac:dyDescent="0.2">
      <c r="Q1294" s="72"/>
      <c r="T1294" s="72"/>
      <c r="U1294" s="93"/>
      <c r="X1294" s="114" t="str">
        <f t="shared" si="32"/>
        <v>1w</v>
      </c>
      <c r="Y1294" s="112">
        <f>_xll.qlCalendarAdvance(Calendar,Y1293,X1294,"f",FALSE)</f>
        <v>48219</v>
      </c>
      <c r="Z1294" s="115">
        <f>_xll.qlCalendarAdvance(Calendar,Y1294,NDays&amp;"D")</f>
        <v>48219</v>
      </c>
      <c r="AA1294" s="116">
        <v>3.8855610060944991E-2</v>
      </c>
      <c r="AB1294" s="113">
        <v>3.8745823500669907E-2</v>
      </c>
    </row>
    <row r="1295" spans="17:28" x14ac:dyDescent="0.2">
      <c r="Q1295" s="72"/>
      <c r="T1295" s="72"/>
      <c r="U1295" s="93"/>
      <c r="X1295" s="114" t="str">
        <f t="shared" si="32"/>
        <v>1w</v>
      </c>
      <c r="Y1295" s="112">
        <f>_xll.qlCalendarAdvance(Calendar,Y1294,X1295,"f",FALSE)</f>
        <v>48226</v>
      </c>
      <c r="Z1295" s="115">
        <f>_xll.qlCalendarAdvance(Calendar,Y1295,NDays&amp;"D")</f>
        <v>48226</v>
      </c>
      <c r="AA1295" s="116">
        <v>3.8843954142879146E-2</v>
      </c>
      <c r="AB1295" s="113">
        <v>3.8733918813964596E-2</v>
      </c>
    </row>
    <row r="1296" spans="17:28" x14ac:dyDescent="0.2">
      <c r="Q1296" s="72"/>
      <c r="T1296" s="72"/>
      <c r="U1296" s="93"/>
      <c r="X1296" s="114" t="str">
        <f t="shared" si="32"/>
        <v>1w</v>
      </c>
      <c r="Y1296" s="112">
        <f>_xll.qlCalendarAdvance(Calendar,Y1295,X1296,"f",FALSE)</f>
        <v>48233</v>
      </c>
      <c r="Z1296" s="115">
        <f>_xll.qlCalendarAdvance(Calendar,Y1296,NDays&amp;"D")</f>
        <v>48233</v>
      </c>
      <c r="AA1296" s="116">
        <v>3.8832354693639333E-2</v>
      </c>
      <c r="AB1296" s="113">
        <v>3.8722070027796818E-2</v>
      </c>
    </row>
    <row r="1297" spans="17:28" x14ac:dyDescent="0.2">
      <c r="Q1297" s="72"/>
      <c r="T1297" s="72"/>
      <c r="U1297" s="93"/>
      <c r="X1297" s="114" t="str">
        <f t="shared" si="32"/>
        <v>1w</v>
      </c>
      <c r="Y1297" s="112">
        <f>_xll.qlCalendarAdvance(Calendar,Y1296,X1297,"f",FALSE)</f>
        <v>48240</v>
      </c>
      <c r="Z1297" s="115">
        <f>_xll.qlCalendarAdvance(Calendar,Y1297,NDays&amp;"D")</f>
        <v>48240</v>
      </c>
      <c r="AA1297" s="116">
        <v>3.8820811712739281E-2</v>
      </c>
      <c r="AB1297" s="113">
        <v>3.8710277142085525E-2</v>
      </c>
    </row>
    <row r="1298" spans="17:28" x14ac:dyDescent="0.2">
      <c r="Q1298" s="72"/>
      <c r="T1298" s="72"/>
      <c r="U1298" s="93"/>
      <c r="X1298" s="114" t="str">
        <f t="shared" si="32"/>
        <v>1w</v>
      </c>
      <c r="Y1298" s="112">
        <f>_xll.qlCalendarAdvance(Calendar,Y1297,X1298,"f",FALSE)</f>
        <v>48247</v>
      </c>
      <c r="Z1298" s="115">
        <f>_xll.qlCalendarAdvance(Calendar,Y1298,NDays&amp;"D")</f>
        <v>48247</v>
      </c>
      <c r="AA1298" s="116">
        <v>3.8808078477646495E-2</v>
      </c>
      <c r="AB1298" s="113">
        <v>3.8698540156911765E-2</v>
      </c>
    </row>
    <row r="1299" spans="17:28" x14ac:dyDescent="0.2">
      <c r="Q1299" s="72"/>
      <c r="T1299" s="72"/>
      <c r="U1299" s="93"/>
      <c r="X1299" s="114" t="str">
        <f t="shared" si="32"/>
        <v>1w</v>
      </c>
      <c r="Y1299" s="112">
        <f>_xll.qlCalendarAdvance(Calendar,Y1298,X1299,"f",FALSE)</f>
        <v>48254</v>
      </c>
      <c r="Z1299" s="115">
        <f>_xll.qlCalendarAdvance(Calendar,Y1299,NDays&amp;"D")</f>
        <v>48254</v>
      </c>
      <c r="AA1299" s="116">
        <v>3.8796645608327844E-2</v>
      </c>
      <c r="AB1299" s="113">
        <v>3.8686859072032398E-2</v>
      </c>
    </row>
    <row r="1300" spans="17:28" x14ac:dyDescent="0.2">
      <c r="Q1300" s="72"/>
      <c r="T1300" s="72"/>
      <c r="U1300" s="93"/>
      <c r="X1300" s="114" t="str">
        <f t="shared" si="32"/>
        <v>1w</v>
      </c>
      <c r="Y1300" s="112">
        <f>_xll.qlCalendarAdvance(Calendar,Y1299,X1300,"f",FALSE)</f>
        <v>48261</v>
      </c>
      <c r="Z1300" s="115">
        <f>_xll.qlCalendarAdvance(Calendar,Y1300,NDays&amp;"D")</f>
        <v>48261</v>
      </c>
      <c r="AA1300" s="116">
        <v>3.878526919961614E-2</v>
      </c>
      <c r="AB1300" s="113">
        <v>3.8675233887690563E-2</v>
      </c>
    </row>
    <row r="1301" spans="17:28" x14ac:dyDescent="0.2">
      <c r="Q1301" s="72"/>
      <c r="T1301" s="72"/>
      <c r="U1301" s="93"/>
      <c r="X1301" s="114" t="str">
        <f t="shared" ref="X1301:X1364" si="33">X1300</f>
        <v>1w</v>
      </c>
      <c r="Y1301" s="112">
        <f>_xll.qlCalendarAdvance(Calendar,Y1300,X1301,"f",FALSE)</f>
        <v>48268</v>
      </c>
      <c r="Z1301" s="115">
        <f>_xll.qlCalendarAdvance(Calendar,Y1301,NDays&amp;"D")</f>
        <v>48268</v>
      </c>
      <c r="AA1301" s="116">
        <v>3.8773949251040427E-2</v>
      </c>
      <c r="AB1301" s="113">
        <v>3.8663664603643122E-2</v>
      </c>
    </row>
    <row r="1302" spans="17:28" x14ac:dyDescent="0.2">
      <c r="Q1302" s="72"/>
      <c r="T1302" s="72"/>
      <c r="U1302" s="93"/>
      <c r="X1302" s="114" t="str">
        <f t="shared" si="33"/>
        <v>1w</v>
      </c>
      <c r="Y1302" s="112">
        <f>_xll.qlCalendarAdvance(Calendar,Y1301,X1302,"f",FALSE)</f>
        <v>48275</v>
      </c>
      <c r="Z1302" s="115">
        <f>_xll.qlCalendarAdvance(Calendar,Y1302,NDays&amp;"D")</f>
        <v>48275</v>
      </c>
      <c r="AA1302" s="116">
        <v>3.8765202231931944E-2</v>
      </c>
      <c r="AB1302" s="113">
        <v>3.8652151220133213E-2</v>
      </c>
    </row>
    <row r="1303" spans="17:28" x14ac:dyDescent="0.2">
      <c r="Q1303" s="72"/>
      <c r="T1303" s="72"/>
      <c r="U1303" s="93"/>
      <c r="X1303" s="114" t="str">
        <f t="shared" si="33"/>
        <v>1w</v>
      </c>
      <c r="Y1303" s="112">
        <f>_xll.qlCalendarAdvance(Calendar,Y1302,X1303,"f",FALSE)</f>
        <v>48282</v>
      </c>
      <c r="Z1303" s="115">
        <f>_xll.qlCalendarAdvance(Calendar,Y1303,NDays&amp;"D")</f>
        <v>48282</v>
      </c>
      <c r="AA1303" s="116">
        <v>3.8754000900584881E-2</v>
      </c>
      <c r="AB1303" s="113">
        <v>3.8640693736917697E-2</v>
      </c>
    </row>
    <row r="1304" spans="17:28" x14ac:dyDescent="0.2">
      <c r="Q1304" s="72"/>
      <c r="T1304" s="72"/>
      <c r="U1304" s="93"/>
      <c r="X1304" s="114" t="str">
        <f t="shared" si="33"/>
        <v>1w</v>
      </c>
      <c r="Y1304" s="112">
        <f>_xll.qlCalendarAdvance(Calendar,Y1303,X1304,"f",FALSE)</f>
        <v>48289</v>
      </c>
      <c r="Z1304" s="115">
        <f>_xll.qlCalendarAdvance(Calendar,Y1304,NDays&amp;"D")</f>
        <v>48289</v>
      </c>
      <c r="AA1304" s="116">
        <v>3.8742856040519989E-2</v>
      </c>
      <c r="AB1304" s="113">
        <v>3.862929215432076E-2</v>
      </c>
    </row>
    <row r="1305" spans="17:28" x14ac:dyDescent="0.2">
      <c r="Q1305" s="72"/>
      <c r="T1305" s="72"/>
      <c r="U1305" s="93"/>
      <c r="X1305" s="114" t="str">
        <f t="shared" si="33"/>
        <v>1w</v>
      </c>
      <c r="Y1305" s="112">
        <f>_xll.qlCalendarAdvance(Calendar,Y1304,X1305,"f",FALSE)</f>
        <v>48296</v>
      </c>
      <c r="Z1305" s="115">
        <f>_xll.qlCalendarAdvance(Calendar,Y1305,NDays&amp;"D")</f>
        <v>48296</v>
      </c>
      <c r="AA1305" s="116">
        <v>3.8731767651268623E-2</v>
      </c>
      <c r="AB1305" s="113">
        <v>3.8617946472018216E-2</v>
      </c>
    </row>
    <row r="1306" spans="17:28" x14ac:dyDescent="0.2">
      <c r="Q1306" s="72"/>
      <c r="T1306" s="72"/>
      <c r="U1306" s="93"/>
      <c r="X1306" s="114" t="str">
        <f t="shared" si="33"/>
        <v>1w</v>
      </c>
      <c r="Y1306" s="112">
        <f>_xll.qlCalendarAdvance(Calendar,Y1305,X1306,"f",FALSE)</f>
        <v>48303</v>
      </c>
      <c r="Z1306" s="115">
        <f>_xll.qlCalendarAdvance(Calendar,Y1306,NDays&amp;"D")</f>
        <v>48303</v>
      </c>
      <c r="AA1306" s="116">
        <v>3.8720735732358597E-2</v>
      </c>
      <c r="AB1306" s="113">
        <v>3.8606656690091112E-2</v>
      </c>
    </row>
    <row r="1307" spans="17:28" x14ac:dyDescent="0.2">
      <c r="Q1307" s="72"/>
      <c r="T1307" s="72"/>
      <c r="U1307" s="93"/>
      <c r="X1307" s="114" t="str">
        <f t="shared" si="33"/>
        <v>1w</v>
      </c>
      <c r="Y1307" s="112">
        <f>_xll.qlCalendarAdvance(Calendar,Y1306,X1307,"f",FALSE)</f>
        <v>48310</v>
      </c>
      <c r="Z1307" s="115">
        <f>_xll.qlCalendarAdvance(Calendar,Y1307,NDays&amp;"D")</f>
        <v>48310</v>
      </c>
      <c r="AA1307" s="116">
        <v>3.8708487557436777E-2</v>
      </c>
      <c r="AB1307" s="113">
        <v>3.8595422808620494E-2</v>
      </c>
    </row>
    <row r="1308" spans="17:28" x14ac:dyDescent="0.2">
      <c r="Q1308" s="72"/>
      <c r="T1308" s="72"/>
      <c r="U1308" s="93"/>
      <c r="X1308" s="114" t="str">
        <f t="shared" si="33"/>
        <v>1w</v>
      </c>
      <c r="Y1308" s="112">
        <f>_xll.qlCalendarAdvance(Calendar,Y1307,X1308,"f",FALSE)</f>
        <v>48317</v>
      </c>
      <c r="Z1308" s="115">
        <f>_xll.qlCalendarAdvance(Calendar,Y1308,NDays&amp;"D")</f>
        <v>48317</v>
      </c>
      <c r="AA1308" s="116">
        <v>3.8697565696943909E-2</v>
      </c>
      <c r="AB1308" s="113">
        <v>3.8584244827525316E-2</v>
      </c>
    </row>
    <row r="1309" spans="17:28" x14ac:dyDescent="0.2">
      <c r="Q1309" s="72"/>
      <c r="T1309" s="72"/>
      <c r="U1309" s="93"/>
      <c r="X1309" s="114" t="str">
        <f t="shared" si="33"/>
        <v>1w</v>
      </c>
      <c r="Y1309" s="112">
        <f>_xll.qlCalendarAdvance(Calendar,Y1308,X1309,"f",FALSE)</f>
        <v>48324</v>
      </c>
      <c r="Z1309" s="115">
        <f>_xll.qlCalendarAdvance(Calendar,Y1309,NDays&amp;"D")</f>
        <v>48324</v>
      </c>
      <c r="AA1309" s="116">
        <v>3.8686700299154962E-2</v>
      </c>
      <c r="AB1309" s="113">
        <v>3.8573122746886623E-2</v>
      </c>
    </row>
    <row r="1310" spans="17:28" x14ac:dyDescent="0.2">
      <c r="Q1310" s="72"/>
      <c r="T1310" s="72"/>
      <c r="U1310" s="93"/>
      <c r="X1310" s="114" t="str">
        <f t="shared" si="33"/>
        <v>1w</v>
      </c>
      <c r="Y1310" s="112">
        <f>_xll.qlCalendarAdvance(Calendar,Y1309,X1310,"f",FALSE)</f>
        <v>48331</v>
      </c>
      <c r="Z1310" s="115">
        <f>_xll.qlCalendarAdvance(Calendar,Y1310,NDays&amp;"D")</f>
        <v>48331</v>
      </c>
      <c r="AA1310" s="116">
        <v>3.8675891363614844E-2</v>
      </c>
      <c r="AB1310" s="113">
        <v>3.8562056566542324E-2</v>
      </c>
    </row>
    <row r="1311" spans="17:28" x14ac:dyDescent="0.2">
      <c r="Q1311" s="72"/>
      <c r="T1311" s="72"/>
      <c r="U1311" s="93"/>
      <c r="X1311" s="114" t="str">
        <f t="shared" si="33"/>
        <v>1w</v>
      </c>
      <c r="Y1311" s="112">
        <f>_xll.qlCalendarAdvance(Calendar,Y1310,X1311,"f",FALSE)</f>
        <v>48338</v>
      </c>
      <c r="Z1311" s="115">
        <f>_xll.qlCalendarAdvance(Calendar,Y1311,NDays&amp;"D")</f>
        <v>48338</v>
      </c>
      <c r="AA1311" s="116">
        <v>3.8666423176725424E-2</v>
      </c>
      <c r="AB1311" s="113">
        <v>3.8551046286573465E-2</v>
      </c>
    </row>
    <row r="1312" spans="17:28" x14ac:dyDescent="0.2">
      <c r="Q1312" s="72"/>
      <c r="T1312" s="72"/>
      <c r="U1312" s="93"/>
      <c r="X1312" s="114" t="str">
        <f t="shared" si="33"/>
        <v>1w</v>
      </c>
      <c r="Y1312" s="112">
        <f>_xll.qlCalendarAdvance(Calendar,Y1311,X1312,"f",FALSE)</f>
        <v>48345</v>
      </c>
      <c r="Z1312" s="115">
        <f>_xll.qlCalendarAdvance(Calendar,Y1312,NDays&amp;"D")</f>
        <v>48345</v>
      </c>
      <c r="AA1312" s="116">
        <v>3.865573007016606E-2</v>
      </c>
      <c r="AB1312" s="113">
        <v>3.8540091906898999E-2</v>
      </c>
    </row>
    <row r="1313" spans="17:28" x14ac:dyDescent="0.2">
      <c r="Q1313" s="72"/>
      <c r="T1313" s="72"/>
      <c r="U1313" s="93"/>
      <c r="X1313" s="114" t="str">
        <f t="shared" si="33"/>
        <v>1w</v>
      </c>
      <c r="Y1313" s="112">
        <f>_xll.qlCalendarAdvance(Calendar,Y1312,X1313,"f",FALSE)</f>
        <v>48352</v>
      </c>
      <c r="Z1313" s="115">
        <f>_xll.qlCalendarAdvance(Calendar,Y1313,NDays&amp;"D")</f>
        <v>48352</v>
      </c>
      <c r="AA1313" s="116">
        <v>3.8645093430736133E-2</v>
      </c>
      <c r="AB1313" s="113">
        <v>3.8529193427843111E-2</v>
      </c>
    </row>
    <row r="1314" spans="17:28" x14ac:dyDescent="0.2">
      <c r="Q1314" s="72"/>
      <c r="T1314" s="72"/>
      <c r="U1314" s="93"/>
      <c r="X1314" s="114" t="str">
        <f t="shared" si="33"/>
        <v>1w</v>
      </c>
      <c r="Y1314" s="112">
        <f>_xll.qlCalendarAdvance(Calendar,Y1313,X1314,"f",FALSE)</f>
        <v>48359</v>
      </c>
      <c r="Z1314" s="115">
        <f>_xll.qlCalendarAdvance(Calendar,Y1314,NDays&amp;"D")</f>
        <v>48359</v>
      </c>
      <c r="AA1314" s="116">
        <v>3.8634513257984601E-2</v>
      </c>
      <c r="AB1314" s="113">
        <v>3.8518350848919525E-2</v>
      </c>
    </row>
    <row r="1315" spans="17:28" x14ac:dyDescent="0.2">
      <c r="Q1315" s="72"/>
      <c r="T1315" s="72"/>
      <c r="U1315" s="93"/>
      <c r="X1315" s="114" t="str">
        <f t="shared" si="33"/>
        <v>1w</v>
      </c>
      <c r="Y1315" s="112">
        <f>_xll.qlCalendarAdvance(Calendar,Y1314,X1315,"f",FALSE)</f>
        <v>48366</v>
      </c>
      <c r="Z1315" s="115">
        <f>_xll.qlCalendarAdvance(Calendar,Y1315,NDays&amp;"D")</f>
        <v>48366</v>
      </c>
      <c r="AA1315" s="116">
        <v>3.8623989551466592E-2</v>
      </c>
      <c r="AB1315" s="113">
        <v>3.850756417053347E-2</v>
      </c>
    </row>
    <row r="1316" spans="17:28" x14ac:dyDescent="0.2">
      <c r="Q1316" s="72"/>
      <c r="T1316" s="72"/>
      <c r="U1316" s="93"/>
      <c r="X1316" s="114" t="str">
        <f t="shared" si="33"/>
        <v>1w</v>
      </c>
      <c r="Y1316" s="112">
        <f>_xll.qlCalendarAdvance(Calendar,Y1315,X1316,"f",FALSE)</f>
        <v>48373</v>
      </c>
      <c r="Z1316" s="115">
        <f>_xll.qlCalendarAdvance(Calendar,Y1316,NDays&amp;"D")</f>
        <v>48373</v>
      </c>
      <c r="AA1316" s="116">
        <v>3.8613522310735476E-2</v>
      </c>
      <c r="AB1316" s="113">
        <v>3.8496833392441809E-2</v>
      </c>
    </row>
    <row r="1317" spans="17:28" x14ac:dyDescent="0.2">
      <c r="Q1317" s="72"/>
      <c r="T1317" s="72"/>
      <c r="U1317" s="93"/>
      <c r="X1317" s="114" t="str">
        <f t="shared" si="33"/>
        <v>1w</v>
      </c>
      <c r="Y1317" s="112">
        <f>_xll.qlCalendarAdvance(Calendar,Y1316,X1317,"f",FALSE)</f>
        <v>48380</v>
      </c>
      <c r="Z1317" s="115">
        <f>_xll.qlCalendarAdvance(Calendar,Y1317,NDays&amp;"D")</f>
        <v>48380</v>
      </c>
      <c r="AA1317" s="116">
        <v>3.8603111535347262E-2</v>
      </c>
      <c r="AB1317" s="113">
        <v>3.8486158514563495E-2</v>
      </c>
    </row>
    <row r="1318" spans="17:28" x14ac:dyDescent="0.2">
      <c r="Q1318" s="72"/>
      <c r="T1318" s="72"/>
      <c r="U1318" s="93"/>
      <c r="X1318" s="114" t="str">
        <f t="shared" si="33"/>
        <v>1w</v>
      </c>
      <c r="Y1318" s="112">
        <f>_xll.qlCalendarAdvance(Calendar,Y1317,X1318,"f",FALSE)</f>
        <v>48387</v>
      </c>
      <c r="Z1318" s="115">
        <f>_xll.qlCalendarAdvance(Calendar,Y1318,NDays&amp;"D")</f>
        <v>48387</v>
      </c>
      <c r="AA1318" s="116">
        <v>3.8592757224865874E-2</v>
      </c>
      <c r="AB1318" s="113">
        <v>3.8475539537141668E-2</v>
      </c>
    </row>
    <row r="1319" spans="17:28" x14ac:dyDescent="0.2">
      <c r="Q1319" s="72"/>
      <c r="T1319" s="72"/>
      <c r="U1319" s="93"/>
      <c r="X1319" s="114" t="str">
        <f t="shared" si="33"/>
        <v>1w</v>
      </c>
      <c r="Y1319" s="112">
        <f>_xll.qlCalendarAdvance(Calendar,Y1318,X1319,"f",FALSE)</f>
        <v>48394</v>
      </c>
      <c r="Z1319" s="115">
        <f>_xll.qlCalendarAdvance(Calendar,Y1319,NDays&amp;"D")</f>
        <v>48394</v>
      </c>
      <c r="AA1319" s="116">
        <v>3.8582459378850853E-2</v>
      </c>
      <c r="AB1319" s="113">
        <v>3.8464976460014233E-2</v>
      </c>
    </row>
    <row r="1320" spans="17:28" x14ac:dyDescent="0.2">
      <c r="Q1320" s="72"/>
      <c r="T1320" s="72"/>
      <c r="U1320" s="93"/>
      <c r="X1320" s="114" t="str">
        <f t="shared" si="33"/>
        <v>1w</v>
      </c>
      <c r="Y1320" s="112">
        <f>_xll.qlCalendarAdvance(Calendar,Y1319,X1320,"f",FALSE)</f>
        <v>48401</v>
      </c>
      <c r="Z1320" s="115">
        <f>_xll.qlCalendarAdvance(Calendar,Y1320,NDays&amp;"D")</f>
        <v>48401</v>
      </c>
      <c r="AA1320" s="116">
        <v>3.8572217996867005E-2</v>
      </c>
      <c r="AB1320" s="113">
        <v>3.8454469283343284E-2</v>
      </c>
    </row>
    <row r="1321" spans="17:28" x14ac:dyDescent="0.2">
      <c r="Q1321" s="72"/>
      <c r="T1321" s="72"/>
      <c r="U1321" s="93"/>
      <c r="X1321" s="114" t="str">
        <f t="shared" si="33"/>
        <v>1w</v>
      </c>
      <c r="Y1321" s="112">
        <f>_xll.qlCalendarAdvance(Calendar,Y1320,X1321,"f",FALSE)</f>
        <v>48408</v>
      </c>
      <c r="Z1321" s="115">
        <f>_xll.qlCalendarAdvance(Calendar,Y1321,NDays&amp;"D")</f>
        <v>48408</v>
      </c>
      <c r="AA1321" s="116">
        <v>3.8562033078482681E-2</v>
      </c>
      <c r="AB1321" s="113">
        <v>3.8444018006885683E-2</v>
      </c>
    </row>
    <row r="1322" spans="17:28" x14ac:dyDescent="0.2">
      <c r="Q1322" s="72"/>
      <c r="T1322" s="72"/>
      <c r="U1322" s="93"/>
      <c r="X1322" s="114" t="str">
        <f t="shared" si="33"/>
        <v>1w</v>
      </c>
      <c r="Y1322" s="112">
        <f>_xll.qlCalendarAdvance(Calendar,Y1321,X1322,"f",FALSE)</f>
        <v>48415</v>
      </c>
      <c r="Z1322" s="115">
        <f>_xll.qlCalendarAdvance(Calendar,Y1322,NDays&amp;"D")</f>
        <v>48415</v>
      </c>
      <c r="AA1322" s="116">
        <v>3.855190462326534E-2</v>
      </c>
      <c r="AB1322" s="113">
        <v>3.8433622630803521E-2</v>
      </c>
    </row>
    <row r="1323" spans="17:28" x14ac:dyDescent="0.2">
      <c r="Q1323" s="72"/>
      <c r="T1323" s="72"/>
      <c r="U1323" s="93"/>
      <c r="X1323" s="114" t="str">
        <f t="shared" si="33"/>
        <v>1w</v>
      </c>
      <c r="Y1323" s="112">
        <f>_xll.qlCalendarAdvance(Calendar,Y1322,X1323,"f",FALSE)</f>
        <v>48422</v>
      </c>
      <c r="Z1323" s="115">
        <f>_xll.qlCalendarAdvance(Calendar,Y1323,NDays&amp;"D")</f>
        <v>48422</v>
      </c>
      <c r="AA1323" s="116">
        <v>3.8541832630790369E-2</v>
      </c>
      <c r="AB1323" s="113">
        <v>3.8423283155015753E-2</v>
      </c>
    </row>
    <row r="1324" spans="17:28" x14ac:dyDescent="0.2">
      <c r="Q1324" s="72"/>
      <c r="T1324" s="72"/>
      <c r="U1324" s="93"/>
      <c r="X1324" s="114" t="str">
        <f t="shared" si="33"/>
        <v>1w</v>
      </c>
      <c r="Y1324" s="112">
        <f>_xll.qlCalendarAdvance(Calendar,Y1323,X1324,"f",FALSE)</f>
        <v>48429</v>
      </c>
      <c r="Z1324" s="115">
        <f>_xll.qlCalendarAdvance(Calendar,Y1324,NDays&amp;"D")</f>
        <v>48429</v>
      </c>
      <c r="AA1324" s="116">
        <v>3.8531817100626982E-2</v>
      </c>
      <c r="AB1324" s="113">
        <v>3.8412999579603424E-2</v>
      </c>
    </row>
    <row r="1325" spans="17:28" x14ac:dyDescent="0.2">
      <c r="Q1325" s="72"/>
      <c r="T1325" s="72"/>
      <c r="U1325" s="93"/>
      <c r="X1325" s="114" t="str">
        <f t="shared" si="33"/>
        <v>1w</v>
      </c>
      <c r="Y1325" s="112">
        <f>_xll.qlCalendarAdvance(Calendar,Y1324,X1325,"f",FALSE)</f>
        <v>48436</v>
      </c>
      <c r="Z1325" s="115">
        <f>_xll.qlCalendarAdvance(Calendar,Y1325,NDays&amp;"D")</f>
        <v>48436</v>
      </c>
      <c r="AA1325" s="116">
        <v>3.852185803235586E-2</v>
      </c>
      <c r="AB1325" s="113">
        <v>3.8402771904485489E-2</v>
      </c>
    </row>
    <row r="1326" spans="17:28" x14ac:dyDescent="0.2">
      <c r="Q1326" s="72"/>
      <c r="T1326" s="72"/>
      <c r="U1326" s="93"/>
      <c r="X1326" s="114" t="str">
        <f t="shared" si="33"/>
        <v>1w</v>
      </c>
      <c r="Y1326" s="112">
        <f>_xll.qlCalendarAdvance(Calendar,Y1325,X1326,"f",FALSE)</f>
        <v>48443</v>
      </c>
      <c r="Z1326" s="115">
        <f>_xll.qlCalendarAdvance(Calendar,Y1326,NDays&amp;"D")</f>
        <v>48443</v>
      </c>
      <c r="AA1326" s="116">
        <v>3.8511955425554148E-2</v>
      </c>
      <c r="AB1326" s="113">
        <v>3.8392600129580901E-2</v>
      </c>
    </row>
    <row r="1327" spans="17:28" x14ac:dyDescent="0.2">
      <c r="Q1327" s="72"/>
      <c r="T1327" s="72"/>
      <c r="U1327" s="93"/>
      <c r="X1327" s="114" t="str">
        <f t="shared" si="33"/>
        <v>1w</v>
      </c>
      <c r="Y1327" s="112">
        <f>_xll.qlCalendarAdvance(Calendar,Y1326,X1327,"f",FALSE)</f>
        <v>48450</v>
      </c>
      <c r="Z1327" s="115">
        <f>_xll.qlCalendarAdvance(Calendar,Y1327,NDays&amp;"D")</f>
        <v>48450</v>
      </c>
      <c r="AA1327" s="116">
        <v>3.8502109279806053E-2</v>
      </c>
      <c r="AB1327" s="113">
        <v>3.8382484255051752E-2</v>
      </c>
    </row>
    <row r="1328" spans="17:28" x14ac:dyDescent="0.2">
      <c r="Q1328" s="72"/>
      <c r="T1328" s="72"/>
      <c r="U1328" s="93"/>
      <c r="X1328" s="114" t="str">
        <f t="shared" si="33"/>
        <v>1w</v>
      </c>
      <c r="Y1328" s="112">
        <f>_xll.qlCalendarAdvance(Calendar,Y1327,X1328,"f",FALSE)</f>
        <v>48457</v>
      </c>
      <c r="Z1328" s="115">
        <f>_xll.qlCalendarAdvance(Calendar,Y1328,NDays&amp;"D")</f>
        <v>48457</v>
      </c>
      <c r="AA1328" s="116">
        <v>3.8490985064866499E-2</v>
      </c>
      <c r="AB1328" s="113">
        <v>3.8372424280735951E-2</v>
      </c>
    </row>
    <row r="1329" spans="17:28" x14ac:dyDescent="0.2">
      <c r="Q1329" s="72"/>
      <c r="T1329" s="72"/>
      <c r="U1329" s="93"/>
      <c r="X1329" s="114" t="str">
        <f t="shared" si="33"/>
        <v>1w</v>
      </c>
      <c r="Y1329" s="112">
        <f>_xll.qlCalendarAdvance(Calendar,Y1328,X1329,"f",FALSE)</f>
        <v>48464</v>
      </c>
      <c r="Z1329" s="115">
        <f>_xll.qlCalendarAdvance(Calendar,Y1329,NDays&amp;"D")</f>
        <v>48464</v>
      </c>
      <c r="AA1329" s="116">
        <v>3.8481248828897807E-2</v>
      </c>
      <c r="AB1329" s="113">
        <v>3.8362420206795589E-2</v>
      </c>
    </row>
    <row r="1330" spans="17:28" x14ac:dyDescent="0.2">
      <c r="Q1330" s="72"/>
      <c r="T1330" s="72"/>
      <c r="U1330" s="93"/>
      <c r="X1330" s="114" t="str">
        <f t="shared" si="33"/>
        <v>1w</v>
      </c>
      <c r="Y1330" s="112">
        <f>_xll.qlCalendarAdvance(Calendar,Y1329,X1330,"f",FALSE)</f>
        <v>48471</v>
      </c>
      <c r="Z1330" s="115">
        <f>_xll.qlCalendarAdvance(Calendar,Y1330,NDays&amp;"D")</f>
        <v>48471</v>
      </c>
      <c r="AA1330" s="116">
        <v>3.8471569046588806E-2</v>
      </c>
      <c r="AB1330" s="113">
        <v>3.8352472033068574E-2</v>
      </c>
    </row>
    <row r="1331" spans="17:28" x14ac:dyDescent="0.2">
      <c r="Q1331" s="72"/>
      <c r="T1331" s="72"/>
      <c r="U1331" s="93"/>
      <c r="X1331" s="114" t="str">
        <f t="shared" si="33"/>
        <v>1w</v>
      </c>
      <c r="Y1331" s="112">
        <f>_xll.qlCalendarAdvance(Calendar,Y1330,X1331,"f",FALSE)</f>
        <v>48478</v>
      </c>
      <c r="Z1331" s="115">
        <f>_xll.qlCalendarAdvance(Calendar,Y1331,NDays&amp;"D")</f>
        <v>48478</v>
      </c>
      <c r="AA1331" s="116">
        <v>3.8461945717533384E-2</v>
      </c>
      <c r="AB1331" s="113">
        <v>3.8342579759635953E-2</v>
      </c>
    </row>
    <row r="1332" spans="17:28" x14ac:dyDescent="0.2">
      <c r="Q1332" s="72"/>
      <c r="T1332" s="72"/>
      <c r="U1332" s="93"/>
      <c r="X1332" s="114" t="str">
        <f t="shared" si="33"/>
        <v>1w</v>
      </c>
      <c r="Y1332" s="112">
        <f>_xll.qlCalendarAdvance(Calendar,Y1331,X1332,"f",FALSE)</f>
        <v>48485</v>
      </c>
      <c r="Z1332" s="115">
        <f>_xll.qlCalendarAdvance(Calendar,Y1332,NDays&amp;"D")</f>
        <v>48485</v>
      </c>
      <c r="AA1332" s="116">
        <v>3.8453725452342165E-2</v>
      </c>
      <c r="AB1332" s="113">
        <v>3.8332743386659818E-2</v>
      </c>
    </row>
    <row r="1333" spans="17:28" x14ac:dyDescent="0.2">
      <c r="Q1333" s="72"/>
      <c r="T1333" s="72"/>
      <c r="U1333" s="93"/>
      <c r="X1333" s="114" t="str">
        <f t="shared" si="33"/>
        <v>1w</v>
      </c>
      <c r="Y1333" s="112">
        <f>_xll.qlCalendarAdvance(Calendar,Y1332,X1333,"f",FALSE)</f>
        <v>48492</v>
      </c>
      <c r="Z1333" s="115">
        <f>_xll.qlCalendarAdvance(Calendar,Y1333,NDays&amp;"D")</f>
        <v>48492</v>
      </c>
      <c r="AA1333" s="116">
        <v>3.8444218064242891E-2</v>
      </c>
      <c r="AB1333" s="113">
        <v>3.8322962913734937E-2</v>
      </c>
    </row>
    <row r="1334" spans="17:28" x14ac:dyDescent="0.2">
      <c r="Q1334" s="72"/>
      <c r="T1334" s="72"/>
      <c r="U1334" s="93"/>
      <c r="X1334" s="114" t="str">
        <f t="shared" si="33"/>
        <v>1w</v>
      </c>
      <c r="Y1334" s="112">
        <f>_xll.qlCalendarAdvance(Calendar,Y1333,X1334,"f",FALSE)</f>
        <v>48499</v>
      </c>
      <c r="Z1334" s="115">
        <f>_xll.qlCalendarAdvance(Calendar,Y1334,NDays&amp;"D")</f>
        <v>48499</v>
      </c>
      <c r="AA1334" s="116">
        <v>3.8434767134333303E-2</v>
      </c>
      <c r="AB1334" s="113">
        <v>3.8313238341266542E-2</v>
      </c>
    </row>
    <row r="1335" spans="17:28" x14ac:dyDescent="0.2">
      <c r="Q1335" s="72"/>
      <c r="T1335" s="72"/>
      <c r="U1335" s="93"/>
      <c r="X1335" s="114" t="str">
        <f t="shared" si="33"/>
        <v>1w</v>
      </c>
      <c r="Y1335" s="112">
        <f>_xll.qlCalendarAdvance(Calendar,Y1334,X1335,"f",FALSE)</f>
        <v>48506</v>
      </c>
      <c r="Z1335" s="115">
        <f>_xll.qlCalendarAdvance(Calendar,Y1335,NDays&amp;"D")</f>
        <v>48506</v>
      </c>
      <c r="AA1335" s="116">
        <v>3.8425372662209925E-2</v>
      </c>
      <c r="AB1335" s="113">
        <v>3.8303569668849402E-2</v>
      </c>
    </row>
    <row r="1336" spans="17:28" x14ac:dyDescent="0.2">
      <c r="Q1336" s="72"/>
      <c r="T1336" s="72"/>
      <c r="U1336" s="93"/>
      <c r="X1336" s="114" t="str">
        <f t="shared" si="33"/>
        <v>1w</v>
      </c>
      <c r="Y1336" s="112">
        <f>_xll.qlCalendarAdvance(Calendar,Y1335,X1336,"f",FALSE)</f>
        <v>48513</v>
      </c>
      <c r="Z1336" s="115">
        <f>_xll.qlCalendarAdvance(Calendar,Y1336,NDays&amp;"D")</f>
        <v>48513</v>
      </c>
      <c r="AA1336" s="116">
        <v>3.8417393825271907E-2</v>
      </c>
      <c r="AB1336" s="113">
        <v>3.8293956896888748E-2</v>
      </c>
    </row>
    <row r="1337" spans="17:28" x14ac:dyDescent="0.2">
      <c r="Q1337" s="72"/>
      <c r="T1337" s="72"/>
      <c r="U1337" s="93"/>
      <c r="X1337" s="114" t="str">
        <f t="shared" si="33"/>
        <v>1w</v>
      </c>
      <c r="Y1337" s="112">
        <f>_xll.qlCalendarAdvance(Calendar,Y1336,X1337,"f",FALSE)</f>
        <v>48520</v>
      </c>
      <c r="Z1337" s="115">
        <f>_xll.qlCalendarAdvance(Calendar,Y1337,NDays&amp;"D")</f>
        <v>48520</v>
      </c>
      <c r="AA1337" s="116">
        <v>3.840675308974581E-2</v>
      </c>
      <c r="AB1337" s="113">
        <v>3.8284400025060394E-2</v>
      </c>
    </row>
    <row r="1338" spans="17:28" x14ac:dyDescent="0.2">
      <c r="Q1338" s="72"/>
      <c r="T1338" s="72"/>
      <c r="U1338" s="93"/>
      <c r="X1338" s="114" t="str">
        <f t="shared" si="33"/>
        <v>1w</v>
      </c>
      <c r="Y1338" s="112">
        <f>_xll.qlCalendarAdvance(Calendar,Y1337,X1338,"f",FALSE)</f>
        <v>48527</v>
      </c>
      <c r="Z1338" s="115">
        <f>_xll.qlCalendarAdvance(Calendar,Y1338,NDays&amp;"D")</f>
        <v>48527</v>
      </c>
      <c r="AA1338" s="116">
        <v>3.8397527988617515E-2</v>
      </c>
      <c r="AB1338" s="113">
        <v>3.8274899053526434E-2</v>
      </c>
    </row>
    <row r="1339" spans="17:28" x14ac:dyDescent="0.2">
      <c r="Q1339" s="72"/>
      <c r="T1339" s="72"/>
      <c r="U1339" s="93"/>
      <c r="X1339" s="114" t="str">
        <f t="shared" si="33"/>
        <v>1w</v>
      </c>
      <c r="Y1339" s="112">
        <f>_xll.qlCalendarAdvance(Calendar,Y1338,X1339,"f",FALSE)</f>
        <v>48534</v>
      </c>
      <c r="Z1339" s="115">
        <f>_xll.qlCalendarAdvance(Calendar,Y1339,NDays&amp;"D")</f>
        <v>48534</v>
      </c>
      <c r="AA1339" s="116">
        <v>3.8388359343701189E-2</v>
      </c>
      <c r="AB1339" s="113">
        <v>3.8265453982205822E-2</v>
      </c>
    </row>
    <row r="1340" spans="17:28" x14ac:dyDescent="0.2">
      <c r="Q1340" s="72"/>
      <c r="T1340" s="72"/>
      <c r="U1340" s="93"/>
      <c r="X1340" s="114" t="str">
        <f t="shared" si="33"/>
        <v>1w</v>
      </c>
      <c r="Y1340" s="112">
        <f>_xll.qlCalendarAdvance(Calendar,Y1339,X1340,"f",FALSE)</f>
        <v>48541</v>
      </c>
      <c r="Z1340" s="115">
        <f>_xll.qlCalendarAdvance(Calendar,Y1340,NDays&amp;"D")</f>
        <v>48541</v>
      </c>
      <c r="AA1340" s="116">
        <v>3.8379247154611877E-2</v>
      </c>
      <c r="AB1340" s="113">
        <v>3.8256064811179602E-2</v>
      </c>
    </row>
    <row r="1341" spans="17:28" x14ac:dyDescent="0.2">
      <c r="Q1341" s="72"/>
      <c r="T1341" s="72"/>
      <c r="U1341" s="93"/>
      <c r="X1341" s="114" t="str">
        <f t="shared" si="33"/>
        <v>1w</v>
      </c>
      <c r="Y1341" s="112">
        <f>_xll.qlCalendarAdvance(Calendar,Y1340,X1341,"f",FALSE)</f>
        <v>48548</v>
      </c>
      <c r="Z1341" s="115">
        <f>_xll.qlCalendarAdvance(Calendar,Y1341,NDays&amp;"D")</f>
        <v>48548</v>
      </c>
      <c r="AA1341" s="116">
        <v>3.8367443507481336E-2</v>
      </c>
      <c r="AB1341" s="113">
        <v>3.824673154036673E-2</v>
      </c>
    </row>
    <row r="1342" spans="17:28" x14ac:dyDescent="0.2">
      <c r="Q1342" s="72"/>
      <c r="T1342" s="72"/>
      <c r="U1342" s="93"/>
      <c r="X1342" s="114" t="str">
        <f t="shared" si="33"/>
        <v>1w</v>
      </c>
      <c r="Y1342" s="112">
        <f>_xll.qlCalendarAdvance(Calendar,Y1341,X1342,"f",FALSE)</f>
        <v>48555</v>
      </c>
      <c r="Z1342" s="115">
        <f>_xll.qlCalendarAdvance(Calendar,Y1342,NDays&amp;"D")</f>
        <v>48555</v>
      </c>
      <c r="AA1342" s="116">
        <v>3.8358438048266025E-2</v>
      </c>
      <c r="AB1342" s="113">
        <v>3.8237454169848251E-2</v>
      </c>
    </row>
    <row r="1343" spans="17:28" x14ac:dyDescent="0.2">
      <c r="Q1343" s="72"/>
      <c r="T1343" s="72"/>
      <c r="U1343" s="93"/>
      <c r="X1343" s="114" t="str">
        <f t="shared" si="33"/>
        <v>1w</v>
      </c>
      <c r="Y1343" s="112">
        <f>_xll.qlCalendarAdvance(Calendar,Y1342,X1343,"f",FALSE)</f>
        <v>48562</v>
      </c>
      <c r="Z1343" s="115">
        <f>_xll.qlCalendarAdvance(Calendar,Y1343,NDays&amp;"D")</f>
        <v>48562</v>
      </c>
      <c r="AA1343" s="116">
        <v>3.8349489031535719E-2</v>
      </c>
      <c r="AB1343" s="113">
        <v>3.8228232699381026E-2</v>
      </c>
    </row>
    <row r="1344" spans="17:28" x14ac:dyDescent="0.2">
      <c r="Q1344" s="72"/>
      <c r="T1344" s="72"/>
      <c r="U1344" s="93"/>
      <c r="X1344" s="114" t="str">
        <f t="shared" si="33"/>
        <v>1w</v>
      </c>
      <c r="Y1344" s="112">
        <f>_xll.qlCalendarAdvance(Calendar,Y1343,X1344,"f",FALSE)</f>
        <v>48569</v>
      </c>
      <c r="Z1344" s="115">
        <f>_xll.qlCalendarAdvance(Calendar,Y1344,NDays&amp;"D")</f>
        <v>48569</v>
      </c>
      <c r="AA1344" s="116">
        <v>3.8340596456923004E-2</v>
      </c>
      <c r="AB1344" s="113">
        <v>3.8219067129289241E-2</v>
      </c>
    </row>
    <row r="1345" spans="17:28" x14ac:dyDescent="0.2">
      <c r="Q1345" s="72"/>
      <c r="T1345" s="72"/>
      <c r="U1345" s="93"/>
      <c r="X1345" s="114" t="str">
        <f t="shared" si="33"/>
        <v>1w</v>
      </c>
      <c r="Y1345" s="112">
        <f>_xll.qlCalendarAdvance(Calendar,Y1344,X1345,"f",FALSE)</f>
        <v>48577</v>
      </c>
      <c r="Z1345" s="115">
        <f>_xll.qlCalendarAdvance(Calendar,Y1345,NDays&amp;"D")</f>
        <v>48577</v>
      </c>
      <c r="AA1345" s="116">
        <v>3.8330502626831846E-2</v>
      </c>
      <c r="AB1345" s="113">
        <v>3.8208660641275705E-2</v>
      </c>
    </row>
    <row r="1346" spans="17:28" x14ac:dyDescent="0.2">
      <c r="Q1346" s="72"/>
      <c r="T1346" s="72"/>
      <c r="U1346" s="93"/>
      <c r="X1346" s="114" t="str">
        <f t="shared" si="33"/>
        <v>1w</v>
      </c>
      <c r="Y1346" s="112">
        <f>_xll.qlCalendarAdvance(Calendar,Y1345,X1346,"f",FALSE)</f>
        <v>48584</v>
      </c>
      <c r="Z1346" s="115">
        <f>_xll.qlCalendarAdvance(Calendar,Y1346,NDays&amp;"D")</f>
        <v>48584</v>
      </c>
      <c r="AA1346" s="116">
        <v>3.8321730998376428E-2</v>
      </c>
      <c r="AB1346" s="113">
        <v>3.8199614857424846E-2</v>
      </c>
    </row>
    <row r="1347" spans="17:28" x14ac:dyDescent="0.2">
      <c r="Q1347" s="72"/>
      <c r="T1347" s="72"/>
      <c r="U1347" s="93"/>
      <c r="X1347" s="114" t="str">
        <f t="shared" si="33"/>
        <v>1w</v>
      </c>
      <c r="Y1347" s="112">
        <f>_xll.qlCalendarAdvance(Calendar,Y1346,X1347,"f",FALSE)</f>
        <v>48591</v>
      </c>
      <c r="Z1347" s="115">
        <f>_xll.qlCalendarAdvance(Calendar,Y1347,NDays&amp;"D")</f>
        <v>48591</v>
      </c>
      <c r="AA1347" s="116">
        <v>3.8313015810886843E-2</v>
      </c>
      <c r="AB1347" s="113">
        <v>3.8190624973625242E-2</v>
      </c>
    </row>
    <row r="1348" spans="17:28" x14ac:dyDescent="0.2">
      <c r="Q1348" s="72"/>
      <c r="T1348" s="72"/>
      <c r="U1348" s="93"/>
      <c r="X1348" s="114" t="str">
        <f t="shared" si="33"/>
        <v>1w</v>
      </c>
      <c r="Y1348" s="112">
        <f>_xll.qlCalendarAdvance(Calendar,Y1347,X1348,"f",FALSE)</f>
        <v>48598</v>
      </c>
      <c r="Z1348" s="115">
        <f>_xll.qlCalendarAdvance(Calendar,Y1348,NDays&amp;"D")</f>
        <v>48598</v>
      </c>
      <c r="AA1348" s="116">
        <v>3.8304357064006492E-2</v>
      </c>
      <c r="AB1348" s="113">
        <v>3.8181690990038986E-2</v>
      </c>
    </row>
    <row r="1349" spans="17:28" x14ac:dyDescent="0.2">
      <c r="Q1349" s="72"/>
      <c r="T1349" s="72"/>
      <c r="U1349" s="93"/>
      <c r="X1349" s="114" t="str">
        <f t="shared" si="33"/>
        <v>1w</v>
      </c>
      <c r="Y1349" s="112">
        <f>_xll.qlCalendarAdvance(Calendar,Y1348,X1349,"f",FALSE)</f>
        <v>48606</v>
      </c>
      <c r="Z1349" s="115">
        <f>_xll.qlCalendarAdvance(Calendar,Y1349,NDays&amp;"D")</f>
        <v>48606</v>
      </c>
      <c r="AA1349" s="116">
        <v>3.8294530463776399E-2</v>
      </c>
      <c r="AB1349" s="113">
        <v>3.8171549172514307E-2</v>
      </c>
    </row>
    <row r="1350" spans="17:28" x14ac:dyDescent="0.2">
      <c r="Q1350" s="72"/>
      <c r="T1350" s="72"/>
      <c r="U1350" s="93"/>
      <c r="X1350" s="114" t="str">
        <f t="shared" si="33"/>
        <v>1w</v>
      </c>
      <c r="Y1350" s="112">
        <f>_xll.qlCalendarAdvance(Calendar,Y1349,X1350,"f",FALSE)</f>
        <v>48613</v>
      </c>
      <c r="Z1350" s="115">
        <f>_xll.qlCalendarAdvance(Calendar,Y1350,NDays&amp;"D")</f>
        <v>48613</v>
      </c>
      <c r="AA1350" s="116">
        <v>3.8284590370585868E-2</v>
      </c>
      <c r="AB1350" s="113">
        <v>3.8162734975006884E-2</v>
      </c>
    </row>
    <row r="1351" spans="17:28" x14ac:dyDescent="0.2">
      <c r="Q1351" s="72"/>
      <c r="T1351" s="72"/>
      <c r="U1351" s="93"/>
      <c r="X1351" s="114" t="str">
        <f t="shared" si="33"/>
        <v>1w</v>
      </c>
      <c r="Y1351" s="112">
        <f>_xll.qlCalendarAdvance(Calendar,Y1350,X1351,"f",FALSE)</f>
        <v>48620</v>
      </c>
      <c r="Z1351" s="115">
        <f>_xll.qlCalendarAdvance(Calendar,Y1351,NDays&amp;"D")</f>
        <v>48620</v>
      </c>
      <c r="AA1351" s="116">
        <v>3.8276105860544737E-2</v>
      </c>
      <c r="AB1351" s="113">
        <v>3.8153976677955947E-2</v>
      </c>
    </row>
    <row r="1352" spans="17:28" x14ac:dyDescent="0.2">
      <c r="Q1352" s="72"/>
      <c r="T1352" s="72"/>
      <c r="U1352" s="93"/>
      <c r="X1352" s="114" t="str">
        <f t="shared" si="33"/>
        <v>1w</v>
      </c>
      <c r="Y1352" s="112">
        <f>_xll.qlCalendarAdvance(Calendar,Y1351,X1352,"f",FALSE)</f>
        <v>48627</v>
      </c>
      <c r="Z1352" s="115">
        <f>_xll.qlCalendarAdvance(Calendar,Y1352,NDays&amp;"D")</f>
        <v>48627</v>
      </c>
      <c r="AA1352" s="116">
        <v>3.8267677783582588E-2</v>
      </c>
      <c r="AB1352" s="113">
        <v>3.8145274280875219E-2</v>
      </c>
    </row>
    <row r="1353" spans="17:28" x14ac:dyDescent="0.2">
      <c r="Q1353" s="72"/>
      <c r="T1353" s="72"/>
      <c r="U1353" s="93"/>
      <c r="X1353" s="114" t="str">
        <f t="shared" si="33"/>
        <v>1w</v>
      </c>
      <c r="Y1353" s="112">
        <f>_xll.qlCalendarAdvance(Calendar,Y1352,X1353,"f",FALSE)</f>
        <v>48634</v>
      </c>
      <c r="Z1353" s="115">
        <f>_xll.qlCalendarAdvance(Calendar,Y1353,NDays&amp;"D")</f>
        <v>48634</v>
      </c>
      <c r="AA1353" s="116">
        <v>3.8259306139357935E-2</v>
      </c>
      <c r="AB1353" s="113">
        <v>3.813662778416993E-2</v>
      </c>
    </row>
    <row r="1354" spans="17:28" x14ac:dyDescent="0.2">
      <c r="Q1354" s="72"/>
      <c r="T1354" s="72"/>
      <c r="U1354" s="93"/>
      <c r="X1354" s="114" t="str">
        <f t="shared" si="33"/>
        <v>1w</v>
      </c>
      <c r="Y1354" s="112">
        <f>_xll.qlCalendarAdvance(Calendar,Y1353,X1354,"f",FALSE)</f>
        <v>48641</v>
      </c>
      <c r="Z1354" s="115">
        <f>_xll.qlCalendarAdvance(Calendar,Y1354,NDays&amp;"D")</f>
        <v>48641</v>
      </c>
      <c r="AA1354" s="116">
        <v>3.8255236855744085E-2</v>
      </c>
      <c r="AB1354" s="113">
        <v>3.8128037187515895E-2</v>
      </c>
    </row>
    <row r="1355" spans="17:28" x14ac:dyDescent="0.2">
      <c r="Q1355" s="72"/>
      <c r="T1355" s="72"/>
      <c r="U1355" s="93"/>
      <c r="X1355" s="114" t="str">
        <f t="shared" si="33"/>
        <v>1w</v>
      </c>
      <c r="Y1355" s="112">
        <f>_xll.qlCalendarAdvance(Calendar,Y1354,X1355,"f",FALSE)</f>
        <v>48648</v>
      </c>
      <c r="Z1355" s="115">
        <f>_xll.qlCalendarAdvance(Calendar,Y1355,NDays&amp;"D")</f>
        <v>48648</v>
      </c>
      <c r="AA1355" s="116">
        <v>3.82469875877674E-2</v>
      </c>
      <c r="AB1355" s="113">
        <v>3.8119502491075208E-2</v>
      </c>
    </row>
    <row r="1356" spans="17:28" x14ac:dyDescent="0.2">
      <c r="Q1356" s="72"/>
      <c r="T1356" s="72"/>
      <c r="U1356" s="93"/>
      <c r="X1356" s="114" t="str">
        <f t="shared" si="33"/>
        <v>1w</v>
      </c>
      <c r="Y1356" s="112">
        <f>_xll.qlCalendarAdvance(Calendar,Y1355,X1356,"f",FALSE)</f>
        <v>48655</v>
      </c>
      <c r="Z1356" s="115">
        <f>_xll.qlCalendarAdvance(Calendar,Y1356,NDays&amp;"D")</f>
        <v>48655</v>
      </c>
      <c r="AA1356" s="116">
        <v>3.823879476964144E-2</v>
      </c>
      <c r="AB1356" s="113">
        <v>3.8111023694847868E-2</v>
      </c>
    </row>
    <row r="1357" spans="17:28" x14ac:dyDescent="0.2">
      <c r="Q1357" s="72"/>
      <c r="T1357" s="72"/>
      <c r="U1357" s="93"/>
      <c r="X1357" s="114" t="str">
        <f t="shared" si="33"/>
        <v>1w</v>
      </c>
      <c r="Y1357" s="112">
        <f>_xll.qlCalendarAdvance(Calendar,Y1356,X1357,"f",FALSE)</f>
        <v>48662</v>
      </c>
      <c r="Z1357" s="115">
        <f>_xll.qlCalendarAdvance(Calendar,Y1357,NDays&amp;"D")</f>
        <v>48662</v>
      </c>
      <c r="AA1357" s="116">
        <v>3.8230658401019996E-2</v>
      </c>
      <c r="AB1357" s="113">
        <v>3.8102600798833874E-2</v>
      </c>
    </row>
    <row r="1358" spans="17:28" x14ac:dyDescent="0.2">
      <c r="Q1358" s="72"/>
      <c r="T1358" s="72"/>
      <c r="U1358" s="93"/>
      <c r="X1358" s="114" t="str">
        <f t="shared" si="33"/>
        <v>1w</v>
      </c>
      <c r="Y1358" s="112">
        <f>_xll.qlCalendarAdvance(Calendar,Y1357,X1358,"f",FALSE)</f>
        <v>48669</v>
      </c>
      <c r="Z1358" s="115">
        <f>_xll.qlCalendarAdvance(Calendar,Y1358,NDays&amp;"D")</f>
        <v>48669</v>
      </c>
      <c r="AA1358" s="116">
        <v>3.8221150048988552E-2</v>
      </c>
      <c r="AB1358" s="113">
        <v>3.8094233802871136E-2</v>
      </c>
    </row>
    <row r="1359" spans="17:28" x14ac:dyDescent="0.2">
      <c r="Q1359" s="72"/>
      <c r="T1359" s="72"/>
      <c r="U1359" s="93"/>
      <c r="X1359" s="114" t="str">
        <f t="shared" si="33"/>
        <v>1w</v>
      </c>
      <c r="Y1359" s="112">
        <f>_xll.qlCalendarAdvance(Calendar,Y1358,X1359,"f",FALSE)</f>
        <v>48676</v>
      </c>
      <c r="Z1359" s="115">
        <f>_xll.qlCalendarAdvance(Calendar,Y1359,NDays&amp;"D")</f>
        <v>48676</v>
      </c>
      <c r="AA1359" s="116">
        <v>3.8213123382810382E-2</v>
      </c>
      <c r="AB1359" s="113">
        <v>3.8085922707040698E-2</v>
      </c>
    </row>
    <row r="1360" spans="17:28" x14ac:dyDescent="0.2">
      <c r="Q1360" s="72"/>
      <c r="T1360" s="72"/>
      <c r="U1360" s="93"/>
      <c r="X1360" s="114" t="str">
        <f t="shared" si="33"/>
        <v>1w</v>
      </c>
      <c r="Y1360" s="112">
        <f>_xll.qlCalendarAdvance(Calendar,Y1359,X1360,"f",FALSE)</f>
        <v>48683</v>
      </c>
      <c r="Z1360" s="115">
        <f>_xll.qlCalendarAdvance(Calendar,Y1360,NDays&amp;"D")</f>
        <v>48683</v>
      </c>
      <c r="AA1360" s="116">
        <v>3.820515315908081E-2</v>
      </c>
      <c r="AB1360" s="113">
        <v>3.8083264847168952E-2</v>
      </c>
    </row>
    <row r="1361" spans="17:28" x14ac:dyDescent="0.2">
      <c r="Q1361" s="72"/>
      <c r="T1361" s="72"/>
      <c r="U1361" s="93"/>
      <c r="X1361" s="114" t="str">
        <f t="shared" si="33"/>
        <v>1w</v>
      </c>
      <c r="Y1361" s="112">
        <f>_xll.qlCalendarAdvance(Calendar,Y1360,X1361,"f",FALSE)</f>
        <v>48690</v>
      </c>
      <c r="Z1361" s="115">
        <f>_xll.qlCalendarAdvance(Calendar,Y1361,NDays&amp;"D")</f>
        <v>48690</v>
      </c>
      <c r="AA1361" s="116">
        <v>3.8197239377468516E-2</v>
      </c>
      <c r="AB1361" s="113">
        <v>3.8069468216019864E-2</v>
      </c>
    </row>
    <row r="1362" spans="17:28" x14ac:dyDescent="0.2">
      <c r="Q1362" s="72"/>
      <c r="T1362" s="72"/>
      <c r="U1362" s="93"/>
      <c r="X1362" s="114" t="str">
        <f t="shared" si="33"/>
        <v>1w</v>
      </c>
      <c r="Y1362" s="112">
        <f>_xll.qlCalendarAdvance(Calendar,Y1361,X1362,"f",FALSE)</f>
        <v>48697</v>
      </c>
      <c r="Z1362" s="115">
        <f>_xll.qlCalendarAdvance(Calendar,Y1362,NDays&amp;"D")</f>
        <v>48697</v>
      </c>
      <c r="AA1362" s="116">
        <v>3.8189382037640413E-2</v>
      </c>
      <c r="AB1362" s="113">
        <v>3.8061324820748421E-2</v>
      </c>
    </row>
    <row r="1363" spans="17:28" x14ac:dyDescent="0.2">
      <c r="Q1363" s="72"/>
      <c r="T1363" s="72"/>
      <c r="U1363" s="93"/>
      <c r="X1363" s="114" t="str">
        <f t="shared" si="33"/>
        <v>1w</v>
      </c>
      <c r="Y1363" s="112">
        <f>_xll.qlCalendarAdvance(Calendar,Y1362,X1363,"f",FALSE)</f>
        <v>48704</v>
      </c>
      <c r="Z1363" s="115">
        <f>_xll.qlCalendarAdvance(Calendar,Y1363,NDays&amp;"D")</f>
        <v>48704</v>
      </c>
      <c r="AA1363" s="116">
        <v>3.8183025609800636E-2</v>
      </c>
      <c r="AB1363" s="113">
        <v>3.8053237325609279E-2</v>
      </c>
    </row>
    <row r="1364" spans="17:28" x14ac:dyDescent="0.2">
      <c r="Q1364" s="72"/>
      <c r="T1364" s="72"/>
      <c r="U1364" s="93"/>
      <c r="X1364" s="114" t="str">
        <f t="shared" si="33"/>
        <v>1w</v>
      </c>
      <c r="Y1364" s="112">
        <f>_xll.qlCalendarAdvance(Calendar,Y1363,X1364,"f",FALSE)</f>
        <v>48711</v>
      </c>
      <c r="Z1364" s="115">
        <f>_xll.qlCalendarAdvance(Calendar,Y1364,NDays&amp;"D")</f>
        <v>48711</v>
      </c>
      <c r="AA1364" s="116">
        <v>3.8175284378216927E-2</v>
      </c>
      <c r="AB1364" s="113">
        <v>3.8045205730683485E-2</v>
      </c>
    </row>
    <row r="1365" spans="17:28" x14ac:dyDescent="0.2">
      <c r="Q1365" s="72"/>
      <c r="T1365" s="72"/>
      <c r="U1365" s="93"/>
      <c r="X1365" s="114" t="str">
        <f t="shared" ref="X1365:X1428" si="34">X1364</f>
        <v>1w</v>
      </c>
      <c r="Y1365" s="112">
        <f>_xll.qlCalendarAdvance(Calendar,Y1364,X1365,"f",FALSE)</f>
        <v>48718</v>
      </c>
      <c r="Z1365" s="115">
        <f>_xll.qlCalendarAdvance(Calendar,Y1365,NDays&amp;"D")</f>
        <v>48718</v>
      </c>
      <c r="AA1365" s="116">
        <v>3.8167599593452638E-2</v>
      </c>
      <c r="AB1365" s="113">
        <v>3.8037230035808944E-2</v>
      </c>
    </row>
    <row r="1366" spans="17:28" x14ac:dyDescent="0.2">
      <c r="Q1366" s="72"/>
      <c r="T1366" s="72"/>
      <c r="U1366" s="93"/>
      <c r="X1366" s="114" t="str">
        <f t="shared" si="34"/>
        <v>1w</v>
      </c>
      <c r="Y1366" s="112">
        <f>_xll.qlCalendarAdvance(Calendar,Y1365,X1366,"f",FALSE)</f>
        <v>48725</v>
      </c>
      <c r="Z1366" s="115">
        <f>_xll.qlCalendarAdvance(Calendar,Y1366,NDays&amp;"D")</f>
        <v>48725</v>
      </c>
      <c r="AA1366" s="116">
        <v>3.8159971255184465E-2</v>
      </c>
      <c r="AB1366" s="113">
        <v>3.8029310241147751E-2</v>
      </c>
    </row>
    <row r="1367" spans="17:28" x14ac:dyDescent="0.2">
      <c r="Q1367" s="72"/>
      <c r="T1367" s="72"/>
      <c r="U1367" s="93"/>
      <c r="X1367" s="114" t="str">
        <f t="shared" si="34"/>
        <v>1w</v>
      </c>
      <c r="Y1367" s="112">
        <f>_xll.qlCalendarAdvance(Calendar,Y1366,X1367,"f",FALSE)</f>
        <v>48732</v>
      </c>
      <c r="Z1367" s="115">
        <f>_xll.qlCalendarAdvance(Calendar,Y1367,NDays&amp;"D")</f>
        <v>48732</v>
      </c>
      <c r="AA1367" s="116">
        <v>3.8152399363088216E-2</v>
      </c>
      <c r="AB1367" s="113">
        <v>3.8021446346456766E-2</v>
      </c>
    </row>
    <row r="1368" spans="17:28" x14ac:dyDescent="0.2">
      <c r="Q1368" s="72"/>
      <c r="T1368" s="72"/>
      <c r="U1368" s="93"/>
      <c r="X1368" s="114" t="str">
        <f t="shared" si="34"/>
        <v>1w</v>
      </c>
      <c r="Y1368" s="112">
        <f>_xll.qlCalendarAdvance(Calendar,Y1367,X1368,"f",FALSE)</f>
        <v>48739</v>
      </c>
      <c r="Z1368" s="115">
        <f>_xll.qlCalendarAdvance(Calendar,Y1368,NDays&amp;"D")</f>
        <v>48739</v>
      </c>
      <c r="AA1368" s="116">
        <v>3.8144883916846756E-2</v>
      </c>
      <c r="AB1368" s="113">
        <v>3.8013638352060175E-2</v>
      </c>
    </row>
    <row r="1369" spans="17:28" x14ac:dyDescent="0.2">
      <c r="Q1369" s="72"/>
      <c r="T1369" s="72"/>
      <c r="U1369" s="93"/>
      <c r="X1369" s="114" t="str">
        <f t="shared" si="34"/>
        <v>1w</v>
      </c>
      <c r="Y1369" s="112">
        <f>_xll.qlCalendarAdvance(Calendar,Y1368,X1369,"f",FALSE)</f>
        <v>48746</v>
      </c>
      <c r="Z1369" s="115">
        <f>_xll.qlCalendarAdvance(Calendar,Y1369,NDays&amp;"D")</f>
        <v>48746</v>
      </c>
      <c r="AA1369" s="116">
        <v>3.8137424916139431E-2</v>
      </c>
      <c r="AB1369" s="113">
        <v>3.8005886257633792E-2</v>
      </c>
    </row>
    <row r="1370" spans="17:28" x14ac:dyDescent="0.2">
      <c r="Q1370" s="72"/>
      <c r="T1370" s="72"/>
      <c r="U1370" s="93"/>
      <c r="X1370" s="114" t="str">
        <f t="shared" si="34"/>
        <v>1w</v>
      </c>
      <c r="Y1370" s="112">
        <f>_xll.qlCalendarAdvance(Calendar,Y1369,X1370,"f",FALSE)</f>
        <v>48753</v>
      </c>
      <c r="Z1370" s="115">
        <f>_xll.qlCalendarAdvance(Calendar,Y1370,NDays&amp;"D")</f>
        <v>48753</v>
      </c>
      <c r="AA1370" s="116">
        <v>3.8130022360652611E-2</v>
      </c>
      <c r="AB1370" s="113">
        <v>3.7998190063501802E-2</v>
      </c>
    </row>
    <row r="1371" spans="17:28" x14ac:dyDescent="0.2">
      <c r="Q1371" s="72"/>
      <c r="T1371" s="72"/>
      <c r="U1371" s="93"/>
      <c r="X1371" s="114" t="str">
        <f t="shared" si="34"/>
        <v>1w</v>
      </c>
      <c r="Y1371" s="112">
        <f>_xll.qlCalendarAdvance(Calendar,Y1370,X1371,"f",FALSE)</f>
        <v>48760</v>
      </c>
      <c r="Z1371" s="115">
        <f>_xll.qlCalendarAdvance(Calendar,Y1371,NDays&amp;"D")</f>
        <v>48760</v>
      </c>
      <c r="AA1371" s="116">
        <v>3.81226762500727E-2</v>
      </c>
      <c r="AB1371" s="113">
        <v>3.7990549769421067E-2</v>
      </c>
    </row>
    <row r="1372" spans="17:28" x14ac:dyDescent="0.2">
      <c r="Q1372" s="72"/>
      <c r="T1372" s="72"/>
      <c r="U1372" s="93"/>
      <c r="X1372" s="114" t="str">
        <f t="shared" si="34"/>
        <v>1w</v>
      </c>
      <c r="Y1372" s="112">
        <f>_xll.qlCalendarAdvance(Calendar,Y1371,X1372,"f",FALSE)</f>
        <v>48767</v>
      </c>
      <c r="Z1372" s="115">
        <f>_xll.qlCalendarAdvance(Calendar,Y1372,NDays&amp;"D")</f>
        <v>48767</v>
      </c>
      <c r="AA1372" s="116">
        <v>3.8115386584088716E-2</v>
      </c>
      <c r="AB1372" s="113">
        <v>3.7982965375472633E-2</v>
      </c>
    </row>
    <row r="1373" spans="17:28" x14ac:dyDescent="0.2">
      <c r="Q1373" s="72"/>
      <c r="T1373" s="72"/>
      <c r="U1373" s="93"/>
      <c r="X1373" s="114" t="str">
        <f t="shared" si="34"/>
        <v>1w</v>
      </c>
      <c r="Y1373" s="112">
        <f>_xll.qlCalendarAdvance(Calendar,Y1372,X1373,"f",FALSE)</f>
        <v>48774</v>
      </c>
      <c r="Z1373" s="115">
        <f>_xll.qlCalendarAdvance(Calendar,Y1373,NDays&amp;"D")</f>
        <v>48774</v>
      </c>
      <c r="AA1373" s="116">
        <v>3.8108153362394974E-2</v>
      </c>
      <c r="AB1373" s="113">
        <v>3.7975436881737545E-2</v>
      </c>
    </row>
    <row r="1374" spans="17:28" x14ac:dyDescent="0.2">
      <c r="Q1374" s="72"/>
      <c r="T1374" s="72"/>
      <c r="U1374" s="93"/>
      <c r="X1374" s="114" t="str">
        <f t="shared" si="34"/>
        <v>1w</v>
      </c>
      <c r="Y1374" s="112">
        <f>_xll.qlCalendarAdvance(Calendar,Y1373,X1374,"f",FALSE)</f>
        <v>48781</v>
      </c>
      <c r="Z1374" s="115">
        <f>_xll.qlCalendarAdvance(Calendar,Y1374,NDays&amp;"D")</f>
        <v>48781</v>
      </c>
      <c r="AA1374" s="116">
        <v>3.8100976584681388E-2</v>
      </c>
      <c r="AB1374" s="113">
        <v>3.7967964287972666E-2</v>
      </c>
    </row>
    <row r="1375" spans="17:28" x14ac:dyDescent="0.2">
      <c r="Q1375" s="72"/>
      <c r="T1375" s="72"/>
      <c r="U1375" s="93"/>
      <c r="X1375" s="114" t="str">
        <f t="shared" si="34"/>
        <v>1w</v>
      </c>
      <c r="Y1375" s="112">
        <f>_xll.qlCalendarAdvance(Calendar,Y1374,X1375,"f",FALSE)</f>
        <v>48788</v>
      </c>
      <c r="Z1375" s="115">
        <f>_xll.qlCalendarAdvance(Calendar,Y1375,NDays&amp;"D")</f>
        <v>48788</v>
      </c>
      <c r="AA1375" s="116">
        <v>3.8093856250649316E-2</v>
      </c>
      <c r="AB1375" s="113">
        <v>3.7960547594340088E-2</v>
      </c>
    </row>
    <row r="1376" spans="17:28" x14ac:dyDescent="0.2">
      <c r="Q1376" s="72"/>
      <c r="T1376" s="72"/>
      <c r="U1376" s="93"/>
      <c r="X1376" s="114" t="str">
        <f t="shared" si="34"/>
        <v>1w</v>
      </c>
      <c r="Y1376" s="112">
        <f>_xll.qlCalendarAdvance(Calendar,Y1375,X1376,"f",FALSE)</f>
        <v>48795</v>
      </c>
      <c r="Z1376" s="115">
        <f>_xll.qlCalendarAdvance(Calendar,Y1376,NDays&amp;"D")</f>
        <v>48795</v>
      </c>
      <c r="AA1376" s="116">
        <v>3.8086792359994841E-2</v>
      </c>
      <c r="AB1376" s="113">
        <v>3.7953186800758765E-2</v>
      </c>
    </row>
    <row r="1377" spans="17:28" x14ac:dyDescent="0.2">
      <c r="Q1377" s="72"/>
      <c r="T1377" s="72"/>
      <c r="U1377" s="93"/>
      <c r="X1377" s="114" t="str">
        <f t="shared" si="34"/>
        <v>1w</v>
      </c>
      <c r="Y1377" s="112">
        <f>_xll.qlCalendarAdvance(Calendar,Y1376,X1377,"f",FALSE)</f>
        <v>48802</v>
      </c>
      <c r="Z1377" s="115">
        <f>_xll.qlCalendarAdvance(Calendar,Y1377,NDays&amp;"D")</f>
        <v>48802</v>
      </c>
      <c r="AA1377" s="116">
        <v>3.8079784912420193E-2</v>
      </c>
      <c r="AB1377" s="113">
        <v>3.7945881907309742E-2</v>
      </c>
    </row>
    <row r="1378" spans="17:28" x14ac:dyDescent="0.2">
      <c r="Q1378" s="72"/>
      <c r="T1378" s="72"/>
      <c r="U1378" s="93"/>
      <c r="X1378" s="114" t="str">
        <f t="shared" si="34"/>
        <v>1w</v>
      </c>
      <c r="Y1378" s="112">
        <f>_xll.qlCalendarAdvance(Calendar,Y1377,X1378,"f",FALSE)</f>
        <v>48809</v>
      </c>
      <c r="Z1378" s="115">
        <f>_xll.qlCalendarAdvance(Calendar,Y1378,NDays&amp;"D")</f>
        <v>48809</v>
      </c>
      <c r="AA1378" s="116">
        <v>3.8072833907627633E-2</v>
      </c>
      <c r="AB1378" s="113">
        <v>3.7938632913911974E-2</v>
      </c>
    </row>
    <row r="1379" spans="17:28" x14ac:dyDescent="0.2">
      <c r="Q1379" s="72"/>
      <c r="T1379" s="72"/>
      <c r="U1379" s="93"/>
      <c r="X1379" s="114" t="str">
        <f t="shared" si="34"/>
        <v>1w</v>
      </c>
      <c r="Y1379" s="112">
        <f>_xll.qlCalendarAdvance(Calendar,Y1378,X1379,"f",FALSE)</f>
        <v>48816</v>
      </c>
      <c r="Z1379" s="115">
        <f>_xll.qlCalendarAdvance(Calendar,Y1379,NDays&amp;"D")</f>
        <v>48816</v>
      </c>
      <c r="AA1379" s="116">
        <v>3.8065939345327315E-2</v>
      </c>
      <c r="AB1379" s="113">
        <v>3.7931439820727553E-2</v>
      </c>
    </row>
    <row r="1380" spans="17:28" x14ac:dyDescent="0.2">
      <c r="Q1380" s="72"/>
      <c r="T1380" s="72"/>
      <c r="U1380" s="93"/>
      <c r="X1380" s="114" t="str">
        <f t="shared" si="34"/>
        <v>1w</v>
      </c>
      <c r="Y1380" s="112">
        <f>_xll.qlCalendarAdvance(Calendar,Y1379,X1380,"f",FALSE)</f>
        <v>48823</v>
      </c>
      <c r="Z1380" s="115">
        <f>_xll.qlCalendarAdvance(Calendar,Y1380,NDays&amp;"D")</f>
        <v>48823</v>
      </c>
      <c r="AA1380" s="116">
        <v>3.8057601102898464E-2</v>
      </c>
      <c r="AB1380" s="113">
        <v>3.7924302627594386E-2</v>
      </c>
    </row>
    <row r="1381" spans="17:28" x14ac:dyDescent="0.2">
      <c r="Q1381" s="72"/>
      <c r="T1381" s="72"/>
      <c r="U1381" s="93"/>
      <c r="X1381" s="114" t="str">
        <f t="shared" si="34"/>
        <v>1w</v>
      </c>
      <c r="Y1381" s="112">
        <f>_xll.qlCalendarAdvance(Calendar,Y1380,X1381,"f",FALSE)</f>
        <v>48830</v>
      </c>
      <c r="Z1381" s="115">
        <f>_xll.qlCalendarAdvance(Calendar,Y1381,NDays&amp;"D")</f>
        <v>48830</v>
      </c>
      <c r="AA1381" s="116">
        <v>3.8050816097258439E-2</v>
      </c>
      <c r="AB1381" s="113">
        <v>3.7917221334512474E-2</v>
      </c>
    </row>
    <row r="1382" spans="17:28" x14ac:dyDescent="0.2">
      <c r="Q1382" s="72"/>
      <c r="T1382" s="72"/>
      <c r="U1382" s="93"/>
      <c r="X1382" s="114" t="str">
        <f t="shared" si="34"/>
        <v>1w</v>
      </c>
      <c r="Y1382" s="112">
        <f>_xll.qlCalendarAdvance(Calendar,Y1381,X1382,"f",FALSE)</f>
        <v>48837</v>
      </c>
      <c r="Z1382" s="115">
        <f>_xll.qlCalendarAdvance(Calendar,Y1382,NDays&amp;"D")</f>
        <v>48837</v>
      </c>
      <c r="AA1382" s="116">
        <v>3.8044087527280487E-2</v>
      </c>
      <c r="AB1382" s="113">
        <v>3.7910195941643909E-2</v>
      </c>
    </row>
    <row r="1383" spans="17:28" x14ac:dyDescent="0.2">
      <c r="Q1383" s="72"/>
      <c r="T1383" s="72"/>
      <c r="U1383" s="93"/>
      <c r="X1383" s="114" t="str">
        <f t="shared" si="34"/>
        <v>1w</v>
      </c>
      <c r="Y1383" s="112">
        <f>_xll.qlCalendarAdvance(Calendar,Y1382,X1383,"f",FALSE)</f>
        <v>48844</v>
      </c>
      <c r="Z1383" s="115">
        <f>_xll.qlCalendarAdvance(Calendar,Y1383,NDays&amp;"D")</f>
        <v>48844</v>
      </c>
      <c r="AA1383" s="116">
        <v>3.8037415392685847E-2</v>
      </c>
      <c r="AB1383" s="113">
        <v>3.7903226448664507E-2</v>
      </c>
    </row>
    <row r="1384" spans="17:28" x14ac:dyDescent="0.2">
      <c r="Q1384" s="72"/>
      <c r="T1384" s="72"/>
      <c r="U1384" s="93"/>
      <c r="X1384" s="114" t="str">
        <f t="shared" si="34"/>
        <v>1w</v>
      </c>
      <c r="Y1384" s="112">
        <f>_xll.qlCalendarAdvance(Calendar,Y1383,X1384,"f",FALSE)</f>
        <v>48851</v>
      </c>
      <c r="Z1384" s="115">
        <f>_xll.qlCalendarAdvance(Calendar,Y1384,NDays&amp;"D")</f>
        <v>48851</v>
      </c>
      <c r="AA1384" s="116">
        <v>3.8030799693193978E-2</v>
      </c>
      <c r="AB1384" s="113">
        <v>3.7896312855898451E-2</v>
      </c>
    </row>
    <row r="1385" spans="17:28" x14ac:dyDescent="0.2">
      <c r="Q1385" s="72"/>
      <c r="T1385" s="72"/>
      <c r="U1385" s="93"/>
      <c r="X1385" s="114" t="str">
        <f t="shared" si="34"/>
        <v>1w</v>
      </c>
      <c r="Y1385" s="112">
        <f>_xll.qlCalendarAdvance(Calendar,Y1384,X1385,"f",FALSE)</f>
        <v>48858</v>
      </c>
      <c r="Z1385" s="115">
        <f>_xll.qlCalendarAdvance(Calendar,Y1385,NDays&amp;"D")</f>
        <v>48858</v>
      </c>
      <c r="AA1385" s="116">
        <v>3.8025757247654307E-2</v>
      </c>
      <c r="AB1385" s="113">
        <v>3.7889455163102603E-2</v>
      </c>
    </row>
    <row r="1386" spans="17:28" x14ac:dyDescent="0.2">
      <c r="Q1386" s="72"/>
      <c r="T1386" s="72"/>
      <c r="U1386" s="93"/>
      <c r="X1386" s="114" t="str">
        <f t="shared" si="34"/>
        <v>1w</v>
      </c>
      <c r="Y1386" s="112">
        <f>_xll.qlCalendarAdvance(Calendar,Y1385,X1386,"f",FALSE)</f>
        <v>48865</v>
      </c>
      <c r="Z1386" s="115">
        <f>_xll.qlCalendarAdvance(Calendar,Y1386,NDays&amp;"D")</f>
        <v>48865</v>
      </c>
      <c r="AA1386" s="116">
        <v>3.8019257774755906E-2</v>
      </c>
      <c r="AB1386" s="113">
        <v>3.788265337035801E-2</v>
      </c>
    </row>
    <row r="1387" spans="17:28" x14ac:dyDescent="0.2">
      <c r="Q1387" s="72"/>
      <c r="T1387" s="72"/>
      <c r="U1387" s="93"/>
      <c r="X1387" s="114" t="str">
        <f t="shared" si="34"/>
        <v>1w</v>
      </c>
      <c r="Y1387" s="112">
        <f>_xll.qlCalendarAdvance(Calendar,Y1386,X1387,"f",FALSE)</f>
        <v>48872</v>
      </c>
      <c r="Z1387" s="115">
        <f>_xll.qlCalendarAdvance(Calendar,Y1387,NDays&amp;"D")</f>
        <v>48872</v>
      </c>
      <c r="AA1387" s="116">
        <v>3.8012814742083095E-2</v>
      </c>
      <c r="AB1387" s="113">
        <v>3.7875907477745718E-2</v>
      </c>
    </row>
    <row r="1388" spans="17:28" x14ac:dyDescent="0.2">
      <c r="Q1388" s="72"/>
      <c r="T1388" s="72"/>
      <c r="U1388" s="93"/>
      <c r="X1388" s="114" t="str">
        <f t="shared" si="34"/>
        <v>1w</v>
      </c>
      <c r="Y1388" s="112">
        <f>_xll.qlCalendarAdvance(Calendar,Y1387,X1388,"f",FALSE)</f>
        <v>48879</v>
      </c>
      <c r="Z1388" s="115">
        <f>_xll.qlCalendarAdvance(Calendar,Y1388,NDays&amp;"D")</f>
        <v>48879</v>
      </c>
      <c r="AA1388" s="116">
        <v>3.8006428149361907E-2</v>
      </c>
      <c r="AB1388" s="113">
        <v>3.7869217485184681E-2</v>
      </c>
    </row>
    <row r="1389" spans="17:28" x14ac:dyDescent="0.2">
      <c r="Q1389" s="72"/>
      <c r="T1389" s="72"/>
      <c r="U1389" s="93"/>
      <c r="X1389" s="114" t="str">
        <f t="shared" si="34"/>
        <v>1w</v>
      </c>
      <c r="Y1389" s="112">
        <f>_xll.qlCalendarAdvance(Calendar,Y1388,X1389,"f",FALSE)</f>
        <v>48886</v>
      </c>
      <c r="Z1389" s="115">
        <f>_xll.qlCalendarAdvance(Calendar,Y1389,NDays&amp;"D")</f>
        <v>48886</v>
      </c>
      <c r="AA1389" s="116">
        <v>3.8000097996323666E-2</v>
      </c>
      <c r="AB1389" s="113">
        <v>3.7862583392674898E-2</v>
      </c>
    </row>
    <row r="1390" spans="17:28" x14ac:dyDescent="0.2">
      <c r="Q1390" s="72"/>
      <c r="T1390" s="72"/>
      <c r="U1390" s="93"/>
      <c r="X1390" s="114" t="str">
        <f t="shared" si="34"/>
        <v>1w</v>
      </c>
      <c r="Y1390" s="112">
        <f>_xll.qlCalendarAdvance(Calendar,Y1389,X1390,"f",FALSE)</f>
        <v>48893</v>
      </c>
      <c r="Z1390" s="115">
        <f>_xll.qlCalendarAdvance(Calendar,Y1390,NDays&amp;"D")</f>
        <v>48893</v>
      </c>
      <c r="AA1390" s="116">
        <v>3.7993824282702315E-2</v>
      </c>
      <c r="AB1390" s="113">
        <v>3.7856005200297416E-2</v>
      </c>
    </row>
    <row r="1391" spans="17:28" x14ac:dyDescent="0.2">
      <c r="Q1391" s="72"/>
      <c r="T1391" s="72"/>
      <c r="U1391" s="93"/>
      <c r="X1391" s="114" t="str">
        <f t="shared" si="34"/>
        <v>1w</v>
      </c>
      <c r="Y1391" s="112">
        <f>_xll.qlCalendarAdvance(Calendar,Y1390,X1391,"f",FALSE)</f>
        <v>48900</v>
      </c>
      <c r="Z1391" s="115">
        <f>_xll.qlCalendarAdvance(Calendar,Y1391,NDays&amp;"D")</f>
        <v>48900</v>
      </c>
      <c r="AA1391" s="116">
        <v>3.7987607008230936E-2</v>
      </c>
      <c r="AB1391" s="113">
        <v>3.7849482907890142E-2</v>
      </c>
    </row>
    <row r="1392" spans="17:28" x14ac:dyDescent="0.2">
      <c r="Q1392" s="72"/>
      <c r="T1392" s="72"/>
      <c r="U1392" s="93"/>
      <c r="X1392" s="114" t="str">
        <f t="shared" si="34"/>
        <v>1w</v>
      </c>
      <c r="Y1392" s="112">
        <f>_xll.qlCalendarAdvance(Calendar,Y1391,X1392,"f",FALSE)</f>
        <v>48907</v>
      </c>
      <c r="Z1392" s="115">
        <f>_xll.qlCalendarAdvance(Calendar,Y1392,NDays&amp;"D")</f>
        <v>48907</v>
      </c>
      <c r="AA1392" s="116">
        <v>3.7981446172646129E-2</v>
      </c>
      <c r="AB1392" s="113">
        <v>3.7843016515534122E-2</v>
      </c>
    </row>
    <row r="1393" spans="17:28" x14ac:dyDescent="0.2">
      <c r="Q1393" s="72"/>
      <c r="T1393" s="72"/>
      <c r="U1393" s="93"/>
      <c r="X1393" s="114" t="str">
        <f t="shared" si="34"/>
        <v>1w</v>
      </c>
      <c r="Y1393" s="112">
        <f>_xll.qlCalendarAdvance(Calendar,Y1392,X1393,"f",FALSE)</f>
        <v>48914</v>
      </c>
      <c r="Z1393" s="115">
        <f>_xll.qlCalendarAdvance(Calendar,Y1393,NDays&amp;"D")</f>
        <v>48914</v>
      </c>
      <c r="AA1393" s="116">
        <v>3.7972254521170985E-2</v>
      </c>
      <c r="AB1393" s="113">
        <v>3.783660602339145E-2</v>
      </c>
    </row>
    <row r="1394" spans="17:28" x14ac:dyDescent="0.2">
      <c r="Q1394" s="72"/>
      <c r="T1394" s="72"/>
      <c r="U1394" s="93"/>
      <c r="X1394" s="114" t="str">
        <f t="shared" si="34"/>
        <v>1w</v>
      </c>
      <c r="Y1394" s="112">
        <f>_xll.qlCalendarAdvance(Calendar,Y1393,X1394,"f",FALSE)</f>
        <v>48921</v>
      </c>
      <c r="Z1394" s="115">
        <f>_xll.qlCalendarAdvance(Calendar,Y1394,NDays&amp;"D")</f>
        <v>48921</v>
      </c>
      <c r="AA1394" s="116">
        <v>3.7966199753968151E-2</v>
      </c>
      <c r="AB1394" s="113">
        <v>3.7830251431056894E-2</v>
      </c>
    </row>
    <row r="1395" spans="17:28" x14ac:dyDescent="0.2">
      <c r="Q1395" s="72"/>
      <c r="T1395" s="72"/>
      <c r="U1395" s="93"/>
      <c r="X1395" s="114" t="str">
        <f t="shared" si="34"/>
        <v>1w</v>
      </c>
      <c r="Y1395" s="112">
        <f>_xll.qlCalendarAdvance(Calendar,Y1394,X1395,"f",FALSE)</f>
        <v>48928</v>
      </c>
      <c r="Z1395" s="115">
        <f>_xll.qlCalendarAdvance(Calendar,Y1395,NDays&amp;"D")</f>
        <v>48928</v>
      </c>
      <c r="AA1395" s="116">
        <v>3.7960201413032066E-2</v>
      </c>
      <c r="AB1395" s="113">
        <v>3.7823952738935684E-2</v>
      </c>
    </row>
    <row r="1396" spans="17:28" x14ac:dyDescent="0.2">
      <c r="Q1396" s="72"/>
      <c r="T1396" s="72"/>
      <c r="U1396" s="93"/>
      <c r="X1396" s="114" t="str">
        <f t="shared" si="34"/>
        <v>1w</v>
      </c>
      <c r="Y1396" s="112">
        <f>_xll.qlCalendarAdvance(Calendar,Y1395,X1396,"f",FALSE)</f>
        <v>48935</v>
      </c>
      <c r="Z1396" s="115">
        <f>_xll.qlCalendarAdvance(Calendar,Y1396,NDays&amp;"D")</f>
        <v>48935</v>
      </c>
      <c r="AA1396" s="116">
        <v>3.7954259498115976E-2</v>
      </c>
      <c r="AB1396" s="113">
        <v>3.7817709946703637E-2</v>
      </c>
    </row>
    <row r="1397" spans="17:28" x14ac:dyDescent="0.2">
      <c r="Q1397" s="72"/>
      <c r="T1397" s="72"/>
      <c r="U1397" s="93"/>
      <c r="X1397" s="114" t="str">
        <f t="shared" si="34"/>
        <v>1w</v>
      </c>
      <c r="Y1397" s="112">
        <f>_xll.qlCalendarAdvance(Calendar,Y1396,X1397,"f",FALSE)</f>
        <v>48942</v>
      </c>
      <c r="Z1397" s="115">
        <f>_xll.qlCalendarAdvance(Calendar,Y1397,NDays&amp;"D")</f>
        <v>48942</v>
      </c>
      <c r="AA1397" s="116">
        <v>3.7948374008973156E-2</v>
      </c>
      <c r="AB1397" s="113">
        <v>3.7811523054603891E-2</v>
      </c>
    </row>
    <row r="1398" spans="17:28" x14ac:dyDescent="0.2">
      <c r="Q1398" s="72"/>
      <c r="T1398" s="72"/>
      <c r="U1398" s="93"/>
      <c r="X1398" s="114" t="str">
        <f t="shared" si="34"/>
        <v>1w</v>
      </c>
      <c r="Y1398" s="112">
        <f>_xll.qlCalendarAdvance(Calendar,Y1397,X1398,"f",FALSE)</f>
        <v>48949</v>
      </c>
      <c r="Z1398" s="115">
        <f>_xll.qlCalendarAdvance(Calendar,Y1398,NDays&amp;"D")</f>
        <v>48949</v>
      </c>
      <c r="AA1398" s="116">
        <v>3.7942544945360465E-2</v>
      </c>
      <c r="AB1398" s="113">
        <v>3.7805392062474352E-2</v>
      </c>
    </row>
    <row r="1399" spans="17:28" x14ac:dyDescent="0.2">
      <c r="Q1399" s="72"/>
      <c r="T1399" s="72"/>
      <c r="U1399" s="93"/>
      <c r="X1399" s="114" t="str">
        <f t="shared" si="34"/>
        <v>1w</v>
      </c>
      <c r="Y1399" s="112">
        <f>_xll.qlCalendarAdvance(Calendar,Y1398,X1399,"f",FALSE)</f>
        <v>48956</v>
      </c>
      <c r="Z1399" s="115">
        <f>_xll.qlCalendarAdvance(Calendar,Y1399,NDays&amp;"D")</f>
        <v>48956</v>
      </c>
      <c r="AA1399" s="116">
        <v>3.7936772307035654E-2</v>
      </c>
      <c r="AB1399" s="113">
        <v>3.7799316970477115E-2</v>
      </c>
    </row>
    <row r="1400" spans="17:28" x14ac:dyDescent="0.2">
      <c r="Q1400" s="72"/>
      <c r="T1400" s="72"/>
      <c r="U1400" s="93"/>
      <c r="X1400" s="114" t="str">
        <f t="shared" si="34"/>
        <v>1w</v>
      </c>
      <c r="Y1400" s="112">
        <f>_xll.qlCalendarAdvance(Calendar,Y1399,X1400,"f",FALSE)</f>
        <v>48963</v>
      </c>
      <c r="Z1400" s="115">
        <f>_xll.qlCalendarAdvance(Calendar,Y1400,NDays&amp;"D")</f>
        <v>48963</v>
      </c>
      <c r="AA1400" s="116">
        <v>3.7931056093761899E-2</v>
      </c>
      <c r="AB1400" s="113">
        <v>3.7793297778450086E-2</v>
      </c>
    </row>
    <row r="1401" spans="17:28" x14ac:dyDescent="0.2">
      <c r="Q1401" s="72"/>
      <c r="T1401" s="72"/>
      <c r="U1401" s="93"/>
      <c r="X1401" s="114" t="str">
        <f t="shared" si="34"/>
        <v>1w</v>
      </c>
      <c r="Y1401" s="112">
        <f>_xll.qlCalendarAdvance(Calendar,Y1400,X1401,"f",FALSE)</f>
        <v>48971</v>
      </c>
      <c r="Z1401" s="115">
        <f>_xll.qlCalendarAdvance(Calendar,Y1401,NDays&amp;"D")</f>
        <v>48971</v>
      </c>
      <c r="AA1401" s="116">
        <v>3.7924592370186964E-2</v>
      </c>
      <c r="AB1401" s="113">
        <v>3.7789553128032935E-2</v>
      </c>
    </row>
    <row r="1402" spans="17:28" x14ac:dyDescent="0.2">
      <c r="Q1402" s="72"/>
      <c r="T1402" s="72"/>
      <c r="U1402" s="93"/>
      <c r="X1402" s="114" t="str">
        <f t="shared" si="34"/>
        <v>1w</v>
      </c>
      <c r="Y1402" s="112">
        <f>_xll.qlCalendarAdvance(Calendar,Y1401,X1402,"f",FALSE)</f>
        <v>48978</v>
      </c>
      <c r="Z1402" s="115">
        <f>_xll.qlCalendarAdvance(Calendar,Y1402,NDays&amp;"D")</f>
        <v>48978</v>
      </c>
      <c r="AA1402" s="116">
        <v>3.7917422752645487E-2</v>
      </c>
      <c r="AB1402" s="113">
        <v>3.7783660487747214E-2</v>
      </c>
    </row>
    <row r="1403" spans="17:28" x14ac:dyDescent="0.2">
      <c r="Q1403" s="72"/>
      <c r="T1403" s="72"/>
      <c r="U1403" s="93"/>
      <c r="X1403" s="114" t="str">
        <f t="shared" si="34"/>
        <v>1w</v>
      </c>
      <c r="Y1403" s="112">
        <f>_xll.qlCalendarAdvance(Calendar,Y1402,X1403,"f",FALSE)</f>
        <v>48985</v>
      </c>
      <c r="Z1403" s="115">
        <f>_xll.qlCalendarAdvance(Calendar,Y1403,NDays&amp;"D")</f>
        <v>48985</v>
      </c>
      <c r="AA1403" s="116">
        <v>3.7911880416527398E-2</v>
      </c>
      <c r="AB1403" s="113">
        <v>3.7777823759210426E-2</v>
      </c>
    </row>
    <row r="1404" spans="17:28" x14ac:dyDescent="0.2">
      <c r="Q1404" s="72"/>
      <c r="T1404" s="72"/>
      <c r="U1404" s="93"/>
      <c r="X1404" s="114" t="str">
        <f t="shared" si="34"/>
        <v>1w</v>
      </c>
      <c r="Y1404" s="112">
        <f>_xll.qlCalendarAdvance(Calendar,Y1403,X1404,"f",FALSE)</f>
        <v>48992</v>
      </c>
      <c r="Z1404" s="115">
        <f>_xll.qlCalendarAdvance(Calendar,Y1404,NDays&amp;"D")</f>
        <v>48992</v>
      </c>
      <c r="AA1404" s="116">
        <v>3.790639449859308E-2</v>
      </c>
      <c r="AB1404" s="113">
        <v>3.7772042942476609E-2</v>
      </c>
    </row>
    <row r="1405" spans="17:28" x14ac:dyDescent="0.2">
      <c r="Q1405" s="72"/>
      <c r="T1405" s="72"/>
      <c r="U1405" s="93"/>
      <c r="X1405" s="114" t="str">
        <f t="shared" si="34"/>
        <v>1w</v>
      </c>
      <c r="Y1405" s="112">
        <f>_xll.qlCalendarAdvance(Calendar,Y1404,X1405,"f",FALSE)</f>
        <v>48999</v>
      </c>
      <c r="Z1405" s="115">
        <f>_xll.qlCalendarAdvance(Calendar,Y1405,NDays&amp;"D")</f>
        <v>48999</v>
      </c>
      <c r="AA1405" s="116">
        <v>3.7900964998623977E-2</v>
      </c>
      <c r="AB1405" s="113">
        <v>3.7766318037491718E-2</v>
      </c>
    </row>
    <row r="1406" spans="17:28" x14ac:dyDescent="0.2">
      <c r="Q1406" s="72"/>
      <c r="T1406" s="72"/>
      <c r="U1406" s="93"/>
      <c r="X1406" s="114" t="str">
        <f t="shared" si="34"/>
        <v>1w</v>
      </c>
      <c r="Y1406" s="112">
        <f>_xll.qlCalendarAdvance(Calendar,Y1405,X1406,"f",FALSE)</f>
        <v>49006</v>
      </c>
      <c r="Z1406" s="115">
        <f>_xll.qlCalendarAdvance(Calendar,Y1406,NDays&amp;"D")</f>
        <v>49006</v>
      </c>
      <c r="AA1406" s="116">
        <v>3.7903537229588148E-2</v>
      </c>
      <c r="AB1406" s="113">
        <v>3.7760649044255766E-2</v>
      </c>
    </row>
    <row r="1407" spans="17:28" x14ac:dyDescent="0.2">
      <c r="Q1407" s="72"/>
      <c r="T1407" s="72"/>
      <c r="U1407" s="93"/>
      <c r="X1407" s="114" t="str">
        <f t="shared" si="34"/>
        <v>1w</v>
      </c>
      <c r="Y1407" s="112">
        <f>_xll.qlCalendarAdvance(Calendar,Y1406,X1407,"f",FALSE)</f>
        <v>49013</v>
      </c>
      <c r="Z1407" s="115">
        <f>_xll.qlCalendarAdvance(Calendar,Y1407,NDays&amp;"D")</f>
        <v>49013</v>
      </c>
      <c r="AA1407" s="116">
        <v>3.7899831850836341E-2</v>
      </c>
      <c r="AB1407" s="113">
        <v>3.7755035962795766E-2</v>
      </c>
    </row>
    <row r="1408" spans="17:28" x14ac:dyDescent="0.2">
      <c r="Q1408" s="72"/>
      <c r="T1408" s="72"/>
      <c r="U1408" s="93"/>
      <c r="X1408" s="114" t="str">
        <f t="shared" si="34"/>
        <v>1w</v>
      </c>
      <c r="Y1408" s="112">
        <f>_xll.qlCalendarAdvance(Calendar,Y1407,X1408,"f",FALSE)</f>
        <v>49020</v>
      </c>
      <c r="Z1408" s="115">
        <f>_xll.qlCalendarAdvance(Calendar,Y1408,NDays&amp;"D")</f>
        <v>49020</v>
      </c>
      <c r="AA1408" s="116">
        <v>3.7892995170394468E-2</v>
      </c>
      <c r="AB1408" s="113">
        <v>3.7749478793084698E-2</v>
      </c>
    </row>
    <row r="1409" spans="17:28" x14ac:dyDescent="0.2">
      <c r="Q1409" s="72"/>
      <c r="T1409" s="72"/>
      <c r="U1409" s="93"/>
      <c r="X1409" s="114" t="str">
        <f t="shared" si="34"/>
        <v>1w</v>
      </c>
      <c r="Y1409" s="112">
        <f>_xll.qlCalendarAdvance(Calendar,Y1408,X1409,"f",FALSE)</f>
        <v>49027</v>
      </c>
      <c r="Z1409" s="115">
        <f>_xll.qlCalendarAdvance(Calendar,Y1409,NDays&amp;"D")</f>
        <v>49027</v>
      </c>
      <c r="AA1409" s="116">
        <v>3.788780881070937E-2</v>
      </c>
      <c r="AB1409" s="113">
        <v>3.7743977535095549E-2</v>
      </c>
    </row>
    <row r="1410" spans="17:28" x14ac:dyDescent="0.2">
      <c r="Q1410" s="72"/>
      <c r="T1410" s="72"/>
      <c r="U1410" s="93"/>
      <c r="X1410" s="114" t="str">
        <f t="shared" si="34"/>
        <v>1w</v>
      </c>
      <c r="Y1410" s="112">
        <f>_xll.qlCalendarAdvance(Calendar,Y1409,X1410,"f",FALSE)</f>
        <v>49034</v>
      </c>
      <c r="Z1410" s="115">
        <f>_xll.qlCalendarAdvance(Calendar,Y1410,NDays&amp;"D")</f>
        <v>49034</v>
      </c>
      <c r="AA1410" s="116">
        <v>3.7877868479400133E-2</v>
      </c>
      <c r="AB1410" s="113">
        <v>3.7738532188801306E-2</v>
      </c>
    </row>
    <row r="1411" spans="17:28" x14ac:dyDescent="0.2">
      <c r="Q1411" s="72"/>
      <c r="T1411" s="72"/>
      <c r="U1411" s="93"/>
      <c r="X1411" s="114" t="str">
        <f t="shared" si="34"/>
        <v>1w</v>
      </c>
      <c r="Y1411" s="112">
        <f>_xll.qlCalendarAdvance(Calendar,Y1410,X1411,"f",FALSE)</f>
        <v>49045</v>
      </c>
      <c r="Z1411" s="115">
        <f>_xll.qlCalendarAdvance(Calendar,Y1411,NDays&amp;"D")</f>
        <v>49045</v>
      </c>
      <c r="AA1411" s="116">
        <v>3.7869904691563733E-2</v>
      </c>
      <c r="AB1411" s="113">
        <v>3.7726950083313282E-2</v>
      </c>
    </row>
    <row r="1412" spans="17:28" x14ac:dyDescent="0.2">
      <c r="Q1412" s="72"/>
      <c r="T1412" s="72"/>
      <c r="U1412" s="93"/>
      <c r="X1412" s="114" t="str">
        <f t="shared" si="34"/>
        <v>1w</v>
      </c>
      <c r="Y1412" s="112">
        <f>_xll.qlCalendarAdvance(Calendar,Y1411,X1412,"f",FALSE)</f>
        <v>49052</v>
      </c>
      <c r="Z1412" s="115">
        <f>_xll.qlCalendarAdvance(Calendar,Y1412,NDays&amp;"D")</f>
        <v>49052</v>
      </c>
      <c r="AA1412" s="116">
        <v>3.786490937704233E-2</v>
      </c>
      <c r="AB1412" s="113">
        <v>3.7721641619999913E-2</v>
      </c>
    </row>
    <row r="1413" spans="17:28" x14ac:dyDescent="0.2">
      <c r="Q1413" s="72"/>
      <c r="T1413" s="72"/>
      <c r="U1413" s="93"/>
      <c r="X1413" s="114" t="str">
        <f t="shared" si="34"/>
        <v>1w</v>
      </c>
      <c r="Y1413" s="112">
        <f>_xll.qlCalendarAdvance(Calendar,Y1412,X1413,"f",FALSE)</f>
        <v>49060</v>
      </c>
      <c r="Z1413" s="115">
        <f>_xll.qlCalendarAdvance(Calendar,Y1413,NDays&amp;"D")</f>
        <v>49060</v>
      </c>
      <c r="AA1413" s="116">
        <v>3.7859269541524902E-2</v>
      </c>
      <c r="AB1413" s="113">
        <v>3.7715643253706244E-2</v>
      </c>
    </row>
    <row r="1414" spans="17:28" x14ac:dyDescent="0.2">
      <c r="Q1414" s="72"/>
      <c r="T1414" s="72"/>
      <c r="U1414" s="93"/>
      <c r="X1414" s="114" t="str">
        <f t="shared" si="34"/>
        <v>1w</v>
      </c>
      <c r="Y1414" s="112">
        <f>_xll.qlCalendarAdvance(Calendar,Y1413,X1414,"f",FALSE)</f>
        <v>49067</v>
      </c>
      <c r="Z1414" s="115">
        <f>_xll.qlCalendarAdvance(Calendar,Y1414,NDays&amp;"D")</f>
        <v>49067</v>
      </c>
      <c r="AA1414" s="116">
        <v>3.7856014750185935E-2</v>
      </c>
      <c r="AB1414" s="113">
        <v>3.7710454576228569E-2</v>
      </c>
    </row>
    <row r="1415" spans="17:28" x14ac:dyDescent="0.2">
      <c r="Q1415" s="72"/>
      <c r="T1415" s="72"/>
      <c r="U1415" s="93"/>
      <c r="X1415" s="114" t="str">
        <f t="shared" si="34"/>
        <v>1w</v>
      </c>
      <c r="Y1415" s="112">
        <f>_xll.qlCalendarAdvance(Calendar,Y1414,X1415,"f",FALSE)</f>
        <v>49074</v>
      </c>
      <c r="Z1415" s="115">
        <f>_xll.qlCalendarAdvance(Calendar,Y1415,NDays&amp;"D")</f>
        <v>49074</v>
      </c>
      <c r="AA1415" s="116">
        <v>3.7851200313378165E-2</v>
      </c>
      <c r="AB1415" s="113">
        <v>3.7705321798396918E-2</v>
      </c>
    </row>
    <row r="1416" spans="17:28" x14ac:dyDescent="0.2">
      <c r="Q1416" s="72"/>
      <c r="T1416" s="72"/>
      <c r="U1416" s="93"/>
      <c r="X1416" s="114" t="str">
        <f t="shared" si="34"/>
        <v>1w</v>
      </c>
      <c r="Y1416" s="112">
        <f>_xll.qlCalendarAdvance(Calendar,Y1415,X1416,"f",FALSE)</f>
        <v>49081</v>
      </c>
      <c r="Z1416" s="115">
        <f>_xll.qlCalendarAdvance(Calendar,Y1416,NDays&amp;"D")</f>
        <v>49081</v>
      </c>
      <c r="AA1416" s="116">
        <v>3.7846442309695631E-2</v>
      </c>
      <c r="AB1416" s="113">
        <v>3.770024492085966E-2</v>
      </c>
    </row>
    <row r="1417" spans="17:28" x14ac:dyDescent="0.2">
      <c r="Q1417" s="72"/>
      <c r="T1417" s="72"/>
      <c r="U1417" s="93"/>
      <c r="X1417" s="114" t="str">
        <f t="shared" si="34"/>
        <v>1w</v>
      </c>
      <c r="Y1417" s="112">
        <f>_xll.qlCalendarAdvance(Calendar,Y1416,X1417,"f",FALSE)</f>
        <v>49088</v>
      </c>
      <c r="Z1417" s="115">
        <f>_xll.qlCalendarAdvance(Calendar,Y1417,NDays&amp;"D")</f>
        <v>49088</v>
      </c>
      <c r="AA1417" s="116">
        <v>3.7841740738931318E-2</v>
      </c>
      <c r="AB1417" s="113">
        <v>3.7695223943130518E-2</v>
      </c>
    </row>
    <row r="1418" spans="17:28" x14ac:dyDescent="0.2">
      <c r="Q1418" s="72"/>
      <c r="T1418" s="72"/>
      <c r="U1418" s="93"/>
      <c r="X1418" s="114" t="str">
        <f t="shared" si="34"/>
        <v>1w</v>
      </c>
      <c r="Y1418" s="112">
        <f>_xll.qlCalendarAdvance(Calendar,Y1417,X1418,"f",FALSE)</f>
        <v>49095</v>
      </c>
      <c r="Z1418" s="115">
        <f>_xll.qlCalendarAdvance(Calendar,Y1418,NDays&amp;"D")</f>
        <v>49095</v>
      </c>
      <c r="AA1418" s="116">
        <v>3.7837095600890533E-2</v>
      </c>
      <c r="AB1418" s="113">
        <v>3.7690258865533677E-2</v>
      </c>
    </row>
    <row r="1419" spans="17:28" x14ac:dyDescent="0.2">
      <c r="Q1419" s="72"/>
      <c r="T1419" s="72"/>
      <c r="U1419" s="93"/>
      <c r="X1419" s="114" t="str">
        <f t="shared" si="34"/>
        <v>1w</v>
      </c>
      <c r="Y1419" s="112">
        <f>_xll.qlCalendarAdvance(Calendar,Y1418,X1419,"f",FALSE)</f>
        <v>49102</v>
      </c>
      <c r="Z1419" s="115">
        <f>_xll.qlCalendarAdvance(Calendar,Y1419,NDays&amp;"D")</f>
        <v>49102</v>
      </c>
      <c r="AA1419" s="116">
        <v>3.7832506895375949E-2</v>
      </c>
      <c r="AB1419" s="113">
        <v>3.7685349687744951E-2</v>
      </c>
    </row>
    <row r="1420" spans="17:28" x14ac:dyDescent="0.2">
      <c r="Q1420" s="72"/>
      <c r="T1420" s="72"/>
      <c r="U1420" s="93"/>
      <c r="X1420" s="114" t="str">
        <f t="shared" si="34"/>
        <v>1w</v>
      </c>
      <c r="Y1420" s="112">
        <f>_xll.qlCalendarAdvance(Calendar,Y1419,X1420,"f",FALSE)</f>
        <v>49109</v>
      </c>
      <c r="Z1420" s="115">
        <f>_xll.qlCalendarAdvance(Calendar,Y1420,NDays&amp;"D")</f>
        <v>49109</v>
      </c>
      <c r="AA1420" s="116">
        <v>3.7827974622191111E-2</v>
      </c>
      <c r="AB1420" s="113">
        <v>3.768049641000748E-2</v>
      </c>
    </row>
    <row r="1421" spans="17:28" x14ac:dyDescent="0.2">
      <c r="Q1421" s="72"/>
      <c r="T1421" s="72"/>
      <c r="U1421" s="93"/>
      <c r="X1421" s="114" t="str">
        <f t="shared" si="34"/>
        <v>1w</v>
      </c>
      <c r="Y1421" s="112">
        <f>_xll.qlCalendarAdvance(Calendar,Y1420,X1421,"f",FALSE)</f>
        <v>49116</v>
      </c>
      <c r="Z1421" s="115">
        <f>_xll.qlCalendarAdvance(Calendar,Y1421,NDays&amp;"D")</f>
        <v>49116</v>
      </c>
      <c r="AA1421" s="116">
        <v>3.7823498781150156E-2</v>
      </c>
      <c r="AB1421" s="113">
        <v>3.7675699032240217E-2</v>
      </c>
    </row>
    <row r="1422" spans="17:28" x14ac:dyDescent="0.2">
      <c r="Q1422" s="72"/>
      <c r="T1422" s="72"/>
      <c r="U1422" s="93"/>
      <c r="X1422" s="114" t="str">
        <f t="shared" si="34"/>
        <v>1w</v>
      </c>
      <c r="Y1422" s="112">
        <f>_xll.qlCalendarAdvance(Calendar,Y1421,X1422,"f",FALSE)</f>
        <v>49123</v>
      </c>
      <c r="Z1422" s="115">
        <f>_xll.qlCalendarAdvance(Calendar,Y1422,NDays&amp;"D")</f>
        <v>49123</v>
      </c>
      <c r="AA1422" s="116">
        <v>3.7819079372056613E-2</v>
      </c>
      <c r="AB1422" s="113">
        <v>3.7670957554443163E-2</v>
      </c>
    </row>
    <row r="1423" spans="17:28" x14ac:dyDescent="0.2">
      <c r="Q1423" s="72"/>
      <c r="T1423" s="72"/>
      <c r="U1423" s="93"/>
      <c r="X1423" s="114" t="str">
        <f t="shared" si="34"/>
        <v>1w</v>
      </c>
      <c r="Y1423" s="112">
        <f>_xll.qlCalendarAdvance(Calendar,Y1422,X1423,"f",FALSE)</f>
        <v>49130</v>
      </c>
      <c r="Z1423" s="115">
        <f>_xll.qlCalendarAdvance(Calendar,Y1423,NDays&amp;"D")</f>
        <v>49130</v>
      </c>
      <c r="AA1423" s="116">
        <v>3.7814716394729914E-2</v>
      </c>
      <c r="AB1423" s="113">
        <v>3.7666271976697363E-2</v>
      </c>
    </row>
    <row r="1424" spans="17:28" x14ac:dyDescent="0.2">
      <c r="Q1424" s="72"/>
      <c r="T1424" s="72"/>
      <c r="U1424" s="93"/>
      <c r="X1424" s="114" t="str">
        <f t="shared" si="34"/>
        <v>1w</v>
      </c>
      <c r="Y1424" s="112">
        <f>_xll.qlCalendarAdvance(Calendar,Y1423,X1424,"f",FALSE)</f>
        <v>49137</v>
      </c>
      <c r="Z1424" s="115">
        <f>_xll.qlCalendarAdvance(Calendar,Y1424,NDays&amp;"D")</f>
        <v>49137</v>
      </c>
      <c r="AA1424" s="116">
        <v>3.7810409848982401E-2</v>
      </c>
      <c r="AB1424" s="113">
        <v>3.7661642298840725E-2</v>
      </c>
    </row>
    <row r="1425" spans="17:28" x14ac:dyDescent="0.2">
      <c r="Q1425" s="72"/>
      <c r="T1425" s="72"/>
      <c r="U1425" s="93"/>
      <c r="X1425" s="114" t="str">
        <f t="shared" si="34"/>
        <v>1w</v>
      </c>
      <c r="Y1425" s="112">
        <f>_xll.qlCalendarAdvance(Calendar,Y1424,X1425,"f",FALSE)</f>
        <v>49144</v>
      </c>
      <c r="Z1425" s="115">
        <f>_xll.qlCalendarAdvance(Calendar,Y1425,NDays&amp;"D")</f>
        <v>49144</v>
      </c>
      <c r="AA1425" s="116">
        <v>3.7806159734632604E-2</v>
      </c>
      <c r="AB1425" s="113">
        <v>3.7657068520954295E-2</v>
      </c>
    </row>
    <row r="1426" spans="17:28" x14ac:dyDescent="0.2">
      <c r="Q1426" s="72"/>
      <c r="T1426" s="72"/>
      <c r="U1426" s="93"/>
      <c r="X1426" s="114" t="str">
        <f t="shared" si="34"/>
        <v>1w</v>
      </c>
      <c r="Y1426" s="112">
        <f>_xll.qlCalendarAdvance(Calendar,Y1425,X1426,"f",FALSE)</f>
        <v>49151</v>
      </c>
      <c r="Z1426" s="115">
        <f>_xll.qlCalendarAdvance(Calendar,Y1426,NDays&amp;"D")</f>
        <v>49151</v>
      </c>
      <c r="AA1426" s="116">
        <v>3.7801966051499061E-2</v>
      </c>
      <c r="AB1426" s="113">
        <v>3.7652550642957028E-2</v>
      </c>
    </row>
    <row r="1427" spans="17:28" x14ac:dyDescent="0.2">
      <c r="Q1427" s="72"/>
      <c r="T1427" s="72"/>
      <c r="U1427" s="93"/>
      <c r="X1427" s="114" t="str">
        <f t="shared" si="34"/>
        <v>1w</v>
      </c>
      <c r="Y1427" s="112">
        <f>_xll.qlCalendarAdvance(Calendar,Y1426,X1427,"f",FALSE)</f>
        <v>49158</v>
      </c>
      <c r="Z1427" s="115">
        <f>_xll.qlCalendarAdvance(Calendar,Y1427,NDays&amp;"D")</f>
        <v>49158</v>
      </c>
      <c r="AA1427" s="116">
        <v>3.7797828799409093E-2</v>
      </c>
      <c r="AB1427" s="113">
        <v>3.7648088665092061E-2</v>
      </c>
    </row>
    <row r="1428" spans="17:28" x14ac:dyDescent="0.2">
      <c r="Q1428" s="72"/>
      <c r="T1428" s="72"/>
      <c r="U1428" s="93"/>
      <c r="X1428" s="114" t="str">
        <f t="shared" si="34"/>
        <v>1w</v>
      </c>
      <c r="Y1428" s="112">
        <f>_xll.qlCalendarAdvance(Calendar,Y1427,X1428,"f",FALSE)</f>
        <v>49165</v>
      </c>
      <c r="Z1428" s="115">
        <f>_xll.qlCalendarAdvance(Calendar,Y1428,NDays&amp;"D")</f>
        <v>49165</v>
      </c>
      <c r="AA1428" s="116">
        <v>3.7793747978185639E-2</v>
      </c>
      <c r="AB1428" s="113">
        <v>3.764368258703521E-2</v>
      </c>
    </row>
    <row r="1429" spans="17:28" x14ac:dyDescent="0.2">
      <c r="Q1429" s="72"/>
      <c r="T1429" s="72"/>
      <c r="U1429" s="93"/>
      <c r="X1429" s="114" t="str">
        <f t="shared" ref="X1429:X1492" si="35">X1428</f>
        <v>1w</v>
      </c>
      <c r="Y1429" s="112">
        <f>_xll.qlCalendarAdvance(Calendar,Y1428,X1429,"f",FALSE)</f>
        <v>49172</v>
      </c>
      <c r="Z1429" s="115">
        <f>_xll.qlCalendarAdvance(Calendar,Y1429,NDays&amp;"D")</f>
        <v>49172</v>
      </c>
      <c r="AA1429" s="116">
        <v>3.7789723587654277E-2</v>
      </c>
      <c r="AB1429" s="113">
        <v>3.7639332408948567E-2</v>
      </c>
    </row>
    <row r="1430" spans="17:28" x14ac:dyDescent="0.2">
      <c r="Q1430" s="72"/>
      <c r="T1430" s="72"/>
      <c r="U1430" s="93"/>
      <c r="X1430" s="114" t="str">
        <f t="shared" si="35"/>
        <v>1w</v>
      </c>
      <c r="Y1430" s="112">
        <f>_xll.qlCalendarAdvance(Calendar,Y1429,X1430,"f",FALSE)</f>
        <v>49179</v>
      </c>
      <c r="Z1430" s="115">
        <f>_xll.qlCalendarAdvance(Calendar,Y1430,NDays&amp;"D")</f>
        <v>49179</v>
      </c>
      <c r="AA1430" s="116">
        <v>3.77857556276485E-2</v>
      </c>
      <c r="AB1430" s="113">
        <v>3.7635038130913179E-2</v>
      </c>
    </row>
    <row r="1431" spans="17:28" x14ac:dyDescent="0.2">
      <c r="Q1431" s="72"/>
      <c r="T1431" s="72"/>
      <c r="U1431" s="93"/>
      <c r="X1431" s="114" t="str">
        <f t="shared" si="35"/>
        <v>1w</v>
      </c>
      <c r="Y1431" s="112">
        <f>_xll.qlCalendarAdvance(Calendar,Y1430,X1431,"f",FALSE)</f>
        <v>49186</v>
      </c>
      <c r="Z1431" s="115">
        <f>_xll.qlCalendarAdvance(Calendar,Y1431,NDays&amp;"D")</f>
        <v>49186</v>
      </c>
      <c r="AA1431" s="116">
        <v>3.7781844097995655E-2</v>
      </c>
      <c r="AB1431" s="113">
        <v>3.7630799752766952E-2</v>
      </c>
    </row>
    <row r="1432" spans="17:28" x14ac:dyDescent="0.2">
      <c r="Q1432" s="72"/>
      <c r="T1432" s="72"/>
      <c r="U1432" s="93"/>
      <c r="X1432" s="114" t="str">
        <f t="shared" si="35"/>
        <v>1w</v>
      </c>
      <c r="Y1432" s="112">
        <f>_xll.qlCalendarAdvance(Calendar,Y1431,X1432,"f",FALSE)</f>
        <v>49193</v>
      </c>
      <c r="Z1432" s="115">
        <f>_xll.qlCalendarAdvance(Calendar,Y1432,NDays&amp;"D")</f>
        <v>49193</v>
      </c>
      <c r="AA1432" s="116">
        <v>3.7776304890195837E-2</v>
      </c>
      <c r="AB1432" s="113">
        <v>3.7626617274671981E-2</v>
      </c>
    </row>
    <row r="1433" spans="17:28" x14ac:dyDescent="0.2">
      <c r="Q1433" s="72"/>
      <c r="T1433" s="72"/>
      <c r="U1433" s="93"/>
      <c r="X1433" s="114" t="str">
        <f t="shared" si="35"/>
        <v>1w</v>
      </c>
      <c r="Y1433" s="112">
        <f>_xll.qlCalendarAdvance(Calendar,Y1432,X1433,"f",FALSE)</f>
        <v>49200</v>
      </c>
      <c r="Z1433" s="115">
        <f>_xll.qlCalendarAdvance(Calendar,Y1433,NDays&amp;"D")</f>
        <v>49200</v>
      </c>
      <c r="AA1433" s="116">
        <v>3.7772502581745131E-2</v>
      </c>
      <c r="AB1433" s="113">
        <v>3.7622490696223032E-2</v>
      </c>
    </row>
    <row r="1434" spans="17:28" x14ac:dyDescent="0.2">
      <c r="Q1434" s="72"/>
      <c r="T1434" s="72"/>
      <c r="U1434" s="93"/>
      <c r="X1434" s="114" t="str">
        <f t="shared" si="35"/>
        <v>1w</v>
      </c>
      <c r="Y1434" s="112">
        <f>_xll.qlCalendarAdvance(Calendar,Y1433,X1434,"f",FALSE)</f>
        <v>49207</v>
      </c>
      <c r="Z1434" s="115">
        <f>_xll.qlCalendarAdvance(Calendar,Y1434,NDays&amp;"D")</f>
        <v>49207</v>
      </c>
      <c r="AA1434" s="116">
        <v>3.7768756697323241E-2</v>
      </c>
      <c r="AB1434" s="113">
        <v>3.7618420018068477E-2</v>
      </c>
    </row>
    <row r="1435" spans="17:28" x14ac:dyDescent="0.2">
      <c r="Q1435" s="72"/>
      <c r="T1435" s="72"/>
      <c r="U1435" s="93"/>
      <c r="X1435" s="114" t="str">
        <f t="shared" si="35"/>
        <v>1w</v>
      </c>
      <c r="Y1435" s="112">
        <f>_xll.qlCalendarAdvance(Calendar,Y1434,X1435,"f",FALSE)</f>
        <v>49214</v>
      </c>
      <c r="Z1435" s="115">
        <f>_xll.qlCalendarAdvance(Calendar,Y1435,NDays&amp;"D")</f>
        <v>49214</v>
      </c>
      <c r="AA1435" s="116">
        <v>3.7765067236770748E-2</v>
      </c>
      <c r="AB1435" s="113">
        <v>3.7614405239640991E-2</v>
      </c>
    </row>
    <row r="1436" spans="17:28" x14ac:dyDescent="0.2">
      <c r="Q1436" s="72"/>
      <c r="T1436" s="72"/>
      <c r="U1436" s="93"/>
      <c r="X1436" s="114" t="str">
        <f t="shared" si="35"/>
        <v>1w</v>
      </c>
      <c r="Y1436" s="112">
        <f>_xll.qlCalendarAdvance(Calendar,Y1435,X1436,"f",FALSE)</f>
        <v>49221</v>
      </c>
      <c r="Z1436" s="115">
        <f>_xll.qlCalendarAdvance(Calendar,Y1436,NDays&amp;"D")</f>
        <v>49221</v>
      </c>
      <c r="AA1436" s="116">
        <v>3.7763132899373227E-2</v>
      </c>
      <c r="AB1436" s="113">
        <v>3.7610446361345806E-2</v>
      </c>
    </row>
    <row r="1437" spans="17:28" x14ac:dyDescent="0.2">
      <c r="Q1437" s="72"/>
      <c r="T1437" s="72"/>
      <c r="U1437" s="93"/>
      <c r="X1437" s="114" t="str">
        <f t="shared" si="35"/>
        <v>1w</v>
      </c>
      <c r="Y1437" s="112">
        <f>_xll.qlCalendarAdvance(Calendar,Y1436,X1437,"f",FALSE)</f>
        <v>49228</v>
      </c>
      <c r="Z1437" s="115">
        <f>_xll.qlCalendarAdvance(Calendar,Y1437,NDays&amp;"D")</f>
        <v>49228</v>
      </c>
      <c r="AA1437" s="116">
        <v>3.7759559948468351E-2</v>
      </c>
      <c r="AB1437" s="113">
        <v>3.7606543382858737E-2</v>
      </c>
    </row>
    <row r="1438" spans="17:28" x14ac:dyDescent="0.2">
      <c r="Q1438" s="72"/>
      <c r="T1438" s="72"/>
      <c r="U1438" s="93"/>
      <c r="X1438" s="114" t="str">
        <f t="shared" si="35"/>
        <v>1w</v>
      </c>
      <c r="Y1438" s="112">
        <f>_xll.qlCalendarAdvance(Calendar,Y1437,X1438,"f",FALSE)</f>
        <v>49235</v>
      </c>
      <c r="Z1438" s="115">
        <f>_xll.qlCalendarAdvance(Calendar,Y1438,NDays&amp;"D")</f>
        <v>49235</v>
      </c>
      <c r="AA1438" s="116">
        <v>3.7756043426812588E-2</v>
      </c>
      <c r="AB1438" s="113">
        <v>3.760269630426083E-2</v>
      </c>
    </row>
    <row r="1439" spans="17:28" x14ac:dyDescent="0.2">
      <c r="Q1439" s="72"/>
      <c r="T1439" s="72"/>
      <c r="U1439" s="93"/>
      <c r="X1439" s="114" t="str">
        <f t="shared" si="35"/>
        <v>1w</v>
      </c>
      <c r="Y1439" s="112">
        <f>_xll.qlCalendarAdvance(Calendar,Y1438,X1439,"f",FALSE)</f>
        <v>49242</v>
      </c>
      <c r="Z1439" s="115">
        <f>_xll.qlCalendarAdvance(Calendar,Y1439,NDays&amp;"D")</f>
        <v>49242</v>
      </c>
      <c r="AA1439" s="116">
        <v>3.7752583334257059E-2</v>
      </c>
      <c r="AB1439" s="113">
        <v>3.7598905125633131E-2</v>
      </c>
    </row>
    <row r="1440" spans="17:28" x14ac:dyDescent="0.2">
      <c r="Q1440" s="72"/>
      <c r="T1440" s="72"/>
      <c r="U1440" s="93"/>
      <c r="X1440" s="114" t="str">
        <f t="shared" si="35"/>
        <v>1w</v>
      </c>
      <c r="Y1440" s="112">
        <f>_xll.qlCalendarAdvance(Calendar,Y1439,X1440,"f",FALSE)</f>
        <v>49249</v>
      </c>
      <c r="Z1440" s="115">
        <f>_xll.qlCalendarAdvance(Calendar,Y1440,NDays&amp;"D")</f>
        <v>49249</v>
      </c>
      <c r="AA1440" s="116">
        <v>3.7749179670654644E-2</v>
      </c>
      <c r="AB1440" s="113">
        <v>3.7595169847056686E-2</v>
      </c>
    </row>
    <row r="1441" spans="17:28" x14ac:dyDescent="0.2">
      <c r="Q1441" s="72"/>
      <c r="T1441" s="72"/>
      <c r="U1441" s="93"/>
      <c r="X1441" s="114" t="str">
        <f t="shared" si="35"/>
        <v>1w</v>
      </c>
      <c r="Y1441" s="112">
        <f>_xll.qlCalendarAdvance(Calendar,Y1440,X1441,"f",FALSE)</f>
        <v>49256</v>
      </c>
      <c r="Z1441" s="115">
        <f>_xll.qlCalendarAdvance(Calendar,Y1441,NDays&amp;"D")</f>
        <v>49256</v>
      </c>
      <c r="AA1441" s="116">
        <v>3.7745832435862638E-2</v>
      </c>
      <c r="AB1441" s="113">
        <v>3.7591490468369404E-2</v>
      </c>
    </row>
    <row r="1442" spans="17:28" x14ac:dyDescent="0.2">
      <c r="Q1442" s="72"/>
      <c r="T1442" s="72"/>
      <c r="U1442" s="93"/>
      <c r="X1442" s="114" t="str">
        <f t="shared" si="35"/>
        <v>1w</v>
      </c>
      <c r="Y1442" s="112">
        <f>_xll.qlCalendarAdvance(Calendar,Y1441,X1442,"f",FALSE)</f>
        <v>49263</v>
      </c>
      <c r="Z1442" s="115">
        <f>_xll.qlCalendarAdvance(Calendar,Y1442,NDays&amp;"D")</f>
        <v>49263</v>
      </c>
      <c r="AA1442" s="116">
        <v>3.7742541629739203E-2</v>
      </c>
      <c r="AB1442" s="113">
        <v>3.758786698965233E-2</v>
      </c>
    </row>
    <row r="1443" spans="17:28" x14ac:dyDescent="0.2">
      <c r="Q1443" s="72"/>
      <c r="T1443" s="72"/>
      <c r="U1443" s="93"/>
      <c r="X1443" s="114" t="str">
        <f t="shared" si="35"/>
        <v>1w</v>
      </c>
      <c r="Y1443" s="112">
        <f>_xll.qlCalendarAdvance(Calendar,Y1442,X1443,"f",FALSE)</f>
        <v>49270</v>
      </c>
      <c r="Z1443" s="115">
        <f>_xll.qlCalendarAdvance(Calendar,Y1443,NDays&amp;"D")</f>
        <v>49270</v>
      </c>
      <c r="AA1443" s="116">
        <v>3.7739307252145152E-2</v>
      </c>
      <c r="AB1443" s="113">
        <v>3.7584299410905464E-2</v>
      </c>
    </row>
    <row r="1444" spans="17:28" x14ac:dyDescent="0.2">
      <c r="Q1444" s="72"/>
      <c r="T1444" s="72"/>
      <c r="U1444" s="93"/>
      <c r="X1444" s="114" t="str">
        <f t="shared" si="35"/>
        <v>1w</v>
      </c>
      <c r="Y1444" s="112">
        <f>_xll.qlCalendarAdvance(Calendar,Y1443,X1444,"f",FALSE)</f>
        <v>49277</v>
      </c>
      <c r="Z1444" s="115">
        <f>_xll.qlCalendarAdvance(Calendar,Y1444,NDays&amp;"D")</f>
        <v>49277</v>
      </c>
      <c r="AA1444" s="116">
        <v>3.7734401141323273E-2</v>
      </c>
      <c r="AB1444" s="113">
        <v>3.7580787731804621E-2</v>
      </c>
    </row>
    <row r="1445" spans="17:28" x14ac:dyDescent="0.2">
      <c r="Q1445" s="72"/>
      <c r="T1445" s="72"/>
      <c r="U1445" s="93"/>
      <c r="X1445" s="114" t="str">
        <f t="shared" si="35"/>
        <v>1w</v>
      </c>
      <c r="Y1445" s="112">
        <f>_xll.qlCalendarAdvance(Calendar,Y1444,X1445,"f",FALSE)</f>
        <v>49284</v>
      </c>
      <c r="Z1445" s="115">
        <f>_xll.qlCalendarAdvance(Calendar,Y1445,NDays&amp;"D")</f>
        <v>49284</v>
      </c>
      <c r="AA1445" s="116">
        <v>3.7729544514327813E-2</v>
      </c>
      <c r="AB1445" s="113">
        <v>3.7577331952917126E-2</v>
      </c>
    </row>
    <row r="1446" spans="17:28" x14ac:dyDescent="0.2">
      <c r="Q1446" s="72"/>
      <c r="T1446" s="72"/>
      <c r="U1446" s="93"/>
      <c r="X1446" s="114" t="str">
        <f t="shared" si="35"/>
        <v>1w</v>
      </c>
      <c r="Y1446" s="112">
        <f>_xll.qlCalendarAdvance(Calendar,Y1445,X1446,"f",FALSE)</f>
        <v>49291</v>
      </c>
      <c r="Z1446" s="115">
        <f>_xll.qlCalendarAdvance(Calendar,Y1446,NDays&amp;"D")</f>
        <v>49291</v>
      </c>
      <c r="AA1446" s="116">
        <v>3.7726471992677042E-2</v>
      </c>
      <c r="AB1446" s="113">
        <v>3.75739320737567E-2</v>
      </c>
    </row>
    <row r="1447" spans="17:28" x14ac:dyDescent="0.2">
      <c r="Q1447" s="72"/>
      <c r="T1447" s="72"/>
      <c r="U1447" s="93"/>
      <c r="X1447" s="114" t="str">
        <f t="shared" si="35"/>
        <v>1w</v>
      </c>
      <c r="Y1447" s="112">
        <f>_xll.qlCalendarAdvance(Calendar,Y1446,X1447,"f",FALSE)</f>
        <v>49298</v>
      </c>
      <c r="Z1447" s="115">
        <f>_xll.qlCalendarAdvance(Calendar,Y1447,NDays&amp;"D")</f>
        <v>49298</v>
      </c>
      <c r="AA1447" s="116">
        <v>3.7723455887384662E-2</v>
      </c>
      <c r="AB1447" s="113">
        <v>3.7570588094728574E-2</v>
      </c>
    </row>
    <row r="1448" spans="17:28" x14ac:dyDescent="0.2">
      <c r="Q1448" s="72"/>
      <c r="T1448" s="72"/>
      <c r="U1448" s="93"/>
      <c r="X1448" s="114" t="str">
        <f t="shared" si="35"/>
        <v>1w</v>
      </c>
      <c r="Y1448" s="112">
        <f>_xll.qlCalendarAdvance(Calendar,Y1447,X1448,"f",FALSE)</f>
        <v>49305</v>
      </c>
      <c r="Z1448" s="115">
        <f>_xll.qlCalendarAdvance(Calendar,Y1448,NDays&amp;"D")</f>
        <v>49305</v>
      </c>
      <c r="AA1448" s="116">
        <v>3.7720496198320991E-2</v>
      </c>
      <c r="AB1448" s="113">
        <v>3.7567300015427518E-2</v>
      </c>
    </row>
    <row r="1449" spans="17:28" x14ac:dyDescent="0.2">
      <c r="Q1449" s="72"/>
      <c r="T1449" s="72"/>
      <c r="U1449" s="93"/>
      <c r="X1449" s="114" t="str">
        <f t="shared" si="35"/>
        <v>1w</v>
      </c>
      <c r="Y1449" s="112">
        <f>_xll.qlCalendarAdvance(Calendar,Y1448,X1449,"f",FALSE)</f>
        <v>49312</v>
      </c>
      <c r="Z1449" s="115">
        <f>_xll.qlCalendarAdvance(Calendar,Y1449,NDays&amp;"D")</f>
        <v>49312</v>
      </c>
      <c r="AA1449" s="116">
        <v>3.7717592925364467E-2</v>
      </c>
      <c r="AB1449" s="113">
        <v>3.7564067836096671E-2</v>
      </c>
    </row>
    <row r="1450" spans="17:28" x14ac:dyDescent="0.2">
      <c r="Q1450" s="72"/>
      <c r="T1450" s="72"/>
      <c r="U1450" s="93"/>
      <c r="X1450" s="114" t="str">
        <f t="shared" si="35"/>
        <v>1w</v>
      </c>
      <c r="Y1450" s="112">
        <f>_xll.qlCalendarAdvance(Calendar,Y1449,X1450,"f",FALSE)</f>
        <v>49319</v>
      </c>
      <c r="Z1450" s="115">
        <f>_xll.qlCalendarAdvance(Calendar,Y1450,NDays&amp;"D")</f>
        <v>49319</v>
      </c>
      <c r="AA1450" s="116">
        <v>3.7714746068396213E-2</v>
      </c>
      <c r="AB1450" s="113">
        <v>3.7560891556736031E-2</v>
      </c>
    </row>
    <row r="1451" spans="17:28" x14ac:dyDescent="0.2">
      <c r="Q1451" s="72"/>
      <c r="T1451" s="72"/>
      <c r="U1451" s="93"/>
      <c r="X1451" s="114" t="str">
        <f t="shared" si="35"/>
        <v>1w</v>
      </c>
      <c r="Y1451" s="112">
        <f>_xll.qlCalendarAdvance(Calendar,Y1450,X1451,"f",FALSE)</f>
        <v>49326</v>
      </c>
      <c r="Z1451" s="115">
        <f>_xll.qlCalendarAdvance(Calendar,Y1451,NDays&amp;"D")</f>
        <v>49326</v>
      </c>
      <c r="AA1451" s="116">
        <v>3.7711955627298274E-2</v>
      </c>
      <c r="AB1451" s="113">
        <v>3.75577711773456E-2</v>
      </c>
    </row>
    <row r="1452" spans="17:28" x14ac:dyDescent="0.2">
      <c r="Q1452" s="72"/>
      <c r="T1452" s="72"/>
      <c r="U1452" s="93"/>
      <c r="X1452" s="114" t="str">
        <f t="shared" si="35"/>
        <v>1w</v>
      </c>
      <c r="Y1452" s="112">
        <f>_xll.qlCalendarAdvance(Calendar,Y1451,X1452,"f",FALSE)</f>
        <v>49333</v>
      </c>
      <c r="Z1452" s="115">
        <f>_xll.qlCalendarAdvance(Calendar,Y1452,NDays&amp;"D")</f>
        <v>49333</v>
      </c>
      <c r="AA1452" s="116">
        <v>3.7709221601954473E-2</v>
      </c>
      <c r="AB1452" s="113">
        <v>3.7554706697844331E-2</v>
      </c>
    </row>
    <row r="1453" spans="17:28" x14ac:dyDescent="0.2">
      <c r="Q1453" s="72"/>
      <c r="T1453" s="72"/>
      <c r="U1453" s="93"/>
      <c r="X1453" s="114" t="str">
        <f t="shared" si="35"/>
        <v>1w</v>
      </c>
      <c r="Y1453" s="112">
        <f>_xll.qlCalendarAdvance(Calendar,Y1452,X1453,"f",FALSE)</f>
        <v>49340</v>
      </c>
      <c r="Z1453" s="115">
        <f>_xll.qlCalendarAdvance(Calendar,Y1453,NDays&amp;"D")</f>
        <v>49340</v>
      </c>
      <c r="AA1453" s="116">
        <v>3.7704783199988823E-2</v>
      </c>
      <c r="AB1453" s="113">
        <v>3.7551698118151178E-2</v>
      </c>
    </row>
    <row r="1454" spans="17:28" x14ac:dyDescent="0.2">
      <c r="Q1454" s="72"/>
      <c r="T1454" s="72"/>
      <c r="U1454" s="93"/>
      <c r="X1454" s="114" t="str">
        <f t="shared" si="35"/>
        <v>1w</v>
      </c>
      <c r="Y1454" s="112">
        <f>_xll.qlCalendarAdvance(Calendar,Y1453,X1454,"f",FALSE)</f>
        <v>49347</v>
      </c>
      <c r="Z1454" s="115">
        <f>_xll.qlCalendarAdvance(Calendar,Y1454,NDays&amp;"D")</f>
        <v>49347</v>
      </c>
      <c r="AA1454" s="116">
        <v>3.7702158246072509E-2</v>
      </c>
      <c r="AB1454" s="113">
        <v>3.7548745438509279E-2</v>
      </c>
    </row>
    <row r="1455" spans="17:28" x14ac:dyDescent="0.2">
      <c r="Q1455" s="72"/>
      <c r="T1455" s="72"/>
      <c r="U1455" s="93"/>
      <c r="X1455" s="114" t="str">
        <f t="shared" si="35"/>
        <v>1w</v>
      </c>
      <c r="Y1455" s="112">
        <f>_xll.qlCalendarAdvance(Calendar,Y1454,X1455,"f",FALSE)</f>
        <v>49354</v>
      </c>
      <c r="Z1455" s="115">
        <f>_xll.qlCalendarAdvance(Calendar,Y1455,NDays&amp;"D")</f>
        <v>49354</v>
      </c>
      <c r="AA1455" s="116">
        <v>3.7699589701767268E-2</v>
      </c>
      <c r="AB1455" s="113">
        <v>3.7545848658756542E-2</v>
      </c>
    </row>
    <row r="1456" spans="17:28" x14ac:dyDescent="0.2">
      <c r="Q1456" s="72"/>
      <c r="T1456" s="72"/>
      <c r="U1456" s="93"/>
      <c r="X1456" s="114" t="str">
        <f t="shared" si="35"/>
        <v>1w</v>
      </c>
      <c r="Y1456" s="112">
        <f>_xll.qlCalendarAdvance(Calendar,Y1455,X1456,"f",FALSE)</f>
        <v>49361</v>
      </c>
      <c r="Z1456" s="115">
        <f>_xll.qlCalendarAdvance(Calendar,Y1456,NDays&amp;"D")</f>
        <v>49361</v>
      </c>
      <c r="AA1456" s="116">
        <v>3.7697076725148861E-2</v>
      </c>
      <c r="AB1456" s="113">
        <v>3.7543007778811921E-2</v>
      </c>
    </row>
    <row r="1457" spans="17:28" x14ac:dyDescent="0.2">
      <c r="Q1457" s="72"/>
      <c r="T1457" s="72"/>
      <c r="U1457" s="93"/>
      <c r="X1457" s="114" t="str">
        <f t="shared" si="35"/>
        <v>1w</v>
      </c>
      <c r="Y1457" s="112">
        <f>_xll.qlCalendarAdvance(Calendar,Y1456,X1457,"f",FALSE)</f>
        <v>49368</v>
      </c>
      <c r="Z1457" s="115">
        <f>_xll.qlCalendarAdvance(Calendar,Y1457,NDays&amp;"D")</f>
        <v>49368</v>
      </c>
      <c r="AA1457" s="116">
        <v>3.7699939220914025E-2</v>
      </c>
      <c r="AB1457" s="113">
        <v>3.7540222798837508E-2</v>
      </c>
    </row>
    <row r="1458" spans="17:28" x14ac:dyDescent="0.2">
      <c r="Q1458" s="72"/>
      <c r="T1458" s="72"/>
      <c r="U1458" s="93"/>
      <c r="X1458" s="114" t="str">
        <f t="shared" si="35"/>
        <v>1w</v>
      </c>
      <c r="Y1458" s="112">
        <f>_xll.qlCalendarAdvance(Calendar,Y1457,X1458,"f",FALSE)</f>
        <v>49375</v>
      </c>
      <c r="Z1458" s="115">
        <f>_xll.qlCalendarAdvance(Calendar,Y1458,NDays&amp;"D")</f>
        <v>49375</v>
      </c>
      <c r="AA1458" s="116">
        <v>3.7697530092758481E-2</v>
      </c>
      <c r="AB1458" s="113">
        <v>3.7537493718833304E-2</v>
      </c>
    </row>
    <row r="1459" spans="17:28" x14ac:dyDescent="0.2">
      <c r="Q1459" s="72"/>
      <c r="T1459" s="72"/>
      <c r="U1459" s="93"/>
      <c r="X1459" s="114" t="str">
        <f t="shared" si="35"/>
        <v>1w</v>
      </c>
      <c r="Y1459" s="112">
        <f>_xll.qlCalendarAdvance(Calendar,Y1458,X1459,"f",FALSE)</f>
        <v>49382</v>
      </c>
      <c r="Z1459" s="115">
        <f>_xll.qlCalendarAdvance(Calendar,Y1459,NDays&amp;"D")</f>
        <v>49382</v>
      </c>
      <c r="AA1459" s="116">
        <v>3.769516063341511E-2</v>
      </c>
      <c r="AB1459" s="113">
        <v>3.7534820538637215E-2</v>
      </c>
    </row>
    <row r="1460" spans="17:28" x14ac:dyDescent="0.2">
      <c r="Q1460" s="72"/>
      <c r="T1460" s="72"/>
      <c r="U1460" s="93"/>
      <c r="X1460" s="114" t="str">
        <f t="shared" si="35"/>
        <v>1w</v>
      </c>
      <c r="Y1460" s="112">
        <f>_xll.qlCalendarAdvance(Calendar,Y1459,X1460,"f",FALSE)</f>
        <v>49389</v>
      </c>
      <c r="Z1460" s="115">
        <f>_xll.qlCalendarAdvance(Calendar,Y1460,NDays&amp;"D")</f>
        <v>49389</v>
      </c>
      <c r="AA1460" s="116">
        <v>3.7692825955110455E-2</v>
      </c>
      <c r="AB1460" s="113">
        <v>3.7532203258411334E-2</v>
      </c>
    </row>
    <row r="1461" spans="17:28" x14ac:dyDescent="0.2">
      <c r="Q1461" s="72"/>
      <c r="T1461" s="72"/>
      <c r="U1461" s="93"/>
      <c r="X1461" s="114" t="str">
        <f t="shared" si="35"/>
        <v>1w</v>
      </c>
      <c r="Y1461" s="112">
        <f>_xll.qlCalendarAdvance(Calendar,Y1460,X1461,"f",FALSE)</f>
        <v>49396</v>
      </c>
      <c r="Z1461" s="115">
        <f>_xll.qlCalendarAdvance(Calendar,Y1461,NDays&amp;"D")</f>
        <v>49396</v>
      </c>
      <c r="AA1461" s="116">
        <v>3.7690521170085145E-2</v>
      </c>
      <c r="AB1461" s="113">
        <v>3.7529641878155662E-2</v>
      </c>
    </row>
    <row r="1462" spans="17:28" x14ac:dyDescent="0.2">
      <c r="Q1462" s="72"/>
      <c r="T1462" s="72"/>
      <c r="U1462" s="93"/>
      <c r="X1462" s="114" t="str">
        <f t="shared" si="35"/>
        <v>1w</v>
      </c>
      <c r="Y1462" s="112">
        <f>_xll.qlCalendarAdvance(Calendar,Y1461,X1462,"f",FALSE)</f>
        <v>49403</v>
      </c>
      <c r="Z1462" s="115">
        <f>_xll.qlCalendarAdvance(Calendar,Y1462,NDays&amp;"D")</f>
        <v>49403</v>
      </c>
      <c r="AA1462" s="116">
        <v>3.7686461045580967E-2</v>
      </c>
      <c r="AB1462" s="113">
        <v>3.7527136397627059E-2</v>
      </c>
    </row>
    <row r="1463" spans="17:28" x14ac:dyDescent="0.2">
      <c r="Q1463" s="72"/>
      <c r="T1463" s="72"/>
      <c r="U1463" s="93"/>
      <c r="X1463" s="114" t="str">
        <f t="shared" si="35"/>
        <v>1w</v>
      </c>
      <c r="Y1463" s="112">
        <f>_xll.qlCalendarAdvance(Calendar,Y1462,X1463,"f",FALSE)</f>
        <v>49410</v>
      </c>
      <c r="Z1463" s="115">
        <f>_xll.qlCalendarAdvance(Calendar,Y1463,NDays&amp;"D")</f>
        <v>49410</v>
      </c>
      <c r="AA1463" s="116">
        <v>3.7684201441696014E-2</v>
      </c>
      <c r="AB1463" s="113">
        <v>3.7524686817149711E-2</v>
      </c>
    </row>
    <row r="1464" spans="17:28" x14ac:dyDescent="0.2">
      <c r="Q1464" s="72"/>
      <c r="T1464" s="72"/>
      <c r="U1464" s="93"/>
      <c r="X1464" s="114" t="str">
        <f t="shared" si="35"/>
        <v>1w</v>
      </c>
      <c r="Y1464" s="112">
        <f>_xll.qlCalendarAdvance(Calendar,Y1463,X1464,"f",FALSE)</f>
        <v>49417</v>
      </c>
      <c r="Z1464" s="115">
        <f>_xll.qlCalendarAdvance(Calendar,Y1464,NDays&amp;"D")</f>
        <v>49417</v>
      </c>
      <c r="AA1464" s="116">
        <v>3.7681957319487147E-2</v>
      </c>
      <c r="AB1464" s="113">
        <v>3.7522293136480478E-2</v>
      </c>
    </row>
    <row r="1465" spans="17:28" x14ac:dyDescent="0.2">
      <c r="Q1465" s="72"/>
      <c r="T1465" s="72"/>
      <c r="U1465" s="93"/>
      <c r="X1465" s="114" t="str">
        <f t="shared" si="35"/>
        <v>1w</v>
      </c>
      <c r="Y1465" s="112">
        <f>_xll.qlCalendarAdvance(Calendar,Y1464,X1465,"f",FALSE)</f>
        <v>49425</v>
      </c>
      <c r="Z1465" s="115">
        <f>_xll.qlCalendarAdvance(Calendar,Y1465,NDays&amp;"D")</f>
        <v>49425</v>
      </c>
      <c r="AA1465" s="116">
        <v>3.767940522734544E-2</v>
      </c>
      <c r="AB1465" s="113">
        <v>3.7519625950386271E-2</v>
      </c>
    </row>
    <row r="1466" spans="17:28" x14ac:dyDescent="0.2">
      <c r="Q1466" s="72"/>
      <c r="T1466" s="72"/>
      <c r="U1466" s="93"/>
      <c r="X1466" s="114" t="str">
        <f t="shared" si="35"/>
        <v>1w</v>
      </c>
      <c r="Y1466" s="112">
        <f>_xll.qlCalendarAdvance(Calendar,Y1465,X1466,"f",FALSE)</f>
        <v>49432</v>
      </c>
      <c r="Z1466" s="115">
        <f>_xll.qlCalendarAdvance(Calendar,Y1466,NDays&amp;"D")</f>
        <v>49432</v>
      </c>
      <c r="AA1466" s="116">
        <v>3.7678956357312568E-2</v>
      </c>
      <c r="AB1466" s="113">
        <v>3.7517352055309594E-2</v>
      </c>
    </row>
    <row r="1467" spans="17:28" x14ac:dyDescent="0.2">
      <c r="Q1467" s="72"/>
      <c r="T1467" s="72"/>
      <c r="U1467" s="93"/>
      <c r="X1467" s="114" t="str">
        <f t="shared" si="35"/>
        <v>1w</v>
      </c>
      <c r="Y1467" s="112">
        <f>_xll.qlCalendarAdvance(Calendar,Y1466,X1467,"f",FALSE)</f>
        <v>49439</v>
      </c>
      <c r="Z1467" s="115">
        <f>_xll.qlCalendarAdvance(Calendar,Y1467,NDays&amp;"D")</f>
        <v>49439</v>
      </c>
      <c r="AA1467" s="116">
        <v>3.7676727971673832E-2</v>
      </c>
      <c r="AB1467" s="113">
        <v>3.7515134060041033E-2</v>
      </c>
    </row>
    <row r="1468" spans="17:28" x14ac:dyDescent="0.2">
      <c r="Q1468" s="72"/>
      <c r="T1468" s="72"/>
      <c r="U1468" s="93"/>
      <c r="X1468" s="114" t="str">
        <f t="shared" si="35"/>
        <v>1w</v>
      </c>
      <c r="Y1468" s="112">
        <f>_xll.qlCalendarAdvance(Calendar,Y1467,X1468,"f",FALSE)</f>
        <v>49446</v>
      </c>
      <c r="Z1468" s="115">
        <f>_xll.qlCalendarAdvance(Calendar,Y1468,NDays&amp;"D")</f>
        <v>49446</v>
      </c>
      <c r="AA1468" s="116">
        <v>3.7674494631206416E-2</v>
      </c>
      <c r="AB1468" s="113">
        <v>3.751296395558712E-2</v>
      </c>
    </row>
    <row r="1469" spans="17:28" x14ac:dyDescent="0.2">
      <c r="Q1469" s="72"/>
      <c r="T1469" s="72"/>
      <c r="U1469" s="93"/>
      <c r="X1469" s="114" t="str">
        <f t="shared" si="35"/>
        <v>1w</v>
      </c>
      <c r="Y1469" s="112">
        <f>_xll.qlCalendarAdvance(Calendar,Y1468,X1469,"f",FALSE)</f>
        <v>49453</v>
      </c>
      <c r="Z1469" s="115">
        <f>_xll.qlCalendarAdvance(Calendar,Y1469,NDays&amp;"D")</f>
        <v>49453</v>
      </c>
      <c r="AA1469" s="116">
        <v>3.767225363083565E-2</v>
      </c>
      <c r="AB1469" s="113">
        <v>3.7510794119720581E-2</v>
      </c>
    </row>
    <row r="1470" spans="17:28" x14ac:dyDescent="0.2">
      <c r="Q1470" s="72"/>
      <c r="T1470" s="72"/>
      <c r="U1470" s="93"/>
      <c r="X1470" s="114" t="str">
        <f t="shared" si="35"/>
        <v>1w</v>
      </c>
      <c r="Y1470" s="112">
        <f>_xll.qlCalendarAdvance(Calendar,Y1469,X1470,"f",FALSE)</f>
        <v>49460</v>
      </c>
      <c r="Z1470" s="115">
        <f>_xll.qlCalendarAdvance(Calendar,Y1470,NDays&amp;"D")</f>
        <v>49460</v>
      </c>
      <c r="AA1470" s="116">
        <v>3.767000481857509E-2</v>
      </c>
      <c r="AB1470" s="113">
        <v>3.7508616543528994E-2</v>
      </c>
    </row>
    <row r="1471" spans="17:28" x14ac:dyDescent="0.2">
      <c r="Q1471" s="72"/>
      <c r="T1471" s="72"/>
      <c r="U1471" s="93"/>
      <c r="X1471" s="114" t="str">
        <f t="shared" si="35"/>
        <v>1w</v>
      </c>
      <c r="Y1471" s="112">
        <f>_xll.qlCalendarAdvance(Calendar,Y1470,X1471,"f",FALSE)</f>
        <v>49467</v>
      </c>
      <c r="Z1471" s="115">
        <f>_xll.qlCalendarAdvance(Calendar,Y1471,NDays&amp;"D")</f>
        <v>49467</v>
      </c>
      <c r="AA1471" s="116">
        <v>3.7667748194439708E-2</v>
      </c>
      <c r="AB1471" s="113">
        <v>3.7506431226931314E-2</v>
      </c>
    </row>
    <row r="1472" spans="17:28" x14ac:dyDescent="0.2">
      <c r="Q1472" s="72"/>
      <c r="T1472" s="72"/>
      <c r="U1472" s="93"/>
      <c r="X1472" s="114" t="str">
        <f t="shared" si="35"/>
        <v>1w</v>
      </c>
      <c r="Y1472" s="112">
        <f>_xll.qlCalendarAdvance(Calendar,Y1471,X1472,"f",FALSE)</f>
        <v>49474</v>
      </c>
      <c r="Z1472" s="115">
        <f>_xll.qlCalendarAdvance(Calendar,Y1472,NDays&amp;"D")</f>
        <v>49474</v>
      </c>
      <c r="AA1472" s="116">
        <v>3.7665483758440081E-2</v>
      </c>
      <c r="AB1472" s="113">
        <v>3.7504238169846493E-2</v>
      </c>
    </row>
    <row r="1473" spans="17:28" x14ac:dyDescent="0.2">
      <c r="Q1473" s="72"/>
      <c r="T1473" s="72"/>
      <c r="U1473" s="93"/>
      <c r="X1473" s="114" t="str">
        <f t="shared" si="35"/>
        <v>1w</v>
      </c>
      <c r="Y1473" s="112">
        <f>_xll.qlCalendarAdvance(Calendar,Y1472,X1473,"f",FALSE)</f>
        <v>49481</v>
      </c>
      <c r="Z1473" s="115">
        <f>_xll.qlCalendarAdvance(Calendar,Y1473,NDays&amp;"D")</f>
        <v>49481</v>
      </c>
      <c r="AA1473" s="116">
        <v>3.7663211510592057E-2</v>
      </c>
      <c r="AB1473" s="113">
        <v>3.7502037372274533E-2</v>
      </c>
    </row>
    <row r="1474" spans="17:28" x14ac:dyDescent="0.2">
      <c r="Q1474" s="72"/>
      <c r="T1474" s="72"/>
      <c r="U1474" s="93"/>
      <c r="X1474" s="114" t="str">
        <f t="shared" si="35"/>
        <v>1w</v>
      </c>
      <c r="Y1474" s="112">
        <f>_xll.qlCalendarAdvance(Calendar,Y1473,X1474,"f",FALSE)</f>
        <v>49488</v>
      </c>
      <c r="Z1474" s="115">
        <f>_xll.qlCalendarAdvance(Calendar,Y1474,NDays&amp;"D")</f>
        <v>49488</v>
      </c>
      <c r="AA1474" s="116">
        <v>3.7660931450907986E-2</v>
      </c>
      <c r="AB1474" s="113">
        <v>3.7499828834377524E-2</v>
      </c>
    </row>
    <row r="1475" spans="17:28" x14ac:dyDescent="0.2">
      <c r="Q1475" s="72"/>
      <c r="T1475" s="72"/>
      <c r="U1475" s="93"/>
      <c r="X1475" s="114" t="str">
        <f t="shared" si="35"/>
        <v>1w</v>
      </c>
      <c r="Y1475" s="112">
        <f>_xll.qlCalendarAdvance(Calendar,Y1474,X1475,"f",FALSE)</f>
        <v>49495</v>
      </c>
      <c r="Z1475" s="115">
        <f>_xll.qlCalendarAdvance(Calendar,Y1475,NDays&amp;"D")</f>
        <v>49495</v>
      </c>
      <c r="AA1475" s="116">
        <v>3.7658643579401067E-2</v>
      </c>
      <c r="AB1475" s="113">
        <v>3.7497612556074422E-2</v>
      </c>
    </row>
    <row r="1476" spans="17:28" x14ac:dyDescent="0.2">
      <c r="Q1476" s="72"/>
      <c r="T1476" s="72"/>
      <c r="U1476" s="93"/>
      <c r="X1476" s="114" t="str">
        <f t="shared" si="35"/>
        <v>1w</v>
      </c>
      <c r="Y1476" s="112">
        <f>_xll.qlCalendarAdvance(Calendar,Y1475,X1476,"f",FALSE)</f>
        <v>49502</v>
      </c>
      <c r="Z1476" s="115">
        <f>_xll.qlCalendarAdvance(Calendar,Y1476,NDays&amp;"D")</f>
        <v>49502</v>
      </c>
      <c r="AA1476" s="116">
        <v>3.7656347896084519E-2</v>
      </c>
      <c r="AB1476" s="113">
        <v>3.7495388537122087E-2</v>
      </c>
    </row>
    <row r="1477" spans="17:28" x14ac:dyDescent="0.2">
      <c r="Q1477" s="72"/>
      <c r="T1477" s="72"/>
      <c r="U1477" s="93"/>
      <c r="X1477" s="114" t="str">
        <f t="shared" si="35"/>
        <v>1w</v>
      </c>
      <c r="Y1477" s="112">
        <f>_xll.qlCalendarAdvance(Calendar,Y1476,X1477,"f",FALSE)</f>
        <v>49509</v>
      </c>
      <c r="Z1477" s="115">
        <f>_xll.qlCalendarAdvance(Calendar,Y1477,NDays&amp;"D")</f>
        <v>49509</v>
      </c>
      <c r="AA1477" s="116">
        <v>3.7654044400971552E-2</v>
      </c>
      <c r="AB1477" s="113">
        <v>3.7493156777925751E-2</v>
      </c>
    </row>
    <row r="1478" spans="17:28" x14ac:dyDescent="0.2">
      <c r="Q1478" s="72"/>
      <c r="T1478" s="72"/>
      <c r="U1478" s="93"/>
      <c r="X1478" s="114" t="str">
        <f t="shared" si="35"/>
        <v>1w</v>
      </c>
      <c r="Y1478" s="112">
        <f>_xll.qlCalendarAdvance(Calendar,Y1477,X1478,"f",FALSE)</f>
        <v>49516</v>
      </c>
      <c r="Z1478" s="115">
        <f>_xll.qlCalendarAdvance(Calendar,Y1478,NDays&amp;"D")</f>
        <v>49516</v>
      </c>
      <c r="AA1478" s="116">
        <v>3.7651733094076267E-2</v>
      </c>
      <c r="AB1478" s="113">
        <v>3.7490917278161229E-2</v>
      </c>
    </row>
    <row r="1479" spans="17:28" x14ac:dyDescent="0.2">
      <c r="Q1479" s="72"/>
      <c r="T1479" s="72"/>
      <c r="U1479" s="93"/>
      <c r="X1479" s="114" t="str">
        <f t="shared" si="35"/>
        <v>1w</v>
      </c>
      <c r="Y1479" s="112">
        <f>_xll.qlCalendarAdvance(Calendar,Y1478,X1479,"f",FALSE)</f>
        <v>49523</v>
      </c>
      <c r="Z1479" s="115">
        <f>_xll.qlCalendarAdvance(Calendar,Y1479,NDays&amp;"D")</f>
        <v>49523</v>
      </c>
      <c r="AA1479" s="116">
        <v>3.7649413975413638E-2</v>
      </c>
      <c r="AB1479" s="113">
        <v>3.7488670038071659E-2</v>
      </c>
    </row>
    <row r="1480" spans="17:28" x14ac:dyDescent="0.2">
      <c r="Q1480" s="72"/>
      <c r="T1480" s="72"/>
      <c r="U1480" s="93"/>
      <c r="X1480" s="114" t="str">
        <f t="shared" si="35"/>
        <v>1w</v>
      </c>
      <c r="Y1480" s="112">
        <f>_xll.qlCalendarAdvance(Calendar,Y1479,X1480,"f",FALSE)</f>
        <v>49530</v>
      </c>
      <c r="Z1480" s="115">
        <f>_xll.qlCalendarAdvance(Calendar,Y1480,NDays&amp;"D")</f>
        <v>49530</v>
      </c>
      <c r="AA1480" s="116">
        <v>3.764708704499424E-2</v>
      </c>
      <c r="AB1480" s="113">
        <v>3.7486415057494948E-2</v>
      </c>
    </row>
    <row r="1481" spans="17:28" x14ac:dyDescent="0.2">
      <c r="Q1481" s="72"/>
      <c r="T1481" s="72"/>
      <c r="U1481" s="93"/>
      <c r="X1481" s="114" t="str">
        <f t="shared" si="35"/>
        <v>1w</v>
      </c>
      <c r="Y1481" s="112">
        <f>_xll.qlCalendarAdvance(Calendar,Y1480,X1481,"f",FALSE)</f>
        <v>49537</v>
      </c>
      <c r="Z1481" s="115">
        <f>_xll.qlCalendarAdvance(Calendar,Y1481,NDays&amp;"D")</f>
        <v>49537</v>
      </c>
      <c r="AA1481" s="116">
        <v>3.7644752302833047E-2</v>
      </c>
      <c r="AB1481" s="113">
        <v>3.7484152336431098E-2</v>
      </c>
    </row>
    <row r="1482" spans="17:28" x14ac:dyDescent="0.2">
      <c r="Q1482" s="72"/>
      <c r="T1482" s="72"/>
      <c r="U1482" s="93"/>
      <c r="X1482" s="114" t="str">
        <f t="shared" si="35"/>
        <v>1w</v>
      </c>
      <c r="Y1482" s="112">
        <f>_xll.qlCalendarAdvance(Calendar,Y1481,X1482,"f",FALSE)</f>
        <v>49544</v>
      </c>
      <c r="Z1482" s="115">
        <f>_xll.qlCalendarAdvance(Calendar,Y1482,NDays&amp;"D")</f>
        <v>49544</v>
      </c>
      <c r="AA1482" s="116">
        <v>3.7642409748944144E-2</v>
      </c>
      <c r="AB1482" s="113">
        <v>3.74818818750422E-2</v>
      </c>
    </row>
    <row r="1483" spans="17:28" x14ac:dyDescent="0.2">
      <c r="Q1483" s="72"/>
      <c r="T1483" s="72"/>
      <c r="U1483" s="93"/>
      <c r="X1483" s="114" t="str">
        <f t="shared" si="35"/>
        <v>1w</v>
      </c>
      <c r="Y1483" s="112">
        <f>_xll.qlCalendarAdvance(Calendar,Y1482,X1483,"f",FALSE)</f>
        <v>49551</v>
      </c>
      <c r="Z1483" s="115">
        <f>_xll.qlCalendarAdvance(Calendar,Y1483,NDays&amp;"D")</f>
        <v>49551</v>
      </c>
      <c r="AA1483" s="116">
        <v>3.7640059383339877E-2</v>
      </c>
      <c r="AB1483" s="113">
        <v>3.7479603673085116E-2</v>
      </c>
    </row>
    <row r="1484" spans="17:28" x14ac:dyDescent="0.2">
      <c r="Q1484" s="72"/>
      <c r="T1484" s="72"/>
      <c r="U1484" s="93"/>
      <c r="X1484" s="114" t="str">
        <f t="shared" si="35"/>
        <v>1w</v>
      </c>
      <c r="Y1484" s="112">
        <f>_xll.qlCalendarAdvance(Calendar,Y1483,X1484,"f",FALSE)</f>
        <v>49558</v>
      </c>
      <c r="Z1484" s="115">
        <f>_xll.qlCalendarAdvance(Calendar,Y1484,NDays&amp;"D")</f>
        <v>49558</v>
      </c>
      <c r="AA1484" s="116">
        <v>3.7635936735260951E-2</v>
      </c>
      <c r="AB1484" s="113">
        <v>3.7477317730802984E-2</v>
      </c>
    </row>
    <row r="1485" spans="17:28" x14ac:dyDescent="0.2">
      <c r="Q1485" s="72"/>
      <c r="T1485" s="72"/>
      <c r="U1485" s="93"/>
      <c r="X1485" s="114" t="str">
        <f t="shared" si="35"/>
        <v>1w</v>
      </c>
      <c r="Y1485" s="112">
        <f>_xll.qlCalendarAdvance(Calendar,Y1484,X1485,"f",FALSE)</f>
        <v>49565</v>
      </c>
      <c r="Z1485" s="115">
        <f>_xll.qlCalendarAdvance(Calendar,Y1485,NDays&amp;"D")</f>
        <v>49565</v>
      </c>
      <c r="AA1485" s="116">
        <v>3.7633571546993302E-2</v>
      </c>
      <c r="AB1485" s="113">
        <v>3.7475024048033712E-2</v>
      </c>
    </row>
    <row r="1486" spans="17:28" x14ac:dyDescent="0.2">
      <c r="Q1486" s="72"/>
      <c r="T1486" s="72"/>
      <c r="U1486" s="93"/>
      <c r="X1486" s="114" t="str">
        <f t="shared" si="35"/>
        <v>1w</v>
      </c>
      <c r="Y1486" s="112">
        <f>_xll.qlCalendarAdvance(Calendar,Y1485,X1486,"f",FALSE)</f>
        <v>49572</v>
      </c>
      <c r="Z1486" s="115">
        <f>_xll.qlCalendarAdvance(Calendar,Y1486,NDays&amp;"D")</f>
        <v>49572</v>
      </c>
      <c r="AA1486" s="116">
        <v>3.7631198547839584E-2</v>
      </c>
      <c r="AB1486" s="113">
        <v>3.7472722624858346E-2</v>
      </c>
    </row>
    <row r="1487" spans="17:28" x14ac:dyDescent="0.2">
      <c r="Q1487" s="72"/>
      <c r="T1487" s="72"/>
      <c r="U1487" s="93"/>
      <c r="X1487" s="114" t="str">
        <f t="shared" si="35"/>
        <v>1w</v>
      </c>
      <c r="Y1487" s="112">
        <f>_xll.qlCalendarAdvance(Calendar,Y1486,X1487,"f",FALSE)</f>
        <v>49579</v>
      </c>
      <c r="Z1487" s="115">
        <f>_xll.qlCalendarAdvance(Calendar,Y1487,NDays&amp;"D")</f>
        <v>49579</v>
      </c>
      <c r="AA1487" s="116">
        <v>3.7628817737810474E-2</v>
      </c>
      <c r="AB1487" s="113">
        <v>3.7470413461195839E-2</v>
      </c>
    </row>
    <row r="1488" spans="17:28" x14ac:dyDescent="0.2">
      <c r="Q1488" s="72"/>
      <c r="T1488" s="72"/>
      <c r="U1488" s="93"/>
      <c r="X1488" s="114" t="str">
        <f t="shared" si="35"/>
        <v>1w</v>
      </c>
      <c r="Y1488" s="112">
        <f>_xll.qlCalendarAdvance(Calendar,Y1487,X1488,"f",FALSE)</f>
        <v>49586</v>
      </c>
      <c r="Z1488" s="115">
        <f>_xll.qlCalendarAdvance(Calendar,Y1488,NDays&amp;"D")</f>
        <v>49586</v>
      </c>
      <c r="AA1488" s="116">
        <v>3.7628190380090139E-2</v>
      </c>
      <c r="AB1488" s="113">
        <v>3.7468096557208286E-2</v>
      </c>
    </row>
    <row r="1489" spans="17:28" x14ac:dyDescent="0.2">
      <c r="Q1489" s="72"/>
      <c r="T1489" s="72"/>
      <c r="U1489" s="93"/>
      <c r="X1489" s="114" t="str">
        <f t="shared" si="35"/>
        <v>1w</v>
      </c>
      <c r="Y1489" s="112">
        <f>_xll.qlCalendarAdvance(Calendar,Y1488,X1489,"f",FALSE)</f>
        <v>49593</v>
      </c>
      <c r="Z1489" s="115">
        <f>_xll.qlCalendarAdvance(Calendar,Y1489,NDays&amp;"D")</f>
        <v>49593</v>
      </c>
      <c r="AA1489" s="116">
        <v>3.7625793144490535E-2</v>
      </c>
      <c r="AB1489" s="113">
        <v>3.7465771912733592E-2</v>
      </c>
    </row>
    <row r="1490" spans="17:28" x14ac:dyDescent="0.2">
      <c r="Q1490" s="72"/>
      <c r="T1490" s="72"/>
      <c r="U1490" s="93"/>
      <c r="X1490" s="114" t="str">
        <f t="shared" si="35"/>
        <v>1w</v>
      </c>
      <c r="Y1490" s="112">
        <f>_xll.qlCalendarAdvance(Calendar,Y1489,X1490,"f",FALSE)</f>
        <v>49600</v>
      </c>
      <c r="Z1490" s="115">
        <f>_xll.qlCalendarAdvance(Calendar,Y1490,NDays&amp;"D")</f>
        <v>49600</v>
      </c>
      <c r="AA1490" s="116">
        <v>3.7623388097274231E-2</v>
      </c>
      <c r="AB1490" s="113">
        <v>3.7463439527690712E-2</v>
      </c>
    </row>
    <row r="1491" spans="17:28" x14ac:dyDescent="0.2">
      <c r="Q1491" s="72"/>
      <c r="T1491" s="72"/>
      <c r="U1491" s="93"/>
      <c r="X1491" s="114" t="str">
        <f t="shared" si="35"/>
        <v>1w</v>
      </c>
      <c r="Y1491" s="112">
        <f>_xll.qlCalendarAdvance(Calendar,Y1490,X1491,"f",FALSE)</f>
        <v>49607</v>
      </c>
      <c r="Z1491" s="115">
        <f>_xll.qlCalendarAdvance(Calendar,Y1491,NDays&amp;"D")</f>
        <v>49607</v>
      </c>
      <c r="AA1491" s="116">
        <v>3.7620975238455312E-2</v>
      </c>
      <c r="AB1491" s="113">
        <v>3.7461099402322784E-2</v>
      </c>
    </row>
    <row r="1492" spans="17:28" x14ac:dyDescent="0.2">
      <c r="Q1492" s="72"/>
      <c r="T1492" s="72"/>
      <c r="U1492" s="93"/>
      <c r="X1492" s="114" t="str">
        <f t="shared" si="35"/>
        <v>1w</v>
      </c>
      <c r="Y1492" s="112">
        <f>_xll.qlCalendarAdvance(Calendar,Y1491,X1492,"f",FALSE)</f>
        <v>49614</v>
      </c>
      <c r="Z1492" s="115">
        <f>_xll.qlCalendarAdvance(Calendar,Y1492,NDays&amp;"D")</f>
        <v>49614</v>
      </c>
      <c r="AA1492" s="116">
        <v>3.7618554568046116E-2</v>
      </c>
      <c r="AB1492" s="113">
        <v>3.7458751536548762E-2</v>
      </c>
    </row>
    <row r="1493" spans="17:28" x14ac:dyDescent="0.2">
      <c r="Q1493" s="72"/>
      <c r="T1493" s="72"/>
      <c r="U1493" s="93"/>
      <c r="X1493" s="114" t="str">
        <f t="shared" ref="X1493:X1556" si="36">X1492</f>
        <v>1w</v>
      </c>
      <c r="Y1493" s="112">
        <f>_xll.qlCalendarAdvance(Calendar,Y1492,X1493,"f",FALSE)</f>
        <v>49621</v>
      </c>
      <c r="Z1493" s="115">
        <f>_xll.qlCalendarAdvance(Calendar,Y1493,NDays&amp;"D")</f>
        <v>49621</v>
      </c>
      <c r="AA1493" s="116">
        <v>3.7616126086063385E-2</v>
      </c>
      <c r="AB1493" s="113">
        <v>3.74563959302876E-2</v>
      </c>
    </row>
    <row r="1494" spans="17:28" x14ac:dyDescent="0.2">
      <c r="Q1494" s="72"/>
      <c r="T1494" s="72"/>
      <c r="U1494" s="93"/>
      <c r="X1494" s="114" t="str">
        <f t="shared" si="36"/>
        <v>1w</v>
      </c>
      <c r="Y1494" s="112">
        <f>_xll.qlCalendarAdvance(Calendar,Y1493,X1494,"f",FALSE)</f>
        <v>49628</v>
      </c>
      <c r="Z1494" s="115">
        <f>_xll.qlCalendarAdvance(Calendar,Y1494,NDays&amp;"D")</f>
        <v>49628</v>
      </c>
      <c r="AA1494" s="116">
        <v>3.7613689792519452E-2</v>
      </c>
      <c r="AB1494" s="113">
        <v>3.7454032583620345E-2</v>
      </c>
    </row>
    <row r="1495" spans="17:28" x14ac:dyDescent="0.2">
      <c r="Q1495" s="72"/>
      <c r="T1495" s="72"/>
      <c r="U1495" s="93"/>
      <c r="X1495" s="114" t="str">
        <f t="shared" si="36"/>
        <v>1w</v>
      </c>
      <c r="Y1495" s="112">
        <f>_xll.qlCalendarAdvance(Calendar,Y1494,X1495,"f",FALSE)</f>
        <v>49635</v>
      </c>
      <c r="Z1495" s="115">
        <f>_xll.qlCalendarAdvance(Calendar,Y1495,NDays&amp;"D")</f>
        <v>49635</v>
      </c>
      <c r="AA1495" s="116">
        <v>3.7611245687429289E-2</v>
      </c>
      <c r="AB1495" s="113">
        <v>3.7451661496546995E-2</v>
      </c>
    </row>
    <row r="1496" spans="17:28" x14ac:dyDescent="0.2">
      <c r="Q1496" s="72"/>
      <c r="T1496" s="72"/>
      <c r="U1496" s="93"/>
      <c r="X1496" s="114" t="str">
        <f t="shared" si="36"/>
        <v>1w</v>
      </c>
      <c r="Y1496" s="112">
        <f>_xll.qlCalendarAdvance(Calendar,Y1495,X1496,"f",FALSE)</f>
        <v>49642</v>
      </c>
      <c r="Z1496" s="115">
        <f>_xll.qlCalendarAdvance(Calendar,Y1496,NDays&amp;"D")</f>
        <v>49642</v>
      </c>
      <c r="AA1496" s="116">
        <v>3.7608793770806115E-2</v>
      </c>
      <c r="AB1496" s="113">
        <v>3.7449282668986505E-2</v>
      </c>
    </row>
    <row r="1497" spans="17:28" x14ac:dyDescent="0.2">
      <c r="Q1497" s="72"/>
      <c r="T1497" s="72"/>
      <c r="U1497" s="93"/>
      <c r="X1497" s="114" t="str">
        <f t="shared" si="36"/>
        <v>1w</v>
      </c>
      <c r="Y1497" s="112">
        <f>_xll.qlCalendarAdvance(Calendar,Y1496,X1497,"f",FALSE)</f>
        <v>49649</v>
      </c>
      <c r="Z1497" s="115">
        <f>_xll.qlCalendarAdvance(Calendar,Y1497,NDays&amp;"D")</f>
        <v>49649</v>
      </c>
      <c r="AA1497" s="116">
        <v>3.760458004251948E-2</v>
      </c>
      <c r="AB1497" s="113">
        <v>3.7446896101019922E-2</v>
      </c>
    </row>
    <row r="1498" spans="17:28" x14ac:dyDescent="0.2">
      <c r="Q1498" s="72"/>
      <c r="T1498" s="72"/>
      <c r="U1498" s="93"/>
      <c r="X1498" s="114" t="str">
        <f t="shared" si="36"/>
        <v>1w</v>
      </c>
      <c r="Y1498" s="112">
        <f>_xll.qlCalendarAdvance(Calendar,Y1497,X1498,"f",FALSE)</f>
        <v>49656</v>
      </c>
      <c r="Z1498" s="115">
        <f>_xll.qlCalendarAdvance(Calendar,Y1498,NDays&amp;"D")</f>
        <v>49656</v>
      </c>
      <c r="AA1498" s="116">
        <v>3.760211331379712E-2</v>
      </c>
      <c r="AB1498" s="113">
        <v>3.7444501792566198E-2</v>
      </c>
    </row>
    <row r="1499" spans="17:28" x14ac:dyDescent="0.2">
      <c r="Q1499" s="72"/>
      <c r="T1499" s="72"/>
      <c r="U1499" s="93"/>
      <c r="X1499" s="114" t="str">
        <f t="shared" si="36"/>
        <v>1w</v>
      </c>
      <c r="Y1499" s="112">
        <f>_xll.qlCalendarAdvance(Calendar,Y1498,X1499,"f",FALSE)</f>
        <v>49663</v>
      </c>
      <c r="Z1499" s="115">
        <f>_xll.qlCalendarAdvance(Calendar,Y1499,NDays&amp;"D")</f>
        <v>49663</v>
      </c>
      <c r="AA1499" s="116">
        <v>3.7599638774370371E-2</v>
      </c>
      <c r="AB1499" s="113">
        <v>3.7442099743706381E-2</v>
      </c>
    </row>
    <row r="1500" spans="17:28" x14ac:dyDescent="0.2">
      <c r="Q1500" s="72"/>
      <c r="T1500" s="72"/>
      <c r="U1500" s="93"/>
      <c r="X1500" s="114" t="str">
        <f t="shared" si="36"/>
        <v>1w</v>
      </c>
      <c r="Y1500" s="112">
        <f>_xll.qlCalendarAdvance(Calendar,Y1499,X1500,"f",FALSE)</f>
        <v>49670</v>
      </c>
      <c r="Z1500" s="115">
        <f>_xll.qlCalendarAdvance(Calendar,Y1500,NDays&amp;"D")</f>
        <v>49670</v>
      </c>
      <c r="AA1500" s="116">
        <v>3.7597156424253486E-2</v>
      </c>
      <c r="AB1500" s="113">
        <v>3.7439689954440469E-2</v>
      </c>
    </row>
    <row r="1501" spans="17:28" x14ac:dyDescent="0.2">
      <c r="Q1501" s="72"/>
      <c r="T1501" s="72"/>
      <c r="U1501" s="93"/>
      <c r="X1501" s="114" t="str">
        <f t="shared" si="36"/>
        <v>1w</v>
      </c>
      <c r="Y1501" s="112">
        <f>_xll.qlCalendarAdvance(Calendar,Y1500,X1501,"f",FALSE)</f>
        <v>49677</v>
      </c>
      <c r="Z1501" s="115">
        <f>_xll.qlCalendarAdvance(Calendar,Y1501,NDays&amp;"D")</f>
        <v>49677</v>
      </c>
      <c r="AA1501" s="116">
        <v>3.759466626345892E-2</v>
      </c>
      <c r="AB1501" s="113">
        <v>3.7437272424768464E-2</v>
      </c>
    </row>
    <row r="1502" spans="17:28" x14ac:dyDescent="0.2">
      <c r="Q1502" s="72"/>
      <c r="T1502" s="72"/>
      <c r="U1502" s="93"/>
      <c r="X1502" s="114" t="str">
        <f t="shared" si="36"/>
        <v>1w</v>
      </c>
      <c r="Y1502" s="112">
        <f>_xll.qlCalendarAdvance(Calendar,Y1501,X1502,"f",FALSE)</f>
        <v>49684</v>
      </c>
      <c r="Z1502" s="115">
        <f>_xll.qlCalendarAdvance(Calendar,Y1502,NDays&amp;"D")</f>
        <v>49684</v>
      </c>
      <c r="AA1502" s="116">
        <v>3.759216829200094E-2</v>
      </c>
      <c r="AB1502" s="113">
        <v>3.7434847154528272E-2</v>
      </c>
    </row>
    <row r="1503" spans="17:28" x14ac:dyDescent="0.2">
      <c r="Q1503" s="72"/>
      <c r="T1503" s="72"/>
      <c r="U1503" s="93"/>
      <c r="X1503" s="114" t="str">
        <f t="shared" si="36"/>
        <v>1w</v>
      </c>
      <c r="Y1503" s="112">
        <f>_xll.qlCalendarAdvance(Calendar,Y1502,X1503,"f",FALSE)</f>
        <v>49691</v>
      </c>
      <c r="Z1503" s="115">
        <f>_xll.qlCalendarAdvance(Calendar,Y1503,NDays&amp;"D")</f>
        <v>49691</v>
      </c>
      <c r="AA1503" s="116">
        <v>3.7589662509896454E-2</v>
      </c>
      <c r="AB1503" s="113">
        <v>3.7432414144044079E-2</v>
      </c>
    </row>
    <row r="1504" spans="17:28" x14ac:dyDescent="0.2">
      <c r="Q1504" s="72"/>
      <c r="T1504" s="72"/>
      <c r="U1504" s="93"/>
      <c r="X1504" s="114" t="str">
        <f t="shared" si="36"/>
        <v>1w</v>
      </c>
      <c r="Y1504" s="112">
        <f>_xll.qlCalendarAdvance(Calendar,Y1503,X1504,"f",FALSE)</f>
        <v>49698</v>
      </c>
      <c r="Z1504" s="115">
        <f>_xll.qlCalendarAdvance(Calendar,Y1504,NDays&amp;"D")</f>
        <v>49698</v>
      </c>
      <c r="AA1504" s="116">
        <v>3.7587148917158822E-2</v>
      </c>
      <c r="AB1504" s="113">
        <v>3.7429973393072746E-2</v>
      </c>
    </row>
    <row r="1505" spans="17:28" x14ac:dyDescent="0.2">
      <c r="Q1505" s="72"/>
      <c r="T1505" s="72"/>
      <c r="U1505" s="93"/>
      <c r="X1505" s="114" t="str">
        <f t="shared" si="36"/>
        <v>1w</v>
      </c>
      <c r="Y1505" s="112">
        <f>_xll.qlCalendarAdvance(Calendar,Y1504,X1505,"f",FALSE)</f>
        <v>49705</v>
      </c>
      <c r="Z1505" s="115">
        <f>_xll.qlCalendarAdvance(Calendar,Y1505,NDays&amp;"D")</f>
        <v>49705</v>
      </c>
      <c r="AA1505" s="116">
        <v>3.7582880064505032E-2</v>
      </c>
      <c r="AB1505" s="113">
        <v>3.7427524901533227E-2</v>
      </c>
    </row>
    <row r="1506" spans="17:28" x14ac:dyDescent="0.2">
      <c r="Q1506" s="72"/>
      <c r="T1506" s="72"/>
      <c r="U1506" s="93"/>
      <c r="X1506" s="114" t="str">
        <f t="shared" si="36"/>
        <v>1w</v>
      </c>
      <c r="Y1506" s="112">
        <f>_xll.qlCalendarAdvance(Calendar,Y1505,X1506,"f",FALSE)</f>
        <v>49712</v>
      </c>
      <c r="Z1506" s="115">
        <f>_xll.qlCalendarAdvance(Calendar,Y1506,NDays&amp;"D")</f>
        <v>49712</v>
      </c>
      <c r="AA1506" s="116">
        <v>3.7580351667588517E-2</v>
      </c>
      <c r="AB1506" s="113">
        <v>3.742506866966866E-2</v>
      </c>
    </row>
    <row r="1507" spans="17:28" x14ac:dyDescent="0.2">
      <c r="Q1507" s="72"/>
      <c r="T1507" s="72"/>
      <c r="U1507" s="93"/>
      <c r="X1507" s="114" t="str">
        <f t="shared" si="36"/>
        <v>1w</v>
      </c>
      <c r="Y1507" s="112">
        <f>_xll.qlCalendarAdvance(Calendar,Y1506,X1507,"f",FALSE)</f>
        <v>49719</v>
      </c>
      <c r="Z1507" s="115">
        <f>_xll.qlCalendarAdvance(Calendar,Y1507,NDays&amp;"D")</f>
        <v>49719</v>
      </c>
      <c r="AA1507" s="116">
        <v>3.7577815460865978E-2</v>
      </c>
      <c r="AB1507" s="113">
        <v>3.7422604697397999E-2</v>
      </c>
    </row>
    <row r="1508" spans="17:28" x14ac:dyDescent="0.2">
      <c r="Q1508" s="72"/>
      <c r="T1508" s="72"/>
      <c r="U1508" s="93"/>
      <c r="X1508" s="114" t="str">
        <f t="shared" si="36"/>
        <v>1w</v>
      </c>
      <c r="Y1508" s="112">
        <f>_xll.qlCalendarAdvance(Calendar,Y1507,X1508,"f",FALSE)</f>
        <v>49726</v>
      </c>
      <c r="Z1508" s="115">
        <f>_xll.qlCalendarAdvance(Calendar,Y1508,NDays&amp;"D")</f>
        <v>49726</v>
      </c>
      <c r="AA1508" s="116">
        <v>3.7575271444349127E-2</v>
      </c>
      <c r="AB1508" s="113">
        <v>3.7420132984640198E-2</v>
      </c>
    </row>
    <row r="1509" spans="17:28" x14ac:dyDescent="0.2">
      <c r="Q1509" s="72"/>
      <c r="T1509" s="72"/>
      <c r="U1509" s="93"/>
      <c r="X1509" s="114" t="str">
        <f t="shared" si="36"/>
        <v>1w</v>
      </c>
      <c r="Y1509" s="112">
        <f>_xll.qlCalendarAdvance(Calendar,Y1508,X1509,"f",FALSE)</f>
        <v>49733</v>
      </c>
      <c r="Z1509" s="115">
        <f>_xll.qlCalendarAdvance(Calendar,Y1509,NDays&amp;"D")</f>
        <v>49733</v>
      </c>
      <c r="AA1509" s="116">
        <v>3.7572719618054161E-2</v>
      </c>
      <c r="AB1509" s="113">
        <v>3.7417653531395256E-2</v>
      </c>
    </row>
    <row r="1510" spans="17:28" x14ac:dyDescent="0.2">
      <c r="Q1510" s="72"/>
      <c r="T1510" s="72"/>
      <c r="U1510" s="93"/>
      <c r="X1510" s="114" t="str">
        <f t="shared" si="36"/>
        <v>1w</v>
      </c>
      <c r="Y1510" s="112">
        <f>_xll.qlCalendarAdvance(Calendar,Y1509,X1510,"f",FALSE)</f>
        <v>49740</v>
      </c>
      <c r="Z1510" s="115">
        <f>_xll.qlCalendarAdvance(Calendar,Y1510,NDays&amp;"D")</f>
        <v>49740</v>
      </c>
      <c r="AA1510" s="116">
        <v>3.7573646735353607E-2</v>
      </c>
      <c r="AB1510" s="113">
        <v>3.7415166337825267E-2</v>
      </c>
    </row>
    <row r="1511" spans="17:28" x14ac:dyDescent="0.2">
      <c r="Q1511" s="72"/>
      <c r="T1511" s="72"/>
      <c r="U1511" s="93"/>
      <c r="X1511" s="114" t="str">
        <f t="shared" si="36"/>
        <v>1w</v>
      </c>
      <c r="Y1511" s="112">
        <f>_xll.qlCalendarAdvance(Calendar,Y1510,X1511,"f",FALSE)</f>
        <v>49747</v>
      </c>
      <c r="Z1511" s="115">
        <f>_xll.qlCalendarAdvance(Calendar,Y1511,NDays&amp;"D")</f>
        <v>49747</v>
      </c>
      <c r="AA1511" s="116">
        <v>3.7571077647498848E-2</v>
      </c>
      <c r="AB1511" s="113">
        <v>3.7412671403768138E-2</v>
      </c>
    </row>
    <row r="1512" spans="17:28" x14ac:dyDescent="0.2">
      <c r="Q1512" s="72"/>
      <c r="T1512" s="72"/>
      <c r="U1512" s="93"/>
      <c r="X1512" s="114" t="str">
        <f t="shared" si="36"/>
        <v>1w</v>
      </c>
      <c r="Y1512" s="112">
        <f>_xll.qlCalendarAdvance(Calendar,Y1511,X1512,"f",FALSE)</f>
        <v>49754</v>
      </c>
      <c r="Z1512" s="115">
        <f>_xll.qlCalendarAdvance(Calendar,Y1512,NDays&amp;"D")</f>
        <v>49754</v>
      </c>
      <c r="AA1512" s="116">
        <v>3.7568500748346285E-2</v>
      </c>
      <c r="AB1512" s="113">
        <v>3.7410168729304916E-2</v>
      </c>
    </row>
    <row r="1513" spans="17:28" x14ac:dyDescent="0.2">
      <c r="Q1513" s="72"/>
      <c r="T1513" s="72"/>
      <c r="U1513" s="93"/>
      <c r="X1513" s="114" t="str">
        <f t="shared" si="36"/>
        <v>1w</v>
      </c>
      <c r="Y1513" s="112">
        <f>_xll.qlCalendarAdvance(Calendar,Y1512,X1513,"f",FALSE)</f>
        <v>49761</v>
      </c>
      <c r="Z1513" s="115">
        <f>_xll.qlCalendarAdvance(Calendar,Y1513,NDays&amp;"D")</f>
        <v>49761</v>
      </c>
      <c r="AA1513" s="116">
        <v>3.7565916037913538E-2</v>
      </c>
      <c r="AB1513" s="113">
        <v>3.7407658314435599E-2</v>
      </c>
    </row>
    <row r="1514" spans="17:28" x14ac:dyDescent="0.2">
      <c r="Q1514" s="72"/>
      <c r="T1514" s="72"/>
      <c r="U1514" s="93"/>
      <c r="X1514" s="114" t="str">
        <f t="shared" si="36"/>
        <v>1w</v>
      </c>
      <c r="Y1514" s="112">
        <f>_xll.qlCalendarAdvance(Calendar,Y1513,X1514,"f",FALSE)</f>
        <v>49768</v>
      </c>
      <c r="Z1514" s="115">
        <f>_xll.qlCalendarAdvance(Calendar,Y1514,NDays&amp;"D")</f>
        <v>49768</v>
      </c>
      <c r="AA1514" s="116">
        <v>3.7561583408159765E-2</v>
      </c>
      <c r="AB1514" s="113">
        <v>3.7405140159079142E-2</v>
      </c>
    </row>
    <row r="1515" spans="17:28" x14ac:dyDescent="0.2">
      <c r="Q1515" s="72"/>
      <c r="T1515" s="72"/>
      <c r="U1515" s="93"/>
      <c r="X1515" s="114" t="str">
        <f t="shared" si="36"/>
        <v>1w</v>
      </c>
      <c r="Y1515" s="112">
        <f>_xll.qlCalendarAdvance(Calendar,Y1514,X1515,"f",FALSE)</f>
        <v>49775</v>
      </c>
      <c r="Z1515" s="115">
        <f>_xll.qlCalendarAdvance(Calendar,Y1515,NDays&amp;"D")</f>
        <v>49775</v>
      </c>
      <c r="AA1515" s="116">
        <v>3.7558983899424796E-2</v>
      </c>
      <c r="AB1515" s="113">
        <v>3.7409556998072135E-2</v>
      </c>
    </row>
    <row r="1516" spans="17:28" x14ac:dyDescent="0.2">
      <c r="Q1516" s="72"/>
      <c r="T1516" s="72"/>
      <c r="U1516" s="93"/>
      <c r="X1516" s="114" t="str">
        <f t="shared" si="36"/>
        <v>1w</v>
      </c>
      <c r="Y1516" s="112">
        <f>_xll.qlCalendarAdvance(Calendar,Y1515,X1516,"f",FALSE)</f>
        <v>49782</v>
      </c>
      <c r="Z1516" s="115">
        <f>_xll.qlCalendarAdvance(Calendar,Y1516,NDays&amp;"D")</f>
        <v>49782</v>
      </c>
      <c r="AA1516" s="116">
        <v>3.7556376580232129E-2</v>
      </c>
      <c r="AB1516" s="113">
        <v>3.7400080627147947E-2</v>
      </c>
    </row>
    <row r="1517" spans="17:28" x14ac:dyDescent="0.2">
      <c r="Q1517" s="72"/>
      <c r="T1517" s="72"/>
      <c r="U1517" s="93"/>
      <c r="X1517" s="114" t="str">
        <f t="shared" si="36"/>
        <v>1w</v>
      </c>
      <c r="Y1517" s="112">
        <f>_xll.qlCalendarAdvance(Calendar,Y1516,X1517,"f",FALSE)</f>
        <v>49789</v>
      </c>
      <c r="Z1517" s="115">
        <f>_xll.qlCalendarAdvance(Calendar,Y1517,NDays&amp;"D")</f>
        <v>49789</v>
      </c>
      <c r="AA1517" s="116">
        <v>3.755376145059959E-2</v>
      </c>
      <c r="AB1517" s="113">
        <v>3.7402741361208525E-2</v>
      </c>
    </row>
    <row r="1518" spans="17:28" x14ac:dyDescent="0.2">
      <c r="Q1518" s="72"/>
      <c r="T1518" s="72"/>
      <c r="U1518" s="93"/>
      <c r="X1518" s="114" t="str">
        <f t="shared" si="36"/>
        <v>1w</v>
      </c>
      <c r="Y1518" s="112">
        <f>_xll.qlCalendarAdvance(Calendar,Y1517,X1518,"f",FALSE)</f>
        <v>49796</v>
      </c>
      <c r="Z1518" s="115">
        <f>_xll.qlCalendarAdvance(Calendar,Y1518,NDays&amp;"D")</f>
        <v>49796</v>
      </c>
      <c r="AA1518" s="116">
        <v>3.7552875317047374E-2</v>
      </c>
      <c r="AB1518" s="113">
        <v>3.7394990133349237E-2</v>
      </c>
    </row>
    <row r="1519" spans="17:28" x14ac:dyDescent="0.2">
      <c r="Q1519" s="72"/>
      <c r="T1519" s="72"/>
      <c r="U1519" s="93"/>
      <c r="X1519" s="114" t="str">
        <f t="shared" si="36"/>
        <v>1w</v>
      </c>
      <c r="Y1519" s="112">
        <f>_xll.qlCalendarAdvance(Calendar,Y1518,X1519,"f",FALSE)</f>
        <v>49803</v>
      </c>
      <c r="Z1519" s="115">
        <f>_xll.qlCalendarAdvance(Calendar,Y1519,NDays&amp;"D")</f>
        <v>49803</v>
      </c>
      <c r="AA1519" s="116">
        <v>3.7550243739241838E-2</v>
      </c>
      <c r="AB1519" s="113">
        <v>3.7392433275881265E-2</v>
      </c>
    </row>
    <row r="1520" spans="17:28" x14ac:dyDescent="0.2">
      <c r="Q1520" s="72"/>
      <c r="T1520" s="72"/>
      <c r="U1520" s="93"/>
      <c r="X1520" s="114" t="str">
        <f t="shared" si="36"/>
        <v>1w</v>
      </c>
      <c r="Y1520" s="112">
        <f>_xll.qlCalendarAdvance(Calendar,Y1519,X1520,"f",FALSE)</f>
        <v>49810</v>
      </c>
      <c r="Z1520" s="115">
        <f>_xll.qlCalendarAdvance(Calendar,Y1520,NDays&amp;"D")</f>
        <v>49810</v>
      </c>
      <c r="AA1520" s="116">
        <v>3.7547604350261832E-2</v>
      </c>
      <c r="AB1520" s="113">
        <v>3.7389868678007199E-2</v>
      </c>
    </row>
    <row r="1521" spans="17:28" x14ac:dyDescent="0.2">
      <c r="Q1521" s="72"/>
      <c r="T1521" s="72"/>
      <c r="U1521" s="93"/>
      <c r="X1521" s="114" t="str">
        <f t="shared" si="36"/>
        <v>1w</v>
      </c>
      <c r="Y1521" s="112">
        <f>_xll.qlCalendarAdvance(Calendar,Y1520,X1521,"f",FALSE)</f>
        <v>49817</v>
      </c>
      <c r="Z1521" s="115">
        <f>_xll.qlCalendarAdvance(Calendar,Y1521,NDays&amp;"D")</f>
        <v>49817</v>
      </c>
      <c r="AA1521" s="116">
        <v>3.7544957150120566E-2</v>
      </c>
      <c r="AB1521" s="113">
        <v>3.7387296339645992E-2</v>
      </c>
    </row>
    <row r="1522" spans="17:28" x14ac:dyDescent="0.2">
      <c r="Q1522" s="72"/>
      <c r="T1522" s="72"/>
      <c r="U1522" s="93"/>
      <c r="X1522" s="114" t="str">
        <f t="shared" si="36"/>
        <v>1w</v>
      </c>
      <c r="Y1522" s="112">
        <f>_xll.qlCalendarAdvance(Calendar,Y1521,X1522,"f",FALSE)</f>
        <v>49824</v>
      </c>
      <c r="Z1522" s="115">
        <f>_xll.qlCalendarAdvance(Calendar,Y1522,NDays&amp;"D")</f>
        <v>49824</v>
      </c>
      <c r="AA1522" s="116">
        <v>3.7542302138836539E-2</v>
      </c>
      <c r="AB1522" s="113">
        <v>3.7384716260878692E-2</v>
      </c>
    </row>
    <row r="1523" spans="17:28" x14ac:dyDescent="0.2">
      <c r="Q1523" s="72"/>
      <c r="T1523" s="72"/>
      <c r="U1523" s="93"/>
      <c r="X1523" s="114" t="str">
        <f t="shared" si="36"/>
        <v>1w</v>
      </c>
      <c r="Y1523" s="112">
        <f>_xll.qlCalendarAdvance(Calendar,Y1522,X1523,"f",FALSE)</f>
        <v>49831</v>
      </c>
      <c r="Z1523" s="115">
        <f>_xll.qlCalendarAdvance(Calendar,Y1523,NDays&amp;"D")</f>
        <v>49831</v>
      </c>
      <c r="AA1523" s="116">
        <v>3.7539639316423852E-2</v>
      </c>
      <c r="AB1523" s="113">
        <v>3.7382128441624252E-2</v>
      </c>
    </row>
    <row r="1524" spans="17:28" x14ac:dyDescent="0.2">
      <c r="Q1524" s="72"/>
      <c r="T1524" s="72"/>
      <c r="U1524" s="93"/>
      <c r="X1524" s="114" t="str">
        <f t="shared" si="36"/>
        <v>1w</v>
      </c>
      <c r="Y1524" s="112">
        <f>_xll.qlCalendarAdvance(Calendar,Y1523,X1524,"f",FALSE)</f>
        <v>49838</v>
      </c>
      <c r="Z1524" s="115">
        <f>_xll.qlCalendarAdvance(Calendar,Y1524,NDays&amp;"D")</f>
        <v>49838</v>
      </c>
      <c r="AA1524" s="116">
        <v>3.7536968682898353E-2</v>
      </c>
      <c r="AB1524" s="113">
        <v>3.737953288212581E-2</v>
      </c>
    </row>
    <row r="1525" spans="17:28" x14ac:dyDescent="0.2">
      <c r="Q1525" s="72"/>
      <c r="T1525" s="72"/>
      <c r="U1525" s="93"/>
      <c r="X1525" s="114" t="str">
        <f t="shared" si="36"/>
        <v>1w</v>
      </c>
      <c r="Y1525" s="112">
        <f>_xll.qlCalendarAdvance(Calendar,Y1524,X1525,"f",FALSE)</f>
        <v>49845</v>
      </c>
      <c r="Z1525" s="115">
        <f>_xll.qlCalendarAdvance(Calendar,Y1525,NDays&amp;"D")</f>
        <v>49845</v>
      </c>
      <c r="AA1525" s="116">
        <v>3.753429023827503E-2</v>
      </c>
      <c r="AB1525" s="113">
        <v>3.7376929581978136E-2</v>
      </c>
    </row>
    <row r="1526" spans="17:28" x14ac:dyDescent="0.2">
      <c r="Q1526" s="72"/>
      <c r="T1526" s="72"/>
      <c r="U1526" s="93"/>
      <c r="X1526" s="114" t="str">
        <f t="shared" si="36"/>
        <v>1w</v>
      </c>
      <c r="Y1526" s="112">
        <f>_xll.qlCalendarAdvance(Calendar,Y1525,X1526,"f",FALSE)</f>
        <v>49852</v>
      </c>
      <c r="Z1526" s="115">
        <f>_xll.qlCalendarAdvance(Calendar,Y1526,NDays&amp;"D")</f>
        <v>49852</v>
      </c>
      <c r="AA1526" s="116">
        <v>3.7531603982569724E-2</v>
      </c>
      <c r="AB1526" s="113">
        <v>3.7374318541505414E-2</v>
      </c>
    </row>
    <row r="1527" spans="17:28" x14ac:dyDescent="0.2">
      <c r="Q1527" s="72"/>
      <c r="T1527" s="72"/>
      <c r="U1527" s="93"/>
      <c r="X1527" s="114" t="str">
        <f t="shared" si="36"/>
        <v>1w</v>
      </c>
      <c r="Y1527" s="112">
        <f>_xll.qlCalendarAdvance(Calendar,Y1526,X1527,"f",FALSE)</f>
        <v>49859</v>
      </c>
      <c r="Z1527" s="115">
        <f>_xll.qlCalendarAdvance(Calendar,Y1527,NDays&amp;"D")</f>
        <v>49859</v>
      </c>
      <c r="AA1527" s="116">
        <v>3.7528909915799186E-2</v>
      </c>
      <c r="AB1527" s="113">
        <v>3.7371699760464505E-2</v>
      </c>
    </row>
    <row r="1528" spans="17:28" x14ac:dyDescent="0.2">
      <c r="Q1528" s="72"/>
      <c r="T1528" s="72"/>
      <c r="U1528" s="93"/>
      <c r="X1528" s="114" t="str">
        <f t="shared" si="36"/>
        <v>1w</v>
      </c>
      <c r="Y1528" s="112">
        <f>_xll.qlCalendarAdvance(Calendar,Y1527,X1528,"f",FALSE)</f>
        <v>49866</v>
      </c>
      <c r="Z1528" s="115">
        <f>_xll.qlCalendarAdvance(Calendar,Y1528,NDays&amp;"D")</f>
        <v>49866</v>
      </c>
      <c r="AA1528" s="116">
        <v>3.7526208037977501E-2</v>
      </c>
      <c r="AB1528" s="113">
        <v>3.7369073239179595E-2</v>
      </c>
    </row>
    <row r="1529" spans="17:28" x14ac:dyDescent="0.2">
      <c r="Q1529" s="72"/>
      <c r="T1529" s="72"/>
      <c r="U1529" s="93"/>
      <c r="X1529" s="114" t="str">
        <f t="shared" si="36"/>
        <v>1w</v>
      </c>
      <c r="Y1529" s="112">
        <f>_xll.qlCalendarAdvance(Calendar,Y1528,X1529,"f",FALSE)</f>
        <v>49873</v>
      </c>
      <c r="Z1529" s="115">
        <f>_xll.qlCalendarAdvance(Calendar,Y1529,NDays&amp;"D")</f>
        <v>49873</v>
      </c>
      <c r="AA1529" s="116">
        <v>3.7523498349123177E-2</v>
      </c>
      <c r="AB1529" s="113">
        <v>3.7366438977407546E-2</v>
      </c>
    </row>
    <row r="1530" spans="17:28" x14ac:dyDescent="0.2">
      <c r="Q1530" s="72"/>
      <c r="T1530" s="72"/>
      <c r="U1530" s="93"/>
      <c r="X1530" s="114" t="str">
        <f t="shared" si="36"/>
        <v>1w</v>
      </c>
      <c r="Y1530" s="112">
        <f>_xll.qlCalendarAdvance(Calendar,Y1529,X1530,"f",FALSE)</f>
        <v>49880</v>
      </c>
      <c r="Z1530" s="115">
        <f>_xll.qlCalendarAdvance(Calendar,Y1530,NDays&amp;"D")</f>
        <v>49880</v>
      </c>
      <c r="AA1530" s="116">
        <v>3.7520780849247669E-2</v>
      </c>
      <c r="AB1530" s="113">
        <v>3.7363796975148356E-2</v>
      </c>
    </row>
    <row r="1531" spans="17:28" x14ac:dyDescent="0.2">
      <c r="Q1531" s="72"/>
      <c r="T1531" s="72"/>
      <c r="U1531" s="93"/>
      <c r="X1531" s="114" t="str">
        <f t="shared" si="36"/>
        <v>1w</v>
      </c>
      <c r="Y1531" s="112">
        <f>_xll.qlCalendarAdvance(Calendar,Y1530,X1531,"f",FALSE)</f>
        <v>49887</v>
      </c>
      <c r="Z1531" s="115">
        <f>_xll.qlCalendarAdvance(Calendar,Y1531,NDays&amp;"D")</f>
        <v>49887</v>
      </c>
      <c r="AA1531" s="116">
        <v>3.7518055538372987E-2</v>
      </c>
      <c r="AB1531" s="113">
        <v>3.7361147232564118E-2</v>
      </c>
    </row>
    <row r="1532" spans="17:28" x14ac:dyDescent="0.2">
      <c r="Q1532" s="72"/>
      <c r="T1532" s="72"/>
      <c r="U1532" s="93"/>
      <c r="X1532" s="114" t="str">
        <f t="shared" si="36"/>
        <v>1w</v>
      </c>
      <c r="Y1532" s="112">
        <f>_xll.qlCalendarAdvance(Calendar,Y1531,X1532,"f",FALSE)</f>
        <v>49894</v>
      </c>
      <c r="Z1532" s="115">
        <f>_xll.qlCalendarAdvance(Calendar,Y1532,NDays&amp;"D")</f>
        <v>49894</v>
      </c>
      <c r="AA1532" s="116">
        <v>3.7515322416508831E-2</v>
      </c>
      <c r="AB1532" s="113">
        <v>3.735848974949274E-2</v>
      </c>
    </row>
    <row r="1533" spans="17:28" x14ac:dyDescent="0.2">
      <c r="Q1533" s="72"/>
      <c r="T1533" s="72"/>
      <c r="U1533" s="93"/>
      <c r="X1533" s="114" t="str">
        <f t="shared" si="36"/>
        <v>1w</v>
      </c>
      <c r="Y1533" s="112">
        <f>_xll.qlCalendarAdvance(Calendar,Y1532,X1533,"f",FALSE)</f>
        <v>49901</v>
      </c>
      <c r="Z1533" s="115">
        <f>_xll.qlCalendarAdvance(Calendar,Y1533,NDays&amp;"D")</f>
        <v>49901</v>
      </c>
      <c r="AA1533" s="116">
        <v>3.7512581483675464E-2</v>
      </c>
      <c r="AB1533" s="113">
        <v>3.7355824525934223E-2</v>
      </c>
    </row>
    <row r="1534" spans="17:28" x14ac:dyDescent="0.2">
      <c r="Q1534" s="72"/>
      <c r="T1534" s="72"/>
      <c r="U1534" s="93"/>
      <c r="X1534" s="114" t="str">
        <f t="shared" si="36"/>
        <v>1w</v>
      </c>
      <c r="Y1534" s="112">
        <f>_xll.qlCalendarAdvance(Calendar,Y1533,X1534,"f",FALSE)</f>
        <v>49908</v>
      </c>
      <c r="Z1534" s="115">
        <f>_xll.qlCalendarAdvance(Calendar,Y1534,NDays&amp;"D")</f>
        <v>49908</v>
      </c>
      <c r="AA1534" s="116">
        <v>3.7509832739886971E-2</v>
      </c>
      <c r="AB1534" s="113">
        <v>3.7353151561969611E-2</v>
      </c>
    </row>
    <row r="1535" spans="17:28" x14ac:dyDescent="0.2">
      <c r="Q1535" s="72"/>
      <c r="T1535" s="72"/>
      <c r="U1535" s="93"/>
      <c r="X1535" s="114" t="str">
        <f t="shared" si="36"/>
        <v>1w</v>
      </c>
      <c r="Y1535" s="112">
        <f>_xll.qlCalendarAdvance(Calendar,Y1534,X1535,"f",FALSE)</f>
        <v>49915</v>
      </c>
      <c r="Z1535" s="115">
        <f>_xll.qlCalendarAdvance(Calendar,Y1535,NDays&amp;"D")</f>
        <v>49915</v>
      </c>
      <c r="AA1535" s="116">
        <v>3.7507076185160103E-2</v>
      </c>
      <c r="AB1535" s="113">
        <v>3.7350470857598905E-2</v>
      </c>
    </row>
    <row r="1536" spans="17:28" x14ac:dyDescent="0.2">
      <c r="Q1536" s="72"/>
      <c r="T1536" s="72"/>
      <c r="U1536" s="93"/>
      <c r="X1536" s="114" t="str">
        <f t="shared" si="36"/>
        <v>1w</v>
      </c>
      <c r="Y1536" s="112">
        <f>_xll.qlCalendarAdvance(Calendar,Y1535,X1536,"f",FALSE)</f>
        <v>49922</v>
      </c>
      <c r="Z1536" s="115">
        <f>_xll.qlCalendarAdvance(Calendar,Y1536,NDays&amp;"D")</f>
        <v>49922</v>
      </c>
      <c r="AA1536" s="116">
        <v>3.7502590024249327E-2</v>
      </c>
      <c r="AB1536" s="113">
        <v>3.7347782412822106E-2</v>
      </c>
    </row>
    <row r="1537" spans="17:28" x14ac:dyDescent="0.2">
      <c r="Q1537" s="72"/>
      <c r="T1537" s="72"/>
      <c r="U1537" s="93"/>
      <c r="X1537" s="114" t="str">
        <f t="shared" si="36"/>
        <v>1w</v>
      </c>
      <c r="Y1537" s="112">
        <f>_xll.qlCalendarAdvance(Calendar,Y1536,X1537,"f",FALSE)</f>
        <v>49929</v>
      </c>
      <c r="Z1537" s="115">
        <f>_xll.qlCalendarAdvance(Calendar,Y1537,NDays&amp;"D")</f>
        <v>49929</v>
      </c>
      <c r="AA1537" s="116">
        <v>3.7499818689041502E-2</v>
      </c>
      <c r="AB1537" s="113">
        <v>3.7345086227639213E-2</v>
      </c>
    </row>
    <row r="1538" spans="17:28" x14ac:dyDescent="0.2">
      <c r="Q1538" s="72"/>
      <c r="T1538" s="72"/>
      <c r="U1538" s="93"/>
      <c r="X1538" s="114" t="str">
        <f t="shared" si="36"/>
        <v>1w</v>
      </c>
      <c r="Y1538" s="112">
        <f>_xll.qlCalendarAdvance(Calendar,Y1537,X1538,"f",FALSE)</f>
        <v>49936</v>
      </c>
      <c r="Z1538" s="115">
        <f>_xll.qlCalendarAdvance(Calendar,Y1538,NDays&amp;"D")</f>
        <v>49936</v>
      </c>
      <c r="AA1538" s="116">
        <v>3.749703954371976E-2</v>
      </c>
      <c r="AB1538" s="113">
        <v>3.7342382302050225E-2</v>
      </c>
    </row>
    <row r="1539" spans="17:28" x14ac:dyDescent="0.2">
      <c r="Q1539" s="72"/>
      <c r="T1539" s="72"/>
      <c r="U1539" s="93"/>
      <c r="X1539" s="114" t="str">
        <f t="shared" si="36"/>
        <v>1w</v>
      </c>
      <c r="Y1539" s="112">
        <f>_xll.qlCalendarAdvance(Calendar,Y1538,X1539,"f",FALSE)</f>
        <v>49943</v>
      </c>
      <c r="Z1539" s="115">
        <f>_xll.qlCalendarAdvance(Calendar,Y1539,NDays&amp;"D")</f>
        <v>49943</v>
      </c>
      <c r="AA1539" s="116">
        <v>3.7501129884647037E-2</v>
      </c>
      <c r="AB1539" s="113">
        <v>3.7339670635893052E-2</v>
      </c>
    </row>
    <row r="1540" spans="17:28" x14ac:dyDescent="0.2">
      <c r="Q1540" s="72"/>
      <c r="T1540" s="72"/>
      <c r="U1540" s="93"/>
      <c r="X1540" s="114" t="str">
        <f t="shared" si="36"/>
        <v>1w</v>
      </c>
      <c r="Y1540" s="112">
        <f>_xll.qlCalendarAdvance(Calendar,Y1539,X1540,"f",FALSE)</f>
        <v>49950</v>
      </c>
      <c r="Z1540" s="115">
        <f>_xll.qlCalendarAdvance(Calendar,Y1540,NDays&amp;"D")</f>
        <v>49950</v>
      </c>
      <c r="AA1540" s="116">
        <v>3.7493176248012947E-2</v>
      </c>
      <c r="AB1540" s="113">
        <v>3.7336951229410831E-2</v>
      </c>
    </row>
    <row r="1541" spans="17:28" x14ac:dyDescent="0.2">
      <c r="Q1541" s="72"/>
      <c r="T1541" s="72"/>
      <c r="U1541" s="93"/>
      <c r="X1541" s="114" t="str">
        <f t="shared" si="36"/>
        <v>1w</v>
      </c>
      <c r="Y1541" s="112">
        <f>_xll.qlCalendarAdvance(Calendar,Y1540,X1541,"f",FALSE)</f>
        <v>49957</v>
      </c>
      <c r="Z1541" s="115">
        <f>_xll.qlCalendarAdvance(Calendar,Y1541,NDays&amp;"D")</f>
        <v>49957</v>
      </c>
      <c r="AA1541" s="116">
        <v>3.7490372827994063E-2</v>
      </c>
      <c r="AB1541" s="113">
        <v>3.733422408244147E-2</v>
      </c>
    </row>
    <row r="1542" spans="17:28" x14ac:dyDescent="0.2">
      <c r="Q1542" s="72"/>
      <c r="T1542" s="72"/>
      <c r="U1542" s="93"/>
      <c r="X1542" s="114" t="str">
        <f t="shared" si="36"/>
        <v>1w</v>
      </c>
      <c r="Y1542" s="112">
        <f>_xll.qlCalendarAdvance(Calendar,Y1541,X1542,"f",FALSE)</f>
        <v>49964</v>
      </c>
      <c r="Z1542" s="115">
        <f>_xll.qlCalendarAdvance(Calendar,Y1542,NDays&amp;"D")</f>
        <v>49964</v>
      </c>
      <c r="AA1542" s="116">
        <v>3.7487561597153087E-2</v>
      </c>
      <c r="AB1542" s="113">
        <v>3.7331489195228107E-2</v>
      </c>
    </row>
    <row r="1543" spans="17:28" x14ac:dyDescent="0.2">
      <c r="Q1543" s="72"/>
      <c r="T1543" s="72"/>
      <c r="U1543" s="93"/>
      <c r="X1543" s="114" t="str">
        <f t="shared" si="36"/>
        <v>1w</v>
      </c>
      <c r="Y1543" s="112">
        <f>_xll.qlCalendarAdvance(Calendar,Y1542,X1543,"f",FALSE)</f>
        <v>49971</v>
      </c>
      <c r="Z1543" s="115">
        <f>_xll.qlCalendarAdvance(Calendar,Y1543,NDays&amp;"D")</f>
        <v>49971</v>
      </c>
      <c r="AA1543" s="116">
        <v>3.7484742555502347E-2</v>
      </c>
      <c r="AB1543" s="113">
        <v>3.7328746567365512E-2</v>
      </c>
    </row>
    <row r="1544" spans="17:28" x14ac:dyDescent="0.2">
      <c r="Q1544" s="72"/>
      <c r="T1544" s="72"/>
      <c r="U1544" s="93"/>
      <c r="X1544" s="114" t="str">
        <f t="shared" si="36"/>
        <v>1w</v>
      </c>
      <c r="Y1544" s="112">
        <f>_xll.qlCalendarAdvance(Calendar,Y1543,X1544,"f",FALSE)</f>
        <v>49978</v>
      </c>
      <c r="Z1544" s="115">
        <f>_xll.qlCalendarAdvance(Calendar,Y1544,NDays&amp;"D")</f>
        <v>49978</v>
      </c>
      <c r="AA1544" s="116">
        <v>3.7481915703059455E-2</v>
      </c>
      <c r="AB1544" s="113">
        <v>3.7325996199177869E-2</v>
      </c>
    </row>
    <row r="1545" spans="17:28" x14ac:dyDescent="0.2">
      <c r="Q1545" s="72"/>
      <c r="T1545" s="72"/>
      <c r="U1545" s="93"/>
      <c r="X1545" s="114" t="str">
        <f t="shared" si="36"/>
        <v>1w</v>
      </c>
      <c r="Y1545" s="112">
        <f>_xll.qlCalendarAdvance(Calendar,Y1544,X1545,"f",FALSE)</f>
        <v>49985</v>
      </c>
      <c r="Z1545" s="115">
        <f>_xll.qlCalendarAdvance(Calendar,Y1545,NDays&amp;"D")</f>
        <v>49985</v>
      </c>
      <c r="AA1545" s="116">
        <v>3.7479081039842044E-2</v>
      </c>
      <c r="AB1545" s="113">
        <v>3.7323238090503086E-2</v>
      </c>
    </row>
    <row r="1546" spans="17:28" x14ac:dyDescent="0.2">
      <c r="Q1546" s="72"/>
      <c r="T1546" s="72"/>
      <c r="U1546" s="93"/>
      <c r="X1546" s="114" t="str">
        <f t="shared" si="36"/>
        <v>1w</v>
      </c>
      <c r="Y1546" s="112">
        <f>_xll.qlCalendarAdvance(Calendar,Y1545,X1546,"f",FALSE)</f>
        <v>49992</v>
      </c>
      <c r="Z1546" s="115">
        <f>_xll.qlCalendarAdvance(Calendar,Y1546,NDays&amp;"D")</f>
        <v>49992</v>
      </c>
      <c r="AA1546" s="116">
        <v>3.7476238565865072E-2</v>
      </c>
      <c r="AB1546" s="113">
        <v>3.7320472241422209E-2</v>
      </c>
    </row>
    <row r="1547" spans="17:28" x14ac:dyDescent="0.2">
      <c r="Q1547" s="72"/>
      <c r="T1547" s="72"/>
      <c r="U1547" s="93"/>
      <c r="X1547" s="114" t="str">
        <f t="shared" si="36"/>
        <v>1w</v>
      </c>
      <c r="Y1547" s="112">
        <f>_xll.qlCalendarAdvance(Calendar,Y1546,X1547,"f",FALSE)</f>
        <v>49999</v>
      </c>
      <c r="Z1547" s="115">
        <f>_xll.qlCalendarAdvance(Calendar,Y1547,NDays&amp;"D")</f>
        <v>49999</v>
      </c>
      <c r="AA1547" s="116">
        <v>3.7473388281147935E-2</v>
      </c>
      <c r="AB1547" s="113">
        <v>3.7317698652016285E-2</v>
      </c>
    </row>
    <row r="1548" spans="17:28" x14ac:dyDescent="0.2">
      <c r="Q1548" s="72"/>
      <c r="T1548" s="72"/>
      <c r="U1548" s="93"/>
      <c r="X1548" s="114" t="str">
        <f t="shared" si="36"/>
        <v>1w</v>
      </c>
      <c r="Y1548" s="112">
        <f>_xll.qlCalendarAdvance(Calendar,Y1547,X1548,"f",FALSE)</f>
        <v>50006</v>
      </c>
      <c r="Z1548" s="115">
        <f>_xll.qlCalendarAdvance(Calendar,Y1548,NDays&amp;"D")</f>
        <v>50006</v>
      </c>
      <c r="AA1548" s="116">
        <v>3.7470530185703843E-2</v>
      </c>
      <c r="AB1548" s="113">
        <v>3.731491732212322E-2</v>
      </c>
    </row>
    <row r="1549" spans="17:28" x14ac:dyDescent="0.2">
      <c r="Q1549" s="72"/>
      <c r="T1549" s="72"/>
      <c r="U1549" s="93"/>
      <c r="X1549" s="114" t="str">
        <f t="shared" si="36"/>
        <v>1w</v>
      </c>
      <c r="Y1549" s="112">
        <f>_xll.qlCalendarAdvance(Calendar,Y1548,X1549,"f",FALSE)</f>
        <v>50013</v>
      </c>
      <c r="Z1549" s="115">
        <f>_xll.qlCalendarAdvance(Calendar,Y1549,NDays&amp;"D")</f>
        <v>50013</v>
      </c>
      <c r="AA1549" s="116">
        <v>3.7464242720532039E-2</v>
      </c>
      <c r="AB1549" s="113">
        <v>3.7312128251743015E-2</v>
      </c>
    </row>
    <row r="1550" spans="17:28" x14ac:dyDescent="0.2">
      <c r="Q1550" s="72"/>
      <c r="T1550" s="72"/>
      <c r="U1550" s="93"/>
      <c r="X1550" s="114" t="str">
        <f t="shared" si="36"/>
        <v>1w</v>
      </c>
      <c r="Y1550" s="112">
        <f>_xll.qlCalendarAdvance(Calendar,Y1549,X1550,"f",FALSE)</f>
        <v>50020</v>
      </c>
      <c r="Z1550" s="115">
        <f>_xll.qlCalendarAdvance(Calendar,Y1550,NDays&amp;"D")</f>
        <v>50020</v>
      </c>
      <c r="AA1550" s="116">
        <v>3.7461370706407406E-2</v>
      </c>
      <c r="AB1550" s="113">
        <v>3.7309331440956717E-2</v>
      </c>
    </row>
    <row r="1551" spans="17:28" x14ac:dyDescent="0.2">
      <c r="Q1551" s="72"/>
      <c r="T1551" s="72"/>
      <c r="U1551" s="93"/>
      <c r="X1551" s="114" t="str">
        <f t="shared" si="36"/>
        <v>1w</v>
      </c>
      <c r="Y1551" s="112">
        <f>_xll.qlCalendarAdvance(Calendar,Y1550,X1551,"f",FALSE)</f>
        <v>50027</v>
      </c>
      <c r="Z1551" s="115">
        <f>_xll.qlCalendarAdvance(Calendar,Y1551,NDays&amp;"D")</f>
        <v>50027</v>
      </c>
      <c r="AA1551" s="116">
        <v>3.7458490883155733E-2</v>
      </c>
      <c r="AB1551" s="113">
        <v>3.7306526889845371E-2</v>
      </c>
    </row>
    <row r="1552" spans="17:28" x14ac:dyDescent="0.2">
      <c r="Q1552" s="72"/>
      <c r="T1552" s="72"/>
      <c r="U1552" s="93"/>
      <c r="X1552" s="114" t="str">
        <f t="shared" si="36"/>
        <v>1w</v>
      </c>
      <c r="Y1552" s="112">
        <f>_xll.qlCalendarAdvance(Calendar,Y1551,X1552,"f",FALSE)</f>
        <v>50038</v>
      </c>
      <c r="Z1552" s="115">
        <f>_xll.qlCalendarAdvance(Calendar,Y1552,NDays&amp;"D")</f>
        <v>50038</v>
      </c>
      <c r="AA1552" s="116">
        <v>3.7455657386963291E-2</v>
      </c>
      <c r="AB1552" s="113">
        <v>3.7302104099072864E-2</v>
      </c>
    </row>
    <row r="1553" spans="17:28" x14ac:dyDescent="0.2">
      <c r="Q1553" s="72"/>
      <c r="T1553" s="72"/>
      <c r="U1553" s="93"/>
      <c r="X1553" s="114" t="str">
        <f t="shared" si="36"/>
        <v>1w</v>
      </c>
      <c r="Y1553" s="112">
        <f>_xll.qlCalendarAdvance(Calendar,Y1552,X1553,"f",FALSE)</f>
        <v>50045</v>
      </c>
      <c r="Z1553" s="115">
        <f>_xll.qlCalendarAdvance(Calendar,Y1553,NDays&amp;"D")</f>
        <v>50045</v>
      </c>
      <c r="AA1553" s="116">
        <v>3.745446352777354E-2</v>
      </c>
      <c r="AB1553" s="113">
        <v>3.7299279644048555E-2</v>
      </c>
    </row>
    <row r="1554" spans="17:28" x14ac:dyDescent="0.2">
      <c r="Q1554" s="72"/>
      <c r="T1554" s="72"/>
      <c r="U1554" s="93"/>
      <c r="X1554" s="114" t="str">
        <f t="shared" si="36"/>
        <v>1w</v>
      </c>
      <c r="Y1554" s="112">
        <f>_xll.qlCalendarAdvance(Calendar,Y1553,X1554,"f",FALSE)</f>
        <v>50052</v>
      </c>
      <c r="Z1554" s="115">
        <f>_xll.qlCalendarAdvance(Calendar,Y1554,NDays&amp;"D")</f>
        <v>50052</v>
      </c>
      <c r="AA1554" s="116">
        <v>3.7449848061442872E-2</v>
      </c>
      <c r="AB1554" s="113">
        <v>3.7296447448375014E-2</v>
      </c>
    </row>
    <row r="1555" spans="17:28" x14ac:dyDescent="0.2">
      <c r="Q1555" s="72"/>
      <c r="T1555" s="72"/>
      <c r="U1555" s="93"/>
      <c r="X1555" s="114" t="str">
        <f t="shared" si="36"/>
        <v>1w</v>
      </c>
      <c r="Y1555" s="112">
        <f>_xll.qlCalendarAdvance(Calendar,Y1554,X1555,"f",FALSE)</f>
        <v>50059</v>
      </c>
      <c r="Z1555" s="115">
        <f>_xll.qlCalendarAdvance(Calendar,Y1555,NDays&amp;"D")</f>
        <v>50059</v>
      </c>
      <c r="AA1555" s="116">
        <v>3.7446931683938853E-2</v>
      </c>
      <c r="AB1555" s="113">
        <v>3.7293607512457472E-2</v>
      </c>
    </row>
    <row r="1556" spans="17:28" x14ac:dyDescent="0.2">
      <c r="Q1556" s="72"/>
      <c r="T1556" s="72"/>
      <c r="U1556" s="93"/>
      <c r="X1556" s="114" t="str">
        <f t="shared" si="36"/>
        <v>1w</v>
      </c>
      <c r="Y1556" s="112">
        <f>_xll.qlCalendarAdvance(Calendar,Y1555,X1556,"f",FALSE)</f>
        <v>50067</v>
      </c>
      <c r="Z1556" s="115">
        <f>_xll.qlCalendarAdvance(Calendar,Y1556,NDays&amp;"D")</f>
        <v>50067</v>
      </c>
      <c r="AA1556" s="116">
        <v>3.7441884943371459E-2</v>
      </c>
      <c r="AB1556" s="113">
        <v>3.7290352393219983E-2</v>
      </c>
    </row>
    <row r="1557" spans="17:28" x14ac:dyDescent="0.2">
      <c r="Q1557" s="72"/>
      <c r="T1557" s="72"/>
      <c r="U1557" s="93"/>
      <c r="X1557" s="114" t="str">
        <f t="shared" ref="X1557:X1620" si="37">X1556</f>
        <v>1w</v>
      </c>
      <c r="Y1557" s="112">
        <f>_xll.qlCalendarAdvance(Calendar,Y1556,X1557,"f",FALSE)</f>
        <v>50074</v>
      </c>
      <c r="Z1557" s="115">
        <f>_xll.qlCalendarAdvance(Calendar,Y1557,NDays&amp;"D")</f>
        <v>50074</v>
      </c>
      <c r="AA1557" s="116">
        <v>3.7438952687842579E-2</v>
      </c>
      <c r="AB1557" s="113">
        <v>3.7287495870613752E-2</v>
      </c>
    </row>
    <row r="1558" spans="17:28" x14ac:dyDescent="0.2">
      <c r="Q1558" s="72"/>
      <c r="T1558" s="72"/>
      <c r="U1558" s="93"/>
      <c r="X1558" s="114" t="str">
        <f t="shared" si="37"/>
        <v>1w</v>
      </c>
      <c r="Y1558" s="112">
        <f>_xll.qlCalendarAdvance(Calendar,Y1557,X1558,"f",FALSE)</f>
        <v>50081</v>
      </c>
      <c r="Z1558" s="115">
        <f>_xll.qlCalendarAdvance(Calendar,Y1558,NDays&amp;"D")</f>
        <v>50081</v>
      </c>
      <c r="AA1558" s="116">
        <v>3.743601262331453E-2</v>
      </c>
      <c r="AB1558" s="113">
        <v>3.7284631607601426E-2</v>
      </c>
    </row>
    <row r="1559" spans="17:28" x14ac:dyDescent="0.2">
      <c r="Q1559" s="72"/>
      <c r="T1559" s="72"/>
      <c r="U1559" s="93"/>
      <c r="X1559" s="114" t="str">
        <f t="shared" si="37"/>
        <v>1w</v>
      </c>
      <c r="Y1559" s="112">
        <f>_xll.qlCalendarAdvance(Calendar,Y1558,X1559,"f",FALSE)</f>
        <v>50088</v>
      </c>
      <c r="Z1559" s="115">
        <f>_xll.qlCalendarAdvance(Calendar,Y1559,NDays&amp;"D")</f>
        <v>50088</v>
      </c>
      <c r="AA1559" s="116">
        <v>3.7433064749806233E-2</v>
      </c>
      <c r="AB1559" s="113">
        <v>3.7281759604101961E-2</v>
      </c>
    </row>
    <row r="1560" spans="17:28" x14ac:dyDescent="0.2">
      <c r="Q1560" s="72"/>
      <c r="T1560" s="72"/>
      <c r="U1560" s="93"/>
      <c r="X1560" s="114" t="str">
        <f t="shared" si="37"/>
        <v>1w</v>
      </c>
      <c r="Y1560" s="112">
        <f>_xll.qlCalendarAdvance(Calendar,Y1559,X1560,"f",FALSE)</f>
        <v>50095</v>
      </c>
      <c r="Z1560" s="115">
        <f>_xll.qlCalendarAdvance(Calendar,Y1560,NDays&amp;"D")</f>
        <v>50095</v>
      </c>
      <c r="AA1560" s="116">
        <v>3.7430109067333898E-2</v>
      </c>
      <c r="AB1560" s="113">
        <v>3.7278879860358494E-2</v>
      </c>
    </row>
    <row r="1561" spans="17:28" x14ac:dyDescent="0.2">
      <c r="Q1561" s="72"/>
      <c r="T1561" s="72"/>
      <c r="U1561" s="93"/>
      <c r="X1561" s="114" t="str">
        <f t="shared" si="37"/>
        <v>1w</v>
      </c>
      <c r="Y1561" s="112">
        <f>_xll.qlCalendarAdvance(Calendar,Y1560,X1561,"f",FALSE)</f>
        <v>50102</v>
      </c>
      <c r="Z1561" s="115">
        <f>_xll.qlCalendarAdvance(Calendar,Y1561,NDays&amp;"D")</f>
        <v>50102</v>
      </c>
      <c r="AA1561" s="116">
        <v>3.7430545370871697E-2</v>
      </c>
      <c r="AB1561" s="113">
        <v>3.7275992375884748E-2</v>
      </c>
    </row>
    <row r="1562" spans="17:28" x14ac:dyDescent="0.2">
      <c r="Q1562" s="72"/>
      <c r="T1562" s="72"/>
      <c r="U1562" s="93"/>
      <c r="X1562" s="114" t="str">
        <f t="shared" si="37"/>
        <v>1w</v>
      </c>
      <c r="Y1562" s="112">
        <f>_xll.qlCalendarAdvance(Calendar,Y1561,X1562,"f",FALSE)</f>
        <v>50109</v>
      </c>
      <c r="Z1562" s="115">
        <f>_xll.qlCalendarAdvance(Calendar,Y1562,NDays&amp;"D")</f>
        <v>50109</v>
      </c>
      <c r="AA1562" s="116">
        <v>3.7427572348142014E-2</v>
      </c>
      <c r="AB1562" s="113">
        <v>3.7273097151248047E-2</v>
      </c>
    </row>
    <row r="1563" spans="17:28" x14ac:dyDescent="0.2">
      <c r="Q1563" s="72"/>
      <c r="T1563" s="72"/>
      <c r="U1563" s="93"/>
      <c r="X1563" s="114" t="str">
        <f t="shared" si="37"/>
        <v>1w</v>
      </c>
      <c r="Y1563" s="112">
        <f>_xll.qlCalendarAdvance(Calendar,Y1562,X1563,"f",FALSE)</f>
        <v>50116</v>
      </c>
      <c r="Z1563" s="115">
        <f>_xll.qlCalendarAdvance(Calendar,Y1563,NDays&amp;"D")</f>
        <v>50116</v>
      </c>
      <c r="AA1563" s="116">
        <v>3.7424591514956709E-2</v>
      </c>
      <c r="AB1563" s="113">
        <v>3.727019418604316E-2</v>
      </c>
    </row>
    <row r="1564" spans="17:28" x14ac:dyDescent="0.2">
      <c r="Q1564" s="72"/>
      <c r="T1564" s="72"/>
      <c r="U1564" s="93"/>
      <c r="X1564" s="114" t="str">
        <f t="shared" si="37"/>
        <v>1w</v>
      </c>
      <c r="Y1564" s="112">
        <f>_xll.qlCalendarAdvance(Calendar,Y1563,X1564,"f",FALSE)</f>
        <v>50123</v>
      </c>
      <c r="Z1564" s="115">
        <f>_xll.qlCalendarAdvance(Calendar,Y1564,NDays&amp;"D")</f>
        <v>50123</v>
      </c>
      <c r="AA1564" s="116">
        <v>3.7421602871330749E-2</v>
      </c>
      <c r="AB1564" s="113">
        <v>3.7267283480432178E-2</v>
      </c>
    </row>
    <row r="1565" spans="17:28" x14ac:dyDescent="0.2">
      <c r="Q1565" s="72"/>
      <c r="T1565" s="72"/>
      <c r="U1565" s="93"/>
      <c r="X1565" s="114" t="str">
        <f t="shared" si="37"/>
        <v>1w</v>
      </c>
      <c r="Y1565" s="112">
        <f>_xll.qlCalendarAdvance(Calendar,Y1564,X1565,"f",FALSE)</f>
        <v>50130</v>
      </c>
      <c r="Z1565" s="115">
        <f>_xll.qlCalendarAdvance(Calendar,Y1565,NDays&amp;"D")</f>
        <v>50130</v>
      </c>
      <c r="AA1565" s="116">
        <v>3.7416909952660178E-2</v>
      </c>
      <c r="AB1565" s="113">
        <v>3.726436503449615E-2</v>
      </c>
    </row>
    <row r="1566" spans="17:28" x14ac:dyDescent="0.2">
      <c r="Q1566" s="72"/>
      <c r="T1566" s="72"/>
      <c r="U1566" s="93"/>
      <c r="X1566" s="114" t="str">
        <f t="shared" si="37"/>
        <v>1w</v>
      </c>
      <c r="Y1566" s="112">
        <f>_xll.qlCalendarAdvance(Calendar,Y1565,X1566,"f",FALSE)</f>
        <v>50137</v>
      </c>
      <c r="Z1566" s="115">
        <f>_xll.qlCalendarAdvance(Calendar,Y1566,NDays&amp;"D")</f>
        <v>50137</v>
      </c>
      <c r="AA1566" s="116">
        <v>3.7413906552552889E-2</v>
      </c>
      <c r="AB1566" s="113">
        <v>3.7261438848072981E-2</v>
      </c>
    </row>
    <row r="1567" spans="17:28" x14ac:dyDescent="0.2">
      <c r="Q1567" s="72"/>
      <c r="T1567" s="72"/>
      <c r="U1567" s="93"/>
      <c r="X1567" s="114" t="str">
        <f t="shared" si="37"/>
        <v>1w</v>
      </c>
      <c r="Y1567" s="112">
        <f>_xll.qlCalendarAdvance(Calendar,Y1566,X1567,"f",FALSE)</f>
        <v>50144</v>
      </c>
      <c r="Z1567" s="115">
        <f>_xll.qlCalendarAdvance(Calendar,Y1567,NDays&amp;"D")</f>
        <v>50144</v>
      </c>
      <c r="AA1567" s="116">
        <v>3.7410895342830444E-2</v>
      </c>
      <c r="AB1567" s="113">
        <v>3.7258504921243718E-2</v>
      </c>
    </row>
    <row r="1568" spans="17:28" x14ac:dyDescent="0.2">
      <c r="Q1568" s="72"/>
      <c r="T1568" s="72"/>
      <c r="U1568" s="93"/>
      <c r="X1568" s="114" t="str">
        <f t="shared" si="37"/>
        <v>1w</v>
      </c>
      <c r="Y1568" s="112">
        <f>_xll.qlCalendarAdvance(Calendar,Y1567,X1568,"f",FALSE)</f>
        <v>50151</v>
      </c>
      <c r="Z1568" s="115">
        <f>_xll.qlCalendarAdvance(Calendar,Y1568,NDays&amp;"D")</f>
        <v>50151</v>
      </c>
      <c r="AA1568" s="116">
        <v>3.740787632350797E-2</v>
      </c>
      <c r="AB1568" s="113">
        <v>3.7255563253927315E-2</v>
      </c>
    </row>
    <row r="1569" spans="17:28" x14ac:dyDescent="0.2">
      <c r="Q1569" s="72"/>
      <c r="T1569" s="72"/>
      <c r="U1569" s="93"/>
      <c r="X1569" s="114" t="str">
        <f t="shared" si="37"/>
        <v>1w</v>
      </c>
      <c r="Y1569" s="112">
        <f>_xll.qlCalendarAdvance(Calendar,Y1568,X1569,"f",FALSE)</f>
        <v>50158</v>
      </c>
      <c r="Z1569" s="115">
        <f>_xll.qlCalendarAdvance(Calendar,Y1569,NDays&amp;"D")</f>
        <v>50158</v>
      </c>
      <c r="AA1569" s="116">
        <v>3.7404849494605957E-2</v>
      </c>
      <c r="AB1569" s="113">
        <v>3.7252613846285865E-2</v>
      </c>
    </row>
    <row r="1570" spans="17:28" x14ac:dyDescent="0.2">
      <c r="Q1570" s="72"/>
      <c r="T1570" s="72"/>
      <c r="U1570" s="93"/>
      <c r="X1570" s="114" t="str">
        <f t="shared" si="37"/>
        <v>1w</v>
      </c>
      <c r="Y1570" s="112">
        <f>_xll.qlCalendarAdvance(Calendar,Y1569,X1570,"f",FALSE)</f>
        <v>50165</v>
      </c>
      <c r="Z1570" s="115">
        <f>_xll.qlCalendarAdvance(Calendar,Y1570,NDays&amp;"D")</f>
        <v>50165</v>
      </c>
      <c r="AA1570" s="116">
        <v>3.7403506991324685E-2</v>
      </c>
      <c r="AB1570" s="113">
        <v>3.7249656698157274E-2</v>
      </c>
    </row>
    <row r="1571" spans="17:28" x14ac:dyDescent="0.2">
      <c r="Q1571" s="72"/>
      <c r="T1571" s="72"/>
      <c r="U1571" s="93"/>
      <c r="X1571" s="114" t="str">
        <f t="shared" si="37"/>
        <v>1w</v>
      </c>
      <c r="Y1571" s="112">
        <f>_xll.qlCalendarAdvance(Calendar,Y1570,X1571,"f",FALSE)</f>
        <v>50172</v>
      </c>
      <c r="Z1571" s="115">
        <f>_xll.qlCalendarAdvance(Calendar,Y1571,NDays&amp;"D")</f>
        <v>50172</v>
      </c>
      <c r="AA1571" s="116">
        <v>3.7400463675113654E-2</v>
      </c>
      <c r="AB1571" s="113">
        <v>3.724669180962259E-2</v>
      </c>
    </row>
    <row r="1572" spans="17:28" x14ac:dyDescent="0.2">
      <c r="Q1572" s="72"/>
      <c r="T1572" s="72"/>
      <c r="U1572" s="93"/>
      <c r="X1572" s="114" t="str">
        <f t="shared" si="37"/>
        <v>1w</v>
      </c>
      <c r="Y1572" s="112">
        <f>_xll.qlCalendarAdvance(Calendar,Y1571,X1572,"f",FALSE)</f>
        <v>50179</v>
      </c>
      <c r="Z1572" s="115">
        <f>_xll.qlCalendarAdvance(Calendar,Y1572,NDays&amp;"D")</f>
        <v>50179</v>
      </c>
      <c r="AA1572" s="116">
        <v>3.7397412548604687E-2</v>
      </c>
      <c r="AB1572" s="113">
        <v>3.7243719180762858E-2</v>
      </c>
    </row>
    <row r="1573" spans="17:28" x14ac:dyDescent="0.2">
      <c r="Q1573" s="72"/>
      <c r="T1573" s="72"/>
      <c r="U1573" s="93"/>
      <c r="X1573" s="114" t="str">
        <f t="shared" si="37"/>
        <v>1w</v>
      </c>
      <c r="Y1573" s="112">
        <f>_xll.qlCalendarAdvance(Calendar,Y1572,X1573,"f",FALSE)</f>
        <v>50186</v>
      </c>
      <c r="Z1573" s="115">
        <f>_xll.qlCalendarAdvance(Calendar,Y1573,NDays&amp;"D")</f>
        <v>50186</v>
      </c>
      <c r="AA1573" s="116">
        <v>3.7394353611812751E-2</v>
      </c>
      <c r="AB1573" s="113">
        <v>3.7240738811334939E-2</v>
      </c>
    </row>
    <row r="1574" spans="17:28" x14ac:dyDescent="0.2">
      <c r="Q1574" s="72"/>
      <c r="T1574" s="72"/>
      <c r="U1574" s="93"/>
      <c r="X1574" s="114" t="str">
        <f t="shared" si="37"/>
        <v>1w</v>
      </c>
      <c r="Y1574" s="112">
        <f>_xll.qlCalendarAdvance(Calendar,Y1573,X1574,"f",FALSE)</f>
        <v>50193</v>
      </c>
      <c r="Z1574" s="115">
        <f>_xll.qlCalendarAdvance(Calendar,Y1574,NDays&amp;"D")</f>
        <v>50193</v>
      </c>
      <c r="AA1574" s="116">
        <v>3.7391286864759878E-2</v>
      </c>
      <c r="AB1574" s="113">
        <v>3.7237750701500927E-2</v>
      </c>
    </row>
    <row r="1575" spans="17:28" x14ac:dyDescent="0.2">
      <c r="Q1575" s="72"/>
      <c r="T1575" s="72"/>
      <c r="U1575" s="93"/>
      <c r="X1575" s="114" t="str">
        <f t="shared" si="37"/>
        <v>1w</v>
      </c>
      <c r="Y1575" s="112">
        <f>_xll.qlCalendarAdvance(Calendar,Y1574,X1575,"f",FALSE)</f>
        <v>50200</v>
      </c>
      <c r="Z1575" s="115">
        <f>_xll.qlCalendarAdvance(Calendar,Y1575,NDays&amp;"D")</f>
        <v>50200</v>
      </c>
      <c r="AA1575" s="116">
        <v>3.7388212307461921E-2</v>
      </c>
      <c r="AB1575" s="113">
        <v>3.7234754851341867E-2</v>
      </c>
    </row>
    <row r="1576" spans="17:28" x14ac:dyDescent="0.2">
      <c r="Q1576" s="72"/>
      <c r="T1576" s="72"/>
      <c r="U1576" s="93"/>
      <c r="X1576" s="114" t="str">
        <f t="shared" si="37"/>
        <v>1w</v>
      </c>
      <c r="Y1576" s="112">
        <f>_xll.qlCalendarAdvance(Calendar,Y1575,X1576,"f",FALSE)</f>
        <v>50207</v>
      </c>
      <c r="Z1576" s="115">
        <f>_xll.qlCalendarAdvance(Calendar,Y1576,NDays&amp;"D")</f>
        <v>50207</v>
      </c>
      <c r="AA1576" s="116">
        <v>3.7385129939937381E-2</v>
      </c>
      <c r="AB1576" s="113">
        <v>3.7231751260776713E-2</v>
      </c>
    </row>
    <row r="1577" spans="17:28" x14ac:dyDescent="0.2">
      <c r="Q1577" s="72"/>
      <c r="T1577" s="72"/>
      <c r="U1577" s="93"/>
      <c r="X1577" s="114" t="str">
        <f t="shared" si="37"/>
        <v>1w</v>
      </c>
      <c r="Y1577" s="112">
        <f>_xll.qlCalendarAdvance(Calendar,Y1576,X1577,"f",FALSE)</f>
        <v>50214</v>
      </c>
      <c r="Z1577" s="115">
        <f>_xll.qlCalendarAdvance(Calendar,Y1577,NDays&amp;"D")</f>
        <v>50214</v>
      </c>
      <c r="AA1577" s="116">
        <v>3.7382039762202994E-2</v>
      </c>
      <c r="AB1577" s="113">
        <v>3.7228739929643373E-2</v>
      </c>
    </row>
    <row r="1578" spans="17:28" x14ac:dyDescent="0.2">
      <c r="Q1578" s="72"/>
      <c r="T1578" s="72"/>
      <c r="U1578" s="93"/>
      <c r="X1578" s="114" t="str">
        <f t="shared" si="37"/>
        <v>1w</v>
      </c>
      <c r="Y1578" s="112">
        <f>_xll.qlCalendarAdvance(Calendar,Y1577,X1578,"f",FALSE)</f>
        <v>50221</v>
      </c>
      <c r="Z1578" s="115">
        <f>_xll.qlCalendarAdvance(Calendar,Y1578,NDays&amp;"D")</f>
        <v>50221</v>
      </c>
      <c r="AA1578" s="116">
        <v>3.737894177427814E-2</v>
      </c>
      <c r="AB1578" s="113">
        <v>3.7225720858184985E-2</v>
      </c>
    </row>
    <row r="1579" spans="17:28" x14ac:dyDescent="0.2">
      <c r="Q1579" s="72"/>
      <c r="T1579" s="72"/>
      <c r="U1579" s="93"/>
      <c r="X1579" s="114" t="str">
        <f t="shared" si="37"/>
        <v>1w</v>
      </c>
      <c r="Y1579" s="112">
        <f>_xll.qlCalendarAdvance(Calendar,Y1578,X1579,"f",FALSE)</f>
        <v>50228</v>
      </c>
      <c r="Z1579" s="115">
        <f>_xll.qlCalendarAdvance(Calendar,Y1579,NDays&amp;"D")</f>
        <v>50228</v>
      </c>
      <c r="AA1579" s="116">
        <v>3.7375835976180438E-2</v>
      </c>
      <c r="AB1579" s="113">
        <v>3.7222694046239457E-2</v>
      </c>
    </row>
    <row r="1580" spans="17:28" x14ac:dyDescent="0.2">
      <c r="Q1580" s="72"/>
      <c r="T1580" s="72"/>
      <c r="U1580" s="93"/>
      <c r="X1580" s="114" t="str">
        <f t="shared" si="37"/>
        <v>1w</v>
      </c>
      <c r="Y1580" s="112">
        <f>_xll.qlCalendarAdvance(Calendar,Y1579,X1580,"f",FALSE)</f>
        <v>50235</v>
      </c>
      <c r="Z1580" s="115">
        <f>_xll.qlCalendarAdvance(Calendar,Y1580,NDays&amp;"D")</f>
        <v>50235</v>
      </c>
      <c r="AA1580" s="116">
        <v>3.7372722367930156E-2</v>
      </c>
      <c r="AB1580" s="113">
        <v>3.7219659493968882E-2</v>
      </c>
    </row>
    <row r="1581" spans="17:28" x14ac:dyDescent="0.2">
      <c r="Q1581" s="72"/>
      <c r="T1581" s="72"/>
      <c r="U1581" s="93"/>
      <c r="X1581" s="114" t="str">
        <f t="shared" si="37"/>
        <v>1w</v>
      </c>
      <c r="Y1581" s="112">
        <f>_xll.qlCalendarAdvance(Calendar,Y1580,X1581,"f",FALSE)</f>
        <v>50242</v>
      </c>
      <c r="Z1581" s="115">
        <f>_xll.qlCalendarAdvance(Calendar,Y1581,NDays&amp;"D")</f>
        <v>50242</v>
      </c>
      <c r="AA1581" s="116">
        <v>3.736960094954226E-2</v>
      </c>
      <c r="AB1581" s="113">
        <v>3.7216617201211166E-2</v>
      </c>
    </row>
    <row r="1582" spans="17:28" x14ac:dyDescent="0.2">
      <c r="Q1582" s="72"/>
      <c r="T1582" s="72"/>
      <c r="U1582" s="93"/>
      <c r="X1582" s="114" t="str">
        <f t="shared" si="37"/>
        <v>1w</v>
      </c>
      <c r="Y1582" s="112">
        <f>_xll.qlCalendarAdvance(Calendar,Y1581,X1582,"f",FALSE)</f>
        <v>50249</v>
      </c>
      <c r="Z1582" s="115">
        <f>_xll.qlCalendarAdvance(Calendar,Y1582,NDays&amp;"D")</f>
        <v>50249</v>
      </c>
      <c r="AA1582" s="116">
        <v>3.7366471721036139E-2</v>
      </c>
      <c r="AB1582" s="113">
        <v>3.7213567168047357E-2</v>
      </c>
    </row>
    <row r="1583" spans="17:28" x14ac:dyDescent="0.2">
      <c r="Q1583" s="72"/>
      <c r="T1583" s="72"/>
      <c r="U1583" s="93"/>
      <c r="X1583" s="114" t="str">
        <f t="shared" si="37"/>
        <v>1w</v>
      </c>
      <c r="Y1583" s="112">
        <f>_xll.qlCalendarAdvance(Calendar,Y1582,X1583,"f",FALSE)</f>
        <v>50256</v>
      </c>
      <c r="Z1583" s="115">
        <f>_xll.qlCalendarAdvance(Calendar,Y1583,NDays&amp;"D")</f>
        <v>50256</v>
      </c>
      <c r="AA1583" s="116">
        <v>3.7363334682431165E-2</v>
      </c>
      <c r="AB1583" s="113">
        <v>3.7210509394477453E-2</v>
      </c>
    </row>
    <row r="1584" spans="17:28" x14ac:dyDescent="0.2">
      <c r="Q1584" s="72"/>
      <c r="T1584" s="72"/>
      <c r="U1584" s="93"/>
      <c r="X1584" s="114" t="str">
        <f t="shared" si="37"/>
        <v>1w</v>
      </c>
      <c r="Y1584" s="112">
        <f>_xll.qlCalendarAdvance(Calendar,Y1583,X1584,"f",FALSE)</f>
        <v>50263</v>
      </c>
      <c r="Z1584" s="115">
        <f>_xll.qlCalendarAdvance(Calendar,Y1584,NDays&amp;"D")</f>
        <v>50263</v>
      </c>
      <c r="AA1584" s="116">
        <v>3.7360189833744083E-2</v>
      </c>
      <c r="AB1584" s="113">
        <v>3.7207443880501456E-2</v>
      </c>
    </row>
    <row r="1585" spans="17:28" x14ac:dyDescent="0.2">
      <c r="Q1585" s="72"/>
      <c r="T1585" s="72"/>
      <c r="U1585" s="93"/>
      <c r="X1585" s="114" t="str">
        <f t="shared" si="37"/>
        <v>1w</v>
      </c>
      <c r="Y1585" s="112">
        <f>_xll.qlCalendarAdvance(Calendar,Y1584,X1585,"f",FALSE)</f>
        <v>50270</v>
      </c>
      <c r="Z1585" s="115">
        <f>_xll.qlCalendarAdvance(Calendar,Y1585,NDays&amp;"D")</f>
        <v>50270</v>
      </c>
      <c r="AA1585" s="116">
        <v>3.735703717499516E-2</v>
      </c>
      <c r="AB1585" s="113">
        <v>3.7204370626200411E-2</v>
      </c>
    </row>
    <row r="1586" spans="17:28" x14ac:dyDescent="0.2">
      <c r="Q1586" s="72"/>
      <c r="T1586" s="72"/>
      <c r="U1586" s="93"/>
      <c r="X1586" s="114" t="str">
        <f t="shared" si="37"/>
        <v>1w</v>
      </c>
      <c r="Y1586" s="112">
        <f>_xll.qlCalendarAdvance(Calendar,Y1585,X1586,"f",FALSE)</f>
        <v>50277</v>
      </c>
      <c r="Z1586" s="115">
        <f>_xll.qlCalendarAdvance(Calendar,Y1586,NDays&amp;"D")</f>
        <v>50277</v>
      </c>
      <c r="AA1586" s="116">
        <v>3.735387670620112E-2</v>
      </c>
      <c r="AB1586" s="113">
        <v>3.7201289631250134E-2</v>
      </c>
    </row>
    <row r="1587" spans="17:28" x14ac:dyDescent="0.2">
      <c r="Q1587" s="72"/>
      <c r="T1587" s="72"/>
      <c r="U1587" s="93"/>
      <c r="X1587" s="114" t="str">
        <f t="shared" si="37"/>
        <v>1w</v>
      </c>
      <c r="Y1587" s="112">
        <f>_xll.qlCalendarAdvance(Calendar,Y1586,X1587,"f",FALSE)</f>
        <v>50284</v>
      </c>
      <c r="Z1587" s="115">
        <f>_xll.qlCalendarAdvance(Calendar,Y1587,NDays&amp;"D")</f>
        <v>50284</v>
      </c>
      <c r="AA1587" s="116">
        <v>3.7349031156163941E-2</v>
      </c>
      <c r="AB1587" s="113">
        <v>3.7198200896055855E-2</v>
      </c>
    </row>
    <row r="1588" spans="17:28" x14ac:dyDescent="0.2">
      <c r="Q1588" s="72"/>
      <c r="T1588" s="72"/>
      <c r="U1588" s="93"/>
      <c r="X1588" s="114" t="str">
        <f t="shared" si="37"/>
        <v>1w</v>
      </c>
      <c r="Y1588" s="112">
        <f>_xll.qlCalendarAdvance(Calendar,Y1587,X1588,"f",FALSE)</f>
        <v>50291</v>
      </c>
      <c r="Z1588" s="115">
        <f>_xll.qlCalendarAdvance(Calendar,Y1588,NDays&amp;"D")</f>
        <v>50291</v>
      </c>
      <c r="AA1588" s="116">
        <v>3.7345855948598503E-2</v>
      </c>
      <c r="AB1588" s="113">
        <v>3.7195104420374436E-2</v>
      </c>
    </row>
    <row r="1589" spans="17:28" x14ac:dyDescent="0.2">
      <c r="Q1589" s="72"/>
      <c r="T1589" s="72"/>
      <c r="U1589" s="93"/>
      <c r="X1589" s="114" t="str">
        <f t="shared" si="37"/>
        <v>1w</v>
      </c>
      <c r="Y1589" s="112">
        <f>_xll.qlCalendarAdvance(Calendar,Y1588,X1589,"f",FALSE)</f>
        <v>50298</v>
      </c>
      <c r="Z1589" s="115">
        <f>_xll.qlCalendarAdvance(Calendar,Y1589,NDays&amp;"D")</f>
        <v>50298</v>
      </c>
      <c r="AA1589" s="116">
        <v>3.7342672931812447E-2</v>
      </c>
      <c r="AB1589" s="113">
        <v>3.7192000204286924E-2</v>
      </c>
    </row>
    <row r="1590" spans="17:28" x14ac:dyDescent="0.2">
      <c r="Q1590" s="72"/>
      <c r="T1590" s="72"/>
      <c r="U1590" s="93"/>
      <c r="X1590" s="114" t="str">
        <f t="shared" si="37"/>
        <v>1w</v>
      </c>
      <c r="Y1590" s="112">
        <f>_xll.qlCalendarAdvance(Calendar,Y1589,X1590,"f",FALSE)</f>
        <v>50305</v>
      </c>
      <c r="Z1590" s="115">
        <f>_xll.qlCalendarAdvance(Calendar,Y1590,NDays&amp;"D")</f>
        <v>50305</v>
      </c>
      <c r="AA1590" s="116">
        <v>3.7339482105820915E-2</v>
      </c>
      <c r="AB1590" s="113">
        <v>3.7188888247793317E-2</v>
      </c>
    </row>
    <row r="1591" spans="17:28" x14ac:dyDescent="0.2">
      <c r="Q1591" s="72"/>
      <c r="T1591" s="72"/>
      <c r="U1591" s="93"/>
      <c r="X1591" s="114" t="str">
        <f t="shared" si="37"/>
        <v>1w</v>
      </c>
      <c r="Y1591" s="112">
        <f>_xll.qlCalendarAdvance(Calendar,Y1590,X1591,"f",FALSE)</f>
        <v>50312</v>
      </c>
      <c r="Z1591" s="115">
        <f>_xll.qlCalendarAdvance(Calendar,Y1591,NDays&amp;"D")</f>
        <v>50312</v>
      </c>
      <c r="AA1591" s="116">
        <v>3.7336283470645271E-2</v>
      </c>
      <c r="AB1591" s="113">
        <v>3.7185768550893616E-2</v>
      </c>
    </row>
    <row r="1592" spans="17:28" x14ac:dyDescent="0.2">
      <c r="Q1592" s="72"/>
      <c r="T1592" s="72"/>
      <c r="U1592" s="93"/>
      <c r="X1592" s="114" t="str">
        <f t="shared" si="37"/>
        <v>1w</v>
      </c>
      <c r="Y1592" s="112">
        <f>_xll.qlCalendarAdvance(Calendar,Y1591,X1592,"f",FALSE)</f>
        <v>50319</v>
      </c>
      <c r="Z1592" s="115">
        <f>_xll.qlCalendarAdvance(Calendar,Y1592,NDays&amp;"D")</f>
        <v>50319</v>
      </c>
      <c r="AA1592" s="116">
        <v>3.7334749883545799E-2</v>
      </c>
      <c r="AB1592" s="113">
        <v>3.7182641113506776E-2</v>
      </c>
    </row>
    <row r="1593" spans="17:28" x14ac:dyDescent="0.2">
      <c r="Q1593" s="72"/>
      <c r="T1593" s="72"/>
      <c r="U1593" s="93"/>
      <c r="X1593" s="114" t="str">
        <f t="shared" si="37"/>
        <v>1w</v>
      </c>
      <c r="Y1593" s="112">
        <f>_xll.qlCalendarAdvance(Calendar,Y1592,X1593,"f",FALSE)</f>
        <v>50326</v>
      </c>
      <c r="Z1593" s="115">
        <f>_xll.qlCalendarAdvance(Calendar,Y1593,NDays&amp;"D")</f>
        <v>50326</v>
      </c>
      <c r="AA1593" s="116">
        <v>3.7331534744961911E-2</v>
      </c>
      <c r="AB1593" s="113">
        <v>3.7179505935794888E-2</v>
      </c>
    </row>
    <row r="1594" spans="17:28" x14ac:dyDescent="0.2">
      <c r="Q1594" s="72"/>
      <c r="T1594" s="72"/>
      <c r="U1594" s="93"/>
      <c r="X1594" s="114" t="str">
        <f t="shared" si="37"/>
        <v>1w</v>
      </c>
      <c r="Y1594" s="112">
        <f>_xll.qlCalendarAdvance(Calendar,Y1593,X1594,"f",FALSE)</f>
        <v>50333</v>
      </c>
      <c r="Z1594" s="115">
        <f>_xll.qlCalendarAdvance(Calendar,Y1594,NDays&amp;"D")</f>
        <v>50333</v>
      </c>
      <c r="AA1594" s="116">
        <v>3.7328311796482661E-2</v>
      </c>
      <c r="AB1594" s="113">
        <v>3.7176363017595859E-2</v>
      </c>
    </row>
    <row r="1595" spans="17:28" x14ac:dyDescent="0.2">
      <c r="Q1595" s="72"/>
      <c r="T1595" s="72"/>
      <c r="U1595" s="93"/>
      <c r="X1595" s="114" t="str">
        <f t="shared" si="37"/>
        <v>1w</v>
      </c>
      <c r="Y1595" s="112">
        <f>_xll.qlCalendarAdvance(Calendar,Y1594,X1595,"f",FALSE)</f>
        <v>50340</v>
      </c>
      <c r="Z1595" s="115">
        <f>_xll.qlCalendarAdvance(Calendar,Y1595,NDays&amp;"D")</f>
        <v>50340</v>
      </c>
      <c r="AA1595" s="116">
        <v>3.7325081038126567E-2</v>
      </c>
      <c r="AB1595" s="113">
        <v>3.7173212358990737E-2</v>
      </c>
    </row>
    <row r="1596" spans="17:28" x14ac:dyDescent="0.2">
      <c r="Q1596" s="72"/>
      <c r="T1596" s="72"/>
      <c r="U1596" s="93"/>
      <c r="X1596" s="114" t="str">
        <f t="shared" si="37"/>
        <v>1w</v>
      </c>
      <c r="Y1596" s="112">
        <f>_xll.qlCalendarAdvance(Calendar,Y1595,X1596,"f",FALSE)</f>
        <v>50347</v>
      </c>
      <c r="Z1596" s="115">
        <f>_xll.qlCalendarAdvance(Calendar,Y1596,NDays&amp;"D")</f>
        <v>50347</v>
      </c>
      <c r="AA1596" s="116">
        <v>3.7321842469914761E-2</v>
      </c>
      <c r="AB1596" s="113">
        <v>3.7170053960141614E-2</v>
      </c>
    </row>
    <row r="1597" spans="17:28" x14ac:dyDescent="0.2">
      <c r="Q1597" s="72"/>
      <c r="T1597" s="72"/>
      <c r="U1597" s="93"/>
      <c r="X1597" s="114" t="str">
        <f t="shared" si="37"/>
        <v>1w</v>
      </c>
      <c r="Y1597" s="112">
        <f>_xll.qlCalendarAdvance(Calendar,Y1596,X1597,"f",FALSE)</f>
        <v>50354</v>
      </c>
      <c r="Z1597" s="115">
        <f>_xll.qlCalendarAdvance(Calendar,Y1597,NDays&amp;"D")</f>
        <v>50354</v>
      </c>
      <c r="AA1597" s="116">
        <v>3.7318596091862222E-2</v>
      </c>
      <c r="AB1597" s="113">
        <v>3.7166887820562211E-2</v>
      </c>
    </row>
    <row r="1598" spans="17:28" x14ac:dyDescent="0.2">
      <c r="Q1598" s="72"/>
      <c r="T1598" s="72"/>
      <c r="U1598" s="93"/>
      <c r="X1598" s="114" t="str">
        <f t="shared" si="37"/>
        <v>1w</v>
      </c>
      <c r="Y1598" s="112">
        <f>_xll.qlCalendarAdvance(Calendar,Y1597,X1598,"f",FALSE)</f>
        <v>50361</v>
      </c>
      <c r="Z1598" s="115">
        <f>_xll.qlCalendarAdvance(Calendar,Y1598,NDays&amp;"D")</f>
        <v>50361</v>
      </c>
      <c r="AA1598" s="116">
        <v>3.7315341903991855E-2</v>
      </c>
      <c r="AB1598" s="113">
        <v>3.7163713940819854E-2</v>
      </c>
    </row>
    <row r="1599" spans="17:28" x14ac:dyDescent="0.2">
      <c r="Q1599" s="72"/>
      <c r="T1599" s="72"/>
      <c r="U1599" s="93"/>
      <c r="X1599" s="114" t="str">
        <f t="shared" si="37"/>
        <v>1w</v>
      </c>
      <c r="Y1599" s="112">
        <f>_xll.qlCalendarAdvance(Calendar,Y1598,X1599,"f",FALSE)</f>
        <v>50368</v>
      </c>
      <c r="Z1599" s="115">
        <f>_xll.qlCalendarAdvance(Calendar,Y1599,NDays&amp;"D")</f>
        <v>50368</v>
      </c>
      <c r="AA1599" s="116">
        <v>3.7312079906320399E-2</v>
      </c>
      <c r="AB1599" s="113">
        <v>3.716053232050931E-2</v>
      </c>
    </row>
    <row r="1600" spans="17:28" x14ac:dyDescent="0.2">
      <c r="Q1600" s="72"/>
      <c r="T1600" s="72"/>
      <c r="U1600" s="93"/>
      <c r="X1600" s="114" t="str">
        <f t="shared" si="37"/>
        <v>1w</v>
      </c>
      <c r="Y1600" s="112">
        <f>_xll.qlCalendarAdvance(Calendar,Y1599,X1600,"f",FALSE)</f>
        <v>50375</v>
      </c>
      <c r="Z1600" s="115">
        <f>_xll.qlCalendarAdvance(Calendar,Y1600,NDays&amp;"D")</f>
        <v>50375</v>
      </c>
      <c r="AA1600" s="116">
        <v>3.7305478616794355E-2</v>
      </c>
      <c r="AB1600" s="113">
        <v>3.7157342959873718E-2</v>
      </c>
    </row>
    <row r="1601" spans="17:28" x14ac:dyDescent="0.2">
      <c r="Q1601" s="72"/>
      <c r="T1601" s="72"/>
      <c r="U1601" s="93"/>
      <c r="X1601" s="114" t="str">
        <f t="shared" si="37"/>
        <v>1w</v>
      </c>
      <c r="Y1601" s="112">
        <f>_xll.qlCalendarAdvance(Calendar,Y1600,X1601,"f",FALSE)</f>
        <v>50382</v>
      </c>
      <c r="Z1601" s="115">
        <f>_xll.qlCalendarAdvance(Calendar,Y1601,NDays&amp;"D")</f>
        <v>50382</v>
      </c>
      <c r="AA1601" s="116">
        <v>3.730220278185914E-2</v>
      </c>
      <c r="AB1601" s="113">
        <v>3.7154145858832033E-2</v>
      </c>
    </row>
    <row r="1602" spans="17:28" x14ac:dyDescent="0.2">
      <c r="Q1602" s="72"/>
      <c r="T1602" s="72"/>
      <c r="U1602" s="93"/>
      <c r="X1602" s="114" t="str">
        <f t="shared" si="37"/>
        <v>1w</v>
      </c>
      <c r="Y1602" s="112">
        <f>_xll.qlCalendarAdvance(Calendar,Y1601,X1602,"f",FALSE)</f>
        <v>50389</v>
      </c>
      <c r="Z1602" s="115">
        <f>_xll.qlCalendarAdvance(Calendar,Y1602,NDays&amp;"D")</f>
        <v>50389</v>
      </c>
      <c r="AA1602" s="116">
        <v>3.7298919138709113E-2</v>
      </c>
      <c r="AB1602" s="113">
        <v>3.7150941017222161E-2</v>
      </c>
    </row>
    <row r="1603" spans="17:28" x14ac:dyDescent="0.2">
      <c r="Q1603" s="72"/>
      <c r="T1603" s="72"/>
      <c r="U1603" s="93"/>
      <c r="X1603" s="114" t="str">
        <f t="shared" si="37"/>
        <v>1w</v>
      </c>
      <c r="Y1603" s="112">
        <f>_xll.qlCalendarAdvance(Calendar,Y1602,X1603,"f",FALSE)</f>
        <v>50396</v>
      </c>
      <c r="Z1603" s="115">
        <f>_xll.qlCalendarAdvance(Calendar,Y1603,NDays&amp;"D")</f>
        <v>50396</v>
      </c>
      <c r="AA1603" s="116">
        <v>3.7295627687363178E-2</v>
      </c>
      <c r="AB1603" s="113">
        <v>3.7147728435368288E-2</v>
      </c>
    </row>
    <row r="1604" spans="17:28" x14ac:dyDescent="0.2">
      <c r="Q1604" s="72"/>
      <c r="T1604" s="72"/>
      <c r="U1604" s="93"/>
      <c r="X1604" s="114" t="str">
        <f t="shared" si="37"/>
        <v>1w</v>
      </c>
      <c r="Y1604" s="112">
        <f>_xll.qlCalendarAdvance(Calendar,Y1603,X1604,"f",FALSE)</f>
        <v>50403</v>
      </c>
      <c r="Z1604" s="115">
        <f>_xll.qlCalendarAdvance(Calendar,Y1604,NDays&amp;"D")</f>
        <v>50403</v>
      </c>
      <c r="AA1604" s="116">
        <v>3.7292328427838452E-2</v>
      </c>
      <c r="AB1604" s="113">
        <v>3.7144508113027275E-2</v>
      </c>
    </row>
    <row r="1605" spans="17:28" x14ac:dyDescent="0.2">
      <c r="Q1605" s="72"/>
      <c r="T1605" s="72"/>
      <c r="U1605" s="93"/>
      <c r="X1605" s="114" t="str">
        <f t="shared" si="37"/>
        <v>1w</v>
      </c>
      <c r="Y1605" s="112">
        <f>_xll.qlCalendarAdvance(Calendar,Y1604,X1605,"f",FALSE)</f>
        <v>50410</v>
      </c>
      <c r="Z1605" s="115">
        <f>_xll.qlCalendarAdvance(Calendar,Y1605,NDays&amp;"D")</f>
        <v>50410</v>
      </c>
      <c r="AA1605" s="116">
        <v>3.728902136015564E-2</v>
      </c>
      <c r="AB1605" s="113">
        <v>3.7141280050361214E-2</v>
      </c>
    </row>
    <row r="1606" spans="17:28" x14ac:dyDescent="0.2">
      <c r="Q1606" s="72"/>
      <c r="T1606" s="72"/>
      <c r="U1606" s="93"/>
      <c r="X1606" s="114" t="str">
        <f t="shared" si="37"/>
        <v>1w</v>
      </c>
      <c r="Y1606" s="112">
        <f>_xll.qlCalendarAdvance(Calendar,Y1605,X1606,"f",FALSE)</f>
        <v>50417</v>
      </c>
      <c r="Z1606" s="115">
        <f>_xll.qlCalendarAdvance(Calendar,Y1606,NDays&amp;"D")</f>
        <v>50417</v>
      </c>
      <c r="AA1606" s="116">
        <v>3.7285706484331854E-2</v>
      </c>
      <c r="AB1606" s="113">
        <v>3.7138044247126967E-2</v>
      </c>
    </row>
    <row r="1607" spans="17:28" x14ac:dyDescent="0.2">
      <c r="Q1607" s="72"/>
      <c r="T1607" s="72"/>
      <c r="U1607" s="93"/>
      <c r="X1607" s="114" t="str">
        <f t="shared" si="37"/>
        <v>1w</v>
      </c>
      <c r="Y1607" s="112">
        <f>_xll.qlCalendarAdvance(Calendar,Y1606,X1607,"f",FALSE)</f>
        <v>50424</v>
      </c>
      <c r="Z1607" s="115">
        <f>_xll.qlCalendarAdvance(Calendar,Y1607,NDays&amp;"D")</f>
        <v>50424</v>
      </c>
      <c r="AA1607" s="116">
        <v>3.7282383800388709E-2</v>
      </c>
      <c r="AB1607" s="113">
        <v>3.7134800703567672E-2</v>
      </c>
    </row>
    <row r="1608" spans="17:28" x14ac:dyDescent="0.2">
      <c r="Q1608" s="72"/>
      <c r="T1608" s="72"/>
      <c r="U1608" s="93"/>
      <c r="X1608" s="114" t="str">
        <f t="shared" si="37"/>
        <v>1w</v>
      </c>
      <c r="Y1608" s="112">
        <f>_xll.qlCalendarAdvance(Calendar,Y1607,X1608,"f",FALSE)</f>
        <v>50432</v>
      </c>
      <c r="Z1608" s="115">
        <f>_xll.qlCalendarAdvance(Calendar,Y1608,NDays&amp;"D")</f>
        <v>50432</v>
      </c>
      <c r="AA1608" s="116">
        <v>3.7278576886369846E-2</v>
      </c>
      <c r="AB1608" s="113">
        <v>3.7131084318500207E-2</v>
      </c>
    </row>
    <row r="1609" spans="17:28" x14ac:dyDescent="0.2">
      <c r="Q1609" s="72"/>
      <c r="T1609" s="72"/>
      <c r="U1609" s="93"/>
      <c r="X1609" s="114" t="str">
        <f t="shared" si="37"/>
        <v>1w</v>
      </c>
      <c r="Y1609" s="112">
        <f>_xll.qlCalendarAdvance(Calendar,Y1608,X1609,"f",FALSE)</f>
        <v>50439</v>
      </c>
      <c r="Z1609" s="115">
        <f>_xll.qlCalendarAdvance(Calendar,Y1609,NDays&amp;"D")</f>
        <v>50439</v>
      </c>
      <c r="AA1609" s="116">
        <v>3.7273579945909727E-2</v>
      </c>
      <c r="AB1609" s="113">
        <v>3.7127824188333269E-2</v>
      </c>
    </row>
    <row r="1610" spans="17:28" x14ac:dyDescent="0.2">
      <c r="Q1610" s="72"/>
      <c r="T1610" s="72"/>
      <c r="U1610" s="93"/>
      <c r="X1610" s="114" t="str">
        <f t="shared" si="37"/>
        <v>1w</v>
      </c>
      <c r="Y1610" s="112">
        <f>_xll.qlCalendarAdvance(Calendar,Y1609,X1610,"f",FALSE)</f>
        <v>50446</v>
      </c>
      <c r="Z1610" s="115">
        <f>_xll.qlCalendarAdvance(Calendar,Y1610,NDays&amp;"D")</f>
        <v>50446</v>
      </c>
      <c r="AA1610" s="116">
        <v>3.7270233620181989E-2</v>
      </c>
      <c r="AB1610" s="113">
        <v>3.7124556317841284E-2</v>
      </c>
    </row>
    <row r="1611" spans="17:28" x14ac:dyDescent="0.2">
      <c r="Q1611" s="72"/>
      <c r="T1611" s="72"/>
      <c r="U1611" s="93"/>
      <c r="X1611" s="114" t="str">
        <f t="shared" si="37"/>
        <v>1w</v>
      </c>
      <c r="Y1611" s="112">
        <f>_xll.qlCalendarAdvance(Calendar,Y1610,X1611,"f",FALSE)</f>
        <v>50453</v>
      </c>
      <c r="Z1611" s="115">
        <f>_xll.qlCalendarAdvance(Calendar,Y1611,NDays&amp;"D")</f>
        <v>50453</v>
      </c>
      <c r="AA1611" s="116">
        <v>3.7266879487173131E-2</v>
      </c>
      <c r="AB1611" s="113">
        <v>3.7121280706781112E-2</v>
      </c>
    </row>
    <row r="1612" spans="17:28" x14ac:dyDescent="0.2">
      <c r="Q1612" s="72"/>
      <c r="T1612" s="72"/>
      <c r="U1612" s="93"/>
      <c r="X1612" s="114" t="str">
        <f t="shared" si="37"/>
        <v>1w</v>
      </c>
      <c r="Y1612" s="112">
        <f>_xll.qlCalendarAdvance(Calendar,Y1611,X1612,"f",FALSE)</f>
        <v>50460</v>
      </c>
      <c r="Z1612" s="115">
        <f>_xll.qlCalendarAdvance(Calendar,Y1612,NDays&amp;"D")</f>
        <v>50460</v>
      </c>
      <c r="AA1612" s="116">
        <v>3.7263517546904108E-2</v>
      </c>
      <c r="AB1612" s="113">
        <v>3.7117997355476939E-2</v>
      </c>
    </row>
    <row r="1613" spans="17:28" x14ac:dyDescent="0.2">
      <c r="Q1613" s="72"/>
      <c r="T1613" s="72"/>
      <c r="U1613" s="93"/>
      <c r="X1613" s="114" t="str">
        <f t="shared" si="37"/>
        <v>1w</v>
      </c>
      <c r="Y1613" s="112">
        <f>_xll.qlCalendarAdvance(Calendar,Y1612,X1613,"f",FALSE)</f>
        <v>50467</v>
      </c>
      <c r="Z1613" s="115">
        <f>_xll.qlCalendarAdvance(Calendar,Y1613,NDays&amp;"D")</f>
        <v>50467</v>
      </c>
      <c r="AA1613" s="116">
        <v>3.726510966416343E-2</v>
      </c>
      <c r="AB1613" s="113">
        <v>3.7114706263523534E-2</v>
      </c>
    </row>
    <row r="1614" spans="17:28" x14ac:dyDescent="0.2">
      <c r="Q1614" s="72"/>
      <c r="T1614" s="72"/>
      <c r="U1614" s="93"/>
      <c r="X1614" s="114" t="str">
        <f t="shared" si="37"/>
        <v>1w</v>
      </c>
      <c r="Y1614" s="112">
        <f>_xll.qlCalendarAdvance(Calendar,Y1613,X1614,"f",FALSE)</f>
        <v>50474</v>
      </c>
      <c r="Z1614" s="115">
        <f>_xll.qlCalendarAdvance(Calendar,Y1614,NDays&amp;"D")</f>
        <v>50474</v>
      </c>
      <c r="AA1614" s="116">
        <v>3.7261729406160474E-2</v>
      </c>
      <c r="AB1614" s="113">
        <v>3.7111407431326127E-2</v>
      </c>
    </row>
    <row r="1615" spans="17:28" x14ac:dyDescent="0.2">
      <c r="Q1615" s="72"/>
      <c r="T1615" s="72"/>
      <c r="U1615" s="93"/>
      <c r="X1615" s="114" t="str">
        <f t="shared" si="37"/>
        <v>1w</v>
      </c>
      <c r="Y1615" s="112">
        <f>_xll.qlCalendarAdvance(Calendar,Y1614,X1615,"f",FALSE)</f>
        <v>50481</v>
      </c>
      <c r="Z1615" s="115">
        <f>_xll.qlCalendarAdvance(Calendar,Y1615,NDays&amp;"D")</f>
        <v>50481</v>
      </c>
      <c r="AA1615" s="116">
        <v>3.7258341338670911E-2</v>
      </c>
      <c r="AB1615" s="113">
        <v>3.7108100858722626E-2</v>
      </c>
    </row>
    <row r="1616" spans="17:28" x14ac:dyDescent="0.2">
      <c r="Q1616" s="72"/>
      <c r="T1616" s="72"/>
      <c r="U1616" s="93"/>
      <c r="X1616" s="114" t="str">
        <f t="shared" si="37"/>
        <v>1w</v>
      </c>
      <c r="Y1616" s="112">
        <f>_xll.qlCalendarAdvance(Calendar,Y1615,X1616,"f",FALSE)</f>
        <v>50488</v>
      </c>
      <c r="Z1616" s="115">
        <f>_xll.qlCalendarAdvance(Calendar,Y1616,NDays&amp;"D")</f>
        <v>50488</v>
      </c>
      <c r="AA1616" s="116">
        <v>3.7254945461713262E-2</v>
      </c>
      <c r="AB1616" s="113">
        <v>3.7104786545631985E-2</v>
      </c>
    </row>
    <row r="1617" spans="17:28" x14ac:dyDescent="0.2">
      <c r="Q1617" s="72"/>
      <c r="T1617" s="72"/>
      <c r="U1617" s="93"/>
      <c r="X1617" s="114" t="str">
        <f t="shared" si="37"/>
        <v>1w</v>
      </c>
      <c r="Y1617" s="112">
        <f>_xll.qlCalendarAdvance(Calendar,Y1616,X1617,"f",FALSE)</f>
        <v>50495</v>
      </c>
      <c r="Z1617" s="115">
        <f>_xll.qlCalendarAdvance(Calendar,Y1617,NDays&amp;"D")</f>
        <v>50495</v>
      </c>
      <c r="AA1617" s="116">
        <v>3.7249891403687056E-2</v>
      </c>
      <c r="AB1617" s="113">
        <v>3.710146449213525E-2</v>
      </c>
    </row>
    <row r="1618" spans="17:28" x14ac:dyDescent="0.2">
      <c r="Q1618" s="72"/>
      <c r="T1618" s="72"/>
      <c r="U1618" s="93"/>
      <c r="X1618" s="114" t="str">
        <f t="shared" si="37"/>
        <v>1w</v>
      </c>
      <c r="Y1618" s="112">
        <f>_xll.qlCalendarAdvance(Calendar,Y1617,X1618,"f",FALSE)</f>
        <v>50502</v>
      </c>
      <c r="Z1618" s="115">
        <f>_xll.qlCalendarAdvance(Calendar,Y1618,NDays&amp;"D")</f>
        <v>50502</v>
      </c>
      <c r="AA1618" s="116">
        <v>3.7246480812132936E-2</v>
      </c>
      <c r="AB1618" s="113">
        <v>3.7098134698232421E-2</v>
      </c>
    </row>
    <row r="1619" spans="17:28" x14ac:dyDescent="0.2">
      <c r="Q1619" s="72"/>
      <c r="T1619" s="72"/>
      <c r="U1619" s="93"/>
      <c r="X1619" s="114" t="str">
        <f t="shared" si="37"/>
        <v>1w</v>
      </c>
      <c r="Y1619" s="112">
        <f>_xll.qlCalendarAdvance(Calendar,Y1618,X1619,"f",FALSE)</f>
        <v>50509</v>
      </c>
      <c r="Z1619" s="115">
        <f>_xll.qlCalendarAdvance(Calendar,Y1619,NDays&amp;"D")</f>
        <v>50509</v>
      </c>
      <c r="AA1619" s="116">
        <v>3.7243062411931753E-2</v>
      </c>
      <c r="AB1619" s="113">
        <v>3.7094797164004545E-2</v>
      </c>
    </row>
    <row r="1620" spans="17:28" x14ac:dyDescent="0.2">
      <c r="Q1620" s="72"/>
      <c r="T1620" s="72"/>
      <c r="U1620" s="93"/>
      <c r="X1620" s="114" t="str">
        <f t="shared" si="37"/>
        <v>1w</v>
      </c>
      <c r="Y1620" s="112">
        <f>_xll.qlCalendarAdvance(Calendar,Y1619,X1620,"f",FALSE)</f>
        <v>50516</v>
      </c>
      <c r="Z1620" s="115">
        <f>_xll.qlCalendarAdvance(Calendar,Y1620,NDays&amp;"D")</f>
        <v>50516</v>
      </c>
      <c r="AA1620" s="116">
        <v>3.723963620310132E-2</v>
      </c>
      <c r="AB1620" s="113">
        <v>3.7091451889208482E-2</v>
      </c>
    </row>
    <row r="1621" spans="17:28" x14ac:dyDescent="0.2">
      <c r="Q1621" s="72"/>
      <c r="T1621" s="72"/>
      <c r="U1621" s="93"/>
      <c r="X1621" s="114" t="str">
        <f t="shared" ref="X1621:X1684" si="38">X1620</f>
        <v>1w</v>
      </c>
      <c r="Y1621" s="112">
        <f>_xll.qlCalendarAdvance(Calendar,Y1620,X1621,"f",FALSE)</f>
        <v>50523</v>
      </c>
      <c r="Z1621" s="115">
        <f>_xll.qlCalendarAdvance(Calendar,Y1621,NDays&amp;"D")</f>
        <v>50523</v>
      </c>
      <c r="AA1621" s="116">
        <v>3.7236202185664792E-2</v>
      </c>
      <c r="AB1621" s="113">
        <v>3.7088098874087372E-2</v>
      </c>
    </row>
    <row r="1622" spans="17:28" x14ac:dyDescent="0.2">
      <c r="Q1622" s="72"/>
      <c r="T1622" s="72"/>
      <c r="U1622" s="93"/>
      <c r="X1622" s="114" t="str">
        <f t="shared" si="38"/>
        <v>1w</v>
      </c>
      <c r="Y1622" s="112">
        <f>_xll.qlCalendarAdvance(Calendar,Y1621,X1622,"f",FALSE)</f>
        <v>50530</v>
      </c>
      <c r="Z1622" s="115">
        <f>_xll.qlCalendarAdvance(Calendar,Y1622,NDays&amp;"D")</f>
        <v>50530</v>
      </c>
      <c r="AA1622" s="116">
        <v>3.7234406202282529E-2</v>
      </c>
      <c r="AB1622" s="113">
        <v>3.7084738118560168E-2</v>
      </c>
    </row>
    <row r="1623" spans="17:28" x14ac:dyDescent="0.2">
      <c r="Q1623" s="72"/>
      <c r="T1623" s="72"/>
      <c r="U1623" s="93"/>
      <c r="X1623" s="114" t="str">
        <f t="shared" si="38"/>
        <v>1w</v>
      </c>
      <c r="Y1623" s="112">
        <f>_xll.qlCalendarAdvance(Calendar,Y1622,X1623,"f",FALSE)</f>
        <v>50537</v>
      </c>
      <c r="Z1623" s="115">
        <f>_xll.qlCalendarAdvance(Calendar,Y1623,NDays&amp;"D")</f>
        <v>50537</v>
      </c>
      <c r="AA1623" s="116">
        <v>3.7230955659616406E-2</v>
      </c>
      <c r="AB1623" s="113">
        <v>3.708136962262687E-2</v>
      </c>
    </row>
    <row r="1624" spans="17:28" x14ac:dyDescent="0.2">
      <c r="Q1624" s="72"/>
      <c r="T1624" s="72"/>
      <c r="U1624" s="93"/>
      <c r="X1624" s="114" t="str">
        <f t="shared" si="38"/>
        <v>1w</v>
      </c>
      <c r="Y1624" s="112">
        <f>_xll.qlCalendarAdvance(Calendar,Y1623,X1624,"f",FALSE)</f>
        <v>50544</v>
      </c>
      <c r="Z1624" s="115">
        <f>_xll.qlCalendarAdvance(Calendar,Y1624,NDays&amp;"D")</f>
        <v>50544</v>
      </c>
      <c r="AA1624" s="116">
        <v>3.7227497307644283E-2</v>
      </c>
      <c r="AB1624" s="113">
        <v>3.7077993386287478E-2</v>
      </c>
    </row>
    <row r="1625" spans="17:28" x14ac:dyDescent="0.2">
      <c r="Q1625" s="72"/>
      <c r="T1625" s="72"/>
      <c r="U1625" s="93"/>
      <c r="X1625" s="114" t="str">
        <f t="shared" si="38"/>
        <v>1w</v>
      </c>
      <c r="Y1625" s="112">
        <f>_xll.qlCalendarAdvance(Calendar,Y1624,X1625,"f",FALSE)</f>
        <v>50551</v>
      </c>
      <c r="Z1625" s="115">
        <f>_xll.qlCalendarAdvance(Calendar,Y1625,NDays&amp;"D")</f>
        <v>50551</v>
      </c>
      <c r="AA1625" s="116">
        <v>3.7224031146384645E-2</v>
      </c>
      <c r="AB1625" s="113">
        <v>3.7074609409541992E-2</v>
      </c>
    </row>
    <row r="1626" spans="17:28" x14ac:dyDescent="0.2">
      <c r="Q1626" s="72"/>
      <c r="T1626" s="72"/>
      <c r="U1626" s="93"/>
      <c r="X1626" s="114" t="str">
        <f t="shared" si="38"/>
        <v>1w</v>
      </c>
      <c r="Y1626" s="112">
        <f>_xll.qlCalendarAdvance(Calendar,Y1625,X1626,"f",FALSE)</f>
        <v>50558</v>
      </c>
      <c r="Z1626" s="115">
        <f>_xll.qlCalendarAdvance(Calendar,Y1626,NDays&amp;"D")</f>
        <v>50558</v>
      </c>
      <c r="AA1626" s="116">
        <v>3.7220557175860418E-2</v>
      </c>
      <c r="AB1626" s="113">
        <v>3.7071217692309366E-2</v>
      </c>
    </row>
    <row r="1627" spans="17:28" x14ac:dyDescent="0.2">
      <c r="Q1627" s="72"/>
      <c r="T1627" s="72"/>
      <c r="U1627" s="93"/>
      <c r="X1627" s="114" t="str">
        <f t="shared" si="38"/>
        <v>1w</v>
      </c>
      <c r="Y1627" s="112">
        <f>_xll.qlCalendarAdvance(Calendar,Y1626,X1627,"f",FALSE)</f>
        <v>50565</v>
      </c>
      <c r="Z1627" s="115">
        <f>_xll.qlCalendarAdvance(Calendar,Y1627,NDays&amp;"D")</f>
        <v>50565</v>
      </c>
      <c r="AA1627" s="116">
        <v>3.7217075396089205E-2</v>
      </c>
      <c r="AB1627" s="113">
        <v>3.7067818234751693E-2</v>
      </c>
    </row>
    <row r="1628" spans="17:28" x14ac:dyDescent="0.2">
      <c r="Q1628" s="72"/>
      <c r="T1628" s="72"/>
      <c r="U1628" s="93"/>
      <c r="X1628" s="114" t="str">
        <f t="shared" si="38"/>
        <v>1w</v>
      </c>
      <c r="Y1628" s="112">
        <f>_xll.qlCalendarAdvance(Calendar,Y1627,X1628,"f",FALSE)</f>
        <v>50572</v>
      </c>
      <c r="Z1628" s="115">
        <f>_xll.qlCalendarAdvance(Calendar,Y1628,NDays&amp;"D")</f>
        <v>50572</v>
      </c>
      <c r="AA1628" s="116">
        <v>3.7213585807093039E-2</v>
      </c>
      <c r="AB1628" s="113">
        <v>3.7064411036787925E-2</v>
      </c>
    </row>
    <row r="1629" spans="17:28" x14ac:dyDescent="0.2">
      <c r="Q1629" s="72"/>
      <c r="T1629" s="72"/>
      <c r="U1629" s="93"/>
      <c r="X1629" s="114" t="str">
        <f t="shared" si="38"/>
        <v>1w</v>
      </c>
      <c r="Y1629" s="112">
        <f>_xll.qlCalendarAdvance(Calendar,Y1628,X1629,"f",FALSE)</f>
        <v>50579</v>
      </c>
      <c r="Z1629" s="115">
        <f>_xll.qlCalendarAdvance(Calendar,Y1629,NDays&amp;"D")</f>
        <v>50579</v>
      </c>
      <c r="AA1629" s="116">
        <v>3.7210088408891291E-2</v>
      </c>
      <c r="AB1629" s="113">
        <v>3.7060996098337018E-2</v>
      </c>
    </row>
    <row r="1630" spans="17:28" x14ac:dyDescent="0.2">
      <c r="Q1630" s="72"/>
      <c r="T1630" s="72"/>
      <c r="U1630" s="93"/>
      <c r="X1630" s="114" t="str">
        <f t="shared" si="38"/>
        <v>1w</v>
      </c>
      <c r="Y1630" s="112">
        <f>_xll.qlCalendarAdvance(Calendar,Y1629,X1630,"f",FALSE)</f>
        <v>50586</v>
      </c>
      <c r="Z1630" s="115">
        <f>_xll.qlCalendarAdvance(Calendar,Y1630,NDays&amp;"D")</f>
        <v>50586</v>
      </c>
      <c r="AA1630" s="116">
        <v>3.7206583201505987E-2</v>
      </c>
      <c r="AB1630" s="113">
        <v>3.7057573419561063E-2</v>
      </c>
    </row>
    <row r="1631" spans="17:28" x14ac:dyDescent="0.2">
      <c r="Q1631" s="72"/>
      <c r="T1631" s="72"/>
      <c r="U1631" s="93"/>
      <c r="X1631" s="114" t="str">
        <f t="shared" si="38"/>
        <v>1w</v>
      </c>
      <c r="Y1631" s="112">
        <f>_xll.qlCalendarAdvance(Calendar,Y1630,X1631,"f",FALSE)</f>
        <v>50593</v>
      </c>
      <c r="Z1631" s="115">
        <f>_xll.qlCalendarAdvance(Calendar,Y1631,NDays&amp;"D")</f>
        <v>50593</v>
      </c>
      <c r="AA1631" s="116">
        <v>3.7203070184956513E-2</v>
      </c>
      <c r="AB1631" s="113">
        <v>3.7054143000216921E-2</v>
      </c>
    </row>
    <row r="1632" spans="17:28" x14ac:dyDescent="0.2">
      <c r="Q1632" s="72"/>
      <c r="T1632" s="72"/>
      <c r="U1632" s="93"/>
      <c r="X1632" s="114" t="str">
        <f t="shared" si="38"/>
        <v>1w</v>
      </c>
      <c r="Y1632" s="112">
        <f>_xll.qlCalendarAdvance(Calendar,Y1631,X1632,"f",FALSE)</f>
        <v>50600</v>
      </c>
      <c r="Z1632" s="115">
        <f>_xll.qlCalendarAdvance(Calendar,Y1632,NDays&amp;"D")</f>
        <v>50600</v>
      </c>
      <c r="AA1632" s="116">
        <v>3.719954935926225E-2</v>
      </c>
      <c r="AB1632" s="113">
        <v>3.7050704840628779E-2</v>
      </c>
    </row>
    <row r="1633" spans="17:28" x14ac:dyDescent="0.2">
      <c r="Q1633" s="72"/>
      <c r="T1633" s="72"/>
      <c r="U1633" s="93"/>
      <c r="X1633" s="114" t="str">
        <f t="shared" si="38"/>
        <v>1w</v>
      </c>
      <c r="Y1633" s="112">
        <f>_xll.qlCalendarAdvance(Calendar,Y1632,X1633,"f",FALSE)</f>
        <v>50607</v>
      </c>
      <c r="Z1633" s="115">
        <f>_xll.qlCalendarAdvance(Calendar,Y1633,NDays&amp;"D")</f>
        <v>50607</v>
      </c>
      <c r="AA1633" s="116">
        <v>3.7196020724447859E-2</v>
      </c>
      <c r="AB1633" s="113">
        <v>3.7047258940553496E-2</v>
      </c>
    </row>
    <row r="1634" spans="17:28" x14ac:dyDescent="0.2">
      <c r="Q1634" s="72"/>
      <c r="T1634" s="72"/>
      <c r="U1634" s="93"/>
      <c r="X1634" s="114" t="str">
        <f t="shared" si="38"/>
        <v>1w</v>
      </c>
      <c r="Y1634" s="112">
        <f>_xll.qlCalendarAdvance(Calendar,Y1633,X1634,"f",FALSE)</f>
        <v>50614</v>
      </c>
      <c r="Z1634" s="115">
        <f>_xll.qlCalendarAdvance(Calendar,Y1634,NDays&amp;"D")</f>
        <v>50614</v>
      </c>
      <c r="AA1634" s="116">
        <v>3.7192484280529202E-2</v>
      </c>
      <c r="AB1634" s="113">
        <v>3.7043805300153165E-2</v>
      </c>
    </row>
    <row r="1635" spans="17:28" x14ac:dyDescent="0.2">
      <c r="Q1635" s="72"/>
      <c r="T1635" s="72"/>
      <c r="U1635" s="93"/>
      <c r="X1635" s="114" t="str">
        <f t="shared" si="38"/>
        <v>1w</v>
      </c>
      <c r="Y1635" s="112">
        <f>_xll.qlCalendarAdvance(Calendar,Y1634,X1635,"f",FALSE)</f>
        <v>50621</v>
      </c>
      <c r="Z1635" s="115">
        <f>_xll.qlCalendarAdvance(Calendar,Y1635,NDays&amp;"D")</f>
        <v>50621</v>
      </c>
      <c r="AA1635" s="116">
        <v>3.7188940027530058E-2</v>
      </c>
      <c r="AB1635" s="113">
        <v>3.7040343919265695E-2</v>
      </c>
    </row>
    <row r="1636" spans="17:28" x14ac:dyDescent="0.2">
      <c r="Q1636" s="72"/>
      <c r="T1636" s="72"/>
      <c r="U1636" s="93"/>
      <c r="X1636" s="114" t="str">
        <f t="shared" si="38"/>
        <v>1w</v>
      </c>
      <c r="Y1636" s="112">
        <f>_xll.qlCalendarAdvance(Calendar,Y1635,X1636,"f",FALSE)</f>
        <v>50628</v>
      </c>
      <c r="Z1636" s="115">
        <f>_xll.qlCalendarAdvance(Calendar,Y1636,NDays&amp;"D")</f>
        <v>50628</v>
      </c>
      <c r="AA1636" s="116">
        <v>3.7185387965469809E-2</v>
      </c>
      <c r="AB1636" s="113">
        <v>3.7036874798053177E-2</v>
      </c>
    </row>
    <row r="1637" spans="17:28" x14ac:dyDescent="0.2">
      <c r="Q1637" s="72"/>
      <c r="T1637" s="72"/>
      <c r="U1637" s="93"/>
      <c r="X1637" s="114" t="str">
        <f t="shared" si="38"/>
        <v>1w</v>
      </c>
      <c r="Y1637" s="112">
        <f>_xll.qlCalendarAdvance(Calendar,Y1636,X1637,"f",FALSE)</f>
        <v>50635</v>
      </c>
      <c r="Z1637" s="115">
        <f>_xll.qlCalendarAdvance(Calendar,Y1637,NDays&amp;"D")</f>
        <v>50635</v>
      </c>
      <c r="AA1637" s="116">
        <v>3.7181828094369603E-2</v>
      </c>
      <c r="AB1637" s="113">
        <v>3.7033397936353518E-2</v>
      </c>
    </row>
    <row r="1638" spans="17:28" x14ac:dyDescent="0.2">
      <c r="Q1638" s="72"/>
      <c r="T1638" s="72"/>
      <c r="U1638" s="93"/>
      <c r="X1638" s="114" t="str">
        <f t="shared" si="38"/>
        <v>1w</v>
      </c>
      <c r="Y1638" s="112">
        <f>_xll.qlCalendarAdvance(Calendar,Y1637,X1638,"f",FALSE)</f>
        <v>50642</v>
      </c>
      <c r="Z1638" s="115">
        <f>_xll.qlCalendarAdvance(Calendar,Y1638,NDays&amp;"D")</f>
        <v>50642</v>
      </c>
      <c r="AA1638" s="116">
        <v>3.7178260414249695E-2</v>
      </c>
      <c r="AB1638" s="113">
        <v>3.7029913334247766E-2</v>
      </c>
    </row>
    <row r="1639" spans="17:28" x14ac:dyDescent="0.2">
      <c r="Q1639" s="72"/>
      <c r="T1639" s="72"/>
      <c r="U1639" s="93"/>
      <c r="X1639" s="114" t="str">
        <f t="shared" si="38"/>
        <v>1w</v>
      </c>
      <c r="Y1639" s="112">
        <f>_xll.qlCalendarAdvance(Calendar,Y1638,X1639,"f",FALSE)</f>
        <v>50649</v>
      </c>
      <c r="Z1639" s="115">
        <f>_xll.qlCalendarAdvance(Calendar,Y1639,NDays&amp;"D")</f>
        <v>50649</v>
      </c>
      <c r="AA1639" s="116">
        <v>3.7173054622827939E-2</v>
      </c>
      <c r="AB1639" s="113">
        <v>3.702642099173592E-2</v>
      </c>
    </row>
    <row r="1640" spans="17:28" x14ac:dyDescent="0.2">
      <c r="Q1640" s="72"/>
      <c r="T1640" s="72"/>
      <c r="U1640" s="93"/>
      <c r="X1640" s="114" t="str">
        <f t="shared" si="38"/>
        <v>1w</v>
      </c>
      <c r="Y1640" s="112">
        <f>_xll.qlCalendarAdvance(Calendar,Y1639,X1640,"f",FALSE)</f>
        <v>50656</v>
      </c>
      <c r="Z1640" s="115">
        <f>_xll.qlCalendarAdvance(Calendar,Y1640,NDays&amp;"D")</f>
        <v>50656</v>
      </c>
      <c r="AA1640" s="116">
        <v>3.7169472245680346E-2</v>
      </c>
      <c r="AB1640" s="113">
        <v>3.7022920908899026E-2</v>
      </c>
    </row>
    <row r="1641" spans="17:28" x14ac:dyDescent="0.2">
      <c r="Q1641" s="72"/>
      <c r="T1641" s="72"/>
      <c r="U1641" s="93"/>
      <c r="X1641" s="114" t="str">
        <f t="shared" si="38"/>
        <v>1w</v>
      </c>
      <c r="Y1641" s="112">
        <f>_xll.qlCalendarAdvance(Calendar,Y1640,X1641,"f",FALSE)</f>
        <v>50663</v>
      </c>
      <c r="Z1641" s="115">
        <f>_xll.qlCalendarAdvance(Calendar,Y1641,NDays&amp;"D")</f>
        <v>50663</v>
      </c>
      <c r="AA1641" s="116">
        <v>3.7165882060330113E-2</v>
      </c>
      <c r="AB1641" s="113">
        <v>3.7019413085493946E-2</v>
      </c>
    </row>
    <row r="1642" spans="17:28" x14ac:dyDescent="0.2">
      <c r="Q1642" s="72"/>
      <c r="T1642" s="72"/>
      <c r="U1642" s="93"/>
      <c r="X1642" s="114" t="str">
        <f t="shared" si="38"/>
        <v>1w</v>
      </c>
      <c r="Y1642" s="112">
        <f>_xll.qlCalendarAdvance(Calendar,Y1641,X1642,"f",FALSE)</f>
        <v>50670</v>
      </c>
      <c r="Z1642" s="115">
        <f>_xll.qlCalendarAdvance(Calendar,Y1642,NDays&amp;"D")</f>
        <v>50670</v>
      </c>
      <c r="AA1642" s="116">
        <v>3.7162284066800395E-2</v>
      </c>
      <c r="AB1642" s="113">
        <v>3.7015897521844865E-2</v>
      </c>
    </row>
    <row r="1643" spans="17:28" x14ac:dyDescent="0.2">
      <c r="Q1643" s="72"/>
      <c r="T1643" s="72"/>
      <c r="U1643" s="93"/>
      <c r="X1643" s="114" t="str">
        <f t="shared" si="38"/>
        <v>1w</v>
      </c>
      <c r="Y1643" s="112">
        <f>_xll.qlCalendarAdvance(Calendar,Y1642,X1643,"f",FALSE)</f>
        <v>50677</v>
      </c>
      <c r="Z1643" s="115">
        <f>_xll.qlCalendarAdvance(Calendar,Y1643,NDays&amp;"D")</f>
        <v>50677</v>
      </c>
      <c r="AA1643" s="116">
        <v>3.7158678265110781E-2</v>
      </c>
      <c r="AB1643" s="113">
        <v>3.7012374217708643E-2</v>
      </c>
    </row>
    <row r="1644" spans="17:28" x14ac:dyDescent="0.2">
      <c r="Q1644" s="72"/>
      <c r="T1644" s="72"/>
      <c r="U1644" s="93"/>
      <c r="X1644" s="114" t="str">
        <f t="shared" si="38"/>
        <v>1w</v>
      </c>
      <c r="Y1644" s="112">
        <f>_xll.qlCalendarAdvance(Calendar,Y1643,X1644,"f",FALSE)</f>
        <v>50684</v>
      </c>
      <c r="Z1644" s="115">
        <f>_xll.qlCalendarAdvance(Calendar,Y1644,NDays&amp;"D")</f>
        <v>50684</v>
      </c>
      <c r="AA1644" s="116">
        <v>3.7156690345305846E-2</v>
      </c>
      <c r="AB1644" s="113">
        <v>3.7008843173247374E-2</v>
      </c>
    </row>
    <row r="1645" spans="17:28" x14ac:dyDescent="0.2">
      <c r="Q1645" s="72"/>
      <c r="T1645" s="72"/>
      <c r="U1645" s="93"/>
      <c r="X1645" s="114" t="str">
        <f t="shared" si="38"/>
        <v>1w</v>
      </c>
      <c r="Y1645" s="112">
        <f>_xll.qlCalendarAdvance(Calendar,Y1644,X1645,"f",FALSE)</f>
        <v>50691</v>
      </c>
      <c r="Z1645" s="115">
        <f>_xll.qlCalendarAdvance(Calendar,Y1645,NDays&amp;"D")</f>
        <v>50691</v>
      </c>
      <c r="AA1645" s="116">
        <v>3.7153068002639157E-2</v>
      </c>
      <c r="AB1645" s="113">
        <v>3.7005304388217919E-2</v>
      </c>
    </row>
    <row r="1646" spans="17:28" x14ac:dyDescent="0.2">
      <c r="Q1646" s="72"/>
      <c r="T1646" s="72"/>
      <c r="U1646" s="93"/>
      <c r="X1646" s="114" t="str">
        <f t="shared" si="38"/>
        <v>1w</v>
      </c>
      <c r="Y1646" s="112">
        <f>_xll.qlCalendarAdvance(Calendar,Y1645,X1646,"f",FALSE)</f>
        <v>50698</v>
      </c>
      <c r="Z1646" s="115">
        <f>_xll.qlCalendarAdvance(Calendar,Y1646,NDays&amp;"D")</f>
        <v>50698</v>
      </c>
      <c r="AA1646" s="116">
        <v>3.7149437851121909E-2</v>
      </c>
      <c r="AB1646" s="113">
        <v>3.7001757862944462E-2</v>
      </c>
    </row>
    <row r="1647" spans="17:28" x14ac:dyDescent="0.2">
      <c r="Q1647" s="72"/>
      <c r="T1647" s="72"/>
      <c r="U1647" s="93"/>
      <c r="X1647" s="114" t="str">
        <f t="shared" si="38"/>
        <v>1w</v>
      </c>
      <c r="Y1647" s="112">
        <f>_xll.qlCalendarAdvance(Calendar,Y1646,X1647,"f",FALSE)</f>
        <v>50705</v>
      </c>
      <c r="Z1647" s="115">
        <f>_xll.qlCalendarAdvance(Calendar,Y1647,NDays&amp;"D")</f>
        <v>50705</v>
      </c>
      <c r="AA1647" s="116">
        <v>3.7145799890775238E-2</v>
      </c>
      <c r="AB1647" s="113">
        <v>3.6998203597183865E-2</v>
      </c>
    </row>
    <row r="1648" spans="17:28" x14ac:dyDescent="0.2">
      <c r="Q1648" s="72"/>
      <c r="T1648" s="72"/>
      <c r="U1648" s="93"/>
      <c r="X1648" s="114" t="str">
        <f t="shared" si="38"/>
        <v>1w</v>
      </c>
      <c r="Y1648" s="112">
        <f>_xll.qlCalendarAdvance(Calendar,Y1647,X1648,"f",FALSE)</f>
        <v>50712</v>
      </c>
      <c r="Z1648" s="115">
        <f>_xll.qlCalendarAdvance(Calendar,Y1648,NDays&amp;"D")</f>
        <v>50712</v>
      </c>
      <c r="AA1648" s="116">
        <v>3.7142154121621182E-2</v>
      </c>
      <c r="AB1648" s="113">
        <v>3.6994641591017174E-2</v>
      </c>
    </row>
    <row r="1649" spans="17:28" x14ac:dyDescent="0.2">
      <c r="Q1649" s="72"/>
      <c r="T1649" s="72"/>
      <c r="U1649" s="93"/>
      <c r="X1649" s="114" t="str">
        <f t="shared" si="38"/>
        <v>1w</v>
      </c>
      <c r="Y1649" s="112">
        <f>_xll.qlCalendarAdvance(Calendar,Y1648,X1649,"f",FALSE)</f>
        <v>50719</v>
      </c>
      <c r="Z1649" s="115">
        <f>_xll.qlCalendarAdvance(Calendar,Y1649,NDays&amp;"D")</f>
        <v>50719</v>
      </c>
      <c r="AA1649" s="116">
        <v>3.7138500543679114E-2</v>
      </c>
      <c r="AB1649" s="113">
        <v>3.699107184444439E-2</v>
      </c>
    </row>
    <row r="1650" spans="17:28" x14ac:dyDescent="0.2">
      <c r="Q1650" s="72"/>
      <c r="T1650" s="72"/>
      <c r="U1650" s="93"/>
      <c r="X1650" s="114" t="str">
        <f t="shared" si="38"/>
        <v>1w</v>
      </c>
      <c r="Y1650" s="112">
        <f>_xll.qlCalendarAdvance(Calendar,Y1649,X1650,"f",FALSE)</f>
        <v>50726</v>
      </c>
      <c r="Z1650" s="115">
        <f>_xll.qlCalendarAdvance(Calendar,Y1650,NDays&amp;"D")</f>
        <v>50726</v>
      </c>
      <c r="AA1650" s="116">
        <v>3.7134839156971931E-2</v>
      </c>
      <c r="AB1650" s="113">
        <v>3.6987494357465511E-2</v>
      </c>
    </row>
    <row r="1651" spans="17:28" x14ac:dyDescent="0.2">
      <c r="Q1651" s="72"/>
      <c r="T1651" s="72"/>
      <c r="U1651" s="93"/>
      <c r="X1651" s="114" t="str">
        <f t="shared" si="38"/>
        <v>1w</v>
      </c>
      <c r="Y1651" s="112">
        <f>_xll.qlCalendarAdvance(Calendar,Y1650,X1651,"f",FALSE)</f>
        <v>50733</v>
      </c>
      <c r="Z1651" s="115">
        <f>_xll.qlCalendarAdvance(Calendar,Y1651,NDays&amp;"D")</f>
        <v>50733</v>
      </c>
      <c r="AA1651" s="116">
        <v>3.7131169961520792E-2</v>
      </c>
      <c r="AB1651" s="113">
        <v>3.6983909130080539E-2</v>
      </c>
    </row>
    <row r="1652" spans="17:28" x14ac:dyDescent="0.2">
      <c r="Q1652" s="72"/>
      <c r="T1652" s="72"/>
      <c r="U1652" s="93"/>
      <c r="X1652" s="114" t="str">
        <f t="shared" si="38"/>
        <v>1w</v>
      </c>
      <c r="Y1652" s="112">
        <f>_xll.qlCalendarAdvance(Calendar,Y1651,X1652,"f",FALSE)</f>
        <v>50740</v>
      </c>
      <c r="Z1652" s="115">
        <f>_xll.qlCalendarAdvance(Calendar,Y1652,NDays&amp;"D")</f>
        <v>50740</v>
      </c>
      <c r="AA1652" s="116">
        <v>3.7124256435570137E-2</v>
      </c>
      <c r="AB1652" s="113">
        <v>3.6980316162370519E-2</v>
      </c>
    </row>
    <row r="1653" spans="17:28" x14ac:dyDescent="0.2">
      <c r="Q1653" s="72"/>
      <c r="T1653" s="72"/>
      <c r="U1653" s="93"/>
      <c r="X1653" s="114" t="str">
        <f t="shared" si="38"/>
        <v>1w</v>
      </c>
      <c r="Y1653" s="112">
        <f>_xll.qlCalendarAdvance(Calendar,Y1652,X1653,"f",FALSE)</f>
        <v>50747</v>
      </c>
      <c r="Z1653" s="115">
        <f>_xll.qlCalendarAdvance(Calendar,Y1653,NDays&amp;"D")</f>
        <v>50747</v>
      </c>
      <c r="AA1653" s="116">
        <v>3.712057348403771E-2</v>
      </c>
      <c r="AB1653" s="113">
        <v>3.6976715454092313E-2</v>
      </c>
    </row>
    <row r="1654" spans="17:28" x14ac:dyDescent="0.2">
      <c r="Q1654" s="72"/>
      <c r="T1654" s="72"/>
      <c r="U1654" s="93"/>
      <c r="X1654" s="114" t="str">
        <f t="shared" si="38"/>
        <v>1w</v>
      </c>
      <c r="Y1654" s="112">
        <f>_xll.qlCalendarAdvance(Calendar,Y1653,X1654,"f",FALSE)</f>
        <v>50754</v>
      </c>
      <c r="Z1654" s="115">
        <f>_xll.qlCalendarAdvance(Calendar,Y1654,NDays&amp;"D")</f>
        <v>50754</v>
      </c>
      <c r="AA1654" s="116">
        <v>3.7116882725330563E-2</v>
      </c>
      <c r="AB1654" s="113">
        <v>3.6973107005570105E-2</v>
      </c>
    </row>
    <row r="1655" spans="17:28" x14ac:dyDescent="0.2">
      <c r="Q1655" s="72"/>
      <c r="T1655" s="72"/>
      <c r="U1655" s="93"/>
      <c r="X1655" s="114" t="str">
        <f t="shared" si="38"/>
        <v>1w</v>
      </c>
      <c r="Y1655" s="112">
        <f>_xll.qlCalendarAdvance(Calendar,Y1654,X1655,"f",FALSE)</f>
        <v>50761</v>
      </c>
      <c r="Z1655" s="115">
        <f>_xll.qlCalendarAdvance(Calendar,Y1655,NDays&amp;"D")</f>
        <v>50761</v>
      </c>
      <c r="AA1655" s="116">
        <v>3.7113184159469403E-2</v>
      </c>
      <c r="AB1655" s="113">
        <v>3.6969490816641803E-2</v>
      </c>
    </row>
    <row r="1656" spans="17:28" x14ac:dyDescent="0.2">
      <c r="Q1656" s="72"/>
      <c r="T1656" s="72"/>
      <c r="U1656" s="93"/>
      <c r="X1656" s="114" t="str">
        <f t="shared" si="38"/>
        <v>1w</v>
      </c>
      <c r="Y1656" s="112">
        <f>_xll.qlCalendarAdvance(Calendar,Y1655,X1656,"f",FALSE)</f>
        <v>50768</v>
      </c>
      <c r="Z1656" s="115">
        <f>_xll.qlCalendarAdvance(Calendar,Y1656,NDays&amp;"D")</f>
        <v>50768</v>
      </c>
      <c r="AA1656" s="116">
        <v>3.7109477786474949E-2</v>
      </c>
      <c r="AB1656" s="113">
        <v>3.6965866887145316E-2</v>
      </c>
    </row>
    <row r="1657" spans="17:28" x14ac:dyDescent="0.2">
      <c r="Q1657" s="72"/>
      <c r="T1657" s="72"/>
      <c r="U1657" s="93"/>
      <c r="X1657" s="114" t="str">
        <f t="shared" si="38"/>
        <v>1w</v>
      </c>
      <c r="Y1657" s="112">
        <f>_xll.qlCalendarAdvance(Calendar,Y1656,X1657,"f",FALSE)</f>
        <v>50775</v>
      </c>
      <c r="Z1657" s="115">
        <f>_xll.qlCalendarAdvance(Calendar,Y1657,NDays&amp;"D")</f>
        <v>50775</v>
      </c>
      <c r="AA1657" s="116">
        <v>3.7105763606367012E-2</v>
      </c>
      <c r="AB1657" s="113">
        <v>3.6962235217485873E-2</v>
      </c>
    </row>
    <row r="1658" spans="17:28" x14ac:dyDescent="0.2">
      <c r="Q1658" s="72"/>
      <c r="T1658" s="72"/>
      <c r="U1658" s="93"/>
      <c r="X1658" s="114" t="str">
        <f t="shared" si="38"/>
        <v>1w</v>
      </c>
      <c r="Y1658" s="112">
        <f>_xll.qlCalendarAdvance(Calendar,Y1657,X1658,"f",FALSE)</f>
        <v>50782</v>
      </c>
      <c r="Z1658" s="115">
        <f>_xll.qlCalendarAdvance(Calendar,Y1658,NDays&amp;"D")</f>
        <v>50782</v>
      </c>
      <c r="AA1658" s="116">
        <v>3.7102041619169898E-2</v>
      </c>
      <c r="AB1658" s="113">
        <v>3.6958595807258243E-2</v>
      </c>
    </row>
    <row r="1659" spans="17:28" x14ac:dyDescent="0.2">
      <c r="Q1659" s="72"/>
      <c r="T1659" s="72"/>
      <c r="U1659" s="93"/>
      <c r="X1659" s="114" t="str">
        <f t="shared" si="38"/>
        <v>1w</v>
      </c>
      <c r="Y1659" s="112">
        <f>_xll.qlCalendarAdvance(Calendar,Y1658,X1659,"f",FALSE)</f>
        <v>50789</v>
      </c>
      <c r="Z1659" s="115">
        <f>_xll.qlCalendarAdvance(Calendar,Y1659,NDays&amp;"D")</f>
        <v>50789</v>
      </c>
      <c r="AA1659" s="116">
        <v>3.7098311824903418E-2</v>
      </c>
      <c r="AB1659" s="113">
        <v>3.6954948656705566E-2</v>
      </c>
    </row>
    <row r="1660" spans="17:28" x14ac:dyDescent="0.2">
      <c r="Q1660" s="72"/>
      <c r="T1660" s="72"/>
      <c r="U1660" s="93"/>
      <c r="X1660" s="114" t="str">
        <f t="shared" si="38"/>
        <v>1w</v>
      </c>
      <c r="Y1660" s="112">
        <f>_xll.qlCalendarAdvance(Calendar,Y1659,X1660,"f",FALSE)</f>
        <v>50797</v>
      </c>
      <c r="Z1660" s="115">
        <f>_xll.qlCalendarAdvance(Calendar,Y1660,NDays&amp;"D")</f>
        <v>50797</v>
      </c>
      <c r="AA1660" s="116">
        <v>3.7094039643234177E-2</v>
      </c>
      <c r="AB1660" s="113">
        <v>3.6950771006537542E-2</v>
      </c>
    </row>
    <row r="1661" spans="17:28" x14ac:dyDescent="0.2">
      <c r="Q1661" s="72"/>
      <c r="T1661" s="72"/>
      <c r="U1661" s="93"/>
      <c r="X1661" s="114" t="str">
        <f t="shared" si="38"/>
        <v>1w</v>
      </c>
      <c r="Y1661" s="112">
        <f>_xll.qlCalendarAdvance(Calendar,Y1660,X1661,"f",FALSE)</f>
        <v>50804</v>
      </c>
      <c r="Z1661" s="115">
        <f>_xll.qlCalendarAdvance(Calendar,Y1661,NDays&amp;"D")</f>
        <v>50804</v>
      </c>
      <c r="AA1661" s="116">
        <v>3.7088683424543752E-2</v>
      </c>
      <c r="AB1661" s="113">
        <v>3.6947107269296176E-2</v>
      </c>
    </row>
    <row r="1662" spans="17:28" x14ac:dyDescent="0.2">
      <c r="Q1662" s="72"/>
      <c r="T1662" s="72"/>
      <c r="U1662" s="93"/>
      <c r="X1662" s="114" t="str">
        <f t="shared" si="38"/>
        <v>1w</v>
      </c>
      <c r="Y1662" s="112">
        <f>_xll.qlCalendarAdvance(Calendar,Y1661,X1662,"f",FALSE)</f>
        <v>50811</v>
      </c>
      <c r="Z1662" s="115">
        <f>_xll.qlCalendarAdvance(Calendar,Y1662,NDays&amp;"D")</f>
        <v>50811</v>
      </c>
      <c r="AA1662" s="116">
        <v>3.7084930031231131E-2</v>
      </c>
      <c r="AB1662" s="113">
        <v>3.6943435791729762E-2</v>
      </c>
    </row>
    <row r="1663" spans="17:28" x14ac:dyDescent="0.2">
      <c r="Q1663" s="72"/>
      <c r="T1663" s="72"/>
      <c r="U1663" s="93"/>
      <c r="X1663" s="114" t="str">
        <f t="shared" si="38"/>
        <v>1w</v>
      </c>
      <c r="Y1663" s="112">
        <f>_xll.qlCalendarAdvance(Calendar,Y1662,X1663,"f",FALSE)</f>
        <v>50818</v>
      </c>
      <c r="Z1663" s="115">
        <f>_xll.qlCalendarAdvance(Calendar,Y1663,NDays&amp;"D")</f>
        <v>50818</v>
      </c>
      <c r="AA1663" s="116">
        <v>3.7081168831688265E-2</v>
      </c>
      <c r="AB1663" s="113">
        <v>3.6939756573757254E-2</v>
      </c>
    </row>
    <row r="1664" spans="17:28" x14ac:dyDescent="0.2">
      <c r="Q1664" s="72"/>
      <c r="T1664" s="72"/>
      <c r="U1664" s="93"/>
      <c r="X1664" s="114" t="str">
        <f t="shared" si="38"/>
        <v>1w</v>
      </c>
      <c r="Y1664" s="112">
        <f>_xll.qlCalendarAdvance(Calendar,Y1663,X1664,"f",FALSE)</f>
        <v>50825</v>
      </c>
      <c r="Z1664" s="115">
        <f>_xll.qlCalendarAdvance(Calendar,Y1664,NDays&amp;"D")</f>
        <v>50825</v>
      </c>
      <c r="AA1664" s="116">
        <v>3.7077399825935185E-2</v>
      </c>
      <c r="AB1664" s="113">
        <v>3.6936069615378653E-2</v>
      </c>
    </row>
    <row r="1665" spans="17:28" x14ac:dyDescent="0.2">
      <c r="Q1665" s="72"/>
      <c r="T1665" s="72"/>
      <c r="U1665" s="93"/>
      <c r="X1665" s="114" t="str">
        <f t="shared" si="38"/>
        <v>1w</v>
      </c>
      <c r="Y1665" s="112">
        <f>_xll.qlCalendarAdvance(Calendar,Y1664,X1665,"f",FALSE)</f>
        <v>50832</v>
      </c>
      <c r="Z1665" s="115">
        <f>_xll.qlCalendarAdvance(Calendar,Y1665,NDays&amp;"D")</f>
        <v>50832</v>
      </c>
      <c r="AA1665" s="116">
        <v>3.7078440893807414E-2</v>
      </c>
      <c r="AB1665" s="113">
        <v>3.6932374916593957E-2</v>
      </c>
    </row>
    <row r="1666" spans="17:28" x14ac:dyDescent="0.2">
      <c r="Q1666" s="72"/>
      <c r="T1666" s="72"/>
      <c r="U1666" s="93"/>
      <c r="X1666" s="114" t="str">
        <f t="shared" si="38"/>
        <v>1w</v>
      </c>
      <c r="Y1666" s="112">
        <f>_xll.qlCalendarAdvance(Calendar,Y1665,X1666,"f",FALSE)</f>
        <v>50839</v>
      </c>
      <c r="Z1666" s="115">
        <f>_xll.qlCalendarAdvance(Calendar,Y1666,NDays&amp;"D")</f>
        <v>50839</v>
      </c>
      <c r="AA1666" s="116">
        <v>3.7074653454308902E-2</v>
      </c>
      <c r="AB1666" s="113">
        <v>3.6928672477403168E-2</v>
      </c>
    </row>
    <row r="1667" spans="17:28" x14ac:dyDescent="0.2">
      <c r="Q1667" s="72"/>
      <c r="T1667" s="72"/>
      <c r="U1667" s="93"/>
      <c r="X1667" s="114" t="str">
        <f t="shared" si="38"/>
        <v>1w</v>
      </c>
      <c r="Y1667" s="112">
        <f>_xll.qlCalendarAdvance(Calendar,Y1666,X1667,"f",FALSE)</f>
        <v>50846</v>
      </c>
      <c r="Z1667" s="115">
        <f>_xll.qlCalendarAdvance(Calendar,Y1667,NDays&amp;"D")</f>
        <v>50846</v>
      </c>
      <c r="AA1667" s="116">
        <v>3.7070858206419685E-2</v>
      </c>
      <c r="AB1667" s="113">
        <v>3.6924962297806285E-2</v>
      </c>
    </row>
    <row r="1668" spans="17:28" x14ac:dyDescent="0.2">
      <c r="Q1668" s="72"/>
      <c r="T1668" s="72"/>
      <c r="U1668" s="93"/>
      <c r="X1668" s="114" t="str">
        <f t="shared" si="38"/>
        <v>1w</v>
      </c>
      <c r="Y1668" s="112">
        <f>_xll.qlCalendarAdvance(Calendar,Y1667,X1668,"f",FALSE)</f>
        <v>50853</v>
      </c>
      <c r="Z1668" s="115">
        <f>_xll.qlCalendarAdvance(Calendar,Y1668,NDays&amp;"D")</f>
        <v>50853</v>
      </c>
      <c r="AA1668" s="116">
        <v>3.7067055150160018E-2</v>
      </c>
      <c r="AB1668" s="113">
        <v>3.6921244377803308E-2</v>
      </c>
    </row>
    <row r="1669" spans="17:28" x14ac:dyDescent="0.2">
      <c r="Q1669" s="72"/>
      <c r="T1669" s="72"/>
      <c r="U1669" s="93"/>
      <c r="X1669" s="114" t="str">
        <f t="shared" si="38"/>
        <v>1w</v>
      </c>
      <c r="Y1669" s="112">
        <f>_xll.qlCalendarAdvance(Calendar,Y1668,X1669,"f",FALSE)</f>
        <v>50860</v>
      </c>
      <c r="Z1669" s="115">
        <f>_xll.qlCalendarAdvance(Calendar,Y1669,NDays&amp;"D")</f>
        <v>50860</v>
      </c>
      <c r="AA1669" s="116">
        <v>3.7061642073892016E-2</v>
      </c>
      <c r="AB1669" s="113">
        <v>3.6917518717475284E-2</v>
      </c>
    </row>
    <row r="1670" spans="17:28" x14ac:dyDescent="0.2">
      <c r="Q1670" s="72"/>
      <c r="T1670" s="72"/>
      <c r="U1670" s="93"/>
      <c r="X1670" s="114" t="str">
        <f t="shared" si="38"/>
        <v>1w</v>
      </c>
      <c r="Y1670" s="112">
        <f>_xll.qlCalendarAdvance(Calendar,Y1669,X1670,"f",FALSE)</f>
        <v>50867</v>
      </c>
      <c r="Z1670" s="115">
        <f>_xll.qlCalendarAdvance(Calendar,Y1670,NDays&amp;"D")</f>
        <v>50867</v>
      </c>
      <c r="AA1670" s="116">
        <v>3.7057824344561507E-2</v>
      </c>
      <c r="AB1670" s="113">
        <v>3.6920183826288477E-2</v>
      </c>
    </row>
    <row r="1671" spans="17:28" x14ac:dyDescent="0.2">
      <c r="Q1671" s="72"/>
      <c r="T1671" s="72"/>
      <c r="U1671" s="93"/>
      <c r="X1671" s="114" t="str">
        <f t="shared" si="38"/>
        <v>1w</v>
      </c>
      <c r="Y1671" s="112">
        <f>_xll.qlCalendarAdvance(Calendar,Y1670,X1671,"f",FALSE)</f>
        <v>50874</v>
      </c>
      <c r="Z1671" s="115">
        <f>_xll.qlCalendarAdvance(Calendar,Y1671,NDays&amp;"D")</f>
        <v>50874</v>
      </c>
      <c r="AA1671" s="116">
        <v>3.7053998807677624E-2</v>
      </c>
      <c r="AB1671" s="113">
        <v>3.6910044175519907E-2</v>
      </c>
    </row>
    <row r="1672" spans="17:28" x14ac:dyDescent="0.2">
      <c r="Q1672" s="72"/>
      <c r="T1672" s="72"/>
      <c r="U1672" s="93"/>
      <c r="X1672" s="114" t="str">
        <f t="shared" si="38"/>
        <v>1w</v>
      </c>
      <c r="Y1672" s="112">
        <f>_xll.qlCalendarAdvance(Calendar,Y1671,X1672,"f",FALSE)</f>
        <v>50881</v>
      </c>
      <c r="Z1672" s="115">
        <f>_xll.qlCalendarAdvance(Calendar,Y1672,NDays&amp;"D")</f>
        <v>50881</v>
      </c>
      <c r="AA1672" s="116">
        <v>3.705016546325994E-2</v>
      </c>
      <c r="AB1672" s="113">
        <v>3.6906295293892555E-2</v>
      </c>
    </row>
    <row r="1673" spans="17:28" x14ac:dyDescent="0.2">
      <c r="Q1673" s="72"/>
      <c r="T1673" s="72"/>
      <c r="U1673" s="93"/>
      <c r="X1673" s="114" t="str">
        <f t="shared" si="38"/>
        <v>1w</v>
      </c>
      <c r="Y1673" s="112">
        <f>_xll.qlCalendarAdvance(Calendar,Y1672,X1673,"f",FALSE)</f>
        <v>50888</v>
      </c>
      <c r="Z1673" s="115">
        <f>_xll.qlCalendarAdvance(Calendar,Y1673,NDays&amp;"D")</f>
        <v>50888</v>
      </c>
      <c r="AA1673" s="116">
        <v>3.7046324311331626E-2</v>
      </c>
      <c r="AB1673" s="113">
        <v>3.6902538671940155E-2</v>
      </c>
    </row>
    <row r="1674" spans="17:28" x14ac:dyDescent="0.2">
      <c r="Q1674" s="72"/>
      <c r="T1674" s="72"/>
      <c r="U1674" s="93"/>
      <c r="X1674" s="114" t="str">
        <f t="shared" si="38"/>
        <v>1w</v>
      </c>
      <c r="Y1674" s="112">
        <f>_xll.qlCalendarAdvance(Calendar,Y1673,X1674,"f",FALSE)</f>
        <v>50895</v>
      </c>
      <c r="Z1674" s="115">
        <f>_xll.qlCalendarAdvance(Calendar,Y1674,NDays&amp;"D")</f>
        <v>50895</v>
      </c>
      <c r="AA1674" s="116">
        <v>3.7044072838084981E-2</v>
      </c>
      <c r="AB1674" s="113">
        <v>3.6898774309500615E-2</v>
      </c>
    </row>
    <row r="1675" spans="17:28" x14ac:dyDescent="0.2">
      <c r="Q1675" s="72"/>
      <c r="T1675" s="72"/>
      <c r="U1675" s="93"/>
      <c r="X1675" s="114" t="str">
        <f t="shared" si="38"/>
        <v>1w</v>
      </c>
      <c r="Y1675" s="112">
        <f>_xll.qlCalendarAdvance(Calendar,Y1674,X1675,"f",FALSE)</f>
        <v>50902</v>
      </c>
      <c r="Z1675" s="115">
        <f>_xll.qlCalendarAdvance(Calendar,Y1675,NDays&amp;"D")</f>
        <v>50902</v>
      </c>
      <c r="AA1675" s="116">
        <v>3.7040215123862928E-2</v>
      </c>
      <c r="AB1675" s="113">
        <v>3.6895002206736027E-2</v>
      </c>
    </row>
    <row r="1676" spans="17:28" x14ac:dyDescent="0.2">
      <c r="Q1676" s="72"/>
      <c r="T1676" s="72"/>
      <c r="U1676" s="93"/>
      <c r="X1676" s="114" t="str">
        <f t="shared" si="38"/>
        <v>1w</v>
      </c>
      <c r="Y1676" s="112">
        <f>_xll.qlCalendarAdvance(Calendar,Y1675,X1676,"f",FALSE)</f>
        <v>50909</v>
      </c>
      <c r="Z1676" s="115">
        <f>_xll.qlCalendarAdvance(Calendar,Y1676,NDays&amp;"D")</f>
        <v>50909</v>
      </c>
      <c r="AA1676" s="116">
        <v>3.7036349601450143E-2</v>
      </c>
      <c r="AB1676" s="113">
        <v>3.6891222363565346E-2</v>
      </c>
    </row>
    <row r="1677" spans="17:28" x14ac:dyDescent="0.2">
      <c r="Q1677" s="72"/>
      <c r="T1677" s="72"/>
      <c r="U1677" s="93"/>
      <c r="X1677" s="114" t="str">
        <f t="shared" si="38"/>
        <v>1w</v>
      </c>
      <c r="Y1677" s="112">
        <f>_xll.qlCalendarAdvance(Calendar,Y1676,X1677,"f",FALSE)</f>
        <v>50916</v>
      </c>
      <c r="Z1677" s="115">
        <f>_xll.qlCalendarAdvance(Calendar,Y1677,NDays&amp;"D")</f>
        <v>50916</v>
      </c>
      <c r="AA1677" s="116">
        <v>3.7032476270869523E-2</v>
      </c>
      <c r="AB1677" s="113">
        <v>3.688743477998857E-2</v>
      </c>
    </row>
    <row r="1678" spans="17:28" x14ac:dyDescent="0.2">
      <c r="Q1678" s="72"/>
      <c r="T1678" s="72"/>
      <c r="U1678" s="93"/>
      <c r="X1678" s="114" t="str">
        <f t="shared" si="38"/>
        <v>1w</v>
      </c>
      <c r="Y1678" s="112">
        <f>_xll.qlCalendarAdvance(Calendar,Y1677,X1678,"f",FALSE)</f>
        <v>50923</v>
      </c>
      <c r="Z1678" s="115">
        <f>_xll.qlCalendarAdvance(Calendar,Y1678,NDays&amp;"D")</f>
        <v>50923</v>
      </c>
      <c r="AA1678" s="116">
        <v>3.7028595132143974E-2</v>
      </c>
      <c r="AB1678" s="113">
        <v>3.6883639456005701E-2</v>
      </c>
    </row>
    <row r="1679" spans="17:28" x14ac:dyDescent="0.2">
      <c r="Q1679" s="72"/>
      <c r="T1679" s="72"/>
      <c r="U1679" s="93"/>
      <c r="X1679" s="114" t="str">
        <f t="shared" si="38"/>
        <v>1w</v>
      </c>
      <c r="Y1679" s="112">
        <f>_xll.qlCalendarAdvance(Calendar,Y1678,X1679,"f",FALSE)</f>
        <v>50930</v>
      </c>
      <c r="Z1679" s="115">
        <f>_xll.qlCalendarAdvance(Calendar,Y1679,NDays&amp;"D")</f>
        <v>50930</v>
      </c>
      <c r="AA1679" s="116">
        <v>3.7024706185294638E-2</v>
      </c>
      <c r="AB1679" s="113">
        <v>3.6879836391535692E-2</v>
      </c>
    </row>
    <row r="1680" spans="17:28" x14ac:dyDescent="0.2">
      <c r="Q1680" s="72"/>
      <c r="T1680" s="72"/>
      <c r="U1680" s="93"/>
      <c r="X1680" s="114" t="str">
        <f t="shared" si="38"/>
        <v>1w</v>
      </c>
      <c r="Y1680" s="112">
        <f>_xll.qlCalendarAdvance(Calendar,Y1679,X1680,"f",FALSE)</f>
        <v>50937</v>
      </c>
      <c r="Z1680" s="115">
        <f>_xll.qlCalendarAdvance(Calendar,Y1680,NDays&amp;"D")</f>
        <v>50937</v>
      </c>
      <c r="AA1680" s="116">
        <v>3.7020809430347072E-2</v>
      </c>
      <c r="AB1680" s="113">
        <v>3.6876025586902728E-2</v>
      </c>
    </row>
    <row r="1681" spans="17:28" x14ac:dyDescent="0.2">
      <c r="Q1681" s="72"/>
      <c r="T1681" s="72"/>
      <c r="U1681" s="93"/>
      <c r="X1681" s="114" t="str">
        <f t="shared" si="38"/>
        <v>1w</v>
      </c>
      <c r="Y1681" s="112">
        <f>_xll.qlCalendarAdvance(Calendar,Y1680,X1681,"f",FALSE)</f>
        <v>50944</v>
      </c>
      <c r="Z1681" s="115">
        <f>_xll.qlCalendarAdvance(Calendar,Y1681,NDays&amp;"D")</f>
        <v>50944</v>
      </c>
      <c r="AA1681" s="116">
        <v>3.7016904867321523E-2</v>
      </c>
      <c r="AB1681" s="113">
        <v>3.6872207041701577E-2</v>
      </c>
    </row>
    <row r="1682" spans="17:28" x14ac:dyDescent="0.2">
      <c r="Q1682" s="72"/>
      <c r="T1682" s="72"/>
      <c r="U1682" s="93"/>
      <c r="X1682" s="114" t="str">
        <f t="shared" si="38"/>
        <v>1w</v>
      </c>
      <c r="Y1682" s="112">
        <f>_xll.qlCalendarAdvance(Calendar,Y1681,X1682,"f",FALSE)</f>
        <v>50951</v>
      </c>
      <c r="Z1682" s="115">
        <f>_xll.qlCalendarAdvance(Calendar,Y1682,NDays&amp;"D")</f>
        <v>50951</v>
      </c>
      <c r="AA1682" s="116">
        <v>3.7012992496243541E-2</v>
      </c>
      <c r="AB1682" s="113">
        <v>3.6868380756175378E-2</v>
      </c>
    </row>
    <row r="1683" spans="17:28" x14ac:dyDescent="0.2">
      <c r="Q1683" s="72"/>
      <c r="T1683" s="72"/>
      <c r="U1683" s="93"/>
      <c r="X1683" s="114" t="str">
        <f t="shared" si="38"/>
        <v>1w</v>
      </c>
      <c r="Y1683" s="112">
        <f>_xll.qlCalendarAdvance(Calendar,Y1682,X1683,"f",FALSE)</f>
        <v>50958</v>
      </c>
      <c r="Z1683" s="115">
        <f>_xll.qlCalendarAdvance(Calendar,Y1683,NDays&amp;"D")</f>
        <v>50958</v>
      </c>
      <c r="AA1683" s="116">
        <v>3.70090723171334E-2</v>
      </c>
      <c r="AB1683" s="113">
        <v>3.6864546730080994E-2</v>
      </c>
    </row>
    <row r="1684" spans="17:28" x14ac:dyDescent="0.2">
      <c r="Q1684" s="72"/>
      <c r="T1684" s="72"/>
      <c r="U1684" s="93"/>
      <c r="X1684" s="114" t="str">
        <f t="shared" si="38"/>
        <v>1w</v>
      </c>
      <c r="Y1684" s="112">
        <f>_xll.qlCalendarAdvance(Calendar,Y1683,X1684,"f",FALSE)</f>
        <v>50965</v>
      </c>
      <c r="Z1684" s="115">
        <f>_xll.qlCalendarAdvance(Calendar,Y1684,NDays&amp;"D")</f>
        <v>50965</v>
      </c>
      <c r="AA1684" s="116">
        <v>3.7005144330014873E-2</v>
      </c>
      <c r="AB1684" s="113">
        <v>3.6860704963742608E-2</v>
      </c>
    </row>
    <row r="1685" spans="17:28" x14ac:dyDescent="0.2">
      <c r="Q1685" s="72"/>
      <c r="T1685" s="72"/>
      <c r="U1685" s="93"/>
      <c r="X1685" s="114" t="str">
        <f t="shared" ref="X1685:X1748" si="39">X1684</f>
        <v>1w</v>
      </c>
      <c r="Y1685" s="112">
        <f>_xll.qlCalendarAdvance(Calendar,Y1684,X1685,"f",FALSE)</f>
        <v>50972</v>
      </c>
      <c r="Z1685" s="115">
        <f>_xll.qlCalendarAdvance(Calendar,Y1685,NDays&amp;"D")</f>
        <v>50972</v>
      </c>
      <c r="AA1685" s="116">
        <v>3.7001208534911748E-2</v>
      </c>
      <c r="AB1685" s="113">
        <v>3.6856855456998128E-2</v>
      </c>
    </row>
    <row r="1686" spans="17:28" x14ac:dyDescent="0.2">
      <c r="Q1686" s="72"/>
      <c r="T1686" s="72"/>
      <c r="U1686" s="93"/>
      <c r="X1686" s="114" t="str">
        <f t="shared" si="39"/>
        <v>1w</v>
      </c>
      <c r="Y1686" s="112">
        <f>_xll.qlCalendarAdvance(Calendar,Y1685,X1686,"f",FALSE)</f>
        <v>50979</v>
      </c>
      <c r="Z1686" s="115">
        <f>_xll.qlCalendarAdvance(Calendar,Y1686,NDays&amp;"D")</f>
        <v>50979</v>
      </c>
      <c r="AA1686" s="116">
        <v>3.6997264931845172E-2</v>
      </c>
      <c r="AB1686" s="113">
        <v>3.6852998209766508E-2</v>
      </c>
    </row>
    <row r="1687" spans="17:28" x14ac:dyDescent="0.2">
      <c r="Q1687" s="72"/>
      <c r="T1687" s="72"/>
      <c r="U1687" s="93"/>
      <c r="X1687" s="114" t="str">
        <f t="shared" si="39"/>
        <v>1w</v>
      </c>
      <c r="Y1687" s="112">
        <f>_xll.qlCalendarAdvance(Calendar,Y1686,X1687,"f",FALSE)</f>
        <v>50986</v>
      </c>
      <c r="Z1687" s="115">
        <f>_xll.qlCalendarAdvance(Calendar,Y1687,NDays&amp;"D")</f>
        <v>50986</v>
      </c>
      <c r="AA1687" s="116">
        <v>3.6993313520840683E-2</v>
      </c>
      <c r="AB1687" s="113">
        <v>3.6849133222290886E-2</v>
      </c>
    </row>
    <row r="1688" spans="17:28" x14ac:dyDescent="0.2">
      <c r="Q1688" s="72"/>
      <c r="T1688" s="72"/>
      <c r="U1688" s="93"/>
      <c r="X1688" s="114" t="str">
        <f t="shared" si="39"/>
        <v>1w</v>
      </c>
      <c r="Y1688" s="112">
        <f>_xll.qlCalendarAdvance(Calendar,Y1687,X1688,"f",FALSE)</f>
        <v>50993</v>
      </c>
      <c r="Z1688" s="115">
        <f>_xll.qlCalendarAdvance(Calendar,Y1688,NDays&amp;"D")</f>
        <v>50993</v>
      </c>
      <c r="AA1688" s="116">
        <v>3.6989354301918548E-2</v>
      </c>
      <c r="AB1688" s="113">
        <v>3.6845260494328125E-2</v>
      </c>
    </row>
    <row r="1689" spans="17:28" x14ac:dyDescent="0.2">
      <c r="Q1689" s="72"/>
      <c r="T1689" s="72"/>
      <c r="U1689" s="93"/>
      <c r="X1689" s="114" t="str">
        <f t="shared" si="39"/>
        <v>1w</v>
      </c>
      <c r="Y1689" s="112">
        <f>_xll.qlCalendarAdvance(Calendar,Y1688,X1689,"f",FALSE)</f>
        <v>51000</v>
      </c>
      <c r="Z1689" s="115">
        <f>_xll.qlCalendarAdvance(Calendar,Y1689,NDays&amp;"D")</f>
        <v>51000</v>
      </c>
      <c r="AA1689" s="116">
        <v>3.6985387275105204E-2</v>
      </c>
      <c r="AB1689" s="113">
        <v>3.6841380025959269E-2</v>
      </c>
    </row>
    <row r="1690" spans="17:28" x14ac:dyDescent="0.2">
      <c r="Q1690" s="72"/>
      <c r="T1690" s="72"/>
      <c r="U1690" s="93"/>
      <c r="X1690" s="114" t="str">
        <f t="shared" si="39"/>
        <v>1w</v>
      </c>
      <c r="Y1690" s="112">
        <f>_xll.qlCalendarAdvance(Calendar,Y1689,X1690,"f",FALSE)</f>
        <v>51007</v>
      </c>
      <c r="Z1690" s="115">
        <f>_xll.qlCalendarAdvance(Calendar,Y1690,NDays&amp;"D")</f>
        <v>51007</v>
      </c>
      <c r="AA1690" s="116">
        <v>3.6981412440421774E-2</v>
      </c>
      <c r="AB1690" s="113">
        <v>3.6837491817265366E-2</v>
      </c>
    </row>
    <row r="1691" spans="17:28" x14ac:dyDescent="0.2">
      <c r="Q1691" s="72"/>
      <c r="T1691" s="72"/>
      <c r="U1691" s="93"/>
      <c r="X1691" s="114" t="str">
        <f t="shared" si="39"/>
        <v>1w</v>
      </c>
      <c r="Y1691" s="112">
        <f>_xll.qlCalendarAdvance(Calendar,Y1690,X1691,"f",FALSE)</f>
        <v>51014</v>
      </c>
      <c r="Z1691" s="115">
        <f>_xll.qlCalendarAdvance(Calendar,Y1691,NDays&amp;"D")</f>
        <v>51014</v>
      </c>
      <c r="AA1691" s="116">
        <v>3.697584851785736E-2</v>
      </c>
      <c r="AB1691" s="113">
        <v>3.683359586816537E-2</v>
      </c>
    </row>
    <row r="1692" spans="17:28" x14ac:dyDescent="0.2">
      <c r="Q1692" s="72"/>
      <c r="T1692" s="72"/>
      <c r="U1692" s="93"/>
      <c r="X1692" s="114" t="str">
        <f t="shared" si="39"/>
        <v>1w</v>
      </c>
      <c r="Y1692" s="112">
        <f>_xll.qlCalendarAdvance(Calendar,Y1691,X1692,"f",FALSE)</f>
        <v>51021</v>
      </c>
      <c r="Z1692" s="115">
        <f>_xll.qlCalendarAdvance(Calendar,Y1692,NDays&amp;"D")</f>
        <v>51021</v>
      </c>
      <c r="AA1692" s="116">
        <v>3.6971859027501101E-2</v>
      </c>
      <c r="AB1692" s="113">
        <v>3.6829692178578233E-2</v>
      </c>
    </row>
    <row r="1693" spans="17:28" x14ac:dyDescent="0.2">
      <c r="Q1693" s="72"/>
      <c r="T1693" s="72"/>
      <c r="U1693" s="93"/>
      <c r="X1693" s="114" t="str">
        <f t="shared" si="39"/>
        <v>1w</v>
      </c>
      <c r="Y1693" s="112">
        <f>_xll.qlCalendarAdvance(Calendar,Y1692,X1693,"f",FALSE)</f>
        <v>51028</v>
      </c>
      <c r="Z1693" s="115">
        <f>_xll.qlCalendarAdvance(Calendar,Y1693,NDays&amp;"D")</f>
        <v>51028</v>
      </c>
      <c r="AA1693" s="116">
        <v>3.696786173008753E-2</v>
      </c>
      <c r="AB1693" s="113">
        <v>3.6825780748585002E-2</v>
      </c>
    </row>
    <row r="1694" spans="17:28" x14ac:dyDescent="0.2">
      <c r="Q1694" s="72"/>
      <c r="T1694" s="72"/>
      <c r="U1694" s="93"/>
      <c r="X1694" s="114" t="str">
        <f t="shared" si="39"/>
        <v>1w</v>
      </c>
      <c r="Y1694" s="112">
        <f>_xll.qlCalendarAdvance(Calendar,Y1693,X1694,"f",FALSE)</f>
        <v>51035</v>
      </c>
      <c r="Z1694" s="115">
        <f>_xll.qlCalendarAdvance(Calendar,Y1694,NDays&amp;"D")</f>
        <v>51035</v>
      </c>
      <c r="AA1694" s="116">
        <v>3.69638566256398E-2</v>
      </c>
      <c r="AB1694" s="113">
        <v>3.682186157834777E-2</v>
      </c>
    </row>
    <row r="1695" spans="17:28" x14ac:dyDescent="0.2">
      <c r="Q1695" s="72"/>
      <c r="T1695" s="72"/>
      <c r="U1695" s="93"/>
      <c r="X1695" s="114" t="str">
        <f t="shared" si="39"/>
        <v>1w</v>
      </c>
      <c r="Y1695" s="112">
        <f>_xll.qlCalendarAdvance(Calendar,Y1694,X1695,"f",FALSE)</f>
        <v>51042</v>
      </c>
      <c r="Z1695" s="115">
        <f>_xll.qlCalendarAdvance(Calendar,Y1695,NDays&amp;"D")</f>
        <v>51042</v>
      </c>
      <c r="AA1695" s="116">
        <v>3.6959843714180193E-2</v>
      </c>
      <c r="AB1695" s="113">
        <v>3.6817934667542351E-2</v>
      </c>
    </row>
    <row r="1696" spans="17:28" x14ac:dyDescent="0.2">
      <c r="Q1696" s="72"/>
      <c r="T1696" s="72"/>
      <c r="U1696" s="93"/>
      <c r="X1696" s="114" t="str">
        <f t="shared" si="39"/>
        <v>1w</v>
      </c>
      <c r="Y1696" s="112">
        <f>_xll.qlCalendarAdvance(Calendar,Y1695,X1696,"f",FALSE)</f>
        <v>51049</v>
      </c>
      <c r="Z1696" s="115">
        <f>_xll.qlCalendarAdvance(Calendar,Y1696,NDays&amp;"D")</f>
        <v>51049</v>
      </c>
      <c r="AA1696" s="116">
        <v>3.6957399468365772E-2</v>
      </c>
      <c r="AB1696" s="113">
        <v>3.6814000016492932E-2</v>
      </c>
    </row>
    <row r="1697" spans="17:28" x14ac:dyDescent="0.2">
      <c r="Q1697" s="72"/>
      <c r="T1697" s="72"/>
      <c r="U1697" s="93"/>
      <c r="X1697" s="114" t="str">
        <f t="shared" si="39"/>
        <v>1w</v>
      </c>
      <c r="Y1697" s="112">
        <f>_xll.qlCalendarAdvance(Calendar,Y1696,X1697,"f",FALSE)</f>
        <v>51056</v>
      </c>
      <c r="Z1697" s="115">
        <f>_xll.qlCalendarAdvance(Calendar,Y1697,NDays&amp;"D")</f>
        <v>51056</v>
      </c>
      <c r="AA1697" s="116">
        <v>3.6953369979247239E-2</v>
      </c>
      <c r="AB1697" s="113">
        <v>3.6810057625037418E-2</v>
      </c>
    </row>
    <row r="1698" spans="17:28" x14ac:dyDescent="0.2">
      <c r="Q1698" s="72"/>
      <c r="T1698" s="72"/>
      <c r="U1698" s="93"/>
      <c r="X1698" s="114" t="str">
        <f t="shared" si="39"/>
        <v>1w</v>
      </c>
      <c r="Y1698" s="112">
        <f>_xll.qlCalendarAdvance(Calendar,Y1697,X1698,"f",FALSE)</f>
        <v>51063</v>
      </c>
      <c r="Z1698" s="115">
        <f>_xll.qlCalendarAdvance(Calendar,Y1698,NDays&amp;"D")</f>
        <v>51063</v>
      </c>
      <c r="AA1698" s="116">
        <v>3.6949332682448918E-2</v>
      </c>
      <c r="AB1698" s="113">
        <v>3.680610749317581E-2</v>
      </c>
    </row>
    <row r="1699" spans="17:28" x14ac:dyDescent="0.2">
      <c r="Q1699" s="72"/>
      <c r="T1699" s="72"/>
      <c r="U1699" s="93"/>
      <c r="X1699" s="114" t="str">
        <f t="shared" si="39"/>
        <v>1w</v>
      </c>
      <c r="Y1699" s="112">
        <f>_xll.qlCalendarAdvance(Calendar,Y1698,X1699,"f",FALSE)</f>
        <v>51070</v>
      </c>
      <c r="Z1699" s="115">
        <f>_xll.qlCalendarAdvance(Calendar,Y1699,NDays&amp;"D")</f>
        <v>51070</v>
      </c>
      <c r="AA1699" s="116">
        <v>3.6945287577990177E-2</v>
      </c>
      <c r="AB1699" s="113">
        <v>3.6802149620746016E-2</v>
      </c>
    </row>
    <row r="1700" spans="17:28" x14ac:dyDescent="0.2">
      <c r="Q1700" s="72"/>
      <c r="T1700" s="72"/>
      <c r="U1700" s="93"/>
      <c r="X1700" s="114" t="str">
        <f t="shared" si="39"/>
        <v>1w</v>
      </c>
      <c r="Y1700" s="112">
        <f>_xll.qlCalendarAdvance(Calendar,Y1699,X1700,"f",FALSE)</f>
        <v>51077</v>
      </c>
      <c r="Z1700" s="115">
        <f>_xll.qlCalendarAdvance(Calendar,Y1700,NDays&amp;"D")</f>
        <v>51077</v>
      </c>
      <c r="AA1700" s="116">
        <v>3.6941234665897459E-2</v>
      </c>
      <c r="AB1700" s="113">
        <v>3.6798184008072221E-2</v>
      </c>
    </row>
    <row r="1701" spans="17:28" x14ac:dyDescent="0.2">
      <c r="Q1701" s="72"/>
      <c r="T1701" s="72"/>
      <c r="U1701" s="93"/>
      <c r="X1701" s="114" t="str">
        <f t="shared" si="39"/>
        <v>1w</v>
      </c>
      <c r="Y1701" s="112">
        <f>_xll.qlCalendarAdvance(Calendar,Y1700,X1701,"f",FALSE)</f>
        <v>51084</v>
      </c>
      <c r="Z1701" s="115">
        <f>_xll.qlCalendarAdvance(Calendar,Y1701,NDays&amp;"D")</f>
        <v>51084</v>
      </c>
      <c r="AA1701" s="116">
        <v>3.6937173946191892E-2</v>
      </c>
      <c r="AB1701" s="113">
        <v>3.6794210654992332E-2</v>
      </c>
    </row>
    <row r="1702" spans="17:28" x14ac:dyDescent="0.2">
      <c r="Q1702" s="72"/>
      <c r="T1702" s="72"/>
      <c r="U1702" s="93"/>
      <c r="X1702" s="114" t="str">
        <f t="shared" si="39"/>
        <v>1w</v>
      </c>
      <c r="Y1702" s="112">
        <f>_xll.qlCalendarAdvance(Calendar,Y1701,X1702,"f",FALSE)</f>
        <v>51091</v>
      </c>
      <c r="Z1702" s="115">
        <f>_xll.qlCalendarAdvance(Calendar,Y1702,NDays&amp;"D")</f>
        <v>51091</v>
      </c>
      <c r="AA1702" s="116">
        <v>3.6933105418901678E-2</v>
      </c>
      <c r="AB1702" s="113">
        <v>3.6790229561587395E-2</v>
      </c>
    </row>
    <row r="1703" spans="17:28" x14ac:dyDescent="0.2">
      <c r="Q1703" s="72"/>
      <c r="T1703" s="72"/>
      <c r="U1703" s="93"/>
      <c r="X1703" s="114" t="str">
        <f t="shared" si="39"/>
        <v>1w</v>
      </c>
      <c r="Y1703" s="112">
        <f>_xll.qlCalendarAdvance(Calendar,Y1702,X1703,"f",FALSE)</f>
        <v>51098</v>
      </c>
      <c r="Z1703" s="115">
        <f>_xll.qlCalendarAdvance(Calendar,Y1703,NDays&amp;"D")</f>
        <v>51098</v>
      </c>
      <c r="AA1703" s="116">
        <v>3.6929029084045314E-2</v>
      </c>
      <c r="AB1703" s="113">
        <v>3.6786240727695318E-2</v>
      </c>
    </row>
    <row r="1704" spans="17:28" x14ac:dyDescent="0.2">
      <c r="Q1704" s="72"/>
      <c r="T1704" s="72"/>
      <c r="U1704" s="93"/>
      <c r="X1704" s="114" t="str">
        <f t="shared" si="39"/>
        <v>1w</v>
      </c>
      <c r="Y1704" s="112">
        <f>_xll.qlCalendarAdvance(Calendar,Y1703,X1704,"f",FALSE)</f>
        <v>51105</v>
      </c>
      <c r="Z1704" s="115">
        <f>_xll.qlCalendarAdvance(Calendar,Y1704,NDays&amp;"D")</f>
        <v>51105</v>
      </c>
      <c r="AA1704" s="116">
        <v>3.6923376199396334E-2</v>
      </c>
      <c r="AB1704" s="113">
        <v>3.6782244153478194E-2</v>
      </c>
    </row>
    <row r="1705" spans="17:28" x14ac:dyDescent="0.2">
      <c r="Q1705" s="72"/>
      <c r="T1705" s="72"/>
      <c r="U1705" s="93"/>
      <c r="X1705" s="114" t="str">
        <f t="shared" si="39"/>
        <v>1w</v>
      </c>
      <c r="Y1705" s="112">
        <f>_xll.qlCalendarAdvance(Calendar,Y1704,X1705,"f",FALSE)</f>
        <v>51112</v>
      </c>
      <c r="Z1705" s="115">
        <f>_xll.qlCalendarAdvance(Calendar,Y1705,NDays&amp;"D")</f>
        <v>51112</v>
      </c>
      <c r="AA1705" s="116">
        <v>3.6919285219110143E-2</v>
      </c>
      <c r="AB1705" s="113">
        <v>3.677823983877393E-2</v>
      </c>
    </row>
    <row r="1706" spans="17:28" x14ac:dyDescent="0.2">
      <c r="Q1706" s="72"/>
      <c r="T1706" s="72"/>
      <c r="U1706" s="93"/>
      <c r="X1706" s="114" t="str">
        <f t="shared" si="39"/>
        <v>1w</v>
      </c>
      <c r="Y1706" s="112">
        <f>_xll.qlCalendarAdvance(Calendar,Y1705,X1706,"f",FALSE)</f>
        <v>51119</v>
      </c>
      <c r="Z1706" s="115">
        <f>_xll.qlCalendarAdvance(Calendar,Y1706,NDays&amp;"D")</f>
        <v>51119</v>
      </c>
      <c r="AA1706" s="116">
        <v>3.6915186432071236E-2</v>
      </c>
      <c r="AB1706" s="113">
        <v>3.6774227783744617E-2</v>
      </c>
    </row>
    <row r="1707" spans="17:28" x14ac:dyDescent="0.2">
      <c r="Q1707" s="72"/>
      <c r="T1707" s="72"/>
      <c r="U1707" s="93"/>
      <c r="X1707" s="114" t="str">
        <f t="shared" si="39"/>
        <v>1w</v>
      </c>
      <c r="Y1707" s="112">
        <f>_xll.qlCalendarAdvance(Calendar,Y1706,X1707,"f",FALSE)</f>
        <v>51126</v>
      </c>
      <c r="Z1707" s="115">
        <f>_xll.qlCalendarAdvance(Calendar,Y1707,NDays&amp;"D")</f>
        <v>51126</v>
      </c>
      <c r="AA1707" s="116">
        <v>3.6911079838303655E-2</v>
      </c>
      <c r="AB1707" s="113">
        <v>3.6770207988309211E-2</v>
      </c>
    </row>
    <row r="1708" spans="17:28" x14ac:dyDescent="0.2">
      <c r="Q1708" s="72"/>
      <c r="T1708" s="72"/>
      <c r="U1708" s="93"/>
      <c r="X1708" s="114" t="str">
        <f t="shared" si="39"/>
        <v>1w</v>
      </c>
      <c r="Y1708" s="112">
        <f>_xll.qlCalendarAdvance(Calendar,Y1707,X1708,"f",FALSE)</f>
        <v>51133</v>
      </c>
      <c r="Z1708" s="115">
        <f>_xll.qlCalendarAdvance(Calendar,Y1708,NDays&amp;"D")</f>
        <v>51133</v>
      </c>
      <c r="AA1708" s="116">
        <v>3.6906965437830563E-2</v>
      </c>
      <c r="AB1708" s="113">
        <v>3.6766180452467712E-2</v>
      </c>
    </row>
    <row r="1709" spans="17:28" x14ac:dyDescent="0.2">
      <c r="Q1709" s="72"/>
      <c r="T1709" s="72"/>
      <c r="U1709" s="93"/>
      <c r="X1709" s="114" t="str">
        <f t="shared" si="39"/>
        <v>1w</v>
      </c>
      <c r="Y1709" s="112">
        <f>_xll.qlCalendarAdvance(Calendar,Y1708,X1709,"f",FALSE)</f>
        <v>51140</v>
      </c>
      <c r="Z1709" s="115">
        <f>_xll.qlCalendarAdvance(Calendar,Y1709,NDays&amp;"D")</f>
        <v>51140</v>
      </c>
      <c r="AA1709" s="116">
        <v>3.690284323067422E-2</v>
      </c>
      <c r="AB1709" s="113">
        <v>3.676214517638221E-2</v>
      </c>
    </row>
    <row r="1710" spans="17:28" x14ac:dyDescent="0.2">
      <c r="Q1710" s="72"/>
      <c r="T1710" s="72"/>
      <c r="U1710" s="93"/>
      <c r="X1710" s="114" t="str">
        <f t="shared" si="39"/>
        <v>1w</v>
      </c>
      <c r="Y1710" s="112">
        <f>_xll.qlCalendarAdvance(Calendar,Y1709,X1710,"f",FALSE)</f>
        <v>51147</v>
      </c>
      <c r="Z1710" s="115">
        <f>_xll.qlCalendarAdvance(Calendar,Y1710,NDays&amp;"D")</f>
        <v>51147</v>
      </c>
      <c r="AA1710" s="116">
        <v>3.689871321686046E-2</v>
      </c>
      <c r="AB1710" s="113">
        <v>3.6758102159647477E-2</v>
      </c>
    </row>
    <row r="1711" spans="17:28" x14ac:dyDescent="0.2">
      <c r="Q1711" s="72"/>
      <c r="T1711" s="72"/>
      <c r="U1711" s="93"/>
      <c r="X1711" s="114" t="str">
        <f t="shared" si="39"/>
        <v>1w</v>
      </c>
      <c r="Y1711" s="112">
        <f>_xll.qlCalendarAdvance(Calendar,Y1710,X1711,"f",FALSE)</f>
        <v>51154</v>
      </c>
      <c r="Z1711" s="115">
        <f>_xll.qlCalendarAdvance(Calendar,Y1711,NDays&amp;"D")</f>
        <v>51154</v>
      </c>
      <c r="AA1711" s="116">
        <v>3.6894575396412436E-2</v>
      </c>
      <c r="AB1711" s="113">
        <v>3.6754051402749788E-2</v>
      </c>
    </row>
    <row r="1712" spans="17:28" x14ac:dyDescent="0.2">
      <c r="Q1712" s="72"/>
      <c r="T1712" s="72"/>
      <c r="U1712" s="93"/>
      <c r="X1712" s="114" t="str">
        <f t="shared" si="39"/>
        <v>1w</v>
      </c>
      <c r="Y1712" s="112">
        <f>_xll.qlCalendarAdvance(Calendar,Y1711,X1712,"f",FALSE)</f>
        <v>51162</v>
      </c>
      <c r="Z1712" s="115">
        <f>_xll.qlCalendarAdvance(Calendar,Y1712,NDays&amp;"D")</f>
        <v>51162</v>
      </c>
      <c r="AA1712" s="116">
        <v>3.6889836899644542E-2</v>
      </c>
      <c r="AB1712" s="113">
        <v>3.6752531920440187E-2</v>
      </c>
    </row>
    <row r="1713" spans="17:28" x14ac:dyDescent="0.2">
      <c r="Q1713" s="72"/>
      <c r="T1713" s="72"/>
      <c r="U1713" s="93"/>
      <c r="X1713" s="114" t="str">
        <f t="shared" si="39"/>
        <v>1w</v>
      </c>
      <c r="Y1713" s="112">
        <f>_xll.qlCalendarAdvance(Calendar,Y1712,X1713,"f",FALSE)</f>
        <v>51169</v>
      </c>
      <c r="Z1713" s="115">
        <f>_xll.qlCalendarAdvance(Calendar,Y1713,NDays&amp;"D")</f>
        <v>51169</v>
      </c>
      <c r="AA1713" s="116">
        <v>3.6884122512738392E-2</v>
      </c>
      <c r="AB1713" s="113">
        <v>3.6748462651896581E-2</v>
      </c>
    </row>
    <row r="1714" spans="17:28" x14ac:dyDescent="0.2">
      <c r="Q1714" s="72"/>
      <c r="T1714" s="72"/>
      <c r="U1714" s="93"/>
      <c r="X1714" s="114" t="str">
        <f t="shared" si="39"/>
        <v>1w</v>
      </c>
      <c r="Y1714" s="112">
        <f>_xll.qlCalendarAdvance(Calendar,Y1713,X1714,"f",FALSE)</f>
        <v>51176</v>
      </c>
      <c r="Z1714" s="115">
        <f>_xll.qlCalendarAdvance(Calendar,Y1714,NDays&amp;"D")</f>
        <v>51176</v>
      </c>
      <c r="AA1714" s="116">
        <v>3.6879961133534263E-2</v>
      </c>
      <c r="AB1714" s="113">
        <v>3.6744385641515061E-2</v>
      </c>
    </row>
    <row r="1715" spans="17:28" x14ac:dyDescent="0.2">
      <c r="Q1715" s="72"/>
      <c r="T1715" s="72"/>
      <c r="U1715" s="93"/>
      <c r="X1715" s="114" t="str">
        <f t="shared" si="39"/>
        <v>1w</v>
      </c>
      <c r="Y1715" s="112">
        <f>_xll.qlCalendarAdvance(Calendar,Y1714,X1715,"f",FALSE)</f>
        <v>51183</v>
      </c>
      <c r="Z1715" s="115">
        <f>_xll.qlCalendarAdvance(Calendar,Y1715,NDays&amp;"D")</f>
        <v>51183</v>
      </c>
      <c r="AA1715" s="116">
        <v>3.6875791973028087E-2</v>
      </c>
      <c r="AB1715" s="113">
        <v>3.6740300889268614E-2</v>
      </c>
    </row>
    <row r="1716" spans="17:28" x14ac:dyDescent="0.2">
      <c r="Q1716" s="72"/>
      <c r="T1716" s="72"/>
      <c r="U1716" s="93"/>
      <c r="X1716" s="114" t="str">
        <f t="shared" si="39"/>
        <v>1w</v>
      </c>
      <c r="Y1716" s="112">
        <f>_xll.qlCalendarAdvance(Calendar,Y1715,X1716,"f",FALSE)</f>
        <v>51190</v>
      </c>
      <c r="Z1716" s="115">
        <f>_xll.qlCalendarAdvance(Calendar,Y1716,NDays&amp;"D")</f>
        <v>51190</v>
      </c>
      <c r="AA1716" s="116">
        <v>3.6871615864973575E-2</v>
      </c>
      <c r="AB1716" s="113">
        <v>3.673620839515724E-2</v>
      </c>
    </row>
    <row r="1717" spans="17:28" x14ac:dyDescent="0.2">
      <c r="Q1717" s="72"/>
      <c r="T1717" s="72"/>
      <c r="U1717" s="93"/>
      <c r="X1717" s="114" t="str">
        <f t="shared" si="39"/>
        <v>1w</v>
      </c>
      <c r="Y1717" s="112">
        <f>_xll.qlCalendarAdvance(Calendar,Y1716,X1717,"f",FALSE)</f>
        <v>51197</v>
      </c>
      <c r="Z1717" s="115">
        <f>_xll.qlCalendarAdvance(Calendar,Y1717,NDays&amp;"D")</f>
        <v>51197</v>
      </c>
      <c r="AA1717" s="116">
        <v>3.6873661989512765E-2</v>
      </c>
      <c r="AB1717" s="113">
        <v>3.6732108159180939E-2</v>
      </c>
    </row>
    <row r="1718" spans="17:28" x14ac:dyDescent="0.2">
      <c r="Q1718" s="72"/>
      <c r="T1718" s="72"/>
      <c r="U1718" s="93"/>
      <c r="X1718" s="114" t="str">
        <f t="shared" si="39"/>
        <v>1w</v>
      </c>
      <c r="Y1718" s="112">
        <f>_xll.qlCalendarAdvance(Calendar,Y1717,X1718,"f",FALSE)</f>
        <v>51204</v>
      </c>
      <c r="Z1718" s="115">
        <f>_xll.qlCalendarAdvance(Calendar,Y1718,NDays&amp;"D")</f>
        <v>51204</v>
      </c>
      <c r="AA1718" s="116">
        <v>3.6871033387218352E-2</v>
      </c>
      <c r="AB1718" s="113">
        <v>3.6728000181339711E-2</v>
      </c>
    </row>
    <row r="1719" spans="17:28" x14ac:dyDescent="0.2">
      <c r="Q1719" s="72"/>
      <c r="T1719" s="72"/>
      <c r="U1719" s="93"/>
      <c r="X1719" s="114" t="str">
        <f t="shared" si="39"/>
        <v>1w</v>
      </c>
      <c r="Y1719" s="112">
        <f>_xll.qlCalendarAdvance(Calendar,Y1718,X1719,"f",FALSE)</f>
        <v>51211</v>
      </c>
      <c r="Z1719" s="115">
        <f>_xll.qlCalendarAdvance(Calendar,Y1719,NDays&amp;"D")</f>
        <v>51211</v>
      </c>
      <c r="AA1719" s="116">
        <v>3.6865290350429292E-2</v>
      </c>
      <c r="AB1719" s="113">
        <v>3.6723884461687582E-2</v>
      </c>
    </row>
    <row r="1720" spans="17:28" x14ac:dyDescent="0.2">
      <c r="Q1720" s="72"/>
      <c r="T1720" s="72"/>
      <c r="U1720" s="93"/>
      <c r="X1720" s="114" t="str">
        <f t="shared" si="39"/>
        <v>1w</v>
      </c>
      <c r="Y1720" s="112">
        <f>_xll.qlCalendarAdvance(Calendar,Y1719,X1720,"f",FALSE)</f>
        <v>51218</v>
      </c>
      <c r="Z1720" s="115">
        <f>_xll.qlCalendarAdvance(Calendar,Y1720,NDays&amp;"D")</f>
        <v>51218</v>
      </c>
      <c r="AA1720" s="116">
        <v>3.6861105336110811E-2</v>
      </c>
      <c r="AB1720" s="113">
        <v>3.6719761000143521E-2</v>
      </c>
    </row>
    <row r="1721" spans="17:28" x14ac:dyDescent="0.2">
      <c r="Q1721" s="72"/>
      <c r="T1721" s="72"/>
      <c r="U1721" s="93"/>
      <c r="X1721" s="114" t="str">
        <f t="shared" si="39"/>
        <v>1w</v>
      </c>
      <c r="Y1721" s="112">
        <f>_xll.qlCalendarAdvance(Calendar,Y1720,X1721,"f",FALSE)</f>
        <v>51229</v>
      </c>
      <c r="Z1721" s="115">
        <f>_xll.qlCalendarAdvance(Calendar,Y1721,NDays&amp;"D")</f>
        <v>51229</v>
      </c>
      <c r="AA1721" s="116">
        <v>3.6849863872840317E-2</v>
      </c>
      <c r="AB1721" s="113">
        <v>3.6710164686007962E-2</v>
      </c>
    </row>
    <row r="1722" spans="17:28" x14ac:dyDescent="0.2">
      <c r="Q1722" s="72"/>
      <c r="T1722" s="72"/>
      <c r="U1722" s="93"/>
      <c r="X1722" s="114" t="str">
        <f t="shared" si="39"/>
        <v>1w</v>
      </c>
      <c r="Y1722" s="112">
        <f>_xll.qlCalendarAdvance(Calendar,Y1721,X1722,"f",FALSE)</f>
        <v>51236</v>
      </c>
      <c r="Z1722" s="115">
        <f>_xll.qlCalendarAdvance(Calendar,Y1722,NDays&amp;"D")</f>
        <v>51236</v>
      </c>
      <c r="AA1722" s="116">
        <v>3.6845688618056573E-2</v>
      </c>
      <c r="AB1722" s="113">
        <v>3.6706023255909104E-2</v>
      </c>
    </row>
    <row r="1723" spans="17:28" x14ac:dyDescent="0.2">
      <c r="Q1723" s="72"/>
      <c r="T1723" s="72"/>
      <c r="U1723" s="93"/>
      <c r="X1723" s="114" t="str">
        <f t="shared" si="39"/>
        <v>1w</v>
      </c>
      <c r="Y1723" s="112">
        <f>_xll.qlCalendarAdvance(Calendar,Y1722,X1723,"f",FALSE)</f>
        <v>51243</v>
      </c>
      <c r="Z1723" s="115">
        <f>_xll.qlCalendarAdvance(Calendar,Y1723,NDays&amp;"D")</f>
        <v>51243</v>
      </c>
      <c r="AA1723" s="116">
        <v>3.6841520594314628E-2</v>
      </c>
      <c r="AB1723" s="113">
        <v>3.6701874085404151E-2</v>
      </c>
    </row>
    <row r="1724" spans="17:28" x14ac:dyDescent="0.2">
      <c r="Q1724" s="72"/>
      <c r="T1724" s="72"/>
      <c r="U1724" s="93"/>
      <c r="X1724" s="114" t="str">
        <f t="shared" si="39"/>
        <v>1w</v>
      </c>
      <c r="Y1724" s="112">
        <f>_xll.qlCalendarAdvance(Calendar,Y1723,X1724,"f",FALSE)</f>
        <v>51250</v>
      </c>
      <c r="Z1724" s="115">
        <f>_xll.qlCalendarAdvance(Calendar,Y1724,NDays&amp;"D")</f>
        <v>51250</v>
      </c>
      <c r="AA1724" s="116">
        <v>3.6837361648298518E-2</v>
      </c>
      <c r="AB1724" s="113">
        <v>3.6699264731747672E-2</v>
      </c>
    </row>
    <row r="1725" spans="17:28" x14ac:dyDescent="0.2">
      <c r="Q1725" s="72"/>
      <c r="T1725" s="72"/>
      <c r="U1725" s="93"/>
      <c r="X1725" s="114" t="str">
        <f t="shared" si="39"/>
        <v>1w</v>
      </c>
      <c r="Y1725" s="112">
        <f>_xll.qlCalendarAdvance(Calendar,Y1724,X1725,"f",FALSE)</f>
        <v>51257</v>
      </c>
      <c r="Z1725" s="115">
        <f>_xll.qlCalendarAdvance(Calendar,Y1725,NDays&amp;"D")</f>
        <v>51257</v>
      </c>
      <c r="AA1725" s="116">
        <v>3.683477297240656E-2</v>
      </c>
      <c r="AB1725" s="113">
        <v>3.6693552523257011E-2</v>
      </c>
    </row>
    <row r="1726" spans="17:28" x14ac:dyDescent="0.2">
      <c r="Q1726" s="72"/>
      <c r="T1726" s="72"/>
      <c r="U1726" s="93"/>
      <c r="X1726" s="114" t="str">
        <f t="shared" si="39"/>
        <v>1w</v>
      </c>
      <c r="Y1726" s="112">
        <f>_xll.qlCalendarAdvance(Calendar,Y1725,X1726,"f",FALSE)</f>
        <v>51264</v>
      </c>
      <c r="Z1726" s="115">
        <f>_xll.qlCalendarAdvance(Calendar,Y1726,NDays&amp;"D")</f>
        <v>51264</v>
      </c>
      <c r="AA1726" s="116">
        <v>3.6830638444451232E-2</v>
      </c>
      <c r="AB1726" s="113">
        <v>3.6689380131614824E-2</v>
      </c>
    </row>
    <row r="1727" spans="17:28" x14ac:dyDescent="0.2">
      <c r="Q1727" s="72"/>
      <c r="T1727" s="72"/>
      <c r="U1727" s="93"/>
      <c r="X1727" s="114" t="str">
        <f t="shared" si="39"/>
        <v>1w</v>
      </c>
      <c r="Y1727" s="112">
        <f>_xll.qlCalendarAdvance(Calendar,Y1726,X1727,"f",FALSE)</f>
        <v>51271</v>
      </c>
      <c r="Z1727" s="115">
        <f>_xll.qlCalendarAdvance(Calendar,Y1727,NDays&amp;"D")</f>
        <v>51271</v>
      </c>
      <c r="AA1727" s="116">
        <v>3.6826518552059692E-2</v>
      </c>
      <c r="AB1727" s="113">
        <v>3.6685200565998999E-2</v>
      </c>
    </row>
    <row r="1728" spans="17:28" x14ac:dyDescent="0.2">
      <c r="Q1728" s="72"/>
      <c r="T1728" s="72"/>
      <c r="U1728" s="93"/>
      <c r="X1728" s="114" t="str">
        <f t="shared" si="39"/>
        <v>1w</v>
      </c>
      <c r="Y1728" s="112">
        <f>_xll.qlCalendarAdvance(Calendar,Y1727,X1728,"f",FALSE)</f>
        <v>51278</v>
      </c>
      <c r="Z1728" s="115">
        <f>_xll.qlCalendarAdvance(Calendar,Y1728,NDays&amp;"D")</f>
        <v>51278</v>
      </c>
      <c r="AA1728" s="116">
        <v>3.6822414670174164E-2</v>
      </c>
      <c r="AB1728" s="113">
        <v>3.6681029687166689E-2</v>
      </c>
    </row>
    <row r="1729" spans="17:28" x14ac:dyDescent="0.2">
      <c r="Q1729" s="72"/>
      <c r="T1729" s="72"/>
      <c r="U1729" s="93"/>
      <c r="X1729" s="114" t="str">
        <f t="shared" si="39"/>
        <v>1w</v>
      </c>
      <c r="Y1729" s="112">
        <f>_xll.qlCalendarAdvance(Calendar,Y1728,X1729,"f",FALSE)</f>
        <v>51285</v>
      </c>
      <c r="Z1729" s="115">
        <f>_xll.qlCalendarAdvance(Calendar,Y1729,NDays&amp;"D")</f>
        <v>51285</v>
      </c>
      <c r="AA1729" s="116">
        <v>3.681832699048232E-2</v>
      </c>
      <c r="AB1729" s="113">
        <v>3.6676874859064013E-2</v>
      </c>
    </row>
    <row r="1730" spans="17:28" x14ac:dyDescent="0.2">
      <c r="Q1730" s="72"/>
      <c r="T1730" s="72"/>
      <c r="U1730" s="93"/>
      <c r="X1730" s="114" t="str">
        <f t="shared" si="39"/>
        <v>1w</v>
      </c>
      <c r="Y1730" s="112">
        <f>_xll.qlCalendarAdvance(Calendar,Y1729,X1730,"f",FALSE)</f>
        <v>51292</v>
      </c>
      <c r="Z1730" s="115">
        <f>_xll.qlCalendarAdvance(Calendar,Y1730,NDays&amp;"D")</f>
        <v>51292</v>
      </c>
      <c r="AA1730" s="116">
        <v>3.6814255512933054E-2</v>
      </c>
      <c r="AB1730" s="113">
        <v>3.6672736081772017E-2</v>
      </c>
    </row>
    <row r="1731" spans="17:28" x14ac:dyDescent="0.2">
      <c r="Q1731" s="72"/>
      <c r="T1731" s="72"/>
      <c r="U1731" s="93"/>
      <c r="X1731" s="114" t="str">
        <f t="shared" si="39"/>
        <v>1w</v>
      </c>
      <c r="Y1731" s="112">
        <f>_xll.qlCalendarAdvance(Calendar,Y1730,X1731,"f",FALSE)</f>
        <v>51299</v>
      </c>
      <c r="Z1731" s="115">
        <f>_xll.qlCalendarAdvance(Calendar,Y1731,NDays&amp;"D")</f>
        <v>51299</v>
      </c>
      <c r="AA1731" s="116">
        <v>3.6810200237477053E-2</v>
      </c>
      <c r="AB1731" s="113">
        <v>3.666861335512861E-2</v>
      </c>
    </row>
    <row r="1732" spans="17:28" x14ac:dyDescent="0.2">
      <c r="Q1732" s="72"/>
      <c r="T1732" s="72"/>
      <c r="U1732" s="93"/>
      <c r="X1732" s="114" t="str">
        <f t="shared" si="39"/>
        <v>1w</v>
      </c>
      <c r="Y1732" s="112">
        <f>_xll.qlCalendarAdvance(Calendar,Y1731,X1732,"f",FALSE)</f>
        <v>51306</v>
      </c>
      <c r="Z1732" s="115">
        <f>_xll.qlCalendarAdvance(Calendar,Y1732,NDays&amp;"D")</f>
        <v>51306</v>
      </c>
      <c r="AA1732" s="116">
        <v>3.6806161164065848E-2</v>
      </c>
      <c r="AB1732" s="113">
        <v>3.666450667913379E-2</v>
      </c>
    </row>
    <row r="1733" spans="17:28" x14ac:dyDescent="0.2">
      <c r="Q1733" s="72"/>
      <c r="T1733" s="72"/>
      <c r="U1733" s="93"/>
      <c r="X1733" s="114" t="str">
        <f t="shared" si="39"/>
        <v>1w</v>
      </c>
      <c r="Y1733" s="112">
        <f>_xll.qlCalendarAdvance(Calendar,Y1732,X1733,"f",FALSE)</f>
        <v>51313</v>
      </c>
      <c r="Z1733" s="115">
        <f>_xll.qlCalendarAdvance(Calendar,Y1733,NDays&amp;"D")</f>
        <v>51313</v>
      </c>
      <c r="AA1733" s="116">
        <v>3.6802138292649229E-2</v>
      </c>
      <c r="AB1733" s="113">
        <v>3.6660416053787559E-2</v>
      </c>
    </row>
    <row r="1734" spans="17:28" x14ac:dyDescent="0.2">
      <c r="Q1734" s="72"/>
      <c r="T1734" s="72"/>
      <c r="U1734" s="93"/>
      <c r="X1734" s="114" t="str">
        <f t="shared" si="39"/>
        <v>1w</v>
      </c>
      <c r="Y1734" s="112">
        <f>_xll.qlCalendarAdvance(Calendar,Y1733,X1734,"f",FALSE)</f>
        <v>51320</v>
      </c>
      <c r="Z1734" s="115">
        <f>_xll.qlCalendarAdvance(Calendar,Y1734,NDays&amp;"D")</f>
        <v>51320</v>
      </c>
      <c r="AA1734" s="116">
        <v>3.6798131623180519E-2</v>
      </c>
      <c r="AB1734" s="113">
        <v>3.6656341479333054E-2</v>
      </c>
    </row>
    <row r="1735" spans="17:28" x14ac:dyDescent="0.2">
      <c r="Q1735" s="72"/>
      <c r="T1735" s="72"/>
      <c r="U1735" s="93"/>
      <c r="X1735" s="114" t="str">
        <f t="shared" si="39"/>
        <v>1w</v>
      </c>
      <c r="Y1735" s="112">
        <f>_xll.qlCalendarAdvance(Calendar,Y1734,X1735,"f",FALSE)</f>
        <v>51327</v>
      </c>
      <c r="Z1735" s="115">
        <f>_xll.qlCalendarAdvance(Calendar,Y1735,NDays&amp;"D")</f>
        <v>51327</v>
      </c>
      <c r="AA1735" s="116">
        <v>3.6794141155607724E-2</v>
      </c>
      <c r="AB1735" s="113">
        <v>3.6652282955446092E-2</v>
      </c>
    </row>
    <row r="1736" spans="17:28" x14ac:dyDescent="0.2">
      <c r="Q1736" s="72"/>
      <c r="T1736" s="72"/>
      <c r="U1736" s="93"/>
      <c r="X1736" s="114" t="str">
        <f t="shared" si="39"/>
        <v>1w</v>
      </c>
      <c r="Y1736" s="112">
        <f>_xll.qlCalendarAdvance(Calendar,Y1735,X1736,"f",FALSE)</f>
        <v>51334</v>
      </c>
      <c r="Z1736" s="115">
        <f>_xll.qlCalendarAdvance(Calendar,Y1736,NDays&amp;"D")</f>
        <v>51334</v>
      </c>
      <c r="AA1736" s="116">
        <v>3.6790166889885047E-2</v>
      </c>
      <c r="AB1736" s="113">
        <v>3.6648240482288763E-2</v>
      </c>
    </row>
    <row r="1737" spans="17:28" x14ac:dyDescent="0.2">
      <c r="Q1737" s="72"/>
      <c r="T1737" s="72"/>
      <c r="U1737" s="93"/>
      <c r="X1737" s="114" t="str">
        <f t="shared" si="39"/>
        <v>1w</v>
      </c>
      <c r="Y1737" s="112">
        <f>_xll.qlCalendarAdvance(Calendar,Y1736,X1737,"f",FALSE)</f>
        <v>51341</v>
      </c>
      <c r="Z1737" s="115">
        <f>_xll.qlCalendarAdvance(Calendar,Y1737,NDays&amp;"D")</f>
        <v>51341</v>
      </c>
      <c r="AA1737" s="116">
        <v>3.6786208825963153E-2</v>
      </c>
      <c r="AB1737" s="113">
        <v>3.6644214059861069E-2</v>
      </c>
    </row>
    <row r="1738" spans="17:28" x14ac:dyDescent="0.2">
      <c r="Q1738" s="72"/>
      <c r="T1738" s="72"/>
      <c r="U1738" s="93"/>
      <c r="X1738" s="114" t="str">
        <f t="shared" si="39"/>
        <v>1w</v>
      </c>
      <c r="Y1738" s="112">
        <f>_xll.qlCalendarAdvance(Calendar,Y1737,X1738,"f",FALSE)</f>
        <v>51348</v>
      </c>
      <c r="Z1738" s="115">
        <f>_xll.qlCalendarAdvance(Calendar,Y1738,NDays&amp;"D")</f>
        <v>51348</v>
      </c>
      <c r="AA1738" s="116">
        <v>3.678226696379535E-2</v>
      </c>
      <c r="AB1738" s="113">
        <v>3.6640203688081963E-2</v>
      </c>
    </row>
    <row r="1739" spans="17:28" x14ac:dyDescent="0.2">
      <c r="Q1739" s="72"/>
      <c r="T1739" s="72"/>
      <c r="U1739" s="93"/>
      <c r="X1739" s="114" t="str">
        <f t="shared" si="39"/>
        <v>1w</v>
      </c>
      <c r="Y1739" s="112">
        <f>_xll.qlCalendarAdvance(Calendar,Y1738,X1739,"f",FALSE)</f>
        <v>51355</v>
      </c>
      <c r="Z1739" s="115">
        <f>_xll.qlCalendarAdvance(Calendar,Y1739,NDays&amp;"D")</f>
        <v>51355</v>
      </c>
      <c r="AA1739" s="116">
        <v>3.6778341303331429E-2</v>
      </c>
      <c r="AB1739" s="113">
        <v>3.6636209367032491E-2</v>
      </c>
    </row>
    <row r="1740" spans="17:28" x14ac:dyDescent="0.2">
      <c r="Q1740" s="72"/>
      <c r="T1740" s="72"/>
      <c r="U1740" s="93"/>
      <c r="X1740" s="114" t="str">
        <f t="shared" si="39"/>
        <v>1w</v>
      </c>
      <c r="Y1740" s="112">
        <f>_xll.qlCalendarAdvance(Calendar,Y1739,X1740,"f",FALSE)</f>
        <v>51362</v>
      </c>
      <c r="Z1740" s="115">
        <f>_xll.qlCalendarAdvance(Calendar,Y1740,NDays&amp;"D")</f>
        <v>51362</v>
      </c>
      <c r="AA1740" s="116">
        <v>3.6774431844526459E-2</v>
      </c>
      <c r="AB1740" s="113">
        <v>3.6632231096712653E-2</v>
      </c>
    </row>
    <row r="1741" spans="17:28" x14ac:dyDescent="0.2">
      <c r="Q1741" s="72"/>
      <c r="T1741" s="72"/>
      <c r="U1741" s="93"/>
      <c r="X1741" s="114" t="str">
        <f t="shared" si="39"/>
        <v>1w</v>
      </c>
      <c r="Y1741" s="112">
        <f>_xll.qlCalendarAdvance(Calendar,Y1740,X1741,"f",FALSE)</f>
        <v>51369</v>
      </c>
      <c r="Z1741" s="115">
        <f>_xll.qlCalendarAdvance(Calendar,Y1741,NDays&amp;"D")</f>
        <v>51369</v>
      </c>
      <c r="AA1741" s="116">
        <v>3.6770538587331113E-2</v>
      </c>
      <c r="AB1741" s="113">
        <v>3.662826887712245E-2</v>
      </c>
    </row>
    <row r="1742" spans="17:28" x14ac:dyDescent="0.2">
      <c r="Q1742" s="72"/>
      <c r="T1742" s="72"/>
      <c r="U1742" s="93"/>
      <c r="X1742" s="114" t="str">
        <f t="shared" si="39"/>
        <v>1w</v>
      </c>
      <c r="Y1742" s="112">
        <f>_xll.qlCalendarAdvance(Calendar,Y1741,X1742,"f",FALSE)</f>
        <v>51376</v>
      </c>
      <c r="Z1742" s="115">
        <f>_xll.qlCalendarAdvance(Calendar,Y1742,NDays&amp;"D")</f>
        <v>51376</v>
      </c>
      <c r="AA1742" s="116">
        <v>3.6766661531698691E-2</v>
      </c>
      <c r="AB1742" s="113">
        <v>3.6624322708180834E-2</v>
      </c>
    </row>
    <row r="1743" spans="17:28" x14ac:dyDescent="0.2">
      <c r="Q1743" s="72"/>
      <c r="T1743" s="72"/>
      <c r="U1743" s="93"/>
      <c r="X1743" s="114" t="str">
        <f t="shared" si="39"/>
        <v>1w</v>
      </c>
      <c r="Y1743" s="112">
        <f>_xll.qlCalendarAdvance(Calendar,Y1742,X1743,"f",FALSE)</f>
        <v>51383</v>
      </c>
      <c r="Z1743" s="115">
        <f>_xll.qlCalendarAdvance(Calendar,Y1743,NDays&amp;"D")</f>
        <v>51383</v>
      </c>
      <c r="AA1743" s="116">
        <v>3.6761227746802051E-2</v>
      </c>
      <c r="AB1743" s="113">
        <v>3.6620392589968853E-2</v>
      </c>
    </row>
    <row r="1744" spans="17:28" x14ac:dyDescent="0.2">
      <c r="Q1744" s="72"/>
      <c r="T1744" s="72"/>
      <c r="U1744" s="93"/>
      <c r="X1744" s="114" t="str">
        <f t="shared" si="39"/>
        <v>1w</v>
      </c>
      <c r="Y1744" s="112">
        <f>_xll.qlCalendarAdvance(Calendar,Y1743,X1744,"f",FALSE)</f>
        <v>51390</v>
      </c>
      <c r="Z1744" s="115">
        <f>_xll.qlCalendarAdvance(Calendar,Y1744,NDays&amp;"D")</f>
        <v>51390</v>
      </c>
      <c r="AA1744" s="116">
        <v>3.6757382322441565E-2</v>
      </c>
      <c r="AB1744" s="113">
        <v>3.661647852240546E-2</v>
      </c>
    </row>
    <row r="1745" spans="17:28" x14ac:dyDescent="0.2">
      <c r="Q1745" s="72"/>
      <c r="T1745" s="72"/>
      <c r="U1745" s="93"/>
      <c r="X1745" s="114" t="str">
        <f t="shared" si="39"/>
        <v>1w</v>
      </c>
      <c r="Y1745" s="112">
        <f>_xll.qlCalendarAdvance(Calendar,Y1744,X1745,"f",FALSE)</f>
        <v>51397</v>
      </c>
      <c r="Z1745" s="115">
        <f>_xll.qlCalendarAdvance(Calendar,Y1745,NDays&amp;"D")</f>
        <v>51397</v>
      </c>
      <c r="AA1745" s="116">
        <v>3.6753553097841465E-2</v>
      </c>
      <c r="AB1745" s="113">
        <v>3.6612580505571701E-2</v>
      </c>
    </row>
    <row r="1746" spans="17:28" x14ac:dyDescent="0.2">
      <c r="Q1746" s="72"/>
      <c r="T1746" s="72"/>
      <c r="U1746" s="93"/>
      <c r="X1746" s="114" t="str">
        <f t="shared" si="39"/>
        <v>1w</v>
      </c>
      <c r="Y1746" s="112">
        <f>_xll.qlCalendarAdvance(Calendar,Y1745,X1746,"f",FALSE)</f>
        <v>51404</v>
      </c>
      <c r="Z1746" s="115">
        <f>_xll.qlCalendarAdvance(Calendar,Y1746,NDays&amp;"D")</f>
        <v>51404</v>
      </c>
      <c r="AA1746" s="116">
        <v>3.6752890754353437E-2</v>
      </c>
      <c r="AB1746" s="113">
        <v>3.6608698539467577E-2</v>
      </c>
    </row>
    <row r="1747" spans="17:28" x14ac:dyDescent="0.2">
      <c r="Q1747" s="72"/>
      <c r="T1747" s="72"/>
      <c r="U1747" s="93"/>
      <c r="X1747" s="114" t="str">
        <f t="shared" si="39"/>
        <v>1w</v>
      </c>
      <c r="Y1747" s="112">
        <f>_xll.qlCalendarAdvance(Calendar,Y1746,X1747,"f",FALSE)</f>
        <v>51411</v>
      </c>
      <c r="Z1747" s="115">
        <f>_xll.qlCalendarAdvance(Calendar,Y1747,NDays&amp;"D")</f>
        <v>51411</v>
      </c>
      <c r="AA1747" s="116">
        <v>3.6747519275341978E-2</v>
      </c>
      <c r="AB1747" s="113">
        <v>3.660483262401204E-2</v>
      </c>
    </row>
    <row r="1748" spans="17:28" x14ac:dyDescent="0.2">
      <c r="Q1748" s="72"/>
      <c r="T1748" s="72"/>
      <c r="U1748" s="93"/>
      <c r="X1748" s="114" t="str">
        <f t="shared" si="39"/>
        <v>1w</v>
      </c>
      <c r="Y1748" s="112">
        <f>_xll.qlCalendarAdvance(Calendar,Y1747,X1748,"f",FALSE)</f>
        <v>51418</v>
      </c>
      <c r="Z1748" s="115">
        <f>_xll.qlCalendarAdvance(Calendar,Y1748,NDays&amp;"D")</f>
        <v>51418</v>
      </c>
      <c r="AA1748" s="116">
        <v>3.6743739428105771E-2</v>
      </c>
      <c r="AB1748" s="113">
        <v>3.6600982759286138E-2</v>
      </c>
    </row>
    <row r="1749" spans="17:28" x14ac:dyDescent="0.2">
      <c r="Q1749" s="72"/>
      <c r="T1749" s="72"/>
      <c r="U1749" s="93"/>
      <c r="X1749" s="114" t="str">
        <f t="shared" ref="X1749:X1812" si="40">X1748</f>
        <v>1w</v>
      </c>
      <c r="Y1749" s="112">
        <f>_xll.qlCalendarAdvance(Calendar,Y1748,X1749,"f",FALSE)</f>
        <v>51425</v>
      </c>
      <c r="Z1749" s="115">
        <f>_xll.qlCalendarAdvance(Calendar,Y1749,NDays&amp;"D")</f>
        <v>51425</v>
      </c>
      <c r="AA1749" s="116">
        <v>3.6739975782107422E-2</v>
      </c>
      <c r="AB1749" s="113">
        <v>3.6597148945208824E-2</v>
      </c>
    </row>
    <row r="1750" spans="17:28" x14ac:dyDescent="0.2">
      <c r="Q1750" s="72"/>
      <c r="T1750" s="72"/>
      <c r="U1750" s="93"/>
      <c r="X1750" s="114" t="str">
        <f t="shared" si="40"/>
        <v>1w</v>
      </c>
      <c r="Y1750" s="112">
        <f>_xll.qlCalendarAdvance(Calendar,Y1749,X1750,"f",FALSE)</f>
        <v>51432</v>
      </c>
      <c r="Z1750" s="115">
        <f>_xll.qlCalendarAdvance(Calendar,Y1750,NDays&amp;"D")</f>
        <v>51432</v>
      </c>
      <c r="AA1750" s="116">
        <v>3.6736228337302015E-2</v>
      </c>
      <c r="AB1750" s="113">
        <v>3.6593331181861144E-2</v>
      </c>
    </row>
    <row r="1751" spans="17:28" x14ac:dyDescent="0.2">
      <c r="Q1751" s="72"/>
      <c r="T1751" s="72"/>
      <c r="U1751" s="93"/>
      <c r="X1751" s="114" t="str">
        <f t="shared" si="40"/>
        <v>1w</v>
      </c>
      <c r="Y1751" s="112">
        <f>_xll.qlCalendarAdvance(Calendar,Y1750,X1751,"f",FALSE)</f>
        <v>51439</v>
      </c>
      <c r="Z1751" s="115">
        <f>_xll.qlCalendarAdvance(Calendar,Y1751,NDays&amp;"D")</f>
        <v>51439</v>
      </c>
      <c r="AA1751" s="116">
        <v>3.6732497093641965E-2</v>
      </c>
      <c r="AB1751" s="113">
        <v>3.6589529469243098E-2</v>
      </c>
    </row>
    <row r="1752" spans="17:28" x14ac:dyDescent="0.2">
      <c r="Q1752" s="72"/>
      <c r="T1752" s="72"/>
      <c r="U1752" s="93"/>
      <c r="X1752" s="114" t="str">
        <f t="shared" si="40"/>
        <v>1w</v>
      </c>
      <c r="Y1752" s="112">
        <f>_xll.qlCalendarAdvance(Calendar,Y1751,X1752,"f",FALSE)</f>
        <v>51446</v>
      </c>
      <c r="Z1752" s="115">
        <f>_xll.qlCalendarAdvance(Calendar,Y1752,NDays&amp;"D")</f>
        <v>51446</v>
      </c>
      <c r="AA1752" s="116">
        <v>3.6728782051084118E-2</v>
      </c>
      <c r="AB1752" s="113">
        <v>3.6585743807273641E-2</v>
      </c>
    </row>
    <row r="1753" spans="17:28" x14ac:dyDescent="0.2">
      <c r="Q1753" s="72"/>
      <c r="T1753" s="72"/>
      <c r="U1753" s="93"/>
      <c r="X1753" s="114" t="str">
        <f t="shared" si="40"/>
        <v>1w</v>
      </c>
      <c r="Y1753" s="112">
        <f>_xll.qlCalendarAdvance(Calendar,Y1752,X1753,"f",FALSE)</f>
        <v>51453</v>
      </c>
      <c r="Z1753" s="115">
        <f>_xll.qlCalendarAdvance(Calendar,Y1753,NDays&amp;"D")</f>
        <v>51453</v>
      </c>
      <c r="AA1753" s="116">
        <v>3.67250832095809E-2</v>
      </c>
      <c r="AB1753" s="113">
        <v>3.6581974196033817E-2</v>
      </c>
    </row>
    <row r="1754" spans="17:28" x14ac:dyDescent="0.2">
      <c r="Q1754" s="72"/>
      <c r="T1754" s="72"/>
      <c r="U1754" s="93"/>
      <c r="X1754" s="114" t="str">
        <f t="shared" si="40"/>
        <v>1w</v>
      </c>
      <c r="Y1754" s="112">
        <f>_xll.qlCalendarAdvance(Calendar,Y1753,X1754,"f",FALSE)</f>
        <v>51460</v>
      </c>
      <c r="Z1754" s="115">
        <f>_xll.qlCalendarAdvance(Calendar,Y1754,NDays&amp;"D")</f>
        <v>51460</v>
      </c>
      <c r="AA1754" s="116">
        <v>3.6721400569090908E-2</v>
      </c>
      <c r="AB1754" s="113">
        <v>3.6578220635523628E-2</v>
      </c>
    </row>
    <row r="1755" spans="17:28" x14ac:dyDescent="0.2">
      <c r="Q1755" s="72"/>
      <c r="T1755" s="72"/>
      <c r="U1755" s="93"/>
      <c r="X1755" s="114" t="str">
        <f t="shared" si="40"/>
        <v>1w</v>
      </c>
      <c r="Y1755" s="112">
        <f>_xll.qlCalendarAdvance(Calendar,Y1754,X1755,"f",FALSE)</f>
        <v>51467</v>
      </c>
      <c r="Z1755" s="115">
        <f>_xll.qlCalendarAdvance(Calendar,Y1755,NDays&amp;"D")</f>
        <v>51467</v>
      </c>
      <c r="AA1755" s="116">
        <v>3.6717734129565686E-2</v>
      </c>
      <c r="AB1755" s="113">
        <v>3.6574483125662027E-2</v>
      </c>
    </row>
    <row r="1756" spans="17:28" x14ac:dyDescent="0.2">
      <c r="Q1756" s="72"/>
      <c r="T1756" s="72"/>
      <c r="U1756" s="93"/>
      <c r="X1756" s="114" t="str">
        <f t="shared" si="40"/>
        <v>1w</v>
      </c>
      <c r="Y1756" s="112">
        <f>_xll.qlCalendarAdvance(Calendar,Y1755,X1756,"f",FALSE)</f>
        <v>51474</v>
      </c>
      <c r="Z1756" s="115">
        <f>_xll.qlCalendarAdvance(Calendar,Y1756,NDays&amp;"D")</f>
        <v>51474</v>
      </c>
      <c r="AA1756" s="116">
        <v>3.6710917887594202E-2</v>
      </c>
      <c r="AB1756" s="113">
        <v>3.6570761666530061E-2</v>
      </c>
    </row>
    <row r="1757" spans="17:28" x14ac:dyDescent="0.2">
      <c r="Q1757" s="72"/>
      <c r="T1757" s="72"/>
      <c r="U1757" s="93"/>
      <c r="X1757" s="114" t="str">
        <f t="shared" si="40"/>
        <v>1w</v>
      </c>
      <c r="Y1757" s="112">
        <f>_xll.qlCalendarAdvance(Calendar,Y1756,X1757,"f",FALSE)</f>
        <v>51481</v>
      </c>
      <c r="Z1757" s="115">
        <f>_xll.qlCalendarAdvance(Calendar,Y1757,NDays&amp;"D")</f>
        <v>51481</v>
      </c>
      <c r="AA1757" s="116">
        <v>3.6707282263538137E-2</v>
      </c>
      <c r="AB1757" s="113">
        <v>3.6567056257884589E-2</v>
      </c>
    </row>
    <row r="1758" spans="17:28" x14ac:dyDescent="0.2">
      <c r="Q1758" s="72"/>
      <c r="T1758" s="72"/>
      <c r="U1758" s="93"/>
      <c r="X1758" s="114" t="str">
        <f t="shared" si="40"/>
        <v>1w</v>
      </c>
      <c r="Y1758" s="112">
        <f>_xll.qlCalendarAdvance(Calendar,Y1757,X1758,"f",FALSE)</f>
        <v>51488</v>
      </c>
      <c r="Z1758" s="115">
        <f>_xll.qlCalendarAdvance(Calendar,Y1758,NDays&amp;"D")</f>
        <v>51488</v>
      </c>
      <c r="AA1758" s="116">
        <v>3.670366283700903E-2</v>
      </c>
      <c r="AB1758" s="113">
        <v>3.6563366900130845E-2</v>
      </c>
    </row>
    <row r="1759" spans="17:28" x14ac:dyDescent="0.2">
      <c r="Q1759" s="72"/>
      <c r="T1759" s="72"/>
      <c r="U1759" s="93"/>
      <c r="X1759" s="114" t="str">
        <f t="shared" si="40"/>
        <v>1w</v>
      </c>
      <c r="Y1759" s="112">
        <f>_xll.qlCalendarAdvance(Calendar,Y1758,X1759,"f",FALSE)</f>
        <v>51497</v>
      </c>
      <c r="Z1759" s="115">
        <f>_xll.qlCalendarAdvance(Calendar,Y1759,NDays&amp;"D")</f>
        <v>51497</v>
      </c>
      <c r="AA1759" s="116">
        <v>3.6699033088988822E-2</v>
      </c>
      <c r="AB1759" s="113">
        <v>3.6558647024814706E-2</v>
      </c>
    </row>
    <row r="1760" spans="17:28" x14ac:dyDescent="0.2">
      <c r="Q1760" s="72"/>
      <c r="T1760" s="72"/>
      <c r="U1760" s="93"/>
      <c r="X1760" s="114" t="str">
        <f t="shared" si="40"/>
        <v>1w</v>
      </c>
      <c r="Y1760" s="112">
        <f>_xll.qlCalendarAdvance(Calendar,Y1759,X1760,"f",FALSE)</f>
        <v>51504</v>
      </c>
      <c r="Z1760" s="115">
        <f>_xll.qlCalendarAdvance(Calendar,Y1760,NDays&amp;"D")</f>
        <v>51504</v>
      </c>
      <c r="AA1760" s="116">
        <v>3.6695450685211246E-2</v>
      </c>
      <c r="AB1760" s="113">
        <v>3.6554994354361936E-2</v>
      </c>
    </row>
    <row r="1761" spans="17:28" x14ac:dyDescent="0.2">
      <c r="Q1761" s="72"/>
      <c r="T1761" s="72"/>
      <c r="U1761" s="93"/>
      <c r="X1761" s="114" t="str">
        <f t="shared" si="40"/>
        <v>1w</v>
      </c>
      <c r="Y1761" s="112">
        <f>_xll.qlCalendarAdvance(Calendar,Y1760,X1761,"f",FALSE)</f>
        <v>51511</v>
      </c>
      <c r="Z1761" s="115">
        <f>_xll.qlCalendarAdvance(Calendar,Y1761,NDays&amp;"D")</f>
        <v>51511</v>
      </c>
      <c r="AA1761" s="116">
        <v>3.6691884478818354E-2</v>
      </c>
      <c r="AB1761" s="113">
        <v>3.6551357734557754E-2</v>
      </c>
    </row>
    <row r="1762" spans="17:28" x14ac:dyDescent="0.2">
      <c r="Q1762" s="72"/>
      <c r="T1762" s="72"/>
      <c r="U1762" s="93"/>
      <c r="X1762" s="114" t="str">
        <f t="shared" si="40"/>
        <v>1w</v>
      </c>
      <c r="Y1762" s="112">
        <f>_xll.qlCalendarAdvance(Calendar,Y1761,X1762,"f",FALSE)</f>
        <v>51518</v>
      </c>
      <c r="Z1762" s="115">
        <f>_xll.qlCalendarAdvance(Calendar,Y1762,NDays&amp;"D")</f>
        <v>51518</v>
      </c>
      <c r="AA1762" s="116">
        <v>3.6688334469767818E-2</v>
      </c>
      <c r="AB1762" s="113">
        <v>3.6547737165483207E-2</v>
      </c>
    </row>
    <row r="1763" spans="17:28" x14ac:dyDescent="0.2">
      <c r="Q1763" s="72"/>
      <c r="T1763" s="72"/>
      <c r="U1763" s="93"/>
      <c r="X1763" s="114" t="str">
        <f t="shared" si="40"/>
        <v>1w</v>
      </c>
      <c r="Y1763" s="112">
        <f>_xll.qlCalendarAdvance(Calendar,Y1762,X1763,"f",FALSE)</f>
        <v>51525</v>
      </c>
      <c r="Z1763" s="115">
        <f>_xll.qlCalendarAdvance(Calendar,Y1763,NDays&amp;"D")</f>
        <v>51525</v>
      </c>
      <c r="AA1763" s="116">
        <v>3.6684800658016409E-2</v>
      </c>
      <c r="AB1763" s="113">
        <v>3.6544132647057248E-2</v>
      </c>
    </row>
    <row r="1764" spans="17:28" x14ac:dyDescent="0.2">
      <c r="Q1764" s="72"/>
      <c r="T1764" s="72"/>
      <c r="U1764" s="93"/>
      <c r="X1764" s="114" t="str">
        <f t="shared" si="40"/>
        <v>1w</v>
      </c>
      <c r="Y1764" s="112">
        <f>_xll.qlCalendarAdvance(Calendar,Y1763,X1764,"f",FALSE)</f>
        <v>51532</v>
      </c>
      <c r="Z1764" s="115">
        <f>_xll.qlCalendarAdvance(Calendar,Y1764,NDays&amp;"D")</f>
        <v>51532</v>
      </c>
      <c r="AA1764" s="116">
        <v>3.6679693694770851E-2</v>
      </c>
      <c r="AB1764" s="113">
        <v>3.6540544179360923E-2</v>
      </c>
    </row>
    <row r="1765" spans="17:28" x14ac:dyDescent="0.2">
      <c r="Q1765" s="72"/>
      <c r="T1765" s="72"/>
      <c r="U1765" s="93"/>
      <c r="X1765" s="114" t="str">
        <f t="shared" si="40"/>
        <v>1w</v>
      </c>
      <c r="Y1765" s="112">
        <f>_xll.qlCalendarAdvance(Calendar,Y1764,X1765,"f",FALSE)</f>
        <v>51539</v>
      </c>
      <c r="Z1765" s="115">
        <f>_xll.qlCalendarAdvance(Calendar,Y1765,NDays&amp;"D")</f>
        <v>51539</v>
      </c>
      <c r="AA1765" s="116">
        <v>3.6676191470936176E-2</v>
      </c>
      <c r="AB1765" s="113">
        <v>3.653697176223214E-2</v>
      </c>
    </row>
    <row r="1766" spans="17:28" x14ac:dyDescent="0.2">
      <c r="Q1766" s="72"/>
      <c r="T1766" s="72"/>
      <c r="U1766" s="93"/>
      <c r="X1766" s="114" t="str">
        <f t="shared" si="40"/>
        <v>1w</v>
      </c>
      <c r="Y1766" s="112">
        <f>_xll.qlCalendarAdvance(Calendar,Y1765,X1766,"f",FALSE)</f>
        <v>51546</v>
      </c>
      <c r="Z1766" s="115">
        <f>_xll.qlCalendarAdvance(Calendar,Y1766,NDays&amp;"D")</f>
        <v>51546</v>
      </c>
      <c r="AA1766" s="116">
        <v>3.6672705442626241E-2</v>
      </c>
      <c r="AB1766" s="113">
        <v>3.6533415395914037E-2</v>
      </c>
    </row>
    <row r="1767" spans="17:28" x14ac:dyDescent="0.2">
      <c r="Q1767" s="72"/>
      <c r="T1767" s="72"/>
      <c r="U1767" s="93"/>
      <c r="X1767" s="114" t="str">
        <f t="shared" si="40"/>
        <v>1w</v>
      </c>
      <c r="Y1767" s="112">
        <f>_xll.qlCalendarAdvance(Calendar,Y1766,X1767,"f",FALSE)</f>
        <v>51553</v>
      </c>
      <c r="Z1767" s="115">
        <f>_xll.qlCalendarAdvance(Calendar,Y1767,NDays&amp;"D")</f>
        <v>51553</v>
      </c>
      <c r="AA1767" s="116">
        <v>3.6669235609800059E-2</v>
      </c>
      <c r="AB1767" s="113">
        <v>3.6529875080244523E-2</v>
      </c>
    </row>
    <row r="1768" spans="17:28" x14ac:dyDescent="0.2">
      <c r="Q1768" s="72"/>
      <c r="T1768" s="72"/>
      <c r="U1768" s="93"/>
      <c r="X1768" s="114" t="str">
        <f t="shared" si="40"/>
        <v>1w</v>
      </c>
      <c r="Y1768" s="112">
        <f>_xll.qlCalendarAdvance(Calendar,Y1767,X1768,"f",FALSE)</f>
        <v>51560</v>
      </c>
      <c r="Z1768" s="115">
        <f>_xll.qlCalendarAdvance(Calendar,Y1768,NDays&amp;"D")</f>
        <v>51560</v>
      </c>
      <c r="AA1768" s="116">
        <v>3.6670560279038665E-2</v>
      </c>
      <c r="AB1768" s="113">
        <v>3.6526350815304642E-2</v>
      </c>
    </row>
    <row r="1769" spans="17:28" x14ac:dyDescent="0.2">
      <c r="Q1769" s="72"/>
      <c r="T1769" s="72"/>
      <c r="U1769" s="93"/>
      <c r="X1769" s="114" t="str">
        <f t="shared" si="40"/>
        <v>1w</v>
      </c>
      <c r="Y1769" s="112">
        <f>_xll.qlCalendarAdvance(Calendar,Y1768,X1769,"f",FALSE)</f>
        <v>51567</v>
      </c>
      <c r="Z1769" s="115">
        <f>_xll.qlCalendarAdvance(Calendar,Y1769,NDays&amp;"D")</f>
        <v>51567</v>
      </c>
      <c r="AA1769" s="116">
        <v>3.6667125277130792E-2</v>
      </c>
      <c r="AB1769" s="113">
        <v>3.652284260101335E-2</v>
      </c>
    </row>
    <row r="1770" spans="17:28" x14ac:dyDescent="0.2">
      <c r="Q1770" s="72"/>
      <c r="T1770" s="72"/>
      <c r="U1770" s="93"/>
      <c r="X1770" s="114" t="str">
        <f t="shared" si="40"/>
        <v>1w</v>
      </c>
      <c r="Y1770" s="112">
        <f>_xll.qlCalendarAdvance(Calendar,Y1769,X1770,"f",FALSE)</f>
        <v>51574</v>
      </c>
      <c r="Z1770" s="115">
        <f>_xll.qlCalendarAdvance(Calendar,Y1770,NDays&amp;"D")</f>
        <v>51574</v>
      </c>
      <c r="AA1770" s="116">
        <v>3.6663706475530508E-2</v>
      </c>
      <c r="AB1770" s="113">
        <v>3.6519350437451692E-2</v>
      </c>
    </row>
    <row r="1771" spans="17:28" x14ac:dyDescent="0.2">
      <c r="Q1771" s="72"/>
      <c r="T1771" s="72"/>
      <c r="U1771" s="93"/>
      <c r="X1771" s="114" t="str">
        <f t="shared" si="40"/>
        <v>1w</v>
      </c>
      <c r="Y1771" s="112">
        <f>_xll.qlCalendarAdvance(Calendar,Y1770,X1771,"f",FALSE)</f>
        <v>51581</v>
      </c>
      <c r="Z1771" s="115">
        <f>_xll.qlCalendarAdvance(Calendar,Y1771,NDays&amp;"D")</f>
        <v>51581</v>
      </c>
      <c r="AA1771" s="116">
        <v>3.6660303874197289E-2</v>
      </c>
      <c r="AB1771" s="113">
        <v>3.6515874324538622E-2</v>
      </c>
    </row>
    <row r="1772" spans="17:28" x14ac:dyDescent="0.2">
      <c r="Q1772" s="72"/>
      <c r="T1772" s="72"/>
      <c r="U1772" s="93"/>
      <c r="X1772" s="114" t="str">
        <f t="shared" si="40"/>
        <v>1w</v>
      </c>
      <c r="Y1772" s="112">
        <f>_xll.qlCalendarAdvance(Calendar,Y1771,X1772,"f",FALSE)</f>
        <v>51588</v>
      </c>
      <c r="Z1772" s="115">
        <f>_xll.qlCalendarAdvance(Calendar,Y1772,NDays&amp;"D")</f>
        <v>51588</v>
      </c>
      <c r="AA1772" s="116">
        <v>3.6656917473087976E-2</v>
      </c>
      <c r="AB1772" s="113">
        <v>3.651241426227414E-2</v>
      </c>
    </row>
    <row r="1773" spans="17:28" x14ac:dyDescent="0.2">
      <c r="Q1773" s="72"/>
      <c r="T1773" s="72"/>
      <c r="U1773" s="93"/>
      <c r="X1773" s="114" t="str">
        <f t="shared" si="40"/>
        <v>1w</v>
      </c>
      <c r="Y1773" s="112">
        <f>_xll.qlCalendarAdvance(Calendar,Y1772,X1773,"f",FALSE)</f>
        <v>51595</v>
      </c>
      <c r="Z1773" s="115">
        <f>_xll.qlCalendarAdvance(Calendar,Y1773,NDays&amp;"D")</f>
        <v>51595</v>
      </c>
      <c r="AA1773" s="116">
        <v>3.6651950235006871E-2</v>
      </c>
      <c r="AB1773" s="113">
        <v>3.6508970250739292E-2</v>
      </c>
    </row>
    <row r="1774" spans="17:28" x14ac:dyDescent="0.2">
      <c r="Q1774" s="72"/>
      <c r="T1774" s="72"/>
      <c r="U1774" s="93"/>
      <c r="X1774" s="114" t="str">
        <f t="shared" si="40"/>
        <v>1w</v>
      </c>
      <c r="Y1774" s="112">
        <f>_xll.qlCalendarAdvance(Calendar,Y1773,X1774,"f",FALSE)</f>
        <v>51602</v>
      </c>
      <c r="Z1774" s="115">
        <f>_xll.qlCalendarAdvance(Calendar,Y1774,NDays&amp;"D")</f>
        <v>51602</v>
      </c>
      <c r="AA1774" s="116">
        <v>3.6648595412425447E-2</v>
      </c>
      <c r="AB1774" s="113">
        <v>3.6505542289853032E-2</v>
      </c>
    </row>
    <row r="1775" spans="17:28" x14ac:dyDescent="0.2">
      <c r="Q1775" s="72"/>
      <c r="T1775" s="72"/>
      <c r="U1775" s="93"/>
      <c r="X1775" s="114" t="str">
        <f t="shared" si="40"/>
        <v>1w</v>
      </c>
      <c r="Y1775" s="112">
        <f>_xll.qlCalendarAdvance(Calendar,Y1774,X1775,"f",FALSE)</f>
        <v>51609</v>
      </c>
      <c r="Z1775" s="115">
        <f>_xll.qlCalendarAdvance(Calendar,Y1775,NDays&amp;"D")</f>
        <v>51609</v>
      </c>
      <c r="AA1775" s="116">
        <v>3.6645256788300544E-2</v>
      </c>
      <c r="AB1775" s="113">
        <v>3.6508460017540711E-2</v>
      </c>
    </row>
    <row r="1776" spans="17:28" x14ac:dyDescent="0.2">
      <c r="Q1776" s="72"/>
      <c r="T1776" s="72"/>
      <c r="U1776" s="93"/>
      <c r="X1776" s="114" t="str">
        <f t="shared" si="40"/>
        <v>1w</v>
      </c>
      <c r="Y1776" s="112">
        <f>_xll.qlCalendarAdvance(Calendar,Y1775,X1776,"f",FALSE)</f>
        <v>51617</v>
      </c>
      <c r="Z1776" s="115">
        <f>_xll.qlCalendarAdvance(Calendar,Y1776,NDays&amp;"D")</f>
        <v>51617</v>
      </c>
      <c r="AA1776" s="116">
        <v>3.6641461052663131E-2</v>
      </c>
      <c r="AB1776" s="113">
        <v>3.6501417007063962E-2</v>
      </c>
    </row>
    <row r="1777" spans="17:28" x14ac:dyDescent="0.2">
      <c r="Q1777" s="72"/>
      <c r="T1777" s="72"/>
      <c r="U1777" s="93"/>
      <c r="X1777" s="114" t="str">
        <f t="shared" si="40"/>
        <v>1w</v>
      </c>
      <c r="Y1777" s="112">
        <f>_xll.qlCalendarAdvance(Calendar,Y1776,X1777,"f",FALSE)</f>
        <v>51624</v>
      </c>
      <c r="Z1777" s="115">
        <f>_xll.qlCalendarAdvance(Calendar,Y1777,NDays&amp;"D")</f>
        <v>51624</v>
      </c>
      <c r="AA1777" s="116">
        <v>3.6644560064767316E-2</v>
      </c>
      <c r="AB1777" s="113">
        <v>3.6498041109146825E-2</v>
      </c>
    </row>
    <row r="1778" spans="17:28" x14ac:dyDescent="0.2">
      <c r="Q1778" s="72"/>
      <c r="T1778" s="72"/>
      <c r="U1778" s="93"/>
      <c r="X1778" s="114" t="str">
        <f t="shared" si="40"/>
        <v>1w</v>
      </c>
      <c r="Y1778" s="112">
        <f>_xll.qlCalendarAdvance(Calendar,Y1777,X1778,"f",FALSE)</f>
        <v>51631</v>
      </c>
      <c r="Z1778" s="115">
        <f>_xll.qlCalendarAdvance(Calendar,Y1778,NDays&amp;"D")</f>
        <v>51631</v>
      </c>
      <c r="AA1778" s="116">
        <v>3.6639673826017183E-2</v>
      </c>
      <c r="AB1778" s="113">
        <v>3.6494681265228188E-2</v>
      </c>
    </row>
    <row r="1779" spans="17:28" x14ac:dyDescent="0.2">
      <c r="Q1779" s="72"/>
      <c r="T1779" s="72"/>
      <c r="U1779" s="93"/>
      <c r="X1779" s="114" t="str">
        <f t="shared" si="40"/>
        <v>1w</v>
      </c>
      <c r="Y1779" s="112">
        <f>_xll.qlCalendarAdvance(Calendar,Y1778,X1779,"f",FALSE)</f>
        <v>51638</v>
      </c>
      <c r="Z1779" s="115">
        <f>_xll.qlCalendarAdvance(Calendar,Y1779,NDays&amp;"D")</f>
        <v>51638</v>
      </c>
      <c r="AA1779" s="116">
        <v>3.6636404800751921E-2</v>
      </c>
      <c r="AB1779" s="113">
        <v>3.6491337475227002E-2</v>
      </c>
    </row>
    <row r="1780" spans="17:28" x14ac:dyDescent="0.2">
      <c r="Q1780" s="72"/>
      <c r="T1780" s="72"/>
      <c r="U1780" s="93"/>
      <c r="X1780" s="114" t="str">
        <f t="shared" si="40"/>
        <v>1w</v>
      </c>
      <c r="Y1780" s="112">
        <f>_xll.qlCalendarAdvance(Calendar,Y1779,X1780,"f",FALSE)</f>
        <v>51645</v>
      </c>
      <c r="Z1780" s="115">
        <f>_xll.qlCalendarAdvance(Calendar,Y1780,NDays&amp;"D")</f>
        <v>51645</v>
      </c>
      <c r="AA1780" s="116">
        <v>3.6633151978672111E-2</v>
      </c>
      <c r="AB1780" s="113">
        <v>3.6488009739224322E-2</v>
      </c>
    </row>
    <row r="1781" spans="17:28" x14ac:dyDescent="0.2">
      <c r="Q1781" s="72"/>
      <c r="T1781" s="72"/>
      <c r="U1781" s="93"/>
      <c r="X1781" s="114" t="str">
        <f t="shared" si="40"/>
        <v>1w</v>
      </c>
      <c r="Y1781" s="112">
        <f>_xll.qlCalendarAdvance(Calendar,Y1780,X1781,"f",FALSE)</f>
        <v>51652</v>
      </c>
      <c r="Z1781" s="115">
        <f>_xll.qlCalendarAdvance(Calendar,Y1781,NDays&amp;"D")</f>
        <v>51652</v>
      </c>
      <c r="AA1781" s="116">
        <v>3.6625103469155838E-2</v>
      </c>
      <c r="AB1781" s="113">
        <v>3.6484698057112082E-2</v>
      </c>
    </row>
    <row r="1782" spans="17:28" x14ac:dyDescent="0.2">
      <c r="Q1782" s="72"/>
      <c r="T1782" s="72"/>
      <c r="U1782" s="93"/>
      <c r="X1782" s="114" t="str">
        <f t="shared" si="40"/>
        <v>1w</v>
      </c>
      <c r="Y1782" s="112">
        <f>_xll.qlCalendarAdvance(Calendar,Y1781,X1782,"f",FALSE)</f>
        <v>51659</v>
      </c>
      <c r="Z1782" s="115">
        <f>_xll.qlCalendarAdvance(Calendar,Y1782,NDays&amp;"D")</f>
        <v>51659</v>
      </c>
      <c r="AA1782" s="116">
        <v>3.6626694943905878E-2</v>
      </c>
      <c r="AB1782" s="113">
        <v>3.6482990732615017E-2</v>
      </c>
    </row>
    <row r="1783" spans="17:28" x14ac:dyDescent="0.2">
      <c r="Q1783" s="72"/>
      <c r="T1783" s="72"/>
      <c r="U1783" s="93"/>
      <c r="X1783" s="114" t="str">
        <f t="shared" si="40"/>
        <v>1w</v>
      </c>
      <c r="Y1783" s="112">
        <f>_xll.qlCalendarAdvance(Calendar,Y1782,X1783,"f",FALSE)</f>
        <v>51666</v>
      </c>
      <c r="Z1783" s="115">
        <f>_xll.qlCalendarAdvance(Calendar,Y1783,NDays&amp;"D")</f>
        <v>51666</v>
      </c>
      <c r="AA1783" s="116">
        <v>3.6618673823242312E-2</v>
      </c>
      <c r="AB1783" s="113">
        <v>3.647812285480205E-2</v>
      </c>
    </row>
    <row r="1784" spans="17:28" x14ac:dyDescent="0.2">
      <c r="Q1784" s="72"/>
      <c r="T1784" s="72"/>
      <c r="U1784" s="93"/>
      <c r="X1784" s="114" t="str">
        <f t="shared" si="40"/>
        <v>1w</v>
      </c>
      <c r="Y1784" s="112">
        <f>_xll.qlCalendarAdvance(Calendar,Y1783,X1784,"f",FALSE)</f>
        <v>51673</v>
      </c>
      <c r="Z1784" s="115">
        <f>_xll.qlCalendarAdvance(Calendar,Y1784,NDays&amp;"D")</f>
        <v>51673</v>
      </c>
      <c r="AA1784" s="116">
        <v>3.6620302721400336E-2</v>
      </c>
      <c r="AB1784" s="113">
        <v>3.647485933452322E-2</v>
      </c>
    </row>
    <row r="1785" spans="17:28" x14ac:dyDescent="0.2">
      <c r="Q1785" s="72"/>
      <c r="T1785" s="72"/>
      <c r="U1785" s="93"/>
      <c r="X1785" s="114" t="str">
        <f t="shared" si="40"/>
        <v>1w</v>
      </c>
      <c r="Y1785" s="112">
        <f>_xll.qlCalendarAdvance(Calendar,Y1784,X1785,"f",FALSE)</f>
        <v>51680</v>
      </c>
      <c r="Z1785" s="115">
        <f>_xll.qlCalendarAdvance(Calendar,Y1785,NDays&amp;"D")</f>
        <v>51680</v>
      </c>
      <c r="AA1785" s="116">
        <v>3.6617130914646814E-2</v>
      </c>
      <c r="AB1785" s="113">
        <v>3.6471611868269901E-2</v>
      </c>
    </row>
    <row r="1786" spans="17:28" x14ac:dyDescent="0.2">
      <c r="Q1786" s="72"/>
      <c r="T1786" s="72"/>
      <c r="U1786" s="93"/>
      <c r="X1786" s="114" t="str">
        <f t="shared" si="40"/>
        <v>1w</v>
      </c>
      <c r="Y1786" s="112">
        <f>_xll.qlCalendarAdvance(Calendar,Y1785,X1786,"f",FALSE)</f>
        <v>51687</v>
      </c>
      <c r="Z1786" s="115">
        <f>_xll.qlCalendarAdvance(Calendar,Y1786,NDays&amp;"D")</f>
        <v>51687</v>
      </c>
      <c r="AA1786" s="116">
        <v>3.661558384331768E-2</v>
      </c>
      <c r="AB1786" s="113">
        <v>3.6468380455907022E-2</v>
      </c>
    </row>
    <row r="1787" spans="17:28" x14ac:dyDescent="0.2">
      <c r="Q1787" s="72"/>
      <c r="T1787" s="72"/>
      <c r="U1787" s="93"/>
      <c r="X1787" s="114" t="str">
        <f t="shared" si="40"/>
        <v>1w</v>
      </c>
      <c r="Y1787" s="112">
        <f>_xll.qlCalendarAdvance(Calendar,Y1786,X1787,"f",FALSE)</f>
        <v>51694</v>
      </c>
      <c r="Z1787" s="115">
        <f>_xll.qlCalendarAdvance(Calendar,Y1787,NDays&amp;"D")</f>
        <v>51694</v>
      </c>
      <c r="AA1787" s="116">
        <v>3.6610835909938251E-2</v>
      </c>
      <c r="AB1787" s="113">
        <v>3.6465165097515635E-2</v>
      </c>
    </row>
    <row r="1788" spans="17:28" x14ac:dyDescent="0.2">
      <c r="Q1788" s="72"/>
      <c r="T1788" s="72"/>
      <c r="U1788" s="93"/>
      <c r="X1788" s="114" t="str">
        <f t="shared" si="40"/>
        <v>1w</v>
      </c>
      <c r="Y1788" s="112">
        <f>_xll.qlCalendarAdvance(Calendar,Y1787,X1788,"f",FALSE)</f>
        <v>51701</v>
      </c>
      <c r="Z1788" s="115">
        <f>_xll.qlCalendarAdvance(Calendar,Y1788,NDays&amp;"D")</f>
        <v>51701</v>
      </c>
      <c r="AA1788" s="116">
        <v>3.6607712711905604E-2</v>
      </c>
      <c r="AB1788" s="113">
        <v>3.6461965793041694E-2</v>
      </c>
    </row>
    <row r="1789" spans="17:28" x14ac:dyDescent="0.2">
      <c r="Q1789" s="72"/>
      <c r="T1789" s="72"/>
      <c r="U1789" s="93"/>
      <c r="X1789" s="114" t="str">
        <f t="shared" si="40"/>
        <v>1w</v>
      </c>
      <c r="Y1789" s="112">
        <f>_xll.qlCalendarAdvance(Calendar,Y1788,X1789,"f",FALSE)</f>
        <v>51708</v>
      </c>
      <c r="Z1789" s="115">
        <f>_xll.qlCalendarAdvance(Calendar,Y1789,NDays&amp;"D")</f>
        <v>51708</v>
      </c>
      <c r="AA1789" s="116">
        <v>3.6604605716703188E-2</v>
      </c>
      <c r="AB1789" s="113">
        <v>3.6458782542539245E-2</v>
      </c>
    </row>
    <row r="1790" spans="17:28" x14ac:dyDescent="0.2">
      <c r="Q1790" s="72"/>
      <c r="T1790" s="72"/>
      <c r="U1790" s="93"/>
      <c r="X1790" s="114" t="str">
        <f t="shared" si="40"/>
        <v>1w</v>
      </c>
      <c r="Y1790" s="112">
        <f>_xll.qlCalendarAdvance(Calendar,Y1789,X1790,"f",FALSE)</f>
        <v>51715</v>
      </c>
      <c r="Z1790" s="115">
        <f>_xll.qlCalendarAdvance(Calendar,Y1790,NDays&amp;"D")</f>
        <v>51715</v>
      </c>
      <c r="AA1790" s="116">
        <v>3.6601514924291333E-2</v>
      </c>
      <c r="AB1790" s="113">
        <v>3.6457210247987648E-2</v>
      </c>
    </row>
    <row r="1791" spans="17:28" x14ac:dyDescent="0.2">
      <c r="Q1791" s="72"/>
      <c r="T1791" s="72"/>
      <c r="U1791" s="93"/>
      <c r="X1791" s="114" t="str">
        <f t="shared" si="40"/>
        <v>1w</v>
      </c>
      <c r="Y1791" s="112">
        <f>_xll.qlCalendarAdvance(Calendar,Y1790,X1791,"f",FALSE)</f>
        <v>51722</v>
      </c>
      <c r="Z1791" s="115">
        <f>_xll.qlCalendarAdvance(Calendar,Y1791,NDays&amp;"D")</f>
        <v>51722</v>
      </c>
      <c r="AA1791" s="116">
        <v>3.6598440334632103E-2</v>
      </c>
      <c r="AB1791" s="113">
        <v>3.6452464203313724E-2</v>
      </c>
    </row>
    <row r="1792" spans="17:28" x14ac:dyDescent="0.2">
      <c r="Q1792" s="72"/>
      <c r="T1792" s="72"/>
      <c r="U1792" s="93"/>
      <c r="X1792" s="114" t="str">
        <f t="shared" si="40"/>
        <v>1w</v>
      </c>
      <c r="Y1792" s="112">
        <f>_xll.qlCalendarAdvance(Calendar,Y1791,X1792,"f",FALSE)</f>
        <v>51729</v>
      </c>
      <c r="Z1792" s="115">
        <f>_xll.qlCalendarAdvance(Calendar,Y1792,NDays&amp;"D")</f>
        <v>51729</v>
      </c>
      <c r="AA1792" s="116">
        <v>3.6595381947688431E-2</v>
      </c>
      <c r="AB1792" s="113">
        <v>3.6449329114617665E-2</v>
      </c>
    </row>
    <row r="1793" spans="17:28" x14ac:dyDescent="0.2">
      <c r="Q1793" s="72"/>
      <c r="T1793" s="72"/>
      <c r="U1793" s="93"/>
      <c r="X1793" s="114" t="str">
        <f t="shared" si="40"/>
        <v>1w</v>
      </c>
      <c r="Y1793" s="112">
        <f>_xll.qlCalendarAdvance(Calendar,Y1792,X1793,"f",FALSE)</f>
        <v>51736</v>
      </c>
      <c r="Z1793" s="115">
        <f>_xll.qlCalendarAdvance(Calendar,Y1793,NDays&amp;"D")</f>
        <v>51736</v>
      </c>
      <c r="AA1793" s="116">
        <v>3.659233976341978E-2</v>
      </c>
      <c r="AB1793" s="113">
        <v>3.6446210079839066E-2</v>
      </c>
    </row>
    <row r="1794" spans="17:28" x14ac:dyDescent="0.2">
      <c r="Q1794" s="72"/>
      <c r="T1794" s="72"/>
      <c r="U1794" s="93"/>
      <c r="X1794" s="114" t="str">
        <f t="shared" si="40"/>
        <v>1w</v>
      </c>
      <c r="Y1794" s="112">
        <f>_xll.qlCalendarAdvance(Calendar,Y1793,X1794,"f",FALSE)</f>
        <v>51743</v>
      </c>
      <c r="Z1794" s="115">
        <f>_xll.qlCalendarAdvance(Calendar,Y1794,NDays&amp;"D")</f>
        <v>51743</v>
      </c>
      <c r="AA1794" s="116">
        <v>3.6584468926500906E-2</v>
      </c>
      <c r="AB1794" s="113">
        <v>3.6443107099004932E-2</v>
      </c>
    </row>
    <row r="1795" spans="17:28" x14ac:dyDescent="0.2">
      <c r="Q1795" s="72"/>
      <c r="T1795" s="72"/>
      <c r="U1795" s="93"/>
      <c r="X1795" s="114" t="str">
        <f t="shared" si="40"/>
        <v>1w</v>
      </c>
      <c r="Y1795" s="112">
        <f>_xll.qlCalendarAdvance(Calendar,Y1794,X1795,"f",FALSE)</f>
        <v>51750</v>
      </c>
      <c r="Z1795" s="115">
        <f>_xll.qlCalendarAdvance(Calendar,Y1795,NDays&amp;"D")</f>
        <v>51750</v>
      </c>
      <c r="AA1795" s="116">
        <v>3.6581456577285565E-2</v>
      </c>
      <c r="AB1795" s="113">
        <v>3.6440020172088257E-2</v>
      </c>
    </row>
    <row r="1796" spans="17:28" x14ac:dyDescent="0.2">
      <c r="Q1796" s="72"/>
      <c r="T1796" s="72"/>
      <c r="U1796" s="93"/>
      <c r="X1796" s="114" t="str">
        <f t="shared" si="40"/>
        <v>1w</v>
      </c>
      <c r="Y1796" s="112">
        <f>_xll.qlCalendarAdvance(Calendar,Y1795,X1796,"f",FALSE)</f>
        <v>51757</v>
      </c>
      <c r="Z1796" s="115">
        <f>_xll.qlCalendarAdvance(Calendar,Y1796,NDays&amp;"D")</f>
        <v>51757</v>
      </c>
      <c r="AA1796" s="116">
        <v>3.6578460425719835E-2</v>
      </c>
      <c r="AB1796" s="113">
        <v>3.6436949299143061E-2</v>
      </c>
    </row>
    <row r="1797" spans="17:28" x14ac:dyDescent="0.2">
      <c r="Q1797" s="72"/>
      <c r="T1797" s="72"/>
      <c r="U1797" s="93"/>
      <c r="X1797" s="114" t="str">
        <f t="shared" si="40"/>
        <v>1w</v>
      </c>
      <c r="Y1797" s="112">
        <f>_xll.qlCalendarAdvance(Calendar,Y1796,X1797,"f",FALSE)</f>
        <v>51764</v>
      </c>
      <c r="Z1797" s="115">
        <f>_xll.qlCalendarAdvance(Calendar,Y1797,NDays&amp;"D")</f>
        <v>51764</v>
      </c>
      <c r="AA1797" s="116">
        <v>3.6575480471767216E-2</v>
      </c>
      <c r="AB1797" s="113">
        <v>3.6433894480088311E-2</v>
      </c>
    </row>
    <row r="1798" spans="17:28" x14ac:dyDescent="0.2">
      <c r="Q1798" s="72"/>
      <c r="T1798" s="72"/>
      <c r="U1798" s="93"/>
      <c r="X1798" s="114" t="str">
        <f t="shared" si="40"/>
        <v>1w</v>
      </c>
      <c r="Y1798" s="112">
        <f>_xll.qlCalendarAdvance(Calendar,Y1797,X1798,"f",FALSE)</f>
        <v>51771</v>
      </c>
      <c r="Z1798" s="115">
        <f>_xll.qlCalendarAdvance(Calendar,Y1798,NDays&amp;"D")</f>
        <v>51771</v>
      </c>
      <c r="AA1798" s="116">
        <v>3.6572516715392966E-2</v>
      </c>
      <c r="AB1798" s="113">
        <v>3.6430855715005046E-2</v>
      </c>
    </row>
    <row r="1799" spans="17:28" x14ac:dyDescent="0.2">
      <c r="Q1799" s="72"/>
      <c r="T1799" s="72"/>
      <c r="U1799" s="93"/>
      <c r="X1799" s="114" t="str">
        <f t="shared" si="40"/>
        <v>1w</v>
      </c>
      <c r="Y1799" s="112">
        <f>_xll.qlCalendarAdvance(Calendar,Y1798,X1799,"f",FALSE)</f>
        <v>51778</v>
      </c>
      <c r="Z1799" s="115">
        <f>_xll.qlCalendarAdvance(Calendar,Y1799,NDays&amp;"D")</f>
        <v>51778</v>
      </c>
      <c r="AA1799" s="116">
        <v>3.6574426911926319E-2</v>
      </c>
      <c r="AB1799" s="113">
        <v>3.642943545376004E-2</v>
      </c>
    </row>
    <row r="1800" spans="17:28" x14ac:dyDescent="0.2">
      <c r="Q1800" s="72"/>
      <c r="T1800" s="72"/>
      <c r="U1800" s="93"/>
      <c r="X1800" s="114" t="str">
        <f t="shared" si="40"/>
        <v>1w</v>
      </c>
      <c r="Y1800" s="112">
        <f>_xll.qlCalendarAdvance(Calendar,Y1799,X1800,"f",FALSE)</f>
        <v>51785</v>
      </c>
      <c r="Z1800" s="115">
        <f>_xll.qlCalendarAdvance(Calendar,Y1800,NDays&amp;"D")</f>
        <v>51785</v>
      </c>
      <c r="AA1800" s="116">
        <v>3.6571498145349962E-2</v>
      </c>
      <c r="AB1800" s="113">
        <v>3.6424826346536841E-2</v>
      </c>
    </row>
    <row r="1801" spans="17:28" x14ac:dyDescent="0.2">
      <c r="Q1801" s="72"/>
      <c r="T1801" s="72"/>
      <c r="U1801" s="93"/>
      <c r="X1801" s="114" t="str">
        <f t="shared" si="40"/>
        <v>1w</v>
      </c>
      <c r="Y1801" s="112">
        <f>_xll.qlCalendarAdvance(Calendar,Y1800,X1801,"f",FALSE)</f>
        <v>51792</v>
      </c>
      <c r="Z1801" s="115">
        <f>_xll.qlCalendarAdvance(Calendar,Y1801,NDays&amp;"D")</f>
        <v>51792</v>
      </c>
      <c r="AA1801" s="116">
        <v>3.6568585581155492E-2</v>
      </c>
      <c r="AB1801" s="113">
        <v>3.6421835743232954E-2</v>
      </c>
    </row>
    <row r="1802" spans="17:28" x14ac:dyDescent="0.2">
      <c r="Q1802" s="72"/>
      <c r="T1802" s="72"/>
      <c r="U1802" s="93"/>
      <c r="X1802" s="114" t="str">
        <f t="shared" si="40"/>
        <v>1w</v>
      </c>
      <c r="Y1802" s="112">
        <f>_xll.qlCalendarAdvance(Calendar,Y1801,X1802,"f",FALSE)</f>
        <v>51799</v>
      </c>
      <c r="Z1802" s="115">
        <f>_xll.qlCalendarAdvance(Calendar,Y1802,NDays&amp;"D")</f>
        <v>51799</v>
      </c>
      <c r="AA1802" s="116">
        <v>3.656731145281767E-2</v>
      </c>
      <c r="AB1802" s="113">
        <v>3.6418861193819506E-2</v>
      </c>
    </row>
    <row r="1803" spans="17:28" x14ac:dyDescent="0.2">
      <c r="Q1803" s="72"/>
      <c r="T1803" s="72"/>
      <c r="U1803" s="93"/>
      <c r="X1803" s="114" t="str">
        <f t="shared" si="40"/>
        <v>1w</v>
      </c>
      <c r="Y1803" s="112">
        <f>_xll.qlCalendarAdvance(Calendar,Y1802,X1803,"f",FALSE)</f>
        <v>51806</v>
      </c>
      <c r="Z1803" s="115">
        <f>_xll.qlCalendarAdvance(Calendar,Y1803,NDays&amp;"D")</f>
        <v>51806</v>
      </c>
      <c r="AA1803" s="116">
        <v>3.6562809059762183E-2</v>
      </c>
      <c r="AB1803" s="113">
        <v>3.6415902698377543E-2</v>
      </c>
    </row>
    <row r="1804" spans="17:28" x14ac:dyDescent="0.2">
      <c r="Q1804" s="72"/>
      <c r="T1804" s="72"/>
      <c r="U1804" s="93"/>
      <c r="X1804" s="114" t="str">
        <f t="shared" si="40"/>
        <v>1w</v>
      </c>
      <c r="Y1804" s="112">
        <f>_xll.qlCalendarAdvance(Calendar,Y1803,X1804,"f",FALSE)</f>
        <v>51813</v>
      </c>
      <c r="Z1804" s="115">
        <f>_xll.qlCalendarAdvance(Calendar,Y1804,NDays&amp;"D")</f>
        <v>51813</v>
      </c>
      <c r="AA1804" s="116">
        <v>3.6559945102492643E-2</v>
      </c>
      <c r="AB1804" s="113">
        <v>3.6412960256799007E-2</v>
      </c>
    </row>
    <row r="1805" spans="17:28" x14ac:dyDescent="0.2">
      <c r="Q1805" s="72"/>
      <c r="T1805" s="72"/>
      <c r="U1805" s="93"/>
      <c r="X1805" s="114" t="str">
        <f t="shared" si="40"/>
        <v>1w</v>
      </c>
      <c r="Y1805" s="112">
        <f>_xll.qlCalendarAdvance(Calendar,Y1804,X1805,"f",FALSE)</f>
        <v>51820</v>
      </c>
      <c r="Z1805" s="115">
        <f>_xll.qlCalendarAdvance(Calendar,Y1805,NDays&amp;"D")</f>
        <v>51820</v>
      </c>
      <c r="AA1805" s="116">
        <v>3.6552223949990241E-2</v>
      </c>
      <c r="AB1805" s="113">
        <v>3.6410033869191956E-2</v>
      </c>
    </row>
    <row r="1806" spans="17:28" x14ac:dyDescent="0.2">
      <c r="Q1806" s="72"/>
      <c r="T1806" s="72"/>
      <c r="U1806" s="93"/>
      <c r="X1806" s="114" t="str">
        <f t="shared" si="40"/>
        <v>1w</v>
      </c>
      <c r="Y1806" s="112">
        <f>_xll.qlCalendarAdvance(Calendar,Y1805,X1806,"f",FALSE)</f>
        <v>51827</v>
      </c>
      <c r="Z1806" s="115">
        <f>_xll.qlCalendarAdvance(Calendar,Y1806,NDays&amp;"D")</f>
        <v>51827</v>
      </c>
      <c r="AA1806" s="116">
        <v>3.6554265794629309E-2</v>
      </c>
      <c r="AB1806" s="113">
        <v>3.6407123535448324E-2</v>
      </c>
    </row>
    <row r="1807" spans="17:28" x14ac:dyDescent="0.2">
      <c r="Q1807" s="72"/>
      <c r="T1807" s="72"/>
      <c r="U1807" s="93"/>
      <c r="X1807" s="114" t="str">
        <f t="shared" si="40"/>
        <v>1w</v>
      </c>
      <c r="Y1807" s="112">
        <f>_xll.qlCalendarAdvance(Calendar,Y1806,X1807,"f",FALSE)</f>
        <v>51834</v>
      </c>
      <c r="Z1807" s="115">
        <f>_xll.qlCalendarAdvance(Calendar,Y1807,NDays&amp;"D")</f>
        <v>51834</v>
      </c>
      <c r="AA1807" s="116">
        <v>3.6546571793225832E-2</v>
      </c>
      <c r="AB1807" s="113">
        <v>3.6404229255703198E-2</v>
      </c>
    </row>
    <row r="1808" spans="17:28" x14ac:dyDescent="0.2">
      <c r="Q1808" s="72"/>
      <c r="T1808" s="72"/>
      <c r="U1808" s="93"/>
      <c r="X1808" s="114" t="str">
        <f t="shared" si="40"/>
        <v>1w</v>
      </c>
      <c r="Y1808" s="112">
        <f>_xll.qlCalendarAdvance(Calendar,Y1807,X1808,"f",FALSE)</f>
        <v>51841</v>
      </c>
      <c r="Z1808" s="115">
        <f>_xll.qlCalendarAdvance(Calendar,Y1808,NDays&amp;"D")</f>
        <v>51841</v>
      </c>
      <c r="AA1808" s="116">
        <v>3.6542143300206248E-2</v>
      </c>
      <c r="AB1808" s="113">
        <v>3.6401351029821491E-2</v>
      </c>
    </row>
    <row r="1809" spans="17:28" x14ac:dyDescent="0.2">
      <c r="Q1809" s="72"/>
      <c r="T1809" s="72"/>
      <c r="U1809" s="93"/>
      <c r="X1809" s="114" t="str">
        <f t="shared" si="40"/>
        <v>1w</v>
      </c>
      <c r="Y1809" s="112">
        <f>_xll.qlCalendarAdvance(Calendar,Y1808,X1809,"f",FALSE)</f>
        <v>51848</v>
      </c>
      <c r="Z1809" s="115">
        <f>_xll.qlCalendarAdvance(Calendar,Y1809,NDays&amp;"D")</f>
        <v>51848</v>
      </c>
      <c r="AA1809" s="116">
        <v>3.6539356835666587E-2</v>
      </c>
      <c r="AB1809" s="113">
        <v>3.6398488857857243E-2</v>
      </c>
    </row>
    <row r="1810" spans="17:28" x14ac:dyDescent="0.2">
      <c r="Q1810" s="72"/>
      <c r="T1810" s="72"/>
      <c r="U1810" s="93"/>
      <c r="X1810" s="114" t="str">
        <f t="shared" si="40"/>
        <v>1w</v>
      </c>
      <c r="Y1810" s="112">
        <f>_xll.qlCalendarAdvance(Calendar,Y1809,X1810,"f",FALSE)</f>
        <v>51855</v>
      </c>
      <c r="Z1810" s="115">
        <f>_xll.qlCalendarAdvance(Calendar,Y1810,NDays&amp;"D")</f>
        <v>51855</v>
      </c>
      <c r="AA1810" s="116">
        <v>3.6536586566657446E-2</v>
      </c>
      <c r="AB1810" s="113">
        <v>3.6395642739783428E-2</v>
      </c>
    </row>
    <row r="1811" spans="17:28" x14ac:dyDescent="0.2">
      <c r="Q1811" s="72"/>
      <c r="T1811" s="72"/>
      <c r="U1811" s="93"/>
      <c r="X1811" s="114" t="str">
        <f t="shared" si="40"/>
        <v>1w</v>
      </c>
      <c r="Y1811" s="112">
        <f>_xll.qlCalendarAdvance(Calendar,Y1810,X1811,"f",FALSE)</f>
        <v>51862</v>
      </c>
      <c r="Z1811" s="115">
        <f>_xll.qlCalendarAdvance(Calendar,Y1811,NDays&amp;"D")</f>
        <v>51862</v>
      </c>
      <c r="AA1811" s="116">
        <v>3.6533832493148212E-2</v>
      </c>
      <c r="AB1811" s="113">
        <v>3.6392812675654092E-2</v>
      </c>
    </row>
    <row r="1812" spans="17:28" x14ac:dyDescent="0.2">
      <c r="Q1812" s="72"/>
      <c r="T1812" s="72"/>
      <c r="U1812" s="93"/>
      <c r="X1812" s="114" t="str">
        <f t="shared" si="40"/>
        <v>1w</v>
      </c>
      <c r="Y1812" s="112">
        <f>_xll.qlCalendarAdvance(Calendar,Y1811,X1812,"f",FALSE)</f>
        <v>51869</v>
      </c>
      <c r="Z1812" s="115">
        <f>_xll.qlCalendarAdvance(Calendar,Y1812,NDays&amp;"D")</f>
        <v>51869</v>
      </c>
      <c r="AA1812" s="116">
        <v>3.653109461510376E-2</v>
      </c>
      <c r="AB1812" s="113">
        <v>3.6389998665469221E-2</v>
      </c>
    </row>
    <row r="1813" spans="17:28" x14ac:dyDescent="0.2">
      <c r="Q1813" s="72"/>
      <c r="T1813" s="72"/>
      <c r="U1813" s="93"/>
      <c r="X1813" s="114" t="str">
        <f t="shared" ref="X1813:X1876" si="41">X1812</f>
        <v>1w</v>
      </c>
      <c r="Y1813" s="112">
        <f>_xll.qlCalendarAdvance(Calendar,Y1812,X1813,"f",FALSE)</f>
        <v>51876</v>
      </c>
      <c r="Z1813" s="115">
        <f>_xll.qlCalendarAdvance(Calendar,Y1813,NDays&amp;"D")</f>
        <v>51876</v>
      </c>
      <c r="AA1813" s="116">
        <v>3.6528372932492573E-2</v>
      </c>
      <c r="AB1813" s="113">
        <v>3.638720070914777E-2</v>
      </c>
    </row>
    <row r="1814" spans="17:28" x14ac:dyDescent="0.2">
      <c r="Q1814" s="72"/>
      <c r="T1814" s="72"/>
      <c r="U1814" s="93"/>
      <c r="X1814" s="114" t="str">
        <f t="shared" si="41"/>
        <v>1w</v>
      </c>
      <c r="Y1814" s="112">
        <f>_xll.qlCalendarAdvance(Calendar,Y1813,X1814,"f",FALSE)</f>
        <v>51883</v>
      </c>
      <c r="Z1814" s="115">
        <f>_xll.qlCalendarAdvance(Calendar,Y1814,NDays&amp;"D")</f>
        <v>51883</v>
      </c>
      <c r="AA1814" s="116">
        <v>3.6525667445281337E-2</v>
      </c>
      <c r="AB1814" s="113">
        <v>3.6384418806770798E-2</v>
      </c>
    </row>
    <row r="1815" spans="17:28" x14ac:dyDescent="0.2">
      <c r="Q1815" s="72"/>
      <c r="T1815" s="72"/>
      <c r="U1815" s="93"/>
      <c r="X1815" s="114" t="str">
        <f t="shared" si="41"/>
        <v>1w</v>
      </c>
      <c r="Y1815" s="112">
        <f>_xll.qlCalendarAdvance(Calendar,Y1814,X1815,"f",FALSE)</f>
        <v>51890</v>
      </c>
      <c r="Z1815" s="115">
        <f>_xll.qlCalendarAdvance(Calendar,Y1815,NDays&amp;"D")</f>
        <v>51890</v>
      </c>
      <c r="AA1815" s="116">
        <v>3.6522978153439425E-2</v>
      </c>
      <c r="AB1815" s="113">
        <v>3.6383269151965825E-2</v>
      </c>
    </row>
    <row r="1816" spans="17:28" x14ac:dyDescent="0.2">
      <c r="Q1816" s="72"/>
      <c r="T1816" s="72"/>
      <c r="U1816" s="93"/>
      <c r="X1816" s="114" t="str">
        <f t="shared" si="41"/>
        <v>1w</v>
      </c>
      <c r="Y1816" s="112">
        <f>_xll.qlCalendarAdvance(Calendar,Y1815,X1816,"f",FALSE)</f>
        <v>51897</v>
      </c>
      <c r="Z1816" s="115">
        <f>_xll.qlCalendarAdvance(Calendar,Y1816,NDays&amp;"D")</f>
        <v>51897</v>
      </c>
      <c r="AA1816" s="116">
        <v>3.6518671460789486E-2</v>
      </c>
      <c r="AB1816" s="113">
        <v>3.6378903163742191E-2</v>
      </c>
    </row>
    <row r="1817" spans="17:28" x14ac:dyDescent="0.2">
      <c r="Q1817" s="72"/>
      <c r="T1817" s="72"/>
      <c r="U1817" s="93"/>
      <c r="X1817" s="114" t="str">
        <f t="shared" si="41"/>
        <v>1w</v>
      </c>
      <c r="Y1817" s="112">
        <f>_xll.qlCalendarAdvance(Calendar,Y1816,X1817,"f",FALSE)</f>
        <v>51904</v>
      </c>
      <c r="Z1817" s="115">
        <f>_xll.qlCalendarAdvance(Calendar,Y1817,NDays&amp;"D")</f>
        <v>51904</v>
      </c>
      <c r="AA1817" s="116">
        <v>3.6516013667526666E-2</v>
      </c>
      <c r="AB1817" s="113">
        <v>3.6376169423063549E-2</v>
      </c>
    </row>
    <row r="1818" spans="17:28" x14ac:dyDescent="0.2">
      <c r="Q1818" s="72"/>
      <c r="T1818" s="72"/>
      <c r="U1818" s="93"/>
      <c r="X1818" s="114" t="str">
        <f t="shared" si="41"/>
        <v>1w</v>
      </c>
      <c r="Y1818" s="112">
        <f>_xll.qlCalendarAdvance(Calendar,Y1817,X1818,"f",FALSE)</f>
        <v>51911</v>
      </c>
      <c r="Z1818" s="115">
        <f>_xll.qlCalendarAdvance(Calendar,Y1818,NDays&amp;"D")</f>
        <v>51911</v>
      </c>
      <c r="AA1818" s="116">
        <v>3.6513372067908133E-2</v>
      </c>
      <c r="AB1818" s="113">
        <v>3.6373451736329374E-2</v>
      </c>
    </row>
    <row r="1819" spans="17:28" x14ac:dyDescent="0.2">
      <c r="Q1819" s="72"/>
      <c r="T1819" s="72"/>
      <c r="U1819" s="93"/>
      <c r="X1819" s="114" t="str">
        <f t="shared" si="41"/>
        <v>1w</v>
      </c>
      <c r="Y1819" s="112">
        <f>_xll.qlCalendarAdvance(Calendar,Y1818,X1819,"f",FALSE)</f>
        <v>51918</v>
      </c>
      <c r="Z1819" s="115">
        <f>_xll.qlCalendarAdvance(Calendar,Y1819,NDays&amp;"D")</f>
        <v>51918</v>
      </c>
      <c r="AA1819" s="116">
        <v>3.6510746661900184E-2</v>
      </c>
      <c r="AB1819" s="113">
        <v>3.6370750103458624E-2</v>
      </c>
    </row>
    <row r="1820" spans="17:28" x14ac:dyDescent="0.2">
      <c r="Q1820" s="72"/>
      <c r="T1820" s="72"/>
      <c r="U1820" s="93"/>
      <c r="X1820" s="114" t="str">
        <f t="shared" si="41"/>
        <v>1w</v>
      </c>
      <c r="Y1820" s="112">
        <f>_xll.qlCalendarAdvance(Calendar,Y1819,X1820,"f",FALSE)</f>
        <v>51925</v>
      </c>
      <c r="Z1820" s="115">
        <f>_xll.qlCalendarAdvance(Calendar,Y1820,NDays&amp;"D")</f>
        <v>51925</v>
      </c>
      <c r="AA1820" s="116">
        <v>3.6511411992443517E-2</v>
      </c>
      <c r="AB1820" s="113">
        <v>3.6368064524505327E-2</v>
      </c>
    </row>
    <row r="1821" spans="17:28" x14ac:dyDescent="0.2">
      <c r="Q1821" s="72"/>
      <c r="T1821" s="72"/>
      <c r="U1821" s="93"/>
      <c r="X1821" s="114" t="str">
        <f t="shared" si="41"/>
        <v>1w</v>
      </c>
      <c r="Y1821" s="112">
        <f>_xll.qlCalendarAdvance(Calendar,Y1820,X1821,"f",FALSE)</f>
        <v>51932</v>
      </c>
      <c r="Z1821" s="115">
        <f>_xll.qlCalendarAdvance(Calendar,Y1821,NDays&amp;"D")</f>
        <v>51932</v>
      </c>
      <c r="AA1821" s="116">
        <v>3.6515375790266598E-2</v>
      </c>
      <c r="AB1821" s="113">
        <v>3.6365394999469489E-2</v>
      </c>
    </row>
    <row r="1822" spans="17:28" x14ac:dyDescent="0.2">
      <c r="Q1822" s="72"/>
      <c r="T1822" s="72"/>
      <c r="U1822" s="93"/>
      <c r="X1822" s="114" t="str">
        <f t="shared" si="41"/>
        <v>1w</v>
      </c>
      <c r="Y1822" s="112">
        <f>_xll.qlCalendarAdvance(Calendar,Y1821,X1822,"f",FALSE)</f>
        <v>51939</v>
      </c>
      <c r="Z1822" s="115">
        <f>_xll.qlCalendarAdvance(Calendar,Y1822,NDays&amp;"D")</f>
        <v>51939</v>
      </c>
      <c r="AA1822" s="116">
        <v>3.6506245746208213E-2</v>
      </c>
      <c r="AB1822" s="113">
        <v>3.6362741528351103E-2</v>
      </c>
    </row>
    <row r="1823" spans="17:28" x14ac:dyDescent="0.2">
      <c r="Q1823" s="72"/>
      <c r="T1823" s="72"/>
      <c r="U1823" s="93"/>
      <c r="X1823" s="114" t="str">
        <f t="shared" si="41"/>
        <v>1w</v>
      </c>
      <c r="Y1823" s="112">
        <f>_xll.qlCalendarAdvance(Calendar,Y1822,X1823,"f",FALSE)</f>
        <v>51946</v>
      </c>
      <c r="Z1823" s="115">
        <f>_xll.qlCalendarAdvance(Calendar,Y1823,NDays&amp;"D")</f>
        <v>51946</v>
      </c>
      <c r="AA1823" s="116">
        <v>3.6508608300166799E-2</v>
      </c>
      <c r="AB1823" s="113">
        <v>3.6360104111123157E-2</v>
      </c>
    </row>
    <row r="1824" spans="17:28" x14ac:dyDescent="0.2">
      <c r="Q1824" s="72"/>
      <c r="T1824" s="72"/>
      <c r="U1824" s="93"/>
      <c r="X1824" s="114" t="str">
        <f t="shared" si="41"/>
        <v>1w</v>
      </c>
      <c r="Y1824" s="112">
        <f>_xll.qlCalendarAdvance(Calendar,Y1823,X1824,"f",FALSE)</f>
        <v>51953</v>
      </c>
      <c r="Z1824" s="115">
        <f>_xll.qlCalendarAdvance(Calendar,Y1824,NDays&amp;"D")</f>
        <v>51953</v>
      </c>
      <c r="AA1824" s="116">
        <v>3.6506068381162E-2</v>
      </c>
      <c r="AB1824" s="113">
        <v>3.6357482747758636E-2</v>
      </c>
    </row>
    <row r="1825" spans="17:28" x14ac:dyDescent="0.2">
      <c r="Q1825" s="72"/>
      <c r="T1825" s="72"/>
      <c r="U1825" s="93"/>
      <c r="X1825" s="114" t="str">
        <f t="shared" si="41"/>
        <v>1w</v>
      </c>
      <c r="Y1825" s="112">
        <f>_xll.qlCalendarAdvance(Calendar,Y1824,X1825,"f",FALSE)</f>
        <v>51964</v>
      </c>
      <c r="Z1825" s="115">
        <f>_xll.qlCalendarAdvance(Calendar,Y1825,NDays&amp;"D")</f>
        <v>51964</v>
      </c>
      <c r="AA1825" s="116">
        <v>3.6497181447448505E-2</v>
      </c>
      <c r="AB1825" s="113">
        <v>3.6350145471619744E-2</v>
      </c>
    </row>
    <row r="1826" spans="17:28" x14ac:dyDescent="0.2">
      <c r="Q1826" s="72"/>
      <c r="T1826" s="72"/>
      <c r="U1826" s="93"/>
      <c r="X1826" s="114" t="str">
        <f t="shared" si="41"/>
        <v>1w</v>
      </c>
      <c r="Y1826" s="112">
        <f>_xll.qlCalendarAdvance(Calendar,Y1825,X1826,"f",FALSE)</f>
        <v>51971</v>
      </c>
      <c r="Z1826" s="115">
        <f>_xll.qlCalendarAdvance(Calendar,Y1826,NDays&amp;"D")</f>
        <v>51971</v>
      </c>
      <c r="AA1826" s="116">
        <v>3.6494680464740893E-2</v>
      </c>
      <c r="AB1826" s="113">
        <v>3.6347563610482636E-2</v>
      </c>
    </row>
    <row r="1827" spans="17:28" x14ac:dyDescent="0.2">
      <c r="Q1827" s="72"/>
      <c r="T1827" s="72"/>
      <c r="U1827" s="93"/>
      <c r="X1827" s="114" t="str">
        <f t="shared" si="41"/>
        <v>1w</v>
      </c>
      <c r="Y1827" s="112">
        <f>_xll.qlCalendarAdvance(Calendar,Y1826,X1827,"f",FALSE)</f>
        <v>51978</v>
      </c>
      <c r="Z1827" s="115">
        <f>_xll.qlCalendarAdvance(Calendar,Y1827,NDays&amp;"D")</f>
        <v>51978</v>
      </c>
      <c r="AA1827" s="116">
        <v>3.6492195678644444E-2</v>
      </c>
      <c r="AB1827" s="113">
        <v>3.6344997800318302E-2</v>
      </c>
    </row>
    <row r="1828" spans="17:28" x14ac:dyDescent="0.2">
      <c r="Q1828" s="72"/>
      <c r="T1828" s="72"/>
      <c r="U1828" s="93"/>
      <c r="X1828" s="114" t="str">
        <f t="shared" si="41"/>
        <v>1w</v>
      </c>
      <c r="Y1828" s="112">
        <f>_xll.qlCalendarAdvance(Calendar,Y1827,X1828,"f",FALSE)</f>
        <v>51985</v>
      </c>
      <c r="Z1828" s="115">
        <f>_xll.qlCalendarAdvance(Calendar,Y1828,NDays&amp;"D")</f>
        <v>51985</v>
      </c>
      <c r="AA1828" s="116">
        <v>3.6489727089123528E-2</v>
      </c>
      <c r="AB1828" s="113">
        <v>3.634244804047837E-2</v>
      </c>
    </row>
    <row r="1829" spans="17:28" x14ac:dyDescent="0.2">
      <c r="Q1829" s="72"/>
      <c r="T1829" s="72"/>
      <c r="U1829" s="93"/>
      <c r="X1829" s="114" t="str">
        <f t="shared" si="41"/>
        <v>1w</v>
      </c>
      <c r="Y1829" s="112">
        <f>_xll.qlCalendarAdvance(Calendar,Y1828,X1829,"f",FALSE)</f>
        <v>51992</v>
      </c>
      <c r="Z1829" s="115">
        <f>_xll.qlCalendarAdvance(Calendar,Y1829,NDays&amp;"D")</f>
        <v>51992</v>
      </c>
      <c r="AA1829" s="116">
        <v>3.6488920931039594E-2</v>
      </c>
      <c r="AB1829" s="113">
        <v>3.6339914331530165E-2</v>
      </c>
    </row>
    <row r="1830" spans="17:28" x14ac:dyDescent="0.2">
      <c r="Q1830" s="72"/>
      <c r="T1830" s="72"/>
      <c r="U1830" s="93"/>
      <c r="X1830" s="114" t="str">
        <f t="shared" si="41"/>
        <v>1w</v>
      </c>
      <c r="Y1830" s="112">
        <f>_xll.qlCalendarAdvance(Calendar,Y1829,X1830,"f",FALSE)</f>
        <v>51999</v>
      </c>
      <c r="Z1830" s="115">
        <f>_xll.qlCalendarAdvance(Calendar,Y1830,NDays&amp;"D")</f>
        <v>51999</v>
      </c>
      <c r="AA1830" s="116">
        <v>3.6486485649156741E-2</v>
      </c>
      <c r="AB1830" s="113">
        <v>3.6337396673068456E-2</v>
      </c>
    </row>
    <row r="1831" spans="17:28" x14ac:dyDescent="0.2">
      <c r="Q1831" s="72"/>
      <c r="T1831" s="72"/>
      <c r="U1831" s="93"/>
      <c r="X1831" s="114" t="str">
        <f t="shared" si="41"/>
        <v>1w</v>
      </c>
      <c r="Y1831" s="112">
        <f>_xll.qlCalendarAdvance(Calendar,Y1830,X1831,"f",FALSE)</f>
        <v>52006</v>
      </c>
      <c r="Z1831" s="115">
        <f>_xll.qlCalendarAdvance(Calendar,Y1831,NDays&amp;"D")</f>
        <v>52006</v>
      </c>
      <c r="AA1831" s="116">
        <v>3.6484066565388822E-2</v>
      </c>
      <c r="AB1831" s="113">
        <v>3.6334895065255335E-2</v>
      </c>
    </row>
    <row r="1832" spans="17:28" x14ac:dyDescent="0.2">
      <c r="Q1832" s="72"/>
      <c r="T1832" s="72"/>
      <c r="U1832" s="93"/>
      <c r="X1832" s="114" t="str">
        <f t="shared" si="41"/>
        <v>1w</v>
      </c>
      <c r="Y1832" s="112">
        <f>_xll.qlCalendarAdvance(Calendar,Y1831,X1832,"f",FALSE)</f>
        <v>52013</v>
      </c>
      <c r="Z1832" s="115">
        <f>_xll.qlCalendarAdvance(Calendar,Y1832,NDays&amp;"D")</f>
        <v>52013</v>
      </c>
      <c r="AA1832" s="116">
        <v>3.6481663679709418E-2</v>
      </c>
      <c r="AB1832" s="113">
        <v>3.6332409508252894E-2</v>
      </c>
    </row>
    <row r="1833" spans="17:28" x14ac:dyDescent="0.2">
      <c r="Q1833" s="72"/>
      <c r="T1833" s="72"/>
      <c r="U1833" s="93"/>
      <c r="X1833" s="114" t="str">
        <f t="shared" si="41"/>
        <v>1w</v>
      </c>
      <c r="Y1833" s="112">
        <f>_xll.qlCalendarAdvance(Calendar,Y1832,X1833,"f",FALSE)</f>
        <v>52020</v>
      </c>
      <c r="Z1833" s="115">
        <f>_xll.qlCalendarAdvance(Calendar,Y1833,NDays&amp;"D")</f>
        <v>52020</v>
      </c>
      <c r="AA1833" s="116">
        <v>3.6479276992085051E-2</v>
      </c>
      <c r="AB1833" s="113">
        <v>3.6329940001899041E-2</v>
      </c>
    </row>
    <row r="1834" spans="17:28" x14ac:dyDescent="0.2">
      <c r="Q1834" s="72"/>
      <c r="T1834" s="72"/>
      <c r="U1834" s="93"/>
      <c r="X1834" s="114" t="str">
        <f t="shared" si="41"/>
        <v>1w</v>
      </c>
      <c r="Y1834" s="112">
        <f>_xll.qlCalendarAdvance(Calendar,Y1833,X1834,"f",FALSE)</f>
        <v>52027</v>
      </c>
      <c r="Z1834" s="115">
        <f>_xll.qlCalendarAdvance(Calendar,Y1834,NDays&amp;"D")</f>
        <v>52027</v>
      </c>
      <c r="AA1834" s="116">
        <v>3.6476906502491045E-2</v>
      </c>
      <c r="AB1834" s="113">
        <v>3.6327486546193777E-2</v>
      </c>
    </row>
    <row r="1835" spans="17:28" x14ac:dyDescent="0.2">
      <c r="Q1835" s="72"/>
      <c r="T1835" s="72"/>
      <c r="U1835" s="93"/>
      <c r="X1835" s="114" t="str">
        <f t="shared" si="41"/>
        <v>1w</v>
      </c>
      <c r="Y1835" s="112">
        <f>_xll.qlCalendarAdvance(Calendar,Y1834,X1835,"f",FALSE)</f>
        <v>52034</v>
      </c>
      <c r="Z1835" s="115">
        <f>_xll.qlCalendarAdvance(Calendar,Y1835,NDays&amp;"D")</f>
        <v>52034</v>
      </c>
      <c r="AA1835" s="116">
        <v>3.6474552210893942E-2</v>
      </c>
      <c r="AB1835" s="113">
        <v>3.6325049141056054E-2</v>
      </c>
    </row>
    <row r="1836" spans="17:28" x14ac:dyDescent="0.2">
      <c r="Q1836" s="72"/>
      <c r="T1836" s="72"/>
      <c r="U1836" s="93"/>
      <c r="X1836" s="114" t="str">
        <f t="shared" si="41"/>
        <v>1w</v>
      </c>
      <c r="Y1836" s="112">
        <f>_xll.qlCalendarAdvance(Calendar,Y1835,X1836,"f",FALSE)</f>
        <v>52041</v>
      </c>
      <c r="Z1836" s="115">
        <f>_xll.qlCalendarAdvance(Calendar,Y1836,NDays&amp;"D")</f>
        <v>52041</v>
      </c>
      <c r="AA1836" s="116">
        <v>3.647221411726994E-2</v>
      </c>
      <c r="AB1836" s="113">
        <v>3.6322627786810058E-2</v>
      </c>
    </row>
    <row r="1837" spans="17:28" x14ac:dyDescent="0.2">
      <c r="Q1837" s="72"/>
      <c r="T1837" s="72"/>
      <c r="U1837" s="93"/>
      <c r="X1837" s="114" t="str">
        <f t="shared" si="41"/>
        <v>1w</v>
      </c>
      <c r="Y1837" s="112">
        <f>_xll.qlCalendarAdvance(Calendar,Y1836,X1837,"f",FALSE)</f>
        <v>52048</v>
      </c>
      <c r="Z1837" s="115">
        <f>_xll.qlCalendarAdvance(Calendar,Y1837,NDays&amp;"D")</f>
        <v>52048</v>
      </c>
      <c r="AA1837" s="116">
        <v>3.6469892221586454E-2</v>
      </c>
      <c r="AB1837" s="113">
        <v>3.6320222482888465E-2</v>
      </c>
    </row>
    <row r="1838" spans="17:28" x14ac:dyDescent="0.2">
      <c r="Q1838" s="72"/>
      <c r="T1838" s="72"/>
      <c r="U1838" s="93"/>
      <c r="X1838" s="114" t="str">
        <f t="shared" si="41"/>
        <v>1w</v>
      </c>
      <c r="Y1838" s="112">
        <f>_xll.qlCalendarAdvance(Calendar,Y1837,X1838,"f",FALSE)</f>
        <v>52055</v>
      </c>
      <c r="Z1838" s="115">
        <f>_xll.qlCalendarAdvance(Calendar,Y1838,NDays&amp;"D")</f>
        <v>52055</v>
      </c>
      <c r="AA1838" s="116">
        <v>3.646758652381793E-2</v>
      </c>
      <c r="AB1838" s="113">
        <v>3.6317833229858598E-2</v>
      </c>
    </row>
    <row r="1839" spans="17:28" x14ac:dyDescent="0.2">
      <c r="Q1839" s="72"/>
      <c r="T1839" s="72"/>
      <c r="U1839" s="93"/>
      <c r="X1839" s="114" t="str">
        <f t="shared" si="41"/>
        <v>1w</v>
      </c>
      <c r="Y1839" s="112">
        <f>_xll.qlCalendarAdvance(Calendar,Y1838,X1839,"f",FALSE)</f>
        <v>52062</v>
      </c>
      <c r="Z1839" s="115">
        <f>_xll.qlCalendarAdvance(Calendar,Y1839,NDays&amp;"D")</f>
        <v>52062</v>
      </c>
      <c r="AA1839" s="116">
        <v>3.6465297023935306E-2</v>
      </c>
      <c r="AB1839" s="113">
        <v>3.6315460027396274E-2</v>
      </c>
    </row>
    <row r="1840" spans="17:28" x14ac:dyDescent="0.2">
      <c r="Q1840" s="72"/>
      <c r="T1840" s="72"/>
      <c r="U1840" s="93"/>
      <c r="X1840" s="114" t="str">
        <f t="shared" si="41"/>
        <v>1w</v>
      </c>
      <c r="Y1840" s="112">
        <f>_xll.qlCalendarAdvance(Calendar,Y1839,X1840,"f",FALSE)</f>
        <v>52069</v>
      </c>
      <c r="Z1840" s="115">
        <f>_xll.qlCalendarAdvance(Calendar,Y1840,NDays&amp;"D")</f>
        <v>52069</v>
      </c>
      <c r="AA1840" s="116">
        <v>3.6463023721910383E-2</v>
      </c>
      <c r="AB1840" s="113">
        <v>3.6313102875663583E-2</v>
      </c>
    </row>
    <row r="1841" spans="17:28" x14ac:dyDescent="0.2">
      <c r="Q1841" s="72"/>
      <c r="T1841" s="72"/>
      <c r="U1841" s="93"/>
      <c r="X1841" s="114" t="str">
        <f t="shared" si="41"/>
        <v>1w</v>
      </c>
      <c r="Y1841" s="112">
        <f>_xll.qlCalendarAdvance(Calendar,Y1840,X1841,"f",FALSE)</f>
        <v>52076</v>
      </c>
      <c r="Z1841" s="115">
        <f>_xll.qlCalendarAdvance(Calendar,Y1841,NDays&amp;"D")</f>
        <v>52076</v>
      </c>
      <c r="AA1841" s="116">
        <v>3.6460766617717619E-2</v>
      </c>
      <c r="AB1841" s="113">
        <v>3.6310761774498435E-2</v>
      </c>
    </row>
    <row r="1842" spans="17:28" x14ac:dyDescent="0.2">
      <c r="Q1842" s="72"/>
      <c r="T1842" s="72"/>
      <c r="U1842" s="93"/>
      <c r="X1842" s="114" t="str">
        <f t="shared" si="41"/>
        <v>1w</v>
      </c>
      <c r="Y1842" s="112">
        <f>_xll.qlCalendarAdvance(Calendar,Y1841,X1842,"f",FALSE)</f>
        <v>52083</v>
      </c>
      <c r="Z1842" s="115">
        <f>_xll.qlCalendarAdvance(Calendar,Y1842,NDays&amp;"D")</f>
        <v>52083</v>
      </c>
      <c r="AA1842" s="116">
        <v>3.6458525711327947E-2</v>
      </c>
      <c r="AB1842" s="113">
        <v>3.6308436724143967E-2</v>
      </c>
    </row>
    <row r="1843" spans="17:28" x14ac:dyDescent="0.2">
      <c r="Q1843" s="72"/>
      <c r="T1843" s="72"/>
      <c r="U1843" s="93"/>
      <c r="X1843" s="114" t="str">
        <f t="shared" si="41"/>
        <v>1w</v>
      </c>
      <c r="Y1843" s="112">
        <f>_xll.qlCalendarAdvance(Calendar,Y1842,X1843,"f",FALSE)</f>
        <v>52090</v>
      </c>
      <c r="Z1843" s="115">
        <f>_xll.qlCalendarAdvance(Calendar,Y1843,NDays&amp;"D")</f>
        <v>52090</v>
      </c>
      <c r="AA1843" s="116">
        <v>3.6456301002714922E-2</v>
      </c>
      <c r="AB1843" s="113">
        <v>3.6306127724275994E-2</v>
      </c>
    </row>
    <row r="1844" spans="17:28" x14ac:dyDescent="0.2">
      <c r="Q1844" s="72"/>
      <c r="T1844" s="72"/>
      <c r="U1844" s="93"/>
      <c r="X1844" s="114" t="str">
        <f t="shared" si="41"/>
        <v>1w</v>
      </c>
      <c r="Y1844" s="112">
        <f>_xll.qlCalendarAdvance(Calendar,Y1843,X1844,"f",FALSE)</f>
        <v>52097</v>
      </c>
      <c r="Z1844" s="115">
        <f>_xll.qlCalendarAdvance(Calendar,Y1844,NDays&amp;"D")</f>
        <v>52097</v>
      </c>
      <c r="AA1844" s="116">
        <v>3.6454092491849492E-2</v>
      </c>
      <c r="AB1844" s="113">
        <v>3.6303834775137656E-2</v>
      </c>
    </row>
    <row r="1845" spans="17:28" x14ac:dyDescent="0.2">
      <c r="Q1845" s="72"/>
      <c r="T1845" s="72"/>
      <c r="U1845" s="93"/>
      <c r="X1845" s="114" t="str">
        <f t="shared" si="41"/>
        <v>1w</v>
      </c>
      <c r="Y1845" s="112">
        <f>_xll.qlCalendarAdvance(Calendar,Y1844,X1845,"f",FALSE)</f>
        <v>52104</v>
      </c>
      <c r="Z1845" s="115">
        <f>_xll.qlCalendarAdvance(Calendar,Y1845,NDays&amp;"D")</f>
        <v>52104</v>
      </c>
      <c r="AA1845" s="116">
        <v>3.6451900178707863E-2</v>
      </c>
      <c r="AB1845" s="113">
        <v>3.6301557876647905E-2</v>
      </c>
    </row>
    <row r="1846" spans="17:28" x14ac:dyDescent="0.2">
      <c r="Q1846" s="72"/>
      <c r="T1846" s="72"/>
      <c r="U1846" s="93"/>
      <c r="X1846" s="114" t="str">
        <f t="shared" si="41"/>
        <v>1w</v>
      </c>
      <c r="Y1846" s="112">
        <f>_xll.qlCalendarAdvance(Calendar,Y1845,X1846,"f",FALSE)</f>
        <v>52111</v>
      </c>
      <c r="Z1846" s="115">
        <f>_xll.qlCalendarAdvance(Calendar,Y1846,NDays&amp;"D")</f>
        <v>52111</v>
      </c>
      <c r="AA1846" s="116">
        <v>3.6448062059796407E-2</v>
      </c>
      <c r="AB1846" s="113">
        <v>3.6299297028806743E-2</v>
      </c>
    </row>
    <row r="1847" spans="17:28" x14ac:dyDescent="0.2">
      <c r="Q1847" s="72"/>
      <c r="T1847" s="72"/>
      <c r="U1847" s="93"/>
      <c r="X1847" s="114" t="str">
        <f t="shared" si="41"/>
        <v>1w</v>
      </c>
      <c r="Y1847" s="112">
        <f>_xll.qlCalendarAdvance(Calendar,Y1846,X1847,"f",FALSE)</f>
        <v>52118</v>
      </c>
      <c r="Z1847" s="115">
        <f>_xll.qlCalendarAdvance(Calendar,Y1847,NDays&amp;"D")</f>
        <v>52118</v>
      </c>
      <c r="AA1847" s="116">
        <v>3.6445901199855343E-2</v>
      </c>
      <c r="AB1847" s="113">
        <v>3.6297052231776261E-2</v>
      </c>
    </row>
    <row r="1848" spans="17:28" x14ac:dyDescent="0.2">
      <c r="Q1848" s="72"/>
      <c r="T1848" s="72"/>
      <c r="U1848" s="93"/>
      <c r="X1848" s="114" t="str">
        <f t="shared" si="41"/>
        <v>1w</v>
      </c>
      <c r="Y1848" s="112">
        <f>_xll.qlCalendarAdvance(Calendar,Y1847,X1848,"f",FALSE)</f>
        <v>52125</v>
      </c>
      <c r="Z1848" s="115">
        <f>_xll.qlCalendarAdvance(Calendar,Y1848,NDays&amp;"D")</f>
        <v>52125</v>
      </c>
      <c r="AA1848" s="116">
        <v>3.6443756535934957E-2</v>
      </c>
      <c r="AB1848" s="113">
        <v>3.6294823485232275E-2</v>
      </c>
    </row>
    <row r="1849" spans="17:28" x14ac:dyDescent="0.2">
      <c r="Q1849" s="72"/>
      <c r="T1849" s="72"/>
      <c r="U1849" s="93"/>
      <c r="X1849" s="114" t="str">
        <f t="shared" si="41"/>
        <v>1w</v>
      </c>
      <c r="Y1849" s="112">
        <f>_xll.qlCalendarAdvance(Calendar,Y1848,X1849,"f",FALSE)</f>
        <v>52132</v>
      </c>
      <c r="Z1849" s="115">
        <f>_xll.qlCalendarAdvance(Calendar,Y1849,NDays&amp;"D")</f>
        <v>52132</v>
      </c>
      <c r="AA1849" s="116">
        <v>3.6441628068012093E-2</v>
      </c>
      <c r="AB1849" s="113">
        <v>3.6292610789417923E-2</v>
      </c>
    </row>
    <row r="1850" spans="17:28" x14ac:dyDescent="0.2">
      <c r="Q1850" s="72"/>
      <c r="T1850" s="72"/>
      <c r="U1850" s="93"/>
      <c r="X1850" s="114" t="str">
        <f t="shared" si="41"/>
        <v>1w</v>
      </c>
      <c r="Y1850" s="112">
        <f>_xll.qlCalendarAdvance(Calendar,Y1849,X1850,"f",FALSE)</f>
        <v>52139</v>
      </c>
      <c r="Z1850" s="115">
        <f>_xll.qlCalendarAdvance(Calendar,Y1850,NDays&amp;"D")</f>
        <v>52139</v>
      </c>
      <c r="AA1850" s="116">
        <v>3.6441181577909751E-2</v>
      </c>
      <c r="AB1850" s="113">
        <v>3.6290414144171113E-2</v>
      </c>
    </row>
    <row r="1851" spans="17:28" x14ac:dyDescent="0.2">
      <c r="Q1851" s="72"/>
      <c r="T1851" s="72"/>
      <c r="U1851" s="93"/>
      <c r="X1851" s="114" t="str">
        <f t="shared" si="41"/>
        <v>1w</v>
      </c>
      <c r="Y1851" s="112">
        <f>_xll.qlCalendarAdvance(Calendar,Y1850,X1851,"f",FALSE)</f>
        <v>52146</v>
      </c>
      <c r="Z1851" s="115">
        <f>_xll.qlCalendarAdvance(Calendar,Y1851,NDays&amp;"D")</f>
        <v>52146</v>
      </c>
      <c r="AA1851" s="116">
        <v>3.6439086450551543E-2</v>
      </c>
      <c r="AB1851" s="113">
        <v>3.6288233549653937E-2</v>
      </c>
    </row>
    <row r="1852" spans="17:28" x14ac:dyDescent="0.2">
      <c r="Q1852" s="72"/>
      <c r="T1852" s="72"/>
      <c r="U1852" s="93"/>
      <c r="X1852" s="114" t="str">
        <f t="shared" si="41"/>
        <v>1w</v>
      </c>
      <c r="Y1852" s="112">
        <f>_xll.qlCalendarAdvance(Calendar,Y1851,X1852,"f",FALSE)</f>
        <v>52153</v>
      </c>
      <c r="Z1852" s="115">
        <f>_xll.qlCalendarAdvance(Calendar,Y1852,NDays&amp;"D")</f>
        <v>52153</v>
      </c>
      <c r="AA1852" s="116">
        <v>3.6437007520732138E-2</v>
      </c>
      <c r="AB1852" s="113">
        <v>3.6286069005785349E-2</v>
      </c>
    </row>
    <row r="1853" spans="17:28" x14ac:dyDescent="0.2">
      <c r="Q1853" s="72"/>
      <c r="T1853" s="72"/>
      <c r="U1853" s="93"/>
      <c r="X1853" s="114" t="str">
        <f t="shared" si="41"/>
        <v>1w</v>
      </c>
      <c r="Y1853" s="112">
        <f>_xll.qlCalendarAdvance(Calendar,Y1852,X1853,"f",FALSE)</f>
        <v>52160</v>
      </c>
      <c r="Z1853" s="115">
        <f>_xll.qlCalendarAdvance(Calendar,Y1853,NDays&amp;"D")</f>
        <v>52160</v>
      </c>
      <c r="AA1853" s="116">
        <v>3.6434944788428632E-2</v>
      </c>
      <c r="AB1853" s="113">
        <v>3.6283920512565349E-2</v>
      </c>
    </row>
    <row r="1854" spans="17:28" x14ac:dyDescent="0.2">
      <c r="Q1854" s="72"/>
      <c r="T1854" s="72"/>
      <c r="U1854" s="93"/>
      <c r="X1854" s="114" t="str">
        <f t="shared" si="41"/>
        <v>1w</v>
      </c>
      <c r="Y1854" s="112">
        <f>_xll.qlCalendarAdvance(Calendar,Y1853,X1854,"f",FALSE)</f>
        <v>52167</v>
      </c>
      <c r="Z1854" s="115">
        <f>_xll.qlCalendarAdvance(Calendar,Y1854,NDays&amp;"D")</f>
        <v>52167</v>
      </c>
      <c r="AA1854" s="116">
        <v>3.6432898253615481E-2</v>
      </c>
      <c r="AB1854" s="113">
        <v>3.6281788070074983E-2</v>
      </c>
    </row>
    <row r="1855" spans="17:28" x14ac:dyDescent="0.2">
      <c r="Q1855" s="72"/>
      <c r="T1855" s="72"/>
      <c r="U1855" s="93"/>
      <c r="X1855" s="114" t="str">
        <f t="shared" si="41"/>
        <v>1w</v>
      </c>
      <c r="Y1855" s="112">
        <f>_xll.qlCalendarAdvance(Calendar,Y1854,X1855,"f",FALSE)</f>
        <v>52174</v>
      </c>
      <c r="Z1855" s="115">
        <f>_xll.qlCalendarAdvance(Calendar,Y1855,NDays&amp;"D")</f>
        <v>52174</v>
      </c>
      <c r="AA1855" s="116">
        <v>3.6430867916266256E-2</v>
      </c>
      <c r="AB1855" s="113">
        <v>3.6279671678071113E-2</v>
      </c>
    </row>
    <row r="1856" spans="17:28" x14ac:dyDescent="0.2">
      <c r="Q1856" s="72"/>
      <c r="T1856" s="72"/>
      <c r="U1856" s="93"/>
      <c r="X1856" s="114" t="str">
        <f t="shared" si="41"/>
        <v>1w</v>
      </c>
      <c r="Y1856" s="112">
        <f>_xll.qlCalendarAdvance(Calendar,Y1855,X1856,"f",FALSE)</f>
        <v>52181</v>
      </c>
      <c r="Z1856" s="115">
        <f>_xll.qlCalendarAdvance(Calendar,Y1856,NDays&amp;"D")</f>
        <v>52181</v>
      </c>
      <c r="AA1856" s="116">
        <v>3.6428853776358933E-2</v>
      </c>
      <c r="AB1856" s="113">
        <v>3.6277571336877923E-2</v>
      </c>
    </row>
    <row r="1857" spans="17:28" x14ac:dyDescent="0.2">
      <c r="Q1857" s="72"/>
      <c r="T1857" s="72"/>
      <c r="U1857" s="93"/>
      <c r="X1857" s="114" t="str">
        <f t="shared" si="41"/>
        <v>1w</v>
      </c>
      <c r="Y1857" s="112">
        <f>_xll.qlCalendarAdvance(Calendar,Y1856,X1857,"f",FALSE)</f>
        <v>52188</v>
      </c>
      <c r="Z1857" s="115">
        <f>_xll.qlCalendarAdvance(Calendar,Y1857,NDays&amp;"D")</f>
        <v>52188</v>
      </c>
      <c r="AA1857" s="116">
        <v>3.6426855833867088E-2</v>
      </c>
      <c r="AB1857" s="113">
        <v>3.6275487046252275E-2</v>
      </c>
    </row>
    <row r="1858" spans="17:28" x14ac:dyDescent="0.2">
      <c r="Q1858" s="72"/>
      <c r="T1858" s="72"/>
      <c r="U1858" s="93"/>
      <c r="X1858" s="114" t="str">
        <f t="shared" si="41"/>
        <v>1w</v>
      </c>
      <c r="Y1858" s="112">
        <f>_xll.qlCalendarAdvance(Calendar,Y1857,X1858,"f",FALSE)</f>
        <v>52195</v>
      </c>
      <c r="Z1858" s="115">
        <f>_xll.qlCalendarAdvance(Calendar,Y1858,NDays&amp;"D")</f>
        <v>52195</v>
      </c>
      <c r="AA1858" s="116">
        <v>3.6424874088767809E-2</v>
      </c>
      <c r="AB1858" s="113">
        <v>3.6273418806356261E-2</v>
      </c>
    </row>
    <row r="1859" spans="17:28" x14ac:dyDescent="0.2">
      <c r="Q1859" s="72"/>
      <c r="T1859" s="72"/>
      <c r="U1859" s="93"/>
      <c r="X1859" s="114" t="str">
        <f t="shared" si="41"/>
        <v>1w</v>
      </c>
      <c r="Y1859" s="112">
        <f>_xll.qlCalendarAdvance(Calendar,Y1858,X1859,"f",FALSE)</f>
        <v>52202</v>
      </c>
      <c r="Z1859" s="115">
        <f>_xll.qlCalendarAdvance(Calendar,Y1859,NDays&amp;"D")</f>
        <v>52202</v>
      </c>
      <c r="AA1859" s="116">
        <v>3.6419559988062185E-2</v>
      </c>
      <c r="AB1859" s="113">
        <v>3.6271366616946743E-2</v>
      </c>
    </row>
    <row r="1860" spans="17:28" x14ac:dyDescent="0.2">
      <c r="Q1860" s="72"/>
      <c r="T1860" s="72"/>
      <c r="U1860" s="93"/>
      <c r="X1860" s="114" t="str">
        <f t="shared" si="41"/>
        <v>1w</v>
      </c>
      <c r="Y1860" s="112">
        <f>_xll.qlCalendarAdvance(Calendar,Y1859,X1860,"f",FALSE)</f>
        <v>52209</v>
      </c>
      <c r="Z1860" s="115">
        <f>_xll.qlCalendarAdvance(Calendar,Y1860,NDays&amp;"D")</f>
        <v>52209</v>
      </c>
      <c r="AA1860" s="116">
        <v>3.6417608711457078E-2</v>
      </c>
      <c r="AB1860" s="113">
        <v>3.6269330478347905E-2</v>
      </c>
    </row>
    <row r="1861" spans="17:28" x14ac:dyDescent="0.2">
      <c r="Q1861" s="72"/>
      <c r="T1861" s="72"/>
      <c r="U1861" s="93"/>
      <c r="X1861" s="114" t="str">
        <f t="shared" si="41"/>
        <v>1w</v>
      </c>
      <c r="Y1861" s="112">
        <f>_xll.qlCalendarAdvance(Calendar,Y1860,X1861,"f",FALSE)</f>
        <v>52216</v>
      </c>
      <c r="Z1861" s="115">
        <f>_xll.qlCalendarAdvance(Calendar,Y1861,NDays&amp;"D")</f>
        <v>52216</v>
      </c>
      <c r="AA1861" s="116">
        <v>3.6415673628937162E-2</v>
      </c>
      <c r="AB1861" s="113">
        <v>3.6267310390397656E-2</v>
      </c>
    </row>
    <row r="1862" spans="17:28" x14ac:dyDescent="0.2">
      <c r="Q1862" s="72"/>
      <c r="T1862" s="72"/>
      <c r="U1862" s="93"/>
      <c r="X1862" s="114" t="str">
        <f t="shared" si="41"/>
        <v>1w</v>
      </c>
      <c r="Y1862" s="112">
        <f>_xll.qlCalendarAdvance(Calendar,Y1861,X1862,"f",FALSE)</f>
        <v>52223</v>
      </c>
      <c r="Z1862" s="115">
        <f>_xll.qlCalendarAdvance(Calendar,Y1862,NDays&amp;"D")</f>
        <v>52223</v>
      </c>
      <c r="AA1862" s="116">
        <v>3.6413754740480836E-2</v>
      </c>
      <c r="AB1862" s="113">
        <v>3.6265306353014948E-2</v>
      </c>
    </row>
    <row r="1863" spans="17:28" x14ac:dyDescent="0.2">
      <c r="Q1863" s="72"/>
      <c r="T1863" s="72"/>
      <c r="U1863" s="93"/>
      <c r="X1863" s="114" t="str">
        <f t="shared" si="41"/>
        <v>1w</v>
      </c>
      <c r="Y1863" s="112">
        <f>_xll.qlCalendarAdvance(Calendar,Y1862,X1863,"f",FALSE)</f>
        <v>52230</v>
      </c>
      <c r="Z1863" s="115">
        <f>_xll.qlCalendarAdvance(Calendar,Y1863,NDays&amp;"D")</f>
        <v>52230</v>
      </c>
      <c r="AA1863" s="116">
        <v>3.6413530082793008E-2</v>
      </c>
      <c r="AB1863" s="113">
        <v>3.6263318366361874E-2</v>
      </c>
    </row>
    <row r="1864" spans="17:28" x14ac:dyDescent="0.2">
      <c r="Q1864" s="72"/>
      <c r="T1864" s="72"/>
      <c r="U1864" s="93"/>
      <c r="X1864" s="114" t="str">
        <f t="shared" si="41"/>
        <v>1w</v>
      </c>
      <c r="Y1864" s="112">
        <f>_xll.qlCalendarAdvance(Calendar,Y1863,X1864,"f",FALSE)</f>
        <v>52237</v>
      </c>
      <c r="Z1864" s="115">
        <f>_xll.qlCalendarAdvance(Calendar,Y1864,NDays&amp;"D")</f>
        <v>52237</v>
      </c>
      <c r="AA1864" s="116">
        <v>3.6409965545666174E-2</v>
      </c>
      <c r="AB1864" s="113">
        <v>3.6261346430357388E-2</v>
      </c>
    </row>
    <row r="1865" spans="17:28" x14ac:dyDescent="0.2">
      <c r="Q1865" s="72"/>
      <c r="T1865" s="72"/>
      <c r="U1865" s="93"/>
      <c r="X1865" s="114" t="str">
        <f t="shared" si="41"/>
        <v>1w</v>
      </c>
      <c r="Y1865" s="112">
        <f>_xll.qlCalendarAdvance(Calendar,Y1864,X1865,"f",FALSE)</f>
        <v>52244</v>
      </c>
      <c r="Z1865" s="115">
        <f>_xll.qlCalendarAdvance(Calendar,Y1865,NDays&amp;"D")</f>
        <v>52244</v>
      </c>
      <c r="AA1865" s="116">
        <v>3.6408095239261917E-2</v>
      </c>
      <c r="AB1865" s="113">
        <v>3.6259390545001491E-2</v>
      </c>
    </row>
    <row r="1866" spans="17:28" x14ac:dyDescent="0.2">
      <c r="Q1866" s="72"/>
      <c r="T1866" s="72"/>
      <c r="U1866" s="93"/>
      <c r="X1866" s="114" t="str">
        <f t="shared" si="41"/>
        <v>1w</v>
      </c>
      <c r="Y1866" s="112">
        <f>_xll.qlCalendarAdvance(Calendar,Y1865,X1866,"f",FALSE)</f>
        <v>52251</v>
      </c>
      <c r="Z1866" s="115">
        <f>_xll.qlCalendarAdvance(Calendar,Y1866,NDays&amp;"D")</f>
        <v>52251</v>
      </c>
      <c r="AA1866" s="116">
        <v>3.6406241126830295E-2</v>
      </c>
      <c r="AB1866" s="113">
        <v>3.6257450710213135E-2</v>
      </c>
    </row>
    <row r="1867" spans="17:28" x14ac:dyDescent="0.2">
      <c r="Q1867" s="72"/>
      <c r="T1867" s="72"/>
      <c r="U1867" s="93"/>
      <c r="X1867" s="114" t="str">
        <f t="shared" si="41"/>
        <v>1w</v>
      </c>
      <c r="Y1867" s="112">
        <f>_xll.qlCalendarAdvance(Calendar,Y1866,X1867,"f",FALSE)</f>
        <v>52258</v>
      </c>
      <c r="Z1867" s="115">
        <f>_xll.qlCalendarAdvance(Calendar,Y1867,NDays&amp;"D")</f>
        <v>52258</v>
      </c>
      <c r="AA1867" s="116">
        <v>3.6404403208350589E-2</v>
      </c>
      <c r="AB1867" s="113">
        <v>3.625552692623546E-2</v>
      </c>
    </row>
    <row r="1868" spans="17:28" x14ac:dyDescent="0.2">
      <c r="Q1868" s="72"/>
      <c r="T1868" s="72"/>
      <c r="U1868" s="93"/>
      <c r="X1868" s="114" t="str">
        <f t="shared" si="41"/>
        <v>1w</v>
      </c>
      <c r="Y1868" s="112">
        <f>_xll.qlCalendarAdvance(Calendar,Y1867,X1868,"f",FALSE)</f>
        <v>52265</v>
      </c>
      <c r="Z1868" s="115">
        <f>_xll.qlCalendarAdvance(Calendar,Y1868,NDays&amp;"D")</f>
        <v>52265</v>
      </c>
      <c r="AA1868" s="116">
        <v>3.6402581483798491E-2</v>
      </c>
      <c r="AB1868" s="113">
        <v>3.625361919274428E-2</v>
      </c>
    </row>
    <row r="1869" spans="17:28" x14ac:dyDescent="0.2">
      <c r="Q1869" s="72"/>
      <c r="T1869" s="72"/>
      <c r="U1869" s="93"/>
      <c r="X1869" s="114" t="str">
        <f t="shared" si="41"/>
        <v>1w</v>
      </c>
      <c r="Y1869" s="112">
        <f>_xll.qlCalendarAdvance(Calendar,Y1868,X1869,"f",FALSE)</f>
        <v>52272</v>
      </c>
      <c r="Z1869" s="115">
        <f>_xll.qlCalendarAdvance(Calendar,Y1869,NDays&amp;"D")</f>
        <v>52272</v>
      </c>
      <c r="AA1869" s="116">
        <v>3.6400775953155093E-2</v>
      </c>
      <c r="AB1869" s="113">
        <v>3.6251727509982734E-2</v>
      </c>
    </row>
    <row r="1870" spans="17:28" x14ac:dyDescent="0.2">
      <c r="Q1870" s="72"/>
      <c r="T1870" s="72"/>
      <c r="U1870" s="93"/>
      <c r="X1870" s="114" t="str">
        <f t="shared" si="41"/>
        <v>1w</v>
      </c>
      <c r="Y1870" s="112">
        <f>_xll.qlCalendarAdvance(Calendar,Y1869,X1870,"f",FALSE)</f>
        <v>52279</v>
      </c>
      <c r="Z1870" s="115">
        <f>_xll.qlCalendarAdvance(Calendar,Y1870,NDays&amp;"D")</f>
        <v>52279</v>
      </c>
      <c r="AA1870" s="116">
        <v>3.6398986616397871E-2</v>
      </c>
      <c r="AB1870" s="113">
        <v>3.6249851877950823E-2</v>
      </c>
    </row>
    <row r="1871" spans="17:28" x14ac:dyDescent="0.2">
      <c r="Q1871" s="72"/>
      <c r="T1871" s="72"/>
      <c r="U1871" s="93"/>
      <c r="X1871" s="114" t="str">
        <f t="shared" si="41"/>
        <v>1w</v>
      </c>
      <c r="Y1871" s="112">
        <f>_xll.qlCalendarAdvance(Calendar,Y1870,X1871,"f",FALSE)</f>
        <v>52286</v>
      </c>
      <c r="Z1871" s="115">
        <f>_xll.qlCalendarAdvance(Calendar,Y1871,NDays&amp;"D")</f>
        <v>52286</v>
      </c>
      <c r="AA1871" s="116">
        <v>3.6397213473504324E-2</v>
      </c>
      <c r="AB1871" s="113">
        <v>3.6247992296405407E-2</v>
      </c>
    </row>
    <row r="1872" spans="17:28" x14ac:dyDescent="0.2">
      <c r="Q1872" s="72"/>
      <c r="T1872" s="72"/>
      <c r="U1872" s="93"/>
      <c r="X1872" s="114" t="str">
        <f t="shared" si="41"/>
        <v>1w</v>
      </c>
      <c r="Y1872" s="112">
        <f>_xll.qlCalendarAdvance(Calendar,Y1871,X1872,"f",FALSE)</f>
        <v>52293</v>
      </c>
      <c r="Z1872" s="115">
        <f>_xll.qlCalendarAdvance(Calendar,Y1872,NDays&amp;"D")</f>
        <v>52293</v>
      </c>
      <c r="AA1872" s="116">
        <v>3.6398830370410099E-2</v>
      </c>
      <c r="AB1872" s="113">
        <v>3.6246148765508579E-2</v>
      </c>
    </row>
    <row r="1873" spans="17:28" x14ac:dyDescent="0.2">
      <c r="Q1873" s="72"/>
      <c r="T1873" s="72"/>
      <c r="U1873" s="93"/>
      <c r="X1873" s="114" t="str">
        <f t="shared" si="41"/>
        <v>1w</v>
      </c>
      <c r="Y1873" s="112">
        <f>_xll.qlCalendarAdvance(Calendar,Y1872,X1873,"f",FALSE)</f>
        <v>52300</v>
      </c>
      <c r="Z1873" s="115">
        <f>_xll.qlCalendarAdvance(Calendar,Y1873,NDays&amp;"D")</f>
        <v>52300</v>
      </c>
      <c r="AA1873" s="116">
        <v>3.6397091583412075E-2</v>
      </c>
      <c r="AB1873" s="113">
        <v>3.6244321285422432E-2</v>
      </c>
    </row>
    <row r="1874" spans="17:28" x14ac:dyDescent="0.2">
      <c r="Q1874" s="72"/>
      <c r="T1874" s="72"/>
      <c r="U1874" s="93"/>
      <c r="X1874" s="114" t="str">
        <f t="shared" si="41"/>
        <v>1w</v>
      </c>
      <c r="Y1874" s="112">
        <f>_xll.qlCalendarAdvance(Calendar,Y1873,X1874,"f",FALSE)</f>
        <v>52307</v>
      </c>
      <c r="Z1874" s="115">
        <f>_xll.qlCalendarAdvance(Calendar,Y1874,NDays&amp;"D")</f>
        <v>52307</v>
      </c>
      <c r="AA1874" s="116">
        <v>3.6395368993446323E-2</v>
      </c>
      <c r="AB1874" s="113">
        <v>3.6242509855984872E-2</v>
      </c>
    </row>
    <row r="1875" spans="17:28" x14ac:dyDescent="0.2">
      <c r="Q1875" s="72"/>
      <c r="T1875" s="72"/>
      <c r="U1875" s="93"/>
      <c r="X1875" s="114" t="str">
        <f t="shared" si="41"/>
        <v>1w</v>
      </c>
      <c r="Y1875" s="112">
        <f>_xll.qlCalendarAdvance(Calendar,Y1874,X1875,"f",FALSE)</f>
        <v>52314</v>
      </c>
      <c r="Z1875" s="115">
        <f>_xll.qlCalendarAdvance(Calendar,Y1875,NDays&amp;"D")</f>
        <v>52314</v>
      </c>
      <c r="AA1875" s="116">
        <v>3.6393662600489048E-2</v>
      </c>
      <c r="AB1875" s="113">
        <v>3.6240714477033809E-2</v>
      </c>
    </row>
    <row r="1876" spans="17:28" x14ac:dyDescent="0.2">
      <c r="Q1876" s="72"/>
      <c r="T1876" s="72"/>
      <c r="U1876" s="93"/>
      <c r="X1876" s="114" t="str">
        <f t="shared" si="41"/>
        <v>1w</v>
      </c>
      <c r="Y1876" s="112">
        <f>_xll.qlCalendarAdvance(Calendar,Y1875,X1876,"f",FALSE)</f>
        <v>52321</v>
      </c>
      <c r="Z1876" s="115">
        <f>_xll.qlCalendarAdvance(Calendar,Y1876,NDays&amp;"D")</f>
        <v>52321</v>
      </c>
      <c r="AA1876" s="116">
        <v>3.6390281432118601E-2</v>
      </c>
      <c r="AB1876" s="113">
        <v>3.6238935148812379E-2</v>
      </c>
    </row>
    <row r="1877" spans="17:28" x14ac:dyDescent="0.2">
      <c r="Q1877" s="72"/>
      <c r="T1877" s="72"/>
      <c r="U1877" s="93"/>
      <c r="X1877" s="114" t="str">
        <f t="shared" ref="X1877:X1940" si="42">X1876</f>
        <v>1w</v>
      </c>
      <c r="Y1877" s="112">
        <f>_xll.qlCalendarAdvance(Calendar,Y1876,X1877,"f",FALSE)</f>
        <v>52328</v>
      </c>
      <c r="Z1877" s="115">
        <f>_xll.qlCalendarAdvance(Calendar,Y1877,NDays&amp;"D")</f>
        <v>52328</v>
      </c>
      <c r="AA1877" s="116">
        <v>3.6388606442440886E-2</v>
      </c>
      <c r="AB1877" s="113">
        <v>3.6237171871320584E-2</v>
      </c>
    </row>
    <row r="1878" spans="17:28" x14ac:dyDescent="0.2">
      <c r="Q1878" s="72"/>
      <c r="T1878" s="72"/>
      <c r="U1878" s="93"/>
      <c r="X1878" s="114" t="str">
        <f t="shared" si="42"/>
        <v>1w</v>
      </c>
      <c r="Y1878" s="112">
        <f>_xll.qlCalendarAdvance(Calendar,Y1877,X1878,"f",FALSE)</f>
        <v>52335</v>
      </c>
      <c r="Z1878" s="115">
        <f>_xll.qlCalendarAdvance(Calendar,Y1878,NDays&amp;"D")</f>
        <v>52335</v>
      </c>
      <c r="AA1878" s="116">
        <v>3.6386947648098071E-2</v>
      </c>
      <c r="AB1878" s="113">
        <v>3.623542464439633E-2</v>
      </c>
    </row>
    <row r="1879" spans="17:28" x14ac:dyDescent="0.2">
      <c r="Q1879" s="72"/>
      <c r="T1879" s="72"/>
      <c r="U1879" s="93"/>
      <c r="X1879" s="114" t="str">
        <f t="shared" si="42"/>
        <v>1w</v>
      </c>
      <c r="Y1879" s="112">
        <f>_xll.qlCalendarAdvance(Calendar,Y1878,X1879,"f",FALSE)</f>
        <v>52342</v>
      </c>
      <c r="Z1879" s="115">
        <f>_xll.qlCalendarAdvance(Calendar,Y1879,NDays&amp;"D")</f>
        <v>52342</v>
      </c>
      <c r="AA1879" s="116">
        <v>3.638530504907235E-2</v>
      </c>
      <c r="AB1879" s="113">
        <v>3.6233693468201711E-2</v>
      </c>
    </row>
    <row r="1880" spans="17:28" x14ac:dyDescent="0.2">
      <c r="Q1880" s="72"/>
      <c r="T1880" s="72"/>
      <c r="U1880" s="93"/>
      <c r="X1880" s="114" t="str">
        <f t="shared" si="42"/>
        <v>1w</v>
      </c>
      <c r="Y1880" s="112">
        <f>_xll.qlCalendarAdvance(Calendar,Y1879,X1880,"f",FALSE)</f>
        <v>52349</v>
      </c>
      <c r="Z1880" s="115">
        <f>_xll.qlCalendarAdvance(Calendar,Y1880,NDays&amp;"D")</f>
        <v>52349</v>
      </c>
      <c r="AA1880" s="116">
        <v>3.6383678645339673E-2</v>
      </c>
      <c r="AB1880" s="113">
        <v>3.6231978342493587E-2</v>
      </c>
    </row>
    <row r="1881" spans="17:28" x14ac:dyDescent="0.2">
      <c r="Q1881" s="72"/>
      <c r="T1881" s="72"/>
      <c r="U1881" s="93"/>
      <c r="X1881" s="114" t="str">
        <f t="shared" si="42"/>
        <v>1w</v>
      </c>
      <c r="Y1881" s="112">
        <f>_xll.qlCalendarAdvance(Calendar,Y1880,X1881,"f",FALSE)</f>
        <v>52356</v>
      </c>
      <c r="Z1881" s="115">
        <f>_xll.qlCalendarAdvance(Calendar,Y1881,NDays&amp;"D")</f>
        <v>52356</v>
      </c>
      <c r="AA1881" s="116">
        <v>3.6383764378807359E-2</v>
      </c>
      <c r="AB1881" s="113">
        <v>3.6230279267515098E-2</v>
      </c>
    </row>
    <row r="1882" spans="17:28" x14ac:dyDescent="0.2">
      <c r="Q1882" s="72"/>
      <c r="T1882" s="72"/>
      <c r="U1882" s="93"/>
      <c r="X1882" s="114" t="str">
        <f t="shared" si="42"/>
        <v>1w</v>
      </c>
      <c r="Y1882" s="112">
        <f>_xll.qlCalendarAdvance(Calendar,Y1881,X1882,"f",FALSE)</f>
        <v>52363</v>
      </c>
      <c r="Z1882" s="115">
        <f>_xll.qlCalendarAdvance(Calendar,Y1882,NDays&amp;"D")</f>
        <v>52363</v>
      </c>
      <c r="AA1882" s="116">
        <v>3.6382171364349181E-2</v>
      </c>
      <c r="AB1882" s="113">
        <v>3.6228596243266242E-2</v>
      </c>
    </row>
    <row r="1883" spans="17:28" x14ac:dyDescent="0.2">
      <c r="Q1883" s="72"/>
      <c r="T1883" s="72"/>
      <c r="U1883" s="93"/>
      <c r="X1883" s="114" t="str">
        <f t="shared" si="42"/>
        <v>1w</v>
      </c>
      <c r="Y1883" s="112">
        <f>_xll.qlCalendarAdvance(Calendar,Y1882,X1883,"f",FALSE)</f>
        <v>52370</v>
      </c>
      <c r="Z1883" s="115">
        <f>_xll.qlCalendarAdvance(Calendar,Y1883,NDays&amp;"D")</f>
        <v>52370</v>
      </c>
      <c r="AA1883" s="116">
        <v>3.6380594546742667E-2</v>
      </c>
      <c r="AB1883" s="113">
        <v>3.6226929269665975E-2</v>
      </c>
    </row>
    <row r="1884" spans="17:28" x14ac:dyDescent="0.2">
      <c r="Q1884" s="72"/>
      <c r="T1884" s="72"/>
      <c r="U1884" s="93"/>
      <c r="X1884" s="114" t="str">
        <f t="shared" si="42"/>
        <v>1w</v>
      </c>
      <c r="Y1884" s="112">
        <f>_xll.qlCalendarAdvance(Calendar,Y1883,X1884,"f",FALSE)</f>
        <v>52377</v>
      </c>
      <c r="Z1884" s="115">
        <f>_xll.qlCalendarAdvance(Calendar,Y1884,NDays&amp;"D")</f>
        <v>52377</v>
      </c>
      <c r="AA1884" s="116">
        <v>3.6379033925965809E-2</v>
      </c>
      <c r="AB1884" s="113">
        <v>3.6225278346552203E-2</v>
      </c>
    </row>
    <row r="1885" spans="17:28" x14ac:dyDescent="0.2">
      <c r="Q1885" s="72"/>
      <c r="T1885" s="72"/>
      <c r="U1885" s="93"/>
      <c r="X1885" s="114" t="str">
        <f t="shared" si="42"/>
        <v>1w</v>
      </c>
      <c r="Y1885" s="112">
        <f>_xll.qlCalendarAdvance(Calendar,Y1884,X1885,"f",FALSE)</f>
        <v>52384</v>
      </c>
      <c r="Z1885" s="115">
        <f>_xll.qlCalendarAdvance(Calendar,Y1885,NDays&amp;"D")</f>
        <v>52384</v>
      </c>
      <c r="AA1885" s="116">
        <v>3.63774895020001E-2</v>
      </c>
      <c r="AB1885" s="113">
        <v>3.6223643474330158E-2</v>
      </c>
    </row>
    <row r="1886" spans="17:28" x14ac:dyDescent="0.2">
      <c r="Q1886" s="72"/>
      <c r="T1886" s="72"/>
      <c r="U1886" s="93"/>
      <c r="X1886" s="114" t="str">
        <f t="shared" si="42"/>
        <v>1w</v>
      </c>
      <c r="Y1886" s="112">
        <f>_xll.qlCalendarAdvance(Calendar,Y1885,X1886,"f",FALSE)</f>
        <v>52391</v>
      </c>
      <c r="Z1886" s="115">
        <f>_xll.qlCalendarAdvance(Calendar,Y1886,NDays&amp;"D")</f>
        <v>52391</v>
      </c>
      <c r="AA1886" s="116">
        <v>3.637596127482616E-2</v>
      </c>
      <c r="AB1886" s="113">
        <v>3.6222024652432516E-2</v>
      </c>
    </row>
    <row r="1887" spans="17:28" x14ac:dyDescent="0.2">
      <c r="Q1887" s="72"/>
      <c r="T1887" s="72"/>
      <c r="U1887" s="93"/>
      <c r="X1887" s="114" t="str">
        <f t="shared" si="42"/>
        <v>1w</v>
      </c>
      <c r="Y1887" s="112">
        <f>_xll.qlCalendarAdvance(Calendar,Y1886,X1887,"f",FALSE)</f>
        <v>52398</v>
      </c>
      <c r="Z1887" s="115">
        <f>_xll.qlCalendarAdvance(Calendar,Y1887,NDays&amp;"D")</f>
        <v>52398</v>
      </c>
      <c r="AA1887" s="116">
        <v>3.6374449244427252E-2</v>
      </c>
      <c r="AB1887" s="113">
        <v>3.6220421881345555E-2</v>
      </c>
    </row>
    <row r="1888" spans="17:28" x14ac:dyDescent="0.2">
      <c r="Q1888" s="72"/>
      <c r="T1888" s="72"/>
      <c r="U1888" s="93"/>
      <c r="X1888" s="114" t="str">
        <f t="shared" si="42"/>
        <v>1w</v>
      </c>
      <c r="Y1888" s="112">
        <f>_xll.qlCalendarAdvance(Calendar,Y1887,X1888,"f",FALSE)</f>
        <v>52405</v>
      </c>
      <c r="Z1888" s="115">
        <f>_xll.qlCalendarAdvance(Calendar,Y1888,NDays&amp;"D")</f>
        <v>52405</v>
      </c>
      <c r="AA1888" s="116">
        <v>3.637295341078664E-2</v>
      </c>
      <c r="AB1888" s="113">
        <v>3.6218835160988228E-2</v>
      </c>
    </row>
    <row r="1889" spans="17:28" x14ac:dyDescent="0.2">
      <c r="Q1889" s="72"/>
      <c r="T1889" s="72"/>
      <c r="U1889" s="93"/>
      <c r="X1889" s="114" t="str">
        <f t="shared" si="42"/>
        <v>1w</v>
      </c>
      <c r="Y1889" s="112">
        <f>_xll.qlCalendarAdvance(Calendar,Y1888,X1889,"f",FALSE)</f>
        <v>52412</v>
      </c>
      <c r="Z1889" s="115">
        <f>_xll.qlCalendarAdvance(Calendar,Y1889,NDays&amp;"D")</f>
        <v>52412</v>
      </c>
      <c r="AA1889" s="116">
        <v>3.6371473773880544E-2</v>
      </c>
      <c r="AB1889" s="113">
        <v>3.6217264491198442E-2</v>
      </c>
    </row>
    <row r="1890" spans="17:28" x14ac:dyDescent="0.2">
      <c r="Q1890" s="72"/>
      <c r="T1890" s="72"/>
      <c r="U1890" s="93"/>
      <c r="X1890" s="114" t="str">
        <f t="shared" si="42"/>
        <v>1w</v>
      </c>
      <c r="Y1890" s="112">
        <f>_xll.qlCalendarAdvance(Calendar,Y1889,X1890,"f",FALSE)</f>
        <v>52419</v>
      </c>
      <c r="Z1890" s="115">
        <f>_xll.qlCalendarAdvance(Calendar,Y1890,NDays&amp;"D")</f>
        <v>52419</v>
      </c>
      <c r="AA1890" s="116">
        <v>3.6370010333695732E-2</v>
      </c>
      <c r="AB1890" s="113">
        <v>3.6215709872057245E-2</v>
      </c>
    </row>
    <row r="1891" spans="17:28" x14ac:dyDescent="0.2">
      <c r="Q1891" s="72"/>
      <c r="T1891" s="72"/>
      <c r="U1891" s="93"/>
      <c r="X1891" s="114" t="str">
        <f t="shared" si="42"/>
        <v>1w</v>
      </c>
      <c r="Y1891" s="112">
        <f>_xll.qlCalendarAdvance(Calendar,Y1890,X1891,"f",FALSE)</f>
        <v>52426</v>
      </c>
      <c r="Z1891" s="115">
        <f>_xll.qlCalendarAdvance(Calendar,Y1891,NDays&amp;"D")</f>
        <v>52426</v>
      </c>
      <c r="AA1891" s="116">
        <v>3.6368563090212844E-2</v>
      </c>
      <c r="AB1891" s="113">
        <v>3.6214171303645681E-2</v>
      </c>
    </row>
    <row r="1892" spans="17:28" x14ac:dyDescent="0.2">
      <c r="Q1892" s="72"/>
      <c r="T1892" s="72"/>
      <c r="U1892" s="93"/>
      <c r="X1892" s="114" t="str">
        <f t="shared" si="42"/>
        <v>1w</v>
      </c>
      <c r="Y1892" s="112">
        <f>_xll.qlCalendarAdvance(Calendar,Y1891,X1892,"f",FALSE)</f>
        <v>52433</v>
      </c>
      <c r="Z1892" s="115">
        <f>_xll.qlCalendarAdvance(Calendar,Y1892,NDays&amp;"D")</f>
        <v>52433</v>
      </c>
      <c r="AA1892" s="116">
        <v>3.6367132043414241E-2</v>
      </c>
      <c r="AB1892" s="113">
        <v>3.6212648785720614E-2</v>
      </c>
    </row>
    <row r="1893" spans="17:28" x14ac:dyDescent="0.2">
      <c r="Q1893" s="72"/>
      <c r="T1893" s="72"/>
      <c r="U1893" s="93"/>
      <c r="X1893" s="114" t="str">
        <f t="shared" si="42"/>
        <v>1w</v>
      </c>
      <c r="Y1893" s="112">
        <f>_xll.qlCalendarAdvance(Calendar,Y1892,X1893,"f",FALSE)</f>
        <v>52440</v>
      </c>
      <c r="Z1893" s="115">
        <f>_xll.qlCalendarAdvance(Calendar,Y1893,NDays&amp;"D")</f>
        <v>52440</v>
      </c>
      <c r="AA1893" s="116">
        <v>3.6365717193282319E-2</v>
      </c>
      <c r="AB1893" s="113">
        <v>3.6211142318444134E-2</v>
      </c>
    </row>
    <row r="1894" spans="17:28" x14ac:dyDescent="0.2">
      <c r="Q1894" s="72"/>
      <c r="T1894" s="72"/>
      <c r="U1894" s="93"/>
      <c r="X1894" s="114" t="str">
        <f t="shared" si="42"/>
        <v>1w</v>
      </c>
      <c r="Y1894" s="112">
        <f>_xll.qlCalendarAdvance(Calendar,Y1893,X1894,"f",FALSE)</f>
        <v>52447</v>
      </c>
      <c r="Z1894" s="115">
        <f>_xll.qlCalendarAdvance(Calendar,Y1894,NDays&amp;"D")</f>
        <v>52447</v>
      </c>
      <c r="AA1894" s="116">
        <v>3.6364318539801224E-2</v>
      </c>
      <c r="AB1894" s="113">
        <v>3.6209651902059381E-2</v>
      </c>
    </row>
    <row r="1895" spans="17:28" x14ac:dyDescent="0.2">
      <c r="Q1895" s="72"/>
      <c r="T1895" s="72"/>
      <c r="U1895" s="93"/>
      <c r="X1895" s="114" t="str">
        <f t="shared" si="42"/>
        <v>1w</v>
      </c>
      <c r="Y1895" s="112">
        <f>_xll.qlCalendarAdvance(Calendar,Y1894,X1895,"f",FALSE)</f>
        <v>52454</v>
      </c>
      <c r="Z1895" s="115">
        <f>_xll.qlCalendarAdvance(Calendar,Y1895,NDays&amp;"D")</f>
        <v>52454</v>
      </c>
      <c r="AA1895" s="116">
        <v>3.6362936082951561E-2</v>
      </c>
      <c r="AB1895" s="113">
        <v>3.6208177536080077E-2</v>
      </c>
    </row>
    <row r="1896" spans="17:28" x14ac:dyDescent="0.2">
      <c r="Q1896" s="72"/>
      <c r="T1896" s="72"/>
      <c r="U1896" s="93"/>
      <c r="X1896" s="114" t="str">
        <f t="shared" si="42"/>
        <v>1w</v>
      </c>
      <c r="Y1896" s="112">
        <f>_xll.qlCalendarAdvance(Calendar,Y1895,X1896,"f",FALSE)</f>
        <v>52461</v>
      </c>
      <c r="Z1896" s="115">
        <f>_xll.qlCalendarAdvance(Calendar,Y1896,NDays&amp;"D")</f>
        <v>52461</v>
      </c>
      <c r="AA1896" s="116">
        <v>3.6361569822720125E-2</v>
      </c>
      <c r="AB1896" s="113">
        <v>3.6206719220749362E-2</v>
      </c>
    </row>
    <row r="1897" spans="17:28" x14ac:dyDescent="0.2">
      <c r="Q1897" s="72"/>
      <c r="T1897" s="72"/>
      <c r="U1897" s="93"/>
      <c r="X1897" s="114" t="str">
        <f t="shared" si="42"/>
        <v>1w</v>
      </c>
      <c r="Y1897" s="112">
        <f>_xll.qlCalendarAdvance(Calendar,Y1896,X1897,"f",FALSE)</f>
        <v>52468</v>
      </c>
      <c r="Z1897" s="115">
        <f>_xll.qlCalendarAdvance(Calendar,Y1897,NDays&amp;"D")</f>
        <v>52468</v>
      </c>
      <c r="AA1897" s="116">
        <v>3.6360219759085773E-2</v>
      </c>
      <c r="AB1897" s="113">
        <v>3.620527695614828E-2</v>
      </c>
    </row>
    <row r="1898" spans="17:28" x14ac:dyDescent="0.2">
      <c r="Q1898" s="72"/>
      <c r="T1898" s="72"/>
      <c r="U1898" s="93"/>
      <c r="X1898" s="114" t="str">
        <f t="shared" si="42"/>
        <v>1w</v>
      </c>
      <c r="Y1898" s="112">
        <f>_xll.qlCalendarAdvance(Calendar,Y1897,X1898,"f",FALSE)</f>
        <v>52475</v>
      </c>
      <c r="Z1898" s="115">
        <f>_xll.qlCalendarAdvance(Calendar,Y1898,NDays&amp;"D")</f>
        <v>52475</v>
      </c>
      <c r="AA1898" s="116">
        <v>3.6357172752309125E-2</v>
      </c>
      <c r="AB1898" s="113">
        <v>3.6203850742195787E-2</v>
      </c>
    </row>
    <row r="1899" spans="17:28" x14ac:dyDescent="0.2">
      <c r="Q1899" s="72"/>
      <c r="T1899" s="72"/>
      <c r="U1899" s="93"/>
      <c r="X1899" s="114" t="str">
        <f t="shared" si="42"/>
        <v>1w</v>
      </c>
      <c r="Y1899" s="112">
        <f>_xll.qlCalendarAdvance(Calendar,Y1898,X1899,"f",FALSE)</f>
        <v>52482</v>
      </c>
      <c r="Z1899" s="115">
        <f>_xll.qlCalendarAdvance(Calendar,Y1899,NDays&amp;"D")</f>
        <v>52482</v>
      </c>
      <c r="AA1899" s="116">
        <v>3.6355854055695788E-2</v>
      </c>
      <c r="AB1899" s="113">
        <v>3.6202440578891881E-2</v>
      </c>
    </row>
    <row r="1900" spans="17:28" x14ac:dyDescent="0.2">
      <c r="Q1900" s="72"/>
      <c r="T1900" s="72"/>
      <c r="U1900" s="93"/>
      <c r="X1900" s="114" t="str">
        <f t="shared" si="42"/>
        <v>1w</v>
      </c>
      <c r="Y1900" s="112">
        <f>_xll.qlCalendarAdvance(Calendar,Y1899,X1900,"f",FALSE)</f>
        <v>52489</v>
      </c>
      <c r="Z1900" s="115">
        <f>_xll.qlCalendarAdvance(Calendar,Y1900,NDays&amp;"D")</f>
        <v>52489</v>
      </c>
      <c r="AA1900" s="116">
        <v>3.6354551554024596E-2</v>
      </c>
      <c r="AB1900" s="113">
        <v>3.6201046466236564E-2</v>
      </c>
    </row>
    <row r="1901" spans="17:28" x14ac:dyDescent="0.2">
      <c r="Q1901" s="72"/>
      <c r="T1901" s="72"/>
      <c r="U1901" s="93"/>
      <c r="X1901" s="114" t="str">
        <f t="shared" si="42"/>
        <v>1w</v>
      </c>
      <c r="Y1901" s="112">
        <f>_xll.qlCalendarAdvance(Calendar,Y1900,X1901,"f",FALSE)</f>
        <v>52496</v>
      </c>
      <c r="Z1901" s="115">
        <f>_xll.qlCalendarAdvance(Calendar,Y1901,NDays&amp;"D")</f>
        <v>52496</v>
      </c>
      <c r="AA1901" s="116">
        <v>3.6353265247278617E-2</v>
      </c>
      <c r="AB1901" s="113">
        <v>3.6199668404229834E-2</v>
      </c>
    </row>
    <row r="1902" spans="17:28" x14ac:dyDescent="0.2">
      <c r="Q1902" s="72"/>
      <c r="T1902" s="72"/>
      <c r="U1902" s="93"/>
      <c r="X1902" s="114" t="str">
        <f t="shared" si="42"/>
        <v>1w</v>
      </c>
      <c r="Y1902" s="112">
        <f>_xll.qlCalendarAdvance(Calendar,Y1901,X1902,"f",FALSE)</f>
        <v>52503</v>
      </c>
      <c r="Z1902" s="115">
        <f>_xll.qlCalendarAdvance(Calendar,Y1902,NDays&amp;"D")</f>
        <v>52503</v>
      </c>
      <c r="AA1902" s="116">
        <v>3.6351995135444494E-2</v>
      </c>
      <c r="AB1902" s="113">
        <v>3.6198306392790647E-2</v>
      </c>
    </row>
    <row r="1903" spans="17:28" x14ac:dyDescent="0.2">
      <c r="Q1903" s="72"/>
      <c r="T1903" s="72"/>
      <c r="U1903" s="93"/>
      <c r="X1903" s="114" t="str">
        <f t="shared" si="42"/>
        <v>1w</v>
      </c>
      <c r="Y1903" s="112">
        <f>_xll.qlCalendarAdvance(Calendar,Y1902,X1903,"f",FALSE)</f>
        <v>52510</v>
      </c>
      <c r="Z1903" s="115">
        <f>_xll.qlCalendarAdvance(Calendar,Y1903,NDays&amp;"D")</f>
        <v>52510</v>
      </c>
      <c r="AA1903" s="116">
        <v>3.635245950497798E-2</v>
      </c>
      <c r="AB1903" s="113">
        <v>3.619696043216214E-2</v>
      </c>
    </row>
    <row r="1904" spans="17:28" x14ac:dyDescent="0.2">
      <c r="Q1904" s="72"/>
      <c r="T1904" s="72"/>
      <c r="U1904" s="93"/>
      <c r="X1904" s="114" t="str">
        <f t="shared" si="42"/>
        <v>1w</v>
      </c>
      <c r="Y1904" s="112">
        <f>_xll.qlCalendarAdvance(Calendar,Y1903,X1904,"f",FALSE)</f>
        <v>52517</v>
      </c>
      <c r="Z1904" s="115">
        <f>_xll.qlCalendarAdvance(Calendar,Y1904,NDays&amp;"D")</f>
        <v>52517</v>
      </c>
      <c r="AA1904" s="116">
        <v>3.6351222817092431E-2</v>
      </c>
      <c r="AB1904" s="113">
        <v>3.6195630521939082E-2</v>
      </c>
    </row>
    <row r="1905" spans="17:28" x14ac:dyDescent="0.2">
      <c r="Q1905" s="72"/>
      <c r="T1905" s="72"/>
      <c r="U1905" s="93"/>
      <c r="X1905" s="114" t="str">
        <f t="shared" si="42"/>
        <v>1w</v>
      </c>
      <c r="Y1905" s="112">
        <f>_xll.qlCalendarAdvance(Calendar,Y1904,X1905,"f",FALSE)</f>
        <v>52524</v>
      </c>
      <c r="Z1905" s="115">
        <f>_xll.qlCalendarAdvance(Calendar,Y1905,NDays&amp;"D")</f>
        <v>52524</v>
      </c>
      <c r="AA1905" s="116">
        <v>3.6350002325683271E-2</v>
      </c>
      <c r="AB1905" s="113">
        <v>3.6194316662445658E-2</v>
      </c>
    </row>
    <row r="1906" spans="17:28" x14ac:dyDescent="0.2">
      <c r="Q1906" s="72"/>
      <c r="T1906" s="72"/>
      <c r="U1906" s="93"/>
      <c r="X1906" s="114" t="str">
        <f t="shared" si="42"/>
        <v>1w</v>
      </c>
      <c r="Y1906" s="112">
        <f>_xll.qlCalendarAdvance(Calendar,Y1905,X1906,"f",FALSE)</f>
        <v>52531</v>
      </c>
      <c r="Z1906" s="115">
        <f>_xll.qlCalendarAdvance(Calendar,Y1906,NDays&amp;"D")</f>
        <v>52531</v>
      </c>
      <c r="AA1906" s="116">
        <v>3.6348798030733771E-2</v>
      </c>
      <c r="AB1906" s="113">
        <v>3.6193018853681869E-2</v>
      </c>
    </row>
    <row r="1907" spans="17:28" x14ac:dyDescent="0.2">
      <c r="Q1907" s="72"/>
      <c r="T1907" s="72"/>
      <c r="U1907" s="93"/>
      <c r="X1907" s="114" t="str">
        <f t="shared" si="42"/>
        <v>1w</v>
      </c>
      <c r="Y1907" s="112">
        <f>_xll.qlCalendarAdvance(Calendar,Y1906,X1907,"f",FALSE)</f>
        <v>52538</v>
      </c>
      <c r="Z1907" s="115">
        <f>_xll.qlCalendarAdvance(Calendar,Y1907,NDays&amp;"D")</f>
        <v>52538</v>
      </c>
      <c r="AA1907" s="116">
        <v>3.6347609932228069E-2</v>
      </c>
      <c r="AB1907" s="113">
        <v>3.6191737095566667E-2</v>
      </c>
    </row>
    <row r="1908" spans="17:28" x14ac:dyDescent="0.2">
      <c r="Q1908" s="72"/>
      <c r="T1908" s="72"/>
      <c r="U1908" s="93"/>
      <c r="X1908" s="114" t="str">
        <f t="shared" si="42"/>
        <v>1w</v>
      </c>
      <c r="Y1908" s="112">
        <f>_xll.qlCalendarAdvance(Calendar,Y1907,X1908,"f",FALSE)</f>
        <v>52545</v>
      </c>
      <c r="Z1908" s="115">
        <f>_xll.qlCalendarAdvance(Calendar,Y1908,NDays&amp;"D")</f>
        <v>52545</v>
      </c>
      <c r="AA1908" s="116">
        <v>3.6346438030152077E-2</v>
      </c>
      <c r="AB1908" s="113">
        <v>3.6190471388019008E-2</v>
      </c>
    </row>
    <row r="1909" spans="17:28" x14ac:dyDescent="0.2">
      <c r="Q1909" s="72"/>
      <c r="T1909" s="72"/>
      <c r="U1909" s="93"/>
      <c r="X1909" s="114" t="str">
        <f t="shared" si="42"/>
        <v>1w</v>
      </c>
      <c r="Y1909" s="112">
        <f>_xll.qlCalendarAdvance(Calendar,Y1908,X1909,"f",FALSE)</f>
        <v>52552</v>
      </c>
      <c r="Z1909" s="115">
        <f>_xll.qlCalendarAdvance(Calendar,Y1909,NDays&amp;"D")</f>
        <v>52552</v>
      </c>
      <c r="AA1909" s="116">
        <v>3.634528232449169E-2</v>
      </c>
      <c r="AB1909" s="113">
        <v>3.6189221731119936E-2</v>
      </c>
    </row>
    <row r="1910" spans="17:28" x14ac:dyDescent="0.2">
      <c r="Q1910" s="72"/>
      <c r="T1910" s="72"/>
      <c r="U1910" s="93"/>
      <c r="X1910" s="114" t="str">
        <f t="shared" si="42"/>
        <v>1w</v>
      </c>
      <c r="Y1910" s="112">
        <f>_xll.qlCalendarAdvance(Calendar,Y1909,X1910,"f",FALSE)</f>
        <v>52559</v>
      </c>
      <c r="Z1910" s="115">
        <f>_xll.qlCalendarAdvance(Calendar,Y1910,NDays&amp;"D")</f>
        <v>52559</v>
      </c>
      <c r="AA1910" s="116">
        <v>3.634414281523634E-2</v>
      </c>
      <c r="AB1910" s="113">
        <v>3.6187988124869452E-2</v>
      </c>
    </row>
    <row r="1911" spans="17:28" x14ac:dyDescent="0.2">
      <c r="Q1911" s="72"/>
      <c r="T1911" s="72"/>
      <c r="U1911" s="93"/>
      <c r="X1911" s="114" t="str">
        <f t="shared" si="42"/>
        <v>1w</v>
      </c>
      <c r="Y1911" s="112">
        <f>_xll.qlCalendarAdvance(Calendar,Y1910,X1911,"f",FALSE)</f>
        <v>52566</v>
      </c>
      <c r="Z1911" s="115">
        <f>_xll.qlCalendarAdvance(Calendar,Y1911,NDays&amp;"D")</f>
        <v>52566</v>
      </c>
      <c r="AA1911" s="116">
        <v>3.6341292897451499E-2</v>
      </c>
      <c r="AB1911" s="113">
        <v>3.618677056918651E-2</v>
      </c>
    </row>
    <row r="1912" spans="17:28" x14ac:dyDescent="0.2">
      <c r="Q1912" s="72"/>
      <c r="T1912" s="72"/>
      <c r="U1912" s="93"/>
      <c r="X1912" s="114" t="str">
        <f t="shared" si="42"/>
        <v>1w</v>
      </c>
      <c r="Y1912" s="112">
        <f>_xll.qlCalendarAdvance(Calendar,Y1911,X1912,"f",FALSE)</f>
        <v>52573</v>
      </c>
      <c r="Z1912" s="115">
        <f>_xll.qlCalendarAdvance(Calendar,Y1912,NDays&amp;"D")</f>
        <v>52573</v>
      </c>
      <c r="AA1912" s="116">
        <v>3.6340184733915704E-2</v>
      </c>
      <c r="AB1912" s="113">
        <v>3.6185569064314249E-2</v>
      </c>
    </row>
    <row r="1913" spans="17:28" x14ac:dyDescent="0.2">
      <c r="Q1913" s="72"/>
      <c r="T1913" s="72"/>
      <c r="U1913" s="93"/>
      <c r="X1913" s="114" t="str">
        <f t="shared" si="42"/>
        <v>1w</v>
      </c>
      <c r="Y1913" s="112">
        <f>_xll.qlCalendarAdvance(Calendar,Y1912,X1913,"f",FALSE)</f>
        <v>52580</v>
      </c>
      <c r="Z1913" s="115">
        <f>_xll.qlCalendarAdvance(Calendar,Y1913,NDays&amp;"D")</f>
        <v>52580</v>
      </c>
      <c r="AA1913" s="116">
        <v>3.6339092765132343E-2</v>
      </c>
      <c r="AB1913" s="113">
        <v>3.618438361000953E-2</v>
      </c>
    </row>
    <row r="1914" spans="17:28" x14ac:dyDescent="0.2">
      <c r="Q1914" s="72"/>
      <c r="T1914" s="72"/>
      <c r="U1914" s="93"/>
      <c r="X1914" s="114" t="str">
        <f t="shared" si="42"/>
        <v>1w</v>
      </c>
      <c r="Y1914" s="112">
        <f>_xll.qlCalendarAdvance(Calendar,Y1913,X1914,"f",FALSE)</f>
        <v>52587</v>
      </c>
      <c r="Z1914" s="115">
        <f>_xll.qlCalendarAdvance(Calendar,Y1914,NDays&amp;"D")</f>
        <v>52587</v>
      </c>
      <c r="AA1914" s="116">
        <v>3.6338016991091633E-2</v>
      </c>
      <c r="AB1914" s="113">
        <v>3.6183214206434444E-2</v>
      </c>
    </row>
    <row r="1915" spans="17:28" x14ac:dyDescent="0.2">
      <c r="Q1915" s="72"/>
      <c r="T1915" s="72"/>
      <c r="U1915" s="93"/>
      <c r="X1915" s="114" t="str">
        <f t="shared" si="42"/>
        <v>1w</v>
      </c>
      <c r="Y1915" s="112">
        <f>_xll.qlCalendarAdvance(Calendar,Y1914,X1915,"f",FALSE)</f>
        <v>52594</v>
      </c>
      <c r="Z1915" s="115">
        <f>_xll.qlCalendarAdvance(Calendar,Y1915,NDays&amp;"D")</f>
        <v>52594</v>
      </c>
      <c r="AA1915" s="116">
        <v>3.6336957411773965E-2</v>
      </c>
      <c r="AB1915" s="113">
        <v>3.6182060853345854E-2</v>
      </c>
    </row>
    <row r="1916" spans="17:28" x14ac:dyDescent="0.2">
      <c r="Q1916" s="72"/>
      <c r="T1916" s="72"/>
      <c r="U1916" s="93"/>
      <c r="X1916" s="114" t="str">
        <f t="shared" si="42"/>
        <v>1w</v>
      </c>
      <c r="Y1916" s="112">
        <f>_xll.qlCalendarAdvance(Calendar,Y1915,X1916,"f",FALSE)</f>
        <v>52601</v>
      </c>
      <c r="Z1916" s="115">
        <f>_xll.qlCalendarAdvance(Calendar,Y1916,NDays&amp;"D")</f>
        <v>52601</v>
      </c>
      <c r="AA1916" s="116">
        <v>3.6335914027173996E-2</v>
      </c>
      <c r="AB1916" s="113">
        <v>3.6180923550905852E-2</v>
      </c>
    </row>
    <row r="1917" spans="17:28" x14ac:dyDescent="0.2">
      <c r="Q1917" s="72"/>
      <c r="T1917" s="72"/>
      <c r="U1917" s="93"/>
      <c r="X1917" s="114" t="str">
        <f t="shared" si="42"/>
        <v>1w</v>
      </c>
      <c r="Y1917" s="112">
        <f>_xll.qlCalendarAdvance(Calendar,Y1916,X1917,"f",FALSE)</f>
        <v>52608</v>
      </c>
      <c r="Z1917" s="115">
        <f>_xll.qlCalendarAdvance(Calendar,Y1917,NDays&amp;"D")</f>
        <v>52608</v>
      </c>
      <c r="AA1917" s="116">
        <v>3.6334886837276599E-2</v>
      </c>
      <c r="AB1917" s="113">
        <v>3.6179802299195485E-2</v>
      </c>
    </row>
    <row r="1918" spans="17:28" x14ac:dyDescent="0.2">
      <c r="Q1918" s="72"/>
      <c r="T1918" s="72"/>
      <c r="U1918" s="93"/>
      <c r="X1918" s="114" t="str">
        <f t="shared" si="42"/>
        <v>1w</v>
      </c>
      <c r="Y1918" s="112">
        <f>_xll.qlCalendarAdvance(Calendar,Y1917,X1918,"f",FALSE)</f>
        <v>52615</v>
      </c>
      <c r="Z1918" s="115">
        <f>_xll.qlCalendarAdvance(Calendar,Y1918,NDays&amp;"D")</f>
        <v>52615</v>
      </c>
      <c r="AA1918" s="116">
        <v>3.6333875842068396E-2</v>
      </c>
      <c r="AB1918" s="113">
        <v>3.6178697098052659E-2</v>
      </c>
    </row>
    <row r="1919" spans="17:28" x14ac:dyDescent="0.2">
      <c r="Q1919" s="72"/>
      <c r="T1919" s="72"/>
      <c r="U1919" s="93"/>
      <c r="X1919" s="114" t="str">
        <f t="shared" si="42"/>
        <v>1w</v>
      </c>
      <c r="Y1919" s="112">
        <f>_xll.qlCalendarAdvance(Calendar,Y1918,X1919,"f",FALSE)</f>
        <v>52623</v>
      </c>
      <c r="Z1919" s="115">
        <f>_xll.qlCalendarAdvance(Calendar,Y1919,NDays&amp;"D")</f>
        <v>52623</v>
      </c>
      <c r="AA1919" s="116">
        <v>3.6332740249191038E-2</v>
      </c>
      <c r="AB1919" s="113">
        <v>3.6177453664940629E-2</v>
      </c>
    </row>
    <row r="1920" spans="17:28" x14ac:dyDescent="0.2">
      <c r="Q1920" s="72"/>
      <c r="T1920" s="72"/>
      <c r="U1920" s="93"/>
      <c r="X1920" s="114" t="str">
        <f t="shared" si="42"/>
        <v>1w</v>
      </c>
      <c r="Y1920" s="112">
        <f>_xll.qlCalendarAdvance(Calendar,Y1919,X1920,"f",FALSE)</f>
        <v>52630</v>
      </c>
      <c r="Z1920" s="115">
        <f>_xll.qlCalendarAdvance(Calendar,Y1920,NDays&amp;"D")</f>
        <v>52630</v>
      </c>
      <c r="AA1920" s="116">
        <v>3.6330027935296473E-2</v>
      </c>
      <c r="AB1920" s="113">
        <v>3.6176382858056355E-2</v>
      </c>
    </row>
    <row r="1921" spans="17:28" x14ac:dyDescent="0.2">
      <c r="Q1921" s="72"/>
      <c r="T1921" s="72"/>
      <c r="U1921" s="93"/>
      <c r="X1921" s="114" t="str">
        <f t="shared" si="42"/>
        <v>1w</v>
      </c>
      <c r="Y1921" s="112">
        <f>_xll.qlCalendarAdvance(Calendar,Y1920,X1921,"f",FALSE)</f>
        <v>52637</v>
      </c>
      <c r="Z1921" s="115">
        <f>_xll.qlCalendarAdvance(Calendar,Y1921,NDays&amp;"D")</f>
        <v>52637</v>
      </c>
      <c r="AA1921" s="116">
        <v>3.6329066776093884E-2</v>
      </c>
      <c r="AB1921" s="113">
        <v>3.6175328101901716E-2</v>
      </c>
    </row>
    <row r="1922" spans="17:28" x14ac:dyDescent="0.2">
      <c r="Q1922" s="72"/>
      <c r="T1922" s="72"/>
      <c r="U1922" s="93"/>
      <c r="X1922" s="114" t="str">
        <f t="shared" si="42"/>
        <v>1w</v>
      </c>
      <c r="Y1922" s="112">
        <f>_xll.qlCalendarAdvance(Calendar,Y1921,X1922,"f",FALSE)</f>
        <v>52644</v>
      </c>
      <c r="Z1922" s="115">
        <f>_xll.qlCalendarAdvance(Calendar,Y1922,NDays&amp;"D")</f>
        <v>52644</v>
      </c>
      <c r="AA1922" s="116">
        <v>3.6328121809924695E-2</v>
      </c>
      <c r="AB1922" s="113">
        <v>3.6174289396314618E-2</v>
      </c>
    </row>
    <row r="1923" spans="17:28" x14ac:dyDescent="0.2">
      <c r="Q1923" s="72"/>
      <c r="T1923" s="72"/>
      <c r="U1923" s="93"/>
      <c r="X1923" s="114" t="str">
        <f t="shared" si="42"/>
        <v>1w</v>
      </c>
      <c r="Y1923" s="112">
        <f>_xll.qlCalendarAdvance(Calendar,Y1922,X1923,"f",FALSE)</f>
        <v>52651</v>
      </c>
      <c r="Z1923" s="115">
        <f>_xll.qlCalendarAdvance(Calendar,Y1923,NDays&amp;"D")</f>
        <v>52651</v>
      </c>
      <c r="AA1923" s="116">
        <v>3.6327193036778095E-2</v>
      </c>
      <c r="AB1923" s="113">
        <v>3.6173266741214016E-2</v>
      </c>
    </row>
    <row r="1924" spans="17:28" x14ac:dyDescent="0.2">
      <c r="Q1924" s="72"/>
      <c r="T1924" s="72"/>
      <c r="U1924" s="93"/>
      <c r="X1924" s="114" t="str">
        <f t="shared" si="42"/>
        <v>1w</v>
      </c>
      <c r="Y1924" s="112">
        <f>_xll.qlCalendarAdvance(Calendar,Y1923,X1924,"f",FALSE)</f>
        <v>52658</v>
      </c>
      <c r="Z1924" s="115">
        <f>_xll.qlCalendarAdvance(Calendar,Y1924,NDays&amp;"D")</f>
        <v>52658</v>
      </c>
      <c r="AA1924" s="116">
        <v>3.6329761228157599E-2</v>
      </c>
      <c r="AB1924" s="113">
        <v>3.6172260137005141E-2</v>
      </c>
    </row>
    <row r="1925" spans="17:28" x14ac:dyDescent="0.2">
      <c r="Q1925" s="72"/>
      <c r="T1925" s="72"/>
      <c r="U1925" s="93"/>
      <c r="X1925" s="114" t="str">
        <f t="shared" si="42"/>
        <v>1w</v>
      </c>
      <c r="Y1925" s="112">
        <f>_xll.qlCalendarAdvance(Calendar,Y1924,X1925,"f",FALSE)</f>
        <v>52665</v>
      </c>
      <c r="Z1925" s="115">
        <f>_xll.qlCalendarAdvance(Calendar,Y1925,NDays&amp;"D")</f>
        <v>52665</v>
      </c>
      <c r="AA1925" s="116">
        <v>3.632886697712339E-2</v>
      </c>
      <c r="AB1925" s="113">
        <v>3.6171269583282761E-2</v>
      </c>
    </row>
    <row r="1926" spans="17:28" x14ac:dyDescent="0.2">
      <c r="Q1926" s="72"/>
      <c r="T1926" s="72"/>
      <c r="U1926" s="93"/>
      <c r="X1926" s="114" t="str">
        <f t="shared" si="42"/>
        <v>1w</v>
      </c>
      <c r="Y1926" s="112">
        <f>_xll.qlCalendarAdvance(Calendar,Y1925,X1926,"f",FALSE)</f>
        <v>52672</v>
      </c>
      <c r="Z1926" s="115">
        <f>_xll.qlCalendarAdvance(Calendar,Y1926,NDays&amp;"D")</f>
        <v>52672</v>
      </c>
      <c r="AA1926" s="116">
        <v>3.6327988922293358E-2</v>
      </c>
      <c r="AB1926" s="113">
        <v>3.6170295080371062E-2</v>
      </c>
    </row>
    <row r="1927" spans="17:28" x14ac:dyDescent="0.2">
      <c r="Q1927" s="72"/>
      <c r="T1927" s="72"/>
      <c r="U1927" s="93"/>
      <c r="X1927" s="114" t="str">
        <f t="shared" si="42"/>
        <v>1w</v>
      </c>
      <c r="Y1927" s="112">
        <f>_xll.qlCalendarAdvance(Calendar,Y1926,X1927,"f",FALSE)</f>
        <v>52679</v>
      </c>
      <c r="Z1927" s="115">
        <f>_xll.qlCalendarAdvance(Calendar,Y1927,NDays&amp;"D")</f>
        <v>52679</v>
      </c>
      <c r="AA1927" s="116">
        <v>3.6327127063652542E-2</v>
      </c>
      <c r="AB1927" s="113">
        <v>3.6169336627864812E-2</v>
      </c>
    </row>
    <row r="1928" spans="17:28" x14ac:dyDescent="0.2">
      <c r="Q1928" s="72"/>
      <c r="T1928" s="72"/>
      <c r="U1928" s="93"/>
      <c r="X1928" s="114" t="str">
        <f t="shared" si="42"/>
        <v>1w</v>
      </c>
      <c r="Y1928" s="112">
        <f>_xll.qlCalendarAdvance(Calendar,Y1927,X1928,"f",FALSE)</f>
        <v>52686</v>
      </c>
      <c r="Z1928" s="115">
        <f>_xll.qlCalendarAdvance(Calendar,Y1928,NDays&amp;"D")</f>
        <v>52686</v>
      </c>
      <c r="AA1928" s="116">
        <v>3.6326281401195641E-2</v>
      </c>
      <c r="AB1928" s="113">
        <v>3.6168394226250289E-2</v>
      </c>
    </row>
    <row r="1929" spans="17:28" x14ac:dyDescent="0.2">
      <c r="Q1929" s="72"/>
      <c r="T1929" s="72"/>
      <c r="U1929" s="93"/>
      <c r="X1929" s="114" t="str">
        <f t="shared" si="42"/>
        <v>1w</v>
      </c>
      <c r="Y1929" s="112">
        <f>_xll.qlCalendarAdvance(Calendar,Y1928,X1929,"f",FALSE)</f>
        <v>52693</v>
      </c>
      <c r="Z1929" s="115">
        <f>_xll.qlCalendarAdvance(Calendar,Y1929,NDays&amp;"D")</f>
        <v>52693</v>
      </c>
      <c r="AA1929" s="116">
        <v>3.6323706083787648E-2</v>
      </c>
      <c r="AB1929" s="113">
        <v>3.6167467875122261E-2</v>
      </c>
    </row>
    <row r="1930" spans="17:28" x14ac:dyDescent="0.2">
      <c r="Q1930" s="72"/>
      <c r="T1930" s="72"/>
      <c r="U1930" s="93"/>
      <c r="X1930" s="114" t="str">
        <f t="shared" si="42"/>
        <v>1w</v>
      </c>
      <c r="Y1930" s="112">
        <f>_xll.qlCalendarAdvance(Calendar,Y1929,X1930,"f",FALSE)</f>
        <v>52700</v>
      </c>
      <c r="Z1930" s="115">
        <f>_xll.qlCalendarAdvance(Calendar,Y1930,NDays&amp;"D")</f>
        <v>52700</v>
      </c>
      <c r="AA1930" s="116">
        <v>3.6322891737474348E-2</v>
      </c>
      <c r="AB1930" s="113">
        <v>3.6166557574561775E-2</v>
      </c>
    </row>
    <row r="1931" spans="17:28" x14ac:dyDescent="0.2">
      <c r="Q1931" s="72"/>
      <c r="T1931" s="72"/>
      <c r="U1931" s="93"/>
      <c r="X1931" s="114" t="str">
        <f t="shared" si="42"/>
        <v>1w</v>
      </c>
      <c r="Y1931" s="112">
        <f>_xll.qlCalendarAdvance(Calendar,Y1930,X1931,"f",FALSE)</f>
        <v>52707</v>
      </c>
      <c r="Z1931" s="115">
        <f>_xll.qlCalendarAdvance(Calendar,Y1931,NDays&amp;"D")</f>
        <v>52707</v>
      </c>
      <c r="AA1931" s="116">
        <v>3.6322093585706865E-2</v>
      </c>
      <c r="AB1931" s="113">
        <v>3.6165663324730923E-2</v>
      </c>
    </row>
    <row r="1932" spans="17:28" x14ac:dyDescent="0.2">
      <c r="Q1932" s="72"/>
      <c r="T1932" s="72"/>
      <c r="U1932" s="93"/>
      <c r="X1932" s="114" t="str">
        <f t="shared" si="42"/>
        <v>1w</v>
      </c>
      <c r="Y1932" s="112">
        <f>_xll.qlCalendarAdvance(Calendar,Y1931,X1932,"f",FALSE)</f>
        <v>52714</v>
      </c>
      <c r="Z1932" s="115">
        <f>_xll.qlCalendarAdvance(Calendar,Y1932,NDays&amp;"D")</f>
        <v>52714</v>
      </c>
      <c r="AA1932" s="116">
        <v>3.6321311628476287E-2</v>
      </c>
      <c r="AB1932" s="113">
        <v>3.616478512554866E-2</v>
      </c>
    </row>
    <row r="1933" spans="17:28" x14ac:dyDescent="0.2">
      <c r="Q1933" s="72"/>
      <c r="T1933" s="72"/>
      <c r="U1933" s="93"/>
      <c r="X1933" s="114" t="str">
        <f t="shared" si="42"/>
        <v>1w</v>
      </c>
      <c r="Y1933" s="112">
        <f>_xll.qlCalendarAdvance(Calendar,Y1932,X1933,"f",FALSE)</f>
        <v>52721</v>
      </c>
      <c r="Z1933" s="115">
        <f>_xll.qlCalendarAdvance(Calendar,Y1933,NDays&amp;"D")</f>
        <v>52721</v>
      </c>
      <c r="AA1933" s="116">
        <v>3.6322296031279747E-2</v>
      </c>
      <c r="AB1933" s="113">
        <v>3.616392297709603E-2</v>
      </c>
    </row>
    <row r="1934" spans="17:28" x14ac:dyDescent="0.2">
      <c r="Q1934" s="72"/>
      <c r="T1934" s="72"/>
      <c r="U1934" s="93"/>
      <c r="X1934" s="114" t="str">
        <f t="shared" si="42"/>
        <v>1w</v>
      </c>
      <c r="Y1934" s="112">
        <f>_xll.qlCalendarAdvance(Calendar,Y1933,X1934,"f",FALSE)</f>
        <v>52728</v>
      </c>
      <c r="Z1934" s="115">
        <f>_xll.qlCalendarAdvance(Calendar,Y1934,NDays&amp;"D")</f>
        <v>52728</v>
      </c>
      <c r="AA1934" s="116">
        <v>3.6321547545703513E-2</v>
      </c>
      <c r="AB1934" s="113">
        <v>3.6163076879210942E-2</v>
      </c>
    </row>
    <row r="1935" spans="17:28" x14ac:dyDescent="0.2">
      <c r="Q1935" s="72"/>
      <c r="T1935" s="72"/>
      <c r="U1935" s="93"/>
      <c r="X1935" s="114" t="str">
        <f t="shared" si="42"/>
        <v>1w</v>
      </c>
      <c r="Y1935" s="112">
        <f>_xll.qlCalendarAdvance(Calendar,Y1934,X1935,"f",FALSE)</f>
        <v>52735</v>
      </c>
      <c r="Z1935" s="115">
        <f>_xll.qlCalendarAdvance(Calendar,Y1935,NDays&amp;"D")</f>
        <v>52735</v>
      </c>
      <c r="AA1935" s="116">
        <v>3.6320815256240722E-2</v>
      </c>
      <c r="AB1935" s="113">
        <v>3.6162246831893397E-2</v>
      </c>
    </row>
    <row r="1936" spans="17:28" x14ac:dyDescent="0.2">
      <c r="Q1936" s="72"/>
      <c r="T1936" s="72"/>
      <c r="U1936" s="93"/>
      <c r="X1936" s="114" t="str">
        <f t="shared" si="42"/>
        <v>1w</v>
      </c>
      <c r="Y1936" s="112">
        <f>_xll.qlCalendarAdvance(Calendar,Y1935,X1936,"f",FALSE)</f>
        <v>52742</v>
      </c>
      <c r="Z1936" s="115">
        <f>_xll.qlCalendarAdvance(Calendar,Y1936,NDays&amp;"D")</f>
        <v>52742</v>
      </c>
      <c r="AA1936" s="116">
        <v>3.6320099162882577E-2</v>
      </c>
      <c r="AB1936" s="113">
        <v>3.6161432835305485E-2</v>
      </c>
    </row>
    <row r="1937" spans="17:28" x14ac:dyDescent="0.2">
      <c r="Q1937" s="72"/>
      <c r="T1937" s="72"/>
      <c r="U1937" s="93"/>
      <c r="X1937" s="114" t="str">
        <f t="shared" si="42"/>
        <v>1w</v>
      </c>
      <c r="Y1937" s="112">
        <f>_xll.qlCalendarAdvance(Calendar,Y1936,X1937,"f",FALSE)</f>
        <v>52749</v>
      </c>
      <c r="Z1937" s="115">
        <f>_xll.qlCalendarAdvance(Calendar,Y1937,NDays&amp;"D")</f>
        <v>52749</v>
      </c>
      <c r="AA1937" s="116">
        <v>3.631939926562202E-2</v>
      </c>
      <c r="AB1937" s="113">
        <v>3.6160634889285115E-2</v>
      </c>
    </row>
    <row r="1938" spans="17:28" x14ac:dyDescent="0.2">
      <c r="Q1938" s="72"/>
      <c r="T1938" s="72"/>
      <c r="U1938" s="93"/>
      <c r="X1938" s="114" t="str">
        <f t="shared" si="42"/>
        <v>1w</v>
      </c>
      <c r="Y1938" s="112">
        <f>_xll.qlCalendarAdvance(Calendar,Y1937,X1938,"f",FALSE)</f>
        <v>52756</v>
      </c>
      <c r="Z1938" s="115">
        <f>_xll.qlCalendarAdvance(Calendar,Y1938,NDays&amp;"D")</f>
        <v>52756</v>
      </c>
      <c r="AA1938" s="116">
        <v>3.6318715564447601E-2</v>
      </c>
      <c r="AB1938" s="113">
        <v>3.6159852993913333E-2</v>
      </c>
    </row>
    <row r="1939" spans="17:28" x14ac:dyDescent="0.2">
      <c r="Q1939" s="72"/>
      <c r="T1939" s="72"/>
      <c r="U1939" s="93"/>
      <c r="X1939" s="114" t="str">
        <f t="shared" si="42"/>
        <v>1w</v>
      </c>
      <c r="Y1939" s="112">
        <f>_xll.qlCalendarAdvance(Calendar,Y1938,X1939,"f",FALSE)</f>
        <v>52763</v>
      </c>
      <c r="Z1939" s="115">
        <f>_xll.qlCalendarAdvance(Calendar,Y1939,NDays&amp;"D")</f>
        <v>52763</v>
      </c>
      <c r="AA1939" s="116">
        <v>3.6318048059354034E-2</v>
      </c>
      <c r="AB1939" s="113">
        <v>3.6159087149352231E-2</v>
      </c>
    </row>
    <row r="1940" spans="17:28" x14ac:dyDescent="0.2">
      <c r="Q1940" s="72"/>
      <c r="T1940" s="72"/>
      <c r="U1940" s="93"/>
      <c r="X1940" s="114" t="str">
        <f t="shared" si="42"/>
        <v>1w</v>
      </c>
      <c r="Y1940" s="112">
        <f>_xll.qlCalendarAdvance(Calendar,Y1939,X1940,"f",FALSE)</f>
        <v>52770</v>
      </c>
      <c r="Z1940" s="115">
        <f>_xll.qlCalendarAdvance(Calendar,Y1940,NDays&amp;"D")</f>
        <v>52770</v>
      </c>
      <c r="AA1940" s="116">
        <v>3.6317396750330751E-2</v>
      </c>
      <c r="AB1940" s="113">
        <v>3.6158337355115533E-2</v>
      </c>
    </row>
    <row r="1941" spans="17:28" x14ac:dyDescent="0.2">
      <c r="Q1941" s="72"/>
      <c r="T1941" s="72"/>
      <c r="U1941" s="93"/>
      <c r="X1941" s="114" t="str">
        <f t="shared" ref="X1941:X2004" si="43">X1940</f>
        <v>1w</v>
      </c>
      <c r="Y1941" s="112">
        <f>_xll.qlCalendarAdvance(Calendar,Y1940,X1941,"f",FALSE)</f>
        <v>52777</v>
      </c>
      <c r="Z1941" s="115">
        <f>_xll.qlCalendarAdvance(Calendar,Y1941,NDays&amp;"D")</f>
        <v>52777</v>
      </c>
      <c r="AA1941" s="116">
        <v>3.6316761637372463E-2</v>
      </c>
      <c r="AB1941" s="113">
        <v>3.6157603611770561E-2</v>
      </c>
    </row>
    <row r="1942" spans="17:28" x14ac:dyDescent="0.2">
      <c r="Q1942" s="72"/>
      <c r="T1942" s="72"/>
      <c r="U1942" s="93"/>
      <c r="X1942" s="114" t="str">
        <f t="shared" si="43"/>
        <v>1w</v>
      </c>
      <c r="Y1942" s="112">
        <f>_xll.qlCalendarAdvance(Calendar,Y1941,X1942,"f",FALSE)</f>
        <v>52784</v>
      </c>
      <c r="Z1942" s="115">
        <f>_xll.qlCalendarAdvance(Calendar,Y1942,NDays&amp;"D")</f>
        <v>52784</v>
      </c>
      <c r="AA1942" s="116">
        <v>3.6316142720469478E-2</v>
      </c>
      <c r="AB1942" s="113">
        <v>3.6156885918993131E-2</v>
      </c>
    </row>
    <row r="1943" spans="17:28" x14ac:dyDescent="0.2">
      <c r="Q1943" s="72"/>
      <c r="T1943" s="72"/>
      <c r="U1943" s="93"/>
      <c r="X1943" s="114" t="str">
        <f t="shared" si="43"/>
        <v>1w</v>
      </c>
      <c r="Y1943" s="112">
        <f>_xll.qlCalendarAdvance(Calendar,Y1942,X1943,"f",FALSE)</f>
        <v>52791</v>
      </c>
      <c r="Z1943" s="115">
        <f>_xll.qlCalendarAdvance(Calendar,Y1943,NDays&amp;"D")</f>
        <v>52791</v>
      </c>
      <c r="AA1943" s="116">
        <v>3.6315539999613872E-2</v>
      </c>
      <c r="AB1943" s="113">
        <v>3.6156184276864289E-2</v>
      </c>
    </row>
    <row r="1944" spans="17:28" x14ac:dyDescent="0.2">
      <c r="Q1944" s="72"/>
      <c r="T1944" s="72"/>
      <c r="U1944" s="93"/>
      <c r="X1944" s="114" t="str">
        <f t="shared" si="43"/>
        <v>1w</v>
      </c>
      <c r="Y1944" s="112">
        <f>_xll.qlCalendarAdvance(Calendar,Y1943,X1944,"f",FALSE)</f>
        <v>52798</v>
      </c>
      <c r="Z1944" s="115">
        <f>_xll.qlCalendarAdvance(Calendar,Y1944,NDays&amp;"D")</f>
        <v>52798</v>
      </c>
      <c r="AA1944" s="116">
        <v>3.6314953474801244E-2</v>
      </c>
      <c r="AB1944" s="113">
        <v>3.6155498685384035E-2</v>
      </c>
    </row>
    <row r="1945" spans="17:28" x14ac:dyDescent="0.2">
      <c r="Q1945" s="72"/>
      <c r="T1945" s="72"/>
      <c r="U1945" s="93"/>
      <c r="X1945" s="114" t="str">
        <f t="shared" si="43"/>
        <v>1w</v>
      </c>
      <c r="Y1945" s="112">
        <f>_xll.qlCalendarAdvance(Calendar,Y1944,X1945,"f",FALSE)</f>
        <v>52805</v>
      </c>
      <c r="Z1945" s="115">
        <f>_xll.qlCalendarAdvance(Calendar,Y1945,NDays&amp;"D")</f>
        <v>52805</v>
      </c>
      <c r="AA1945" s="116">
        <v>3.6314383146020132E-2</v>
      </c>
      <c r="AB1945" s="113">
        <v>3.6154829144471323E-2</v>
      </c>
    </row>
    <row r="1946" spans="17:28" x14ac:dyDescent="0.2">
      <c r="Q1946" s="72"/>
      <c r="T1946" s="72"/>
      <c r="U1946" s="93"/>
      <c r="X1946" s="114" t="str">
        <f t="shared" si="43"/>
        <v>1w</v>
      </c>
      <c r="Y1946" s="112">
        <f>_xll.qlCalendarAdvance(Calendar,Y1945,X1946,"f",FALSE)</f>
        <v>52812</v>
      </c>
      <c r="Z1946" s="115">
        <f>_xll.qlCalendarAdvance(Calendar,Y1946,NDays&amp;"D")</f>
        <v>52812</v>
      </c>
      <c r="AA1946" s="116">
        <v>3.6313829013267018E-2</v>
      </c>
      <c r="AB1946" s="113">
        <v>3.6154175654207199E-2</v>
      </c>
    </row>
    <row r="1947" spans="17:28" x14ac:dyDescent="0.2">
      <c r="Q1947" s="72"/>
      <c r="T1947" s="72"/>
      <c r="U1947" s="93"/>
      <c r="X1947" s="114" t="str">
        <f t="shared" si="43"/>
        <v>1w</v>
      </c>
      <c r="Y1947" s="112">
        <f>_xll.qlCalendarAdvance(Calendar,Y1946,X1947,"f",FALSE)</f>
        <v>52819</v>
      </c>
      <c r="Z1947" s="115">
        <f>_xll.qlCalendarAdvance(Calendar,Y1947,NDays&amp;"D")</f>
        <v>52819</v>
      </c>
      <c r="AA1947" s="116">
        <v>3.6313291076533978E-2</v>
      </c>
      <c r="AB1947" s="113">
        <v>3.6153538214591663E-2</v>
      </c>
    </row>
    <row r="1948" spans="17:28" x14ac:dyDescent="0.2">
      <c r="Q1948" s="72"/>
      <c r="T1948" s="72"/>
      <c r="U1948" s="93"/>
      <c r="X1948" s="114" t="str">
        <f t="shared" si="43"/>
        <v>1w</v>
      </c>
      <c r="Y1948" s="112">
        <f>_xll.qlCalendarAdvance(Calendar,Y1947,X1948,"f",FALSE)</f>
        <v>52826</v>
      </c>
      <c r="Z1948" s="115">
        <f>_xll.qlCalendarAdvance(Calendar,Y1948,NDays&amp;"D")</f>
        <v>52826</v>
      </c>
      <c r="AA1948" s="116">
        <v>3.6312769335813955E-2</v>
      </c>
      <c r="AB1948" s="113">
        <v>3.6152916825543668E-2</v>
      </c>
    </row>
    <row r="1949" spans="17:28" x14ac:dyDescent="0.2">
      <c r="Q1949" s="72"/>
      <c r="T1949" s="72"/>
      <c r="U1949" s="93"/>
      <c r="X1949" s="114" t="str">
        <f t="shared" si="43"/>
        <v>1w</v>
      </c>
      <c r="Y1949" s="112">
        <f>_xll.qlCalendarAdvance(Calendar,Y1948,X1949,"f",FALSE)</f>
        <v>52833</v>
      </c>
      <c r="Z1949" s="115">
        <f>_xll.qlCalendarAdvance(Calendar,Y1949,NDays&amp;"D")</f>
        <v>52833</v>
      </c>
      <c r="AA1949" s="116">
        <v>3.6312263791102542E-2</v>
      </c>
      <c r="AB1949" s="113">
        <v>3.6152311487306354E-2</v>
      </c>
    </row>
    <row r="1950" spans="17:28" x14ac:dyDescent="0.2">
      <c r="Q1950" s="72"/>
      <c r="T1950" s="72"/>
      <c r="U1950" s="93"/>
      <c r="X1950" s="114" t="str">
        <f t="shared" si="43"/>
        <v>1w</v>
      </c>
      <c r="Y1950" s="112">
        <f>_xll.qlCalendarAdvance(Calendar,Y1949,X1950,"f",FALSE)</f>
        <v>52840</v>
      </c>
      <c r="Z1950" s="115">
        <f>_xll.qlCalendarAdvance(Calendar,Y1950,NDays&amp;"D")</f>
        <v>52840</v>
      </c>
      <c r="AA1950" s="116">
        <v>3.6310005654273551E-2</v>
      </c>
      <c r="AB1950" s="113">
        <v>3.6151722199636582E-2</v>
      </c>
    </row>
    <row r="1951" spans="17:28" x14ac:dyDescent="0.2">
      <c r="Q1951" s="72"/>
      <c r="T1951" s="72"/>
      <c r="U1951" s="93"/>
      <c r="X1951" s="114" t="str">
        <f t="shared" si="43"/>
        <v>1w</v>
      </c>
      <c r="Y1951" s="112">
        <f>_xll.qlCalendarAdvance(Calendar,Y1950,X1951,"f",FALSE)</f>
        <v>52847</v>
      </c>
      <c r="Z1951" s="115">
        <f>_xll.qlCalendarAdvance(Calendar,Y1951,NDays&amp;"D")</f>
        <v>52847</v>
      </c>
      <c r="AA1951" s="116">
        <v>3.6309531391671396E-2</v>
      </c>
      <c r="AB1951" s="113">
        <v>3.6151148962534352E-2</v>
      </c>
    </row>
    <row r="1952" spans="17:28" x14ac:dyDescent="0.2">
      <c r="Q1952" s="72"/>
      <c r="T1952" s="72"/>
      <c r="U1952" s="93"/>
      <c r="X1952" s="114" t="str">
        <f t="shared" si="43"/>
        <v>1w</v>
      </c>
      <c r="Y1952" s="112">
        <f>_xll.qlCalendarAdvance(Calendar,Y1951,X1952,"f",FALSE)</f>
        <v>52854</v>
      </c>
      <c r="Z1952" s="115">
        <f>_xll.qlCalendarAdvance(Calendar,Y1952,NDays&amp;"D")</f>
        <v>52854</v>
      </c>
      <c r="AA1952" s="116">
        <v>3.6309073323454739E-2</v>
      </c>
      <c r="AB1952" s="113">
        <v>3.6150591776242802E-2</v>
      </c>
    </row>
    <row r="1953" spans="17:28" x14ac:dyDescent="0.2">
      <c r="Q1953" s="72"/>
      <c r="T1953" s="72"/>
      <c r="U1953" s="93"/>
      <c r="X1953" s="114" t="str">
        <f t="shared" si="43"/>
        <v>1w</v>
      </c>
      <c r="Y1953" s="112">
        <f>_xll.qlCalendarAdvance(Calendar,Y1952,X1953,"f",FALSE)</f>
        <v>52861</v>
      </c>
      <c r="Z1953" s="115">
        <f>_xll.qlCalendarAdvance(Calendar,Y1953,NDays&amp;"D")</f>
        <v>52861</v>
      </c>
      <c r="AA1953" s="116">
        <v>3.6308631449616463E-2</v>
      </c>
      <c r="AB1953" s="113">
        <v>3.6150050640437748E-2</v>
      </c>
    </row>
    <row r="1954" spans="17:28" x14ac:dyDescent="0.2">
      <c r="Q1954" s="72"/>
      <c r="T1954" s="72"/>
      <c r="U1954" s="93"/>
      <c r="X1954" s="114" t="str">
        <f t="shared" si="43"/>
        <v>1w</v>
      </c>
      <c r="Y1954" s="112">
        <f>_xll.qlCalendarAdvance(Calendar,Y1953,X1954,"f",FALSE)</f>
        <v>52868</v>
      </c>
      <c r="Z1954" s="115">
        <f>_xll.qlCalendarAdvance(Calendar,Y1954,NDays&amp;"D")</f>
        <v>52868</v>
      </c>
      <c r="AA1954" s="116">
        <v>3.6308205770154783E-2</v>
      </c>
      <c r="AB1954" s="113">
        <v>3.6149525555281281E-2</v>
      </c>
    </row>
    <row r="1955" spans="17:28" x14ac:dyDescent="0.2">
      <c r="Q1955" s="72"/>
      <c r="T1955" s="72"/>
      <c r="U1955" s="93"/>
      <c r="X1955" s="114" t="str">
        <f t="shared" si="43"/>
        <v>1w</v>
      </c>
      <c r="Y1955" s="112">
        <f>_xll.qlCalendarAdvance(Calendar,Y1954,X1955,"f",FALSE)</f>
        <v>52875</v>
      </c>
      <c r="Z1955" s="115">
        <f>_xll.qlCalendarAdvance(Calendar,Y1955,NDays&amp;"D")</f>
        <v>52875</v>
      </c>
      <c r="AA1955" s="116">
        <v>3.6309570638657383E-2</v>
      </c>
      <c r="AB1955" s="113">
        <v>3.6149016520854449E-2</v>
      </c>
    </row>
    <row r="1956" spans="17:28" x14ac:dyDescent="0.2">
      <c r="Q1956" s="72"/>
      <c r="T1956" s="72"/>
      <c r="U1956" s="93"/>
      <c r="X1956" s="114" t="str">
        <f t="shared" si="43"/>
        <v>1w</v>
      </c>
      <c r="Y1956" s="112">
        <f>_xll.qlCalendarAdvance(Calendar,Y1955,X1956,"f",FALSE)</f>
        <v>52882</v>
      </c>
      <c r="Z1956" s="115">
        <f>_xll.qlCalendarAdvance(Calendar,Y1956,NDays&amp;"D")</f>
        <v>52882</v>
      </c>
      <c r="AA1956" s="116">
        <v>3.6309178465835389E-2</v>
      </c>
      <c r="AB1956" s="113">
        <v>3.6148523536995159E-2</v>
      </c>
    </row>
    <row r="1957" spans="17:28" x14ac:dyDescent="0.2">
      <c r="Q1957" s="72"/>
      <c r="T1957" s="72"/>
      <c r="U1957" s="93"/>
      <c r="X1957" s="114" t="str">
        <f t="shared" si="43"/>
        <v>1w</v>
      </c>
      <c r="Y1957" s="112">
        <f>_xll.qlCalendarAdvance(Calendar,Y1956,X1957,"f",FALSE)</f>
        <v>52889</v>
      </c>
      <c r="Z1957" s="115">
        <f>_xll.qlCalendarAdvance(Calendar,Y1957,NDays&amp;"D")</f>
        <v>52889</v>
      </c>
      <c r="AA1957" s="116">
        <v>3.6308802488977963E-2</v>
      </c>
      <c r="AB1957" s="113">
        <v>3.614804660370341E-2</v>
      </c>
    </row>
    <row r="1958" spans="17:28" x14ac:dyDescent="0.2">
      <c r="Q1958" s="72"/>
      <c r="T1958" s="72"/>
      <c r="U1958" s="93"/>
      <c r="X1958" s="114" t="str">
        <f t="shared" si="43"/>
        <v>1w</v>
      </c>
      <c r="Y1958" s="112">
        <f>_xll.qlCalendarAdvance(Calendar,Y1957,X1958,"f",FALSE)</f>
        <v>52896</v>
      </c>
      <c r="Z1958" s="115">
        <f>_xll.qlCalendarAdvance(Calendar,Y1958,NDays&amp;"D")</f>
        <v>52896</v>
      </c>
      <c r="AA1958" s="116">
        <v>3.6310220644854639E-2</v>
      </c>
      <c r="AB1958" s="113">
        <v>3.6147585721141295E-2</v>
      </c>
    </row>
    <row r="1959" spans="17:28" x14ac:dyDescent="0.2">
      <c r="Q1959" s="72"/>
      <c r="T1959" s="72"/>
      <c r="U1959" s="93"/>
      <c r="X1959" s="114" t="str">
        <f t="shared" si="43"/>
        <v>1w</v>
      </c>
      <c r="Y1959" s="112">
        <f>_xll.qlCalendarAdvance(Calendar,Y1958,X1959,"f",FALSE)</f>
        <v>52903</v>
      </c>
      <c r="Z1959" s="115">
        <f>_xll.qlCalendarAdvance(Calendar,Y1959,NDays&amp;"D")</f>
        <v>52903</v>
      </c>
      <c r="AA1959" s="116">
        <v>3.630809912313656E-2</v>
      </c>
      <c r="AB1959" s="113">
        <v>3.6147140889227769E-2</v>
      </c>
    </row>
    <row r="1960" spans="17:28" x14ac:dyDescent="0.2">
      <c r="Q1960" s="72"/>
      <c r="T1960" s="72"/>
      <c r="U1960" s="93"/>
      <c r="X1960" s="114" t="str">
        <f t="shared" si="43"/>
        <v>1w</v>
      </c>
      <c r="Y1960" s="112">
        <f>_xll.qlCalendarAdvance(Calendar,Y1959,X1960,"f",FALSE)</f>
        <v>52910</v>
      </c>
      <c r="Z1960" s="115">
        <f>_xll.qlCalendarAdvance(Calendar,Y1960,NDays&amp;"D")</f>
        <v>52910</v>
      </c>
      <c r="AA1960" s="116">
        <v>3.630777173414465E-2</v>
      </c>
      <c r="AB1960" s="113">
        <v>3.6146712107881784E-2</v>
      </c>
    </row>
    <row r="1961" spans="17:28" x14ac:dyDescent="0.2">
      <c r="Q1961" s="72"/>
      <c r="T1961" s="72"/>
      <c r="U1961" s="93"/>
      <c r="X1961" s="114" t="str">
        <f t="shared" si="43"/>
        <v>1w</v>
      </c>
      <c r="Y1961" s="112">
        <f>_xll.qlCalendarAdvance(Calendar,Y1960,X1961,"f",FALSE)</f>
        <v>52917</v>
      </c>
      <c r="Z1961" s="115">
        <f>_xll.qlCalendarAdvance(Calendar,Y1961,NDays&amp;"D")</f>
        <v>52917</v>
      </c>
      <c r="AA1961" s="116">
        <v>3.6307460541098818E-2</v>
      </c>
      <c r="AB1961" s="113">
        <v>3.6146299377184388E-2</v>
      </c>
    </row>
    <row r="1962" spans="17:28" x14ac:dyDescent="0.2">
      <c r="Q1962" s="72"/>
      <c r="T1962" s="72"/>
      <c r="U1962" s="93"/>
      <c r="X1962" s="114" t="str">
        <f t="shared" si="43"/>
        <v>1w</v>
      </c>
      <c r="Y1962" s="112">
        <f>_xll.qlCalendarAdvance(Calendar,Y1961,X1962,"f",FALSE)</f>
        <v>52924</v>
      </c>
      <c r="Z1962" s="115">
        <f>_xll.qlCalendarAdvance(Calendar,Y1962,NDays&amp;"D")</f>
        <v>52924</v>
      </c>
      <c r="AA1962" s="116">
        <v>3.6307165543995525E-2</v>
      </c>
      <c r="AB1962" s="113">
        <v>3.6145902697216625E-2</v>
      </c>
    </row>
    <row r="1963" spans="17:28" x14ac:dyDescent="0.2">
      <c r="Q1963" s="72"/>
      <c r="T1963" s="72"/>
      <c r="U1963" s="93"/>
      <c r="X1963" s="114" t="str">
        <f t="shared" si="43"/>
        <v>1w</v>
      </c>
      <c r="Y1963" s="112">
        <f>_xll.qlCalendarAdvance(Calendar,Y1962,X1963,"f",FALSE)</f>
        <v>52931</v>
      </c>
      <c r="Z1963" s="115">
        <f>_xll.qlCalendarAdvance(Calendar,Y1963,NDays&amp;"D")</f>
        <v>52931</v>
      </c>
      <c r="AA1963" s="116">
        <v>3.6303320285062425E-2</v>
      </c>
      <c r="AB1963" s="113">
        <v>3.6145522067897451E-2</v>
      </c>
    </row>
    <row r="1964" spans="17:28" x14ac:dyDescent="0.2">
      <c r="Q1964" s="72"/>
      <c r="T1964" s="72"/>
      <c r="U1964" s="93"/>
      <c r="X1964" s="114" t="str">
        <f t="shared" si="43"/>
        <v>1w</v>
      </c>
      <c r="Y1964" s="112">
        <f>_xll.qlCalendarAdvance(Calendar,Y1963,X1964,"f",FALSE)</f>
        <v>52938</v>
      </c>
      <c r="Z1964" s="115">
        <f>_xll.qlCalendarAdvance(Calendar,Y1964,NDays&amp;"D")</f>
        <v>52938</v>
      </c>
      <c r="AA1964" s="116">
        <v>3.6303055418588352E-2</v>
      </c>
      <c r="AB1964" s="113">
        <v>3.6145157489064772E-2</v>
      </c>
    </row>
    <row r="1965" spans="17:28" x14ac:dyDescent="0.2">
      <c r="Q1965" s="72"/>
      <c r="T1965" s="72"/>
      <c r="U1965" s="93"/>
      <c r="X1965" s="114" t="str">
        <f t="shared" si="43"/>
        <v>1w</v>
      </c>
      <c r="Y1965" s="112">
        <f>_xll.qlCalendarAdvance(Calendar,Y1964,X1965,"f",FALSE)</f>
        <v>52945</v>
      </c>
      <c r="Z1965" s="115">
        <f>_xll.qlCalendarAdvance(Calendar,Y1965,NDays&amp;"D")</f>
        <v>52945</v>
      </c>
      <c r="AA1965" s="116">
        <v>3.6302806744841494E-2</v>
      </c>
      <c r="AB1965" s="113">
        <v>3.6144808961042774E-2</v>
      </c>
    </row>
    <row r="1966" spans="17:28" x14ac:dyDescent="0.2">
      <c r="Q1966" s="72"/>
      <c r="T1966" s="72"/>
      <c r="U1966" s="93"/>
      <c r="X1966" s="114" t="str">
        <f t="shared" si="43"/>
        <v>1w</v>
      </c>
      <c r="Y1966" s="112">
        <f>_xll.qlCalendarAdvance(Calendar,Y1965,X1966,"f",FALSE)</f>
        <v>52952</v>
      </c>
      <c r="Z1966" s="115">
        <f>_xll.qlCalendarAdvance(Calendar,Y1966,NDays&amp;"D")</f>
        <v>52952</v>
      </c>
      <c r="AA1966" s="116">
        <v>3.6302574263815557E-2</v>
      </c>
      <c r="AB1966" s="113">
        <v>3.6144476483588317E-2</v>
      </c>
    </row>
    <row r="1967" spans="17:28" x14ac:dyDescent="0.2">
      <c r="Q1967" s="72"/>
      <c r="T1967" s="72"/>
      <c r="U1967" s="93"/>
      <c r="X1967" s="114" t="str">
        <f t="shared" si="43"/>
        <v>1w</v>
      </c>
      <c r="Y1967" s="112">
        <f>_xll.qlCalendarAdvance(Calendar,Y1966,X1967,"f",FALSE)</f>
        <v>52959</v>
      </c>
      <c r="Z1967" s="115">
        <f>_xll.qlCalendarAdvance(Calendar,Y1967,NDays&amp;"D")</f>
        <v>52959</v>
      </c>
      <c r="AA1967" s="116">
        <v>3.6302357975510541E-2</v>
      </c>
      <c r="AB1967" s="113">
        <v>3.6144160056701402E-2</v>
      </c>
    </row>
    <row r="1968" spans="17:28" x14ac:dyDescent="0.2">
      <c r="Q1968" s="72"/>
      <c r="T1968" s="72"/>
      <c r="U1968" s="93"/>
      <c r="X1968" s="114" t="str">
        <f t="shared" si="43"/>
        <v>1w</v>
      </c>
      <c r="Y1968" s="112">
        <f>_xll.qlCalendarAdvance(Calendar,Y1967,X1968,"f",FALSE)</f>
        <v>52966</v>
      </c>
      <c r="Z1968" s="115">
        <f>_xll.qlCalendarAdvance(Calendar,Y1968,NDays&amp;"D")</f>
        <v>52966</v>
      </c>
      <c r="AA1968" s="116">
        <v>3.6302157879922838E-2</v>
      </c>
      <c r="AB1968" s="113">
        <v>3.6143859680463075E-2</v>
      </c>
    </row>
    <row r="1969" spans="17:28" x14ac:dyDescent="0.2">
      <c r="Q1969" s="72"/>
      <c r="T1969" s="72"/>
      <c r="U1969" s="93"/>
      <c r="X1969" s="114" t="str">
        <f t="shared" si="43"/>
        <v>1w</v>
      </c>
      <c r="Y1969" s="112">
        <f>_xll.qlCalendarAdvance(Calendar,Y1968,X1969,"f",FALSE)</f>
        <v>52973</v>
      </c>
      <c r="Z1969" s="115">
        <f>_xll.qlCalendarAdvance(Calendar,Y1969,NDays&amp;"D")</f>
        <v>52973</v>
      </c>
      <c r="AA1969" s="116">
        <v>3.6301973977049748E-2</v>
      </c>
      <c r="AB1969" s="113">
        <v>3.6143575354873336E-2</v>
      </c>
    </row>
    <row r="1970" spans="17:28" x14ac:dyDescent="0.2">
      <c r="Q1970" s="72"/>
      <c r="T1970" s="72"/>
      <c r="U1970" s="93"/>
      <c r="X1970" s="114" t="str">
        <f t="shared" si="43"/>
        <v>1w</v>
      </c>
      <c r="Y1970" s="112">
        <f>_xll.qlCalendarAdvance(Calendar,Y1969,X1970,"f",FALSE)</f>
        <v>52980</v>
      </c>
      <c r="Z1970" s="115">
        <f>_xll.qlCalendarAdvance(Calendar,Y1970,NDays&amp;"D")</f>
        <v>52980</v>
      </c>
      <c r="AA1970" s="116">
        <v>3.6301806266891272E-2</v>
      </c>
      <c r="AB1970" s="113">
        <v>3.6143307079932185E-2</v>
      </c>
    </row>
    <row r="1971" spans="17:28" x14ac:dyDescent="0.2">
      <c r="Q1971" s="72"/>
      <c r="T1971" s="72"/>
      <c r="U1971" s="93"/>
      <c r="X1971" s="114" t="str">
        <f t="shared" si="43"/>
        <v>1w</v>
      </c>
      <c r="Y1971" s="112">
        <f>_xll.qlCalendarAdvance(Calendar,Y1970,X1971,"f",FALSE)</f>
        <v>52987</v>
      </c>
      <c r="Z1971" s="115">
        <f>_xll.qlCalendarAdvance(Calendar,Y1971,NDays&amp;"D")</f>
        <v>52987</v>
      </c>
      <c r="AA1971" s="116">
        <v>3.6303446954431474E-2</v>
      </c>
      <c r="AB1971" s="113">
        <v>3.6144826973092403E-2</v>
      </c>
    </row>
    <row r="1972" spans="17:28" x14ac:dyDescent="0.2">
      <c r="Q1972" s="72"/>
      <c r="T1972" s="72"/>
      <c r="U1972" s="93"/>
      <c r="X1972" s="114" t="str">
        <f t="shared" si="43"/>
        <v>1w</v>
      </c>
      <c r="Y1972" s="112">
        <f>_xll.qlCalendarAdvance(Calendar,Y1971,X1972,"f",FALSE)</f>
        <v>52994</v>
      </c>
      <c r="Z1972" s="115">
        <f>_xll.qlCalendarAdvance(Calendar,Y1972,NDays&amp;"D")</f>
        <v>52994</v>
      </c>
      <c r="AA1972" s="116">
        <v>3.6299726304116153E-2</v>
      </c>
      <c r="AB1972" s="113">
        <v>3.6142818682076694E-2</v>
      </c>
    </row>
    <row r="1973" spans="17:28" x14ac:dyDescent="0.2">
      <c r="Q1973" s="72"/>
      <c r="T1973" s="72"/>
      <c r="U1973" s="93"/>
      <c r="X1973" s="114" t="str">
        <f t="shared" si="43"/>
        <v>1w</v>
      </c>
      <c r="Y1973" s="112">
        <f>_xll.qlCalendarAdvance(Calendar,Y1972,X1973,"f",FALSE)</f>
        <v>53001</v>
      </c>
      <c r="Z1973" s="115">
        <f>_xll.qlCalendarAdvance(Calendar,Y1973,NDays&amp;"D")</f>
        <v>53001</v>
      </c>
      <c r="AA1973" s="116">
        <v>3.6299606027372207E-2</v>
      </c>
      <c r="AB1973" s="113">
        <v>3.6142598559000261E-2</v>
      </c>
    </row>
    <row r="1974" spans="17:28" x14ac:dyDescent="0.2">
      <c r="Q1974" s="72"/>
      <c r="T1974" s="72"/>
      <c r="U1974" s="93"/>
      <c r="X1974" s="114" t="str">
        <f t="shared" si="43"/>
        <v>1w</v>
      </c>
      <c r="Y1974" s="112">
        <f>_xll.qlCalendarAdvance(Calendar,Y1973,X1974,"f",FALSE)</f>
        <v>53008</v>
      </c>
      <c r="Z1974" s="115">
        <f>_xll.qlCalendarAdvance(Calendar,Y1974,NDays&amp;"D")</f>
        <v>53008</v>
      </c>
      <c r="AA1974" s="116" t="e">
        <v>#N/A</v>
      </c>
      <c r="AB1974" s="113">
        <v>3.6142394486653462E-2</v>
      </c>
    </row>
    <row r="1975" spans="17:28" x14ac:dyDescent="0.2">
      <c r="Q1975" s="72"/>
      <c r="T1975" s="72"/>
      <c r="U1975" s="93"/>
      <c r="X1975" s="114" t="str">
        <f t="shared" si="43"/>
        <v>1w</v>
      </c>
      <c r="Y1975" s="112">
        <f>_xll.qlCalendarAdvance(Calendar,Y1974,X1975,"f",FALSE)</f>
        <v>53015</v>
      </c>
      <c r="Z1975" s="115">
        <f>_xll.qlCalendarAdvance(Calendar,Y1975,NDays&amp;"D")</f>
        <v>53015</v>
      </c>
      <c r="AA1975" s="116" t="e">
        <v>#N/A</v>
      </c>
      <c r="AB1975" s="113">
        <v>3.6142206464874205E-2</v>
      </c>
    </row>
    <row r="1976" spans="17:28" x14ac:dyDescent="0.2">
      <c r="Q1976" s="72"/>
      <c r="T1976" s="72"/>
      <c r="U1976" s="93"/>
      <c r="X1976" s="114" t="str">
        <f t="shared" si="43"/>
        <v>1w</v>
      </c>
      <c r="Y1976" s="112">
        <f>_xll.qlCalendarAdvance(Calendar,Y1975,X1976,"f",FALSE)</f>
        <v>53022</v>
      </c>
      <c r="Z1976" s="115">
        <f>_xll.qlCalendarAdvance(Calendar,Y1976,NDays&amp;"D")</f>
        <v>53022</v>
      </c>
      <c r="AA1976" s="116" t="e">
        <v>#N/A</v>
      </c>
      <c r="AB1976" s="113">
        <v>3.6142034493743536E-2</v>
      </c>
    </row>
    <row r="1977" spans="17:28" x14ac:dyDescent="0.2">
      <c r="Q1977" s="72"/>
      <c r="T1977" s="72"/>
      <c r="U1977" s="93"/>
      <c r="X1977" s="114" t="str">
        <f t="shared" si="43"/>
        <v>1w</v>
      </c>
      <c r="Y1977" s="112">
        <f>_xll.qlCalendarAdvance(Calendar,Y1976,X1977,"f",FALSE)</f>
        <v>53029</v>
      </c>
      <c r="Z1977" s="115">
        <f>_xll.qlCalendarAdvance(Calendar,Y1977,NDays&amp;"D")</f>
        <v>53029</v>
      </c>
      <c r="AA1977" s="116" t="e">
        <v>#N/A</v>
      </c>
      <c r="AB1977" s="113">
        <v>3.6141878573342501E-2</v>
      </c>
    </row>
    <row r="1978" spans="17:28" x14ac:dyDescent="0.2">
      <c r="Q1978" s="72"/>
      <c r="T1978" s="72"/>
      <c r="U1978" s="93"/>
      <c r="X1978" s="114" t="str">
        <f t="shared" si="43"/>
        <v>1w</v>
      </c>
      <c r="Y1978" s="112">
        <f>_xll.qlCalendarAdvance(Calendar,Y1977,X1978,"f",FALSE)</f>
        <v>53036</v>
      </c>
      <c r="Z1978" s="115">
        <f>_xll.qlCalendarAdvance(Calendar,Y1978,NDays&amp;"D")</f>
        <v>53036</v>
      </c>
      <c r="AA1978" s="116" t="e">
        <v>#N/A</v>
      </c>
      <c r="AB1978" s="113">
        <v>3.6141738703509008E-2</v>
      </c>
    </row>
    <row r="1979" spans="17:28" x14ac:dyDescent="0.2">
      <c r="Q1979" s="72"/>
      <c r="T1979" s="72"/>
      <c r="U1979" s="93"/>
      <c r="X1979" s="114" t="str">
        <f t="shared" si="43"/>
        <v>1w</v>
      </c>
      <c r="Y1979" s="112">
        <f>_xll.qlCalendarAdvance(Calendar,Y1978,X1979,"f",FALSE)</f>
        <v>53043</v>
      </c>
      <c r="Z1979" s="115">
        <f>_xll.qlCalendarAdvance(Calendar,Y1979,NDays&amp;"D")</f>
        <v>53043</v>
      </c>
      <c r="AA1979" s="116" t="e">
        <v>#N/A</v>
      </c>
      <c r="AB1979" s="113">
        <v>3.6141614884324103E-2</v>
      </c>
    </row>
    <row r="1980" spans="17:28" x14ac:dyDescent="0.2">
      <c r="Q1980" s="72"/>
      <c r="T1980" s="72"/>
      <c r="U1980" s="93"/>
      <c r="X1980" s="114" t="str">
        <f t="shared" si="43"/>
        <v>1w</v>
      </c>
      <c r="Y1980" s="112">
        <f>_xll.qlCalendarAdvance(Calendar,Y1979,X1980,"f",FALSE)</f>
        <v>53050</v>
      </c>
      <c r="Z1980" s="115">
        <f>_xll.qlCalendarAdvance(Calendar,Y1980,NDays&amp;"D")</f>
        <v>53050</v>
      </c>
      <c r="AA1980" s="116" t="e">
        <v>#N/A</v>
      </c>
      <c r="AB1980" s="113">
        <v>3.6141507115706739E-2</v>
      </c>
    </row>
    <row r="1981" spans="17:28" x14ac:dyDescent="0.2">
      <c r="Q1981" s="72"/>
      <c r="T1981" s="72"/>
      <c r="U1981" s="93"/>
      <c r="X1981" s="114" t="str">
        <f t="shared" si="43"/>
        <v>1w</v>
      </c>
      <c r="Y1981" s="112">
        <f>_xll.qlCalendarAdvance(Calendar,Y1980,X1981,"f",FALSE)</f>
        <v>53057</v>
      </c>
      <c r="Z1981" s="115">
        <f>_xll.qlCalendarAdvance(Calendar,Y1981,NDays&amp;"D")</f>
        <v>53057</v>
      </c>
      <c r="AA1981" s="116" t="e">
        <v>#N/A</v>
      </c>
      <c r="AB1981" s="113">
        <v>3.6141415397737964E-2</v>
      </c>
    </row>
    <row r="1982" spans="17:28" x14ac:dyDescent="0.2">
      <c r="Q1982" s="72"/>
      <c r="T1982" s="72"/>
      <c r="U1982" s="93"/>
      <c r="X1982" s="114" t="str">
        <f t="shared" si="43"/>
        <v>1w</v>
      </c>
      <c r="Y1982" s="112">
        <f>_xll.qlCalendarAdvance(Calendar,Y1981,X1982,"f",FALSE)</f>
        <v>53064</v>
      </c>
      <c r="Z1982" s="115">
        <f>_xll.qlCalendarAdvance(Calendar,Y1982,NDays&amp;"D")</f>
        <v>53064</v>
      </c>
      <c r="AA1982" s="116" t="e">
        <v>#N/A</v>
      </c>
      <c r="AB1982" s="113">
        <v>3.6141339730498823E-2</v>
      </c>
    </row>
    <row r="1983" spans="17:28" x14ac:dyDescent="0.2">
      <c r="Q1983" s="72"/>
      <c r="T1983" s="72"/>
      <c r="U1983" s="93"/>
      <c r="X1983" s="114" t="str">
        <f t="shared" si="43"/>
        <v>1w</v>
      </c>
      <c r="Y1983" s="112">
        <f>_xll.qlCalendarAdvance(Calendar,Y1982,X1983,"f",FALSE)</f>
        <v>53071</v>
      </c>
      <c r="Z1983" s="115">
        <f>_xll.qlCalendarAdvance(Calendar,Y1983,NDays&amp;"D")</f>
        <v>53071</v>
      </c>
      <c r="AA1983" s="116" t="e">
        <v>#N/A</v>
      </c>
      <c r="AB1983" s="113">
        <v>3.6141280113827223E-2</v>
      </c>
    </row>
    <row r="1984" spans="17:28" x14ac:dyDescent="0.2">
      <c r="Q1984" s="72"/>
      <c r="T1984" s="72"/>
      <c r="U1984" s="93"/>
      <c r="X1984" s="114" t="str">
        <f t="shared" si="43"/>
        <v>1w</v>
      </c>
      <c r="Y1984" s="112">
        <f>_xll.qlCalendarAdvance(Calendar,Y1983,X1984,"f",FALSE)</f>
        <v>53078</v>
      </c>
      <c r="Z1984" s="115">
        <f>_xll.qlCalendarAdvance(Calendar,Y1984,NDays&amp;"D")</f>
        <v>53078</v>
      </c>
      <c r="AA1984" s="116" t="e">
        <v>#N/A</v>
      </c>
      <c r="AB1984" s="113">
        <v>3.6141236547885258E-2</v>
      </c>
    </row>
    <row r="1985" spans="17:28" x14ac:dyDescent="0.2">
      <c r="Q1985" s="72"/>
      <c r="T1985" s="72"/>
      <c r="U1985" s="93"/>
      <c r="X1985" s="114" t="str">
        <f t="shared" si="43"/>
        <v>1w</v>
      </c>
      <c r="Y1985" s="112">
        <f>_xll.qlCalendarAdvance(Calendar,Y1984,X1985,"f",FALSE)</f>
        <v>53085</v>
      </c>
      <c r="Z1985" s="115">
        <f>_xll.qlCalendarAdvance(Calendar,Y1985,NDays&amp;"D")</f>
        <v>53085</v>
      </c>
      <c r="AA1985" s="116" t="e">
        <v>#N/A</v>
      </c>
      <c r="AB1985" s="113">
        <v>3.6141209032429789E-2</v>
      </c>
    </row>
    <row r="1986" spans="17:28" x14ac:dyDescent="0.2">
      <c r="Q1986" s="72"/>
      <c r="T1986" s="72"/>
      <c r="U1986" s="93"/>
      <c r="X1986" s="114" t="str">
        <f t="shared" si="43"/>
        <v>1w</v>
      </c>
      <c r="Y1986" s="112">
        <f>_xll.qlCalendarAdvance(Calendar,Y1985,X1986,"f",FALSE)</f>
        <v>53092</v>
      </c>
      <c r="Z1986" s="115">
        <f>_xll.qlCalendarAdvance(Calendar,Y1986,NDays&amp;"D")</f>
        <v>53092</v>
      </c>
      <c r="AA1986" s="116" t="e">
        <v>#N/A</v>
      </c>
      <c r="AB1986" s="113">
        <v>3.6141197567784999E-2</v>
      </c>
    </row>
    <row r="1987" spans="17:28" x14ac:dyDescent="0.2">
      <c r="Q1987" s="72"/>
      <c r="T1987" s="72"/>
      <c r="U1987" s="93"/>
      <c r="X1987" s="114" t="str">
        <f t="shared" si="43"/>
        <v>1w</v>
      </c>
      <c r="Y1987" s="112">
        <f>_xll.qlCalendarAdvance(Calendar,Y1986,X1987,"f",FALSE)</f>
        <v>53099</v>
      </c>
      <c r="Z1987" s="115">
        <f>_xll.qlCalendarAdvance(Calendar,Y1987,NDays&amp;"D")</f>
        <v>53099</v>
      </c>
      <c r="AA1987" s="116" t="e">
        <v>#N/A</v>
      </c>
      <c r="AB1987" s="113" t="e">
        <v>#N/A</v>
      </c>
    </row>
    <row r="1988" spans="17:28" x14ac:dyDescent="0.2">
      <c r="Q1988" s="72"/>
      <c r="T1988" s="72"/>
      <c r="U1988" s="93"/>
      <c r="X1988" s="114" t="str">
        <f t="shared" si="43"/>
        <v>1w</v>
      </c>
      <c r="Y1988" s="112">
        <f>_xll.qlCalendarAdvance(Calendar,Y1987,X1988,"f",FALSE)</f>
        <v>53106</v>
      </c>
      <c r="Z1988" s="115">
        <f>_xll.qlCalendarAdvance(Calendar,Y1988,NDays&amp;"D")</f>
        <v>53106</v>
      </c>
      <c r="AA1988" s="116" t="e">
        <v>#N/A</v>
      </c>
      <c r="AB1988" s="113" t="e">
        <v>#N/A</v>
      </c>
    </row>
    <row r="1989" spans="17:28" x14ac:dyDescent="0.2">
      <c r="Q1989" s="72"/>
      <c r="T1989" s="72"/>
      <c r="U1989" s="93"/>
      <c r="X1989" s="114" t="str">
        <f t="shared" si="43"/>
        <v>1w</v>
      </c>
      <c r="Y1989" s="112">
        <f>_xll.qlCalendarAdvance(Calendar,Y1988,X1989,"f",FALSE)</f>
        <v>53113</v>
      </c>
      <c r="Z1989" s="115">
        <f>_xll.qlCalendarAdvance(Calendar,Y1989,NDays&amp;"D")</f>
        <v>53113</v>
      </c>
      <c r="AA1989" s="116" t="e">
        <v>#N/A</v>
      </c>
      <c r="AB1989" s="113" t="e">
        <v>#N/A</v>
      </c>
    </row>
    <row r="1990" spans="17:28" x14ac:dyDescent="0.2">
      <c r="Q1990" s="72"/>
      <c r="T1990" s="72"/>
      <c r="U1990" s="93"/>
      <c r="X1990" s="114" t="str">
        <f t="shared" si="43"/>
        <v>1w</v>
      </c>
      <c r="Y1990" s="112">
        <f>_xll.qlCalendarAdvance(Calendar,Y1989,X1990,"f",FALSE)</f>
        <v>53120</v>
      </c>
      <c r="Z1990" s="115">
        <f>_xll.qlCalendarAdvance(Calendar,Y1990,NDays&amp;"D")</f>
        <v>53120</v>
      </c>
      <c r="AA1990" s="116" t="e">
        <v>#N/A</v>
      </c>
      <c r="AB1990" s="113" t="e">
        <v>#N/A</v>
      </c>
    </row>
    <row r="1991" spans="17:28" x14ac:dyDescent="0.2">
      <c r="Q1991" s="72"/>
      <c r="T1991" s="72"/>
      <c r="U1991" s="93"/>
      <c r="X1991" s="114" t="str">
        <f t="shared" si="43"/>
        <v>1w</v>
      </c>
      <c r="Y1991" s="112">
        <f>_xll.qlCalendarAdvance(Calendar,Y1990,X1991,"f",FALSE)</f>
        <v>53127</v>
      </c>
      <c r="Z1991" s="115">
        <f>_xll.qlCalendarAdvance(Calendar,Y1991,NDays&amp;"D")</f>
        <v>53127</v>
      </c>
      <c r="AA1991" s="116" t="e">
        <v>#N/A</v>
      </c>
      <c r="AB1991" s="113" t="e">
        <v>#N/A</v>
      </c>
    </row>
    <row r="1992" spans="17:28" x14ac:dyDescent="0.2">
      <c r="Q1992" s="72"/>
      <c r="T1992" s="72"/>
      <c r="U1992" s="93"/>
      <c r="X1992" s="114" t="str">
        <f t="shared" si="43"/>
        <v>1w</v>
      </c>
      <c r="Y1992" s="112">
        <f>_xll.qlCalendarAdvance(Calendar,Y1991,X1992,"f",FALSE)</f>
        <v>53134</v>
      </c>
      <c r="Z1992" s="115">
        <f>_xll.qlCalendarAdvance(Calendar,Y1992,NDays&amp;"D")</f>
        <v>53134</v>
      </c>
      <c r="AA1992" s="116" t="e">
        <v>#N/A</v>
      </c>
      <c r="AB1992" s="113" t="e">
        <v>#N/A</v>
      </c>
    </row>
    <row r="1993" spans="17:28" x14ac:dyDescent="0.2">
      <c r="Q1993" s="72"/>
      <c r="T1993" s="72"/>
      <c r="U1993" s="93"/>
      <c r="X1993" s="114" t="str">
        <f t="shared" si="43"/>
        <v>1w</v>
      </c>
      <c r="Y1993" s="112">
        <f>_xll.qlCalendarAdvance(Calendar,Y1992,X1993,"f",FALSE)</f>
        <v>53141</v>
      </c>
      <c r="Z1993" s="115">
        <f>_xll.qlCalendarAdvance(Calendar,Y1993,NDays&amp;"D")</f>
        <v>53141</v>
      </c>
      <c r="AA1993" s="116" t="e">
        <v>#N/A</v>
      </c>
      <c r="AB1993" s="113" t="e">
        <v>#N/A</v>
      </c>
    </row>
    <row r="1994" spans="17:28" x14ac:dyDescent="0.2">
      <c r="Q1994" s="72"/>
      <c r="T1994" s="72"/>
      <c r="U1994" s="93"/>
      <c r="X1994" s="114" t="str">
        <f t="shared" si="43"/>
        <v>1w</v>
      </c>
      <c r="Y1994" s="112">
        <f>_xll.qlCalendarAdvance(Calendar,Y1993,X1994,"f",FALSE)</f>
        <v>53148</v>
      </c>
      <c r="Z1994" s="115">
        <f>_xll.qlCalendarAdvance(Calendar,Y1994,NDays&amp;"D")</f>
        <v>53148</v>
      </c>
      <c r="AA1994" s="116" t="e">
        <v>#N/A</v>
      </c>
      <c r="AB1994" s="113" t="e">
        <v>#N/A</v>
      </c>
    </row>
    <row r="1995" spans="17:28" x14ac:dyDescent="0.2">
      <c r="Q1995" s="72"/>
      <c r="T1995" s="72"/>
      <c r="U1995" s="93"/>
      <c r="X1995" s="114" t="str">
        <f t="shared" si="43"/>
        <v>1w</v>
      </c>
      <c r="Y1995" s="112">
        <f>_xll.qlCalendarAdvance(Calendar,Y1994,X1995,"f",FALSE)</f>
        <v>53155</v>
      </c>
      <c r="Z1995" s="115">
        <f>_xll.qlCalendarAdvance(Calendar,Y1995,NDays&amp;"D")</f>
        <v>53155</v>
      </c>
      <c r="AA1995" s="116" t="e">
        <v>#N/A</v>
      </c>
      <c r="AB1995" s="113" t="e">
        <v>#N/A</v>
      </c>
    </row>
    <row r="1996" spans="17:28" x14ac:dyDescent="0.2">
      <c r="Q1996" s="72"/>
      <c r="T1996" s="72"/>
      <c r="U1996" s="93"/>
      <c r="X1996" s="114" t="str">
        <f t="shared" si="43"/>
        <v>1w</v>
      </c>
      <c r="Y1996" s="112">
        <f>_xll.qlCalendarAdvance(Calendar,Y1995,X1996,"f",FALSE)</f>
        <v>53162</v>
      </c>
      <c r="Z1996" s="115">
        <f>_xll.qlCalendarAdvance(Calendar,Y1996,NDays&amp;"D")</f>
        <v>53162</v>
      </c>
      <c r="AA1996" s="116" t="e">
        <v>#N/A</v>
      </c>
      <c r="AB1996" s="113" t="e">
        <v>#N/A</v>
      </c>
    </row>
    <row r="1997" spans="17:28" x14ac:dyDescent="0.2">
      <c r="Q1997" s="72"/>
      <c r="T1997" s="72"/>
      <c r="U1997" s="93"/>
      <c r="X1997" s="114" t="str">
        <f t="shared" si="43"/>
        <v>1w</v>
      </c>
      <c r="Y1997" s="112">
        <f>_xll.qlCalendarAdvance(Calendar,Y1996,X1997,"f",FALSE)</f>
        <v>53169</v>
      </c>
      <c r="Z1997" s="115">
        <f>_xll.qlCalendarAdvance(Calendar,Y1997,NDays&amp;"D")</f>
        <v>53169</v>
      </c>
      <c r="AA1997" s="116" t="e">
        <v>#N/A</v>
      </c>
      <c r="AB1997" s="113" t="e">
        <v>#N/A</v>
      </c>
    </row>
    <row r="1998" spans="17:28" x14ac:dyDescent="0.2">
      <c r="Q1998" s="72"/>
      <c r="T1998" s="72"/>
      <c r="U1998" s="93"/>
      <c r="X1998" s="114" t="str">
        <f t="shared" si="43"/>
        <v>1w</v>
      </c>
      <c r="Y1998" s="112">
        <f>_xll.qlCalendarAdvance(Calendar,Y1997,X1998,"f",FALSE)</f>
        <v>53176</v>
      </c>
      <c r="Z1998" s="115">
        <f>_xll.qlCalendarAdvance(Calendar,Y1998,NDays&amp;"D")</f>
        <v>53176</v>
      </c>
      <c r="AA1998" s="116" t="e">
        <v>#N/A</v>
      </c>
      <c r="AB1998" s="113" t="e">
        <v>#N/A</v>
      </c>
    </row>
    <row r="1999" spans="17:28" x14ac:dyDescent="0.2">
      <c r="Q1999" s="72"/>
      <c r="T1999" s="72"/>
      <c r="U1999" s="93"/>
      <c r="X1999" s="114" t="str">
        <f t="shared" si="43"/>
        <v>1w</v>
      </c>
      <c r="Y1999" s="112">
        <f>_xll.qlCalendarAdvance(Calendar,Y1998,X1999,"f",FALSE)</f>
        <v>53183</v>
      </c>
      <c r="Z1999" s="115">
        <f>_xll.qlCalendarAdvance(Calendar,Y1999,NDays&amp;"D")</f>
        <v>53183</v>
      </c>
      <c r="AA1999" s="116" t="e">
        <v>#N/A</v>
      </c>
      <c r="AB1999" s="113" t="e">
        <v>#N/A</v>
      </c>
    </row>
    <row r="2000" spans="17:28" x14ac:dyDescent="0.2">
      <c r="Q2000" s="72"/>
      <c r="T2000" s="72"/>
      <c r="U2000" s="93"/>
      <c r="X2000" s="114" t="str">
        <f t="shared" si="43"/>
        <v>1w</v>
      </c>
      <c r="Y2000" s="112">
        <f>_xll.qlCalendarAdvance(Calendar,Y1999,X2000,"f",FALSE)</f>
        <v>53190</v>
      </c>
      <c r="Z2000" s="115">
        <f>_xll.qlCalendarAdvance(Calendar,Y2000,NDays&amp;"D")</f>
        <v>53190</v>
      </c>
      <c r="AA2000" s="116" t="e">
        <v>#N/A</v>
      </c>
      <c r="AB2000" s="113" t="e">
        <v>#N/A</v>
      </c>
    </row>
    <row r="2001" spans="17:28" x14ac:dyDescent="0.2">
      <c r="Q2001" s="72"/>
      <c r="T2001" s="72"/>
      <c r="U2001" s="93"/>
      <c r="X2001" s="114" t="str">
        <f t="shared" si="43"/>
        <v>1w</v>
      </c>
      <c r="Y2001" s="112">
        <f>_xll.qlCalendarAdvance(Calendar,Y2000,X2001,"f",FALSE)</f>
        <v>53197</v>
      </c>
      <c r="Z2001" s="115">
        <f>_xll.qlCalendarAdvance(Calendar,Y2001,NDays&amp;"D")</f>
        <v>53197</v>
      </c>
      <c r="AA2001" s="116" t="e">
        <v>#N/A</v>
      </c>
      <c r="AB2001" s="113" t="e">
        <v>#N/A</v>
      </c>
    </row>
    <row r="2002" spans="17:28" x14ac:dyDescent="0.2">
      <c r="Q2002" s="72"/>
      <c r="T2002" s="72"/>
      <c r="U2002" s="93"/>
      <c r="X2002" s="114" t="str">
        <f t="shared" si="43"/>
        <v>1w</v>
      </c>
      <c r="Y2002" s="112">
        <f>_xll.qlCalendarAdvance(Calendar,Y2001,X2002,"f",FALSE)</f>
        <v>53204</v>
      </c>
      <c r="Z2002" s="115">
        <f>_xll.qlCalendarAdvance(Calendar,Y2002,NDays&amp;"D")</f>
        <v>53204</v>
      </c>
      <c r="AA2002" s="116" t="e">
        <v>#N/A</v>
      </c>
      <c r="AB2002" s="113" t="e">
        <v>#N/A</v>
      </c>
    </row>
    <row r="2003" spans="17:28" x14ac:dyDescent="0.2">
      <c r="Q2003" s="72"/>
      <c r="T2003" s="72"/>
      <c r="U2003" s="93"/>
      <c r="X2003" s="114" t="str">
        <f t="shared" si="43"/>
        <v>1w</v>
      </c>
      <c r="Y2003" s="112">
        <f>_xll.qlCalendarAdvance(Calendar,Y2002,X2003,"f",FALSE)</f>
        <v>53211</v>
      </c>
      <c r="Z2003" s="115">
        <f>_xll.qlCalendarAdvance(Calendar,Y2003,NDays&amp;"D")</f>
        <v>53211</v>
      </c>
      <c r="AA2003" s="116" t="e">
        <v>#N/A</v>
      </c>
      <c r="AB2003" s="113" t="e">
        <v>#N/A</v>
      </c>
    </row>
    <row r="2004" spans="17:28" x14ac:dyDescent="0.2">
      <c r="Q2004" s="72"/>
      <c r="T2004" s="72"/>
      <c r="U2004" s="93"/>
      <c r="X2004" s="114" t="str">
        <f t="shared" si="43"/>
        <v>1w</v>
      </c>
      <c r="Y2004" s="112">
        <f>_xll.qlCalendarAdvance(Calendar,Y2003,X2004,"f",FALSE)</f>
        <v>53218</v>
      </c>
      <c r="Z2004" s="115">
        <f>_xll.qlCalendarAdvance(Calendar,Y2004,NDays&amp;"D")</f>
        <v>53218</v>
      </c>
      <c r="AA2004" s="116" t="e">
        <v>#N/A</v>
      </c>
      <c r="AB2004" s="113" t="e">
        <v>#N/A</v>
      </c>
    </row>
    <row r="2005" spans="17:28" x14ac:dyDescent="0.2">
      <c r="Q2005" s="72"/>
      <c r="T2005" s="72"/>
      <c r="U2005" s="93"/>
      <c r="X2005" s="114" t="str">
        <f t="shared" ref="X2005:X2068" si="44">X2004</f>
        <v>1w</v>
      </c>
      <c r="Y2005" s="112">
        <f>_xll.qlCalendarAdvance(Calendar,Y2004,X2005,"f",FALSE)</f>
        <v>53225</v>
      </c>
      <c r="Z2005" s="115">
        <f>_xll.qlCalendarAdvance(Calendar,Y2005,NDays&amp;"D")</f>
        <v>53225</v>
      </c>
      <c r="AA2005" s="116" t="e">
        <v>#N/A</v>
      </c>
      <c r="AB2005" s="113" t="e">
        <v>#N/A</v>
      </c>
    </row>
    <row r="2006" spans="17:28" x14ac:dyDescent="0.2">
      <c r="Q2006" s="72"/>
      <c r="T2006" s="72"/>
      <c r="U2006" s="93"/>
      <c r="X2006" s="114" t="str">
        <f t="shared" si="44"/>
        <v>1w</v>
      </c>
      <c r="Y2006" s="112">
        <f>_xll.qlCalendarAdvance(Calendar,Y2005,X2006,"f",FALSE)</f>
        <v>53232</v>
      </c>
      <c r="Z2006" s="115">
        <f>_xll.qlCalendarAdvance(Calendar,Y2006,NDays&amp;"D")</f>
        <v>53232</v>
      </c>
      <c r="AA2006" s="116" t="e">
        <v>#N/A</v>
      </c>
      <c r="AB2006" s="113" t="e">
        <v>#N/A</v>
      </c>
    </row>
    <row r="2007" spans="17:28" x14ac:dyDescent="0.2">
      <c r="Q2007" s="72"/>
      <c r="T2007" s="72"/>
      <c r="U2007" s="93"/>
      <c r="X2007" s="114" t="str">
        <f t="shared" si="44"/>
        <v>1w</v>
      </c>
      <c r="Y2007" s="112">
        <f>_xll.qlCalendarAdvance(Calendar,Y2006,X2007,"f",FALSE)</f>
        <v>53239</v>
      </c>
      <c r="Z2007" s="115">
        <f>_xll.qlCalendarAdvance(Calendar,Y2007,NDays&amp;"D")</f>
        <v>53239</v>
      </c>
      <c r="AA2007" s="116" t="e">
        <v>#N/A</v>
      </c>
      <c r="AB2007" s="113" t="e">
        <v>#N/A</v>
      </c>
    </row>
    <row r="2008" spans="17:28" x14ac:dyDescent="0.2">
      <c r="Q2008" s="72"/>
      <c r="T2008" s="72"/>
      <c r="U2008" s="93"/>
      <c r="X2008" s="114" t="str">
        <f t="shared" si="44"/>
        <v>1w</v>
      </c>
      <c r="Y2008" s="112">
        <f>_xll.qlCalendarAdvance(Calendar,Y2007,X2008,"f",FALSE)</f>
        <v>53246</v>
      </c>
      <c r="Z2008" s="115">
        <f>_xll.qlCalendarAdvance(Calendar,Y2008,NDays&amp;"D")</f>
        <v>53246</v>
      </c>
      <c r="AA2008" s="116" t="e">
        <v>#N/A</v>
      </c>
      <c r="AB2008" s="113" t="e">
        <v>#N/A</v>
      </c>
    </row>
    <row r="2009" spans="17:28" x14ac:dyDescent="0.2">
      <c r="Q2009" s="72"/>
      <c r="T2009" s="72"/>
      <c r="U2009" s="93"/>
      <c r="X2009" s="114" t="str">
        <f t="shared" si="44"/>
        <v>1w</v>
      </c>
      <c r="Y2009" s="112">
        <f>_xll.qlCalendarAdvance(Calendar,Y2008,X2009,"f",FALSE)</f>
        <v>53253</v>
      </c>
      <c r="Z2009" s="115">
        <f>_xll.qlCalendarAdvance(Calendar,Y2009,NDays&amp;"D")</f>
        <v>53253</v>
      </c>
      <c r="AA2009" s="116" t="e">
        <v>#N/A</v>
      </c>
      <c r="AB2009" s="113" t="e">
        <v>#N/A</v>
      </c>
    </row>
    <row r="2010" spans="17:28" x14ac:dyDescent="0.2">
      <c r="Q2010" s="72"/>
      <c r="T2010" s="72"/>
      <c r="U2010" s="93"/>
      <c r="X2010" s="114" t="str">
        <f t="shared" si="44"/>
        <v>1w</v>
      </c>
      <c r="Y2010" s="112">
        <f>_xll.qlCalendarAdvance(Calendar,Y2009,X2010,"f",FALSE)</f>
        <v>53260</v>
      </c>
      <c r="Z2010" s="115">
        <f>_xll.qlCalendarAdvance(Calendar,Y2010,NDays&amp;"D")</f>
        <v>53260</v>
      </c>
      <c r="AA2010" s="116" t="e">
        <v>#N/A</v>
      </c>
      <c r="AB2010" s="113" t="e">
        <v>#N/A</v>
      </c>
    </row>
    <row r="2011" spans="17:28" x14ac:dyDescent="0.2">
      <c r="Q2011" s="72"/>
      <c r="T2011" s="72"/>
      <c r="U2011" s="93"/>
      <c r="X2011" s="114" t="str">
        <f t="shared" si="44"/>
        <v>1w</v>
      </c>
      <c r="Y2011" s="112">
        <f>_xll.qlCalendarAdvance(Calendar,Y2010,X2011,"f",FALSE)</f>
        <v>53267</v>
      </c>
      <c r="Z2011" s="115">
        <f>_xll.qlCalendarAdvance(Calendar,Y2011,NDays&amp;"D")</f>
        <v>53267</v>
      </c>
      <c r="AA2011" s="116" t="e">
        <v>#N/A</v>
      </c>
      <c r="AB2011" s="113" t="e">
        <v>#N/A</v>
      </c>
    </row>
    <row r="2012" spans="17:28" x14ac:dyDescent="0.2">
      <c r="Q2012" s="72"/>
      <c r="T2012" s="72"/>
      <c r="U2012" s="93"/>
      <c r="X2012" s="114" t="str">
        <f t="shared" si="44"/>
        <v>1w</v>
      </c>
      <c r="Y2012" s="112">
        <f>_xll.qlCalendarAdvance(Calendar,Y2011,X2012,"f",FALSE)</f>
        <v>53274</v>
      </c>
      <c r="Z2012" s="115">
        <f>_xll.qlCalendarAdvance(Calendar,Y2012,NDays&amp;"D")</f>
        <v>53274</v>
      </c>
      <c r="AA2012" s="116" t="e">
        <v>#N/A</v>
      </c>
      <c r="AB2012" s="113" t="e">
        <v>#N/A</v>
      </c>
    </row>
    <row r="2013" spans="17:28" x14ac:dyDescent="0.2">
      <c r="Q2013" s="72"/>
      <c r="T2013" s="72"/>
      <c r="U2013" s="93"/>
      <c r="X2013" s="114" t="str">
        <f t="shared" si="44"/>
        <v>1w</v>
      </c>
      <c r="Y2013" s="112">
        <f>_xll.qlCalendarAdvance(Calendar,Y2012,X2013,"f",FALSE)</f>
        <v>53281</v>
      </c>
      <c r="Z2013" s="115">
        <f>_xll.qlCalendarAdvance(Calendar,Y2013,NDays&amp;"D")</f>
        <v>53281</v>
      </c>
      <c r="AA2013" s="116" t="e">
        <v>#N/A</v>
      </c>
      <c r="AB2013" s="113" t="e">
        <v>#N/A</v>
      </c>
    </row>
    <row r="2014" spans="17:28" x14ac:dyDescent="0.2">
      <c r="Q2014" s="72"/>
      <c r="T2014" s="72"/>
      <c r="U2014" s="93"/>
      <c r="X2014" s="114" t="str">
        <f t="shared" si="44"/>
        <v>1w</v>
      </c>
      <c r="Y2014" s="112">
        <f>_xll.qlCalendarAdvance(Calendar,Y2013,X2014,"f",FALSE)</f>
        <v>53288</v>
      </c>
      <c r="Z2014" s="115">
        <f>_xll.qlCalendarAdvance(Calendar,Y2014,NDays&amp;"D")</f>
        <v>53288</v>
      </c>
      <c r="AA2014" s="116" t="e">
        <v>#N/A</v>
      </c>
      <c r="AB2014" s="113" t="e">
        <v>#N/A</v>
      </c>
    </row>
    <row r="2015" spans="17:28" x14ac:dyDescent="0.2">
      <c r="Q2015" s="72"/>
      <c r="T2015" s="72"/>
      <c r="U2015" s="93"/>
      <c r="X2015" s="114" t="str">
        <f t="shared" si="44"/>
        <v>1w</v>
      </c>
      <c r="Y2015" s="112">
        <f>_xll.qlCalendarAdvance(Calendar,Y2014,X2015,"f",FALSE)</f>
        <v>53295</v>
      </c>
      <c r="Z2015" s="115">
        <f>_xll.qlCalendarAdvance(Calendar,Y2015,NDays&amp;"D")</f>
        <v>53295</v>
      </c>
      <c r="AA2015" s="116" t="e">
        <v>#N/A</v>
      </c>
      <c r="AB2015" s="113" t="e">
        <v>#N/A</v>
      </c>
    </row>
    <row r="2016" spans="17:28" x14ac:dyDescent="0.2">
      <c r="Q2016" s="72"/>
      <c r="T2016" s="72"/>
      <c r="U2016" s="93"/>
      <c r="X2016" s="114" t="str">
        <f t="shared" si="44"/>
        <v>1w</v>
      </c>
      <c r="Y2016" s="112">
        <f>_xll.qlCalendarAdvance(Calendar,Y2015,X2016,"f",FALSE)</f>
        <v>53302</v>
      </c>
      <c r="Z2016" s="115">
        <f>_xll.qlCalendarAdvance(Calendar,Y2016,NDays&amp;"D")</f>
        <v>53302</v>
      </c>
      <c r="AA2016" s="116" t="e">
        <v>#N/A</v>
      </c>
      <c r="AB2016" s="113" t="e">
        <v>#N/A</v>
      </c>
    </row>
    <row r="2017" spans="17:28" x14ac:dyDescent="0.2">
      <c r="Q2017" s="72"/>
      <c r="T2017" s="72"/>
      <c r="U2017" s="93"/>
      <c r="X2017" s="114" t="str">
        <f t="shared" si="44"/>
        <v>1w</v>
      </c>
      <c r="Y2017" s="112">
        <f>_xll.qlCalendarAdvance(Calendar,Y2016,X2017,"f",FALSE)</f>
        <v>53309</v>
      </c>
      <c r="Z2017" s="115">
        <f>_xll.qlCalendarAdvance(Calendar,Y2017,NDays&amp;"D")</f>
        <v>53309</v>
      </c>
      <c r="AA2017" s="116" t="e">
        <v>#N/A</v>
      </c>
      <c r="AB2017" s="113" t="e">
        <v>#N/A</v>
      </c>
    </row>
    <row r="2018" spans="17:28" x14ac:dyDescent="0.2">
      <c r="Q2018" s="72"/>
      <c r="T2018" s="72"/>
      <c r="U2018" s="93"/>
      <c r="X2018" s="114" t="str">
        <f t="shared" si="44"/>
        <v>1w</v>
      </c>
      <c r="Y2018" s="112">
        <f>_xll.qlCalendarAdvance(Calendar,Y2017,X2018,"f",FALSE)</f>
        <v>53316</v>
      </c>
      <c r="Z2018" s="115">
        <f>_xll.qlCalendarAdvance(Calendar,Y2018,NDays&amp;"D")</f>
        <v>53316</v>
      </c>
      <c r="AA2018" s="116" t="e">
        <v>#N/A</v>
      </c>
      <c r="AB2018" s="113" t="e">
        <v>#N/A</v>
      </c>
    </row>
    <row r="2019" spans="17:28" x14ac:dyDescent="0.2">
      <c r="Q2019" s="72"/>
      <c r="T2019" s="72"/>
      <c r="U2019" s="93"/>
      <c r="X2019" s="114" t="str">
        <f t="shared" si="44"/>
        <v>1w</v>
      </c>
      <c r="Y2019" s="112">
        <f>_xll.qlCalendarAdvance(Calendar,Y2018,X2019,"f",FALSE)</f>
        <v>53323</v>
      </c>
      <c r="Z2019" s="115">
        <f>_xll.qlCalendarAdvance(Calendar,Y2019,NDays&amp;"D")</f>
        <v>53323</v>
      </c>
      <c r="AA2019" s="116" t="e">
        <v>#N/A</v>
      </c>
      <c r="AB2019" s="113" t="e">
        <v>#N/A</v>
      </c>
    </row>
    <row r="2020" spans="17:28" x14ac:dyDescent="0.2">
      <c r="Q2020" s="72"/>
      <c r="T2020" s="72"/>
      <c r="U2020" s="93"/>
      <c r="X2020" s="114" t="str">
        <f t="shared" si="44"/>
        <v>1w</v>
      </c>
      <c r="Y2020" s="112">
        <f>_xll.qlCalendarAdvance(Calendar,Y2019,X2020,"f",FALSE)</f>
        <v>53330</v>
      </c>
      <c r="Z2020" s="115">
        <f>_xll.qlCalendarAdvance(Calendar,Y2020,NDays&amp;"D")</f>
        <v>53330</v>
      </c>
      <c r="AA2020" s="116" t="e">
        <v>#N/A</v>
      </c>
      <c r="AB2020" s="113" t="e">
        <v>#N/A</v>
      </c>
    </row>
    <row r="2021" spans="17:28" x14ac:dyDescent="0.2">
      <c r="Q2021" s="72"/>
      <c r="T2021" s="72"/>
      <c r="U2021" s="93"/>
      <c r="X2021" s="114" t="str">
        <f t="shared" si="44"/>
        <v>1w</v>
      </c>
      <c r="Y2021" s="112">
        <f>_xll.qlCalendarAdvance(Calendar,Y2020,X2021,"f",FALSE)</f>
        <v>53337</v>
      </c>
      <c r="Z2021" s="115">
        <f>_xll.qlCalendarAdvance(Calendar,Y2021,NDays&amp;"D")</f>
        <v>53337</v>
      </c>
      <c r="AA2021" s="116" t="e">
        <v>#N/A</v>
      </c>
      <c r="AB2021" s="113" t="e">
        <v>#N/A</v>
      </c>
    </row>
    <row r="2022" spans="17:28" x14ac:dyDescent="0.2">
      <c r="Q2022" s="72"/>
      <c r="T2022" s="72"/>
      <c r="U2022" s="93"/>
      <c r="X2022" s="114" t="str">
        <f t="shared" si="44"/>
        <v>1w</v>
      </c>
      <c r="Y2022" s="112">
        <f>_xll.qlCalendarAdvance(Calendar,Y2021,X2022,"f",FALSE)</f>
        <v>53344</v>
      </c>
      <c r="Z2022" s="115">
        <f>_xll.qlCalendarAdvance(Calendar,Y2022,NDays&amp;"D")</f>
        <v>53344</v>
      </c>
      <c r="AA2022" s="116" t="e">
        <v>#N/A</v>
      </c>
      <c r="AB2022" s="113" t="e">
        <v>#N/A</v>
      </c>
    </row>
    <row r="2023" spans="17:28" x14ac:dyDescent="0.2">
      <c r="Q2023" s="72"/>
      <c r="T2023" s="72"/>
      <c r="U2023" s="93"/>
      <c r="X2023" s="114" t="str">
        <f t="shared" si="44"/>
        <v>1w</v>
      </c>
      <c r="Y2023" s="112">
        <f>_xll.qlCalendarAdvance(Calendar,Y2022,X2023,"f",FALSE)</f>
        <v>53351</v>
      </c>
      <c r="Z2023" s="115">
        <f>_xll.qlCalendarAdvance(Calendar,Y2023,NDays&amp;"D")</f>
        <v>53351</v>
      </c>
      <c r="AA2023" s="116" t="e">
        <v>#N/A</v>
      </c>
      <c r="AB2023" s="113" t="e">
        <v>#N/A</v>
      </c>
    </row>
    <row r="2024" spans="17:28" x14ac:dyDescent="0.2">
      <c r="Q2024" s="72"/>
      <c r="T2024" s="72"/>
      <c r="U2024" s="93"/>
      <c r="X2024" s="114" t="str">
        <f t="shared" si="44"/>
        <v>1w</v>
      </c>
      <c r="Y2024" s="112">
        <f>_xll.qlCalendarAdvance(Calendar,Y2023,X2024,"f",FALSE)</f>
        <v>53358</v>
      </c>
      <c r="Z2024" s="115">
        <f>_xll.qlCalendarAdvance(Calendar,Y2024,NDays&amp;"D")</f>
        <v>53358</v>
      </c>
      <c r="AA2024" s="116" t="e">
        <v>#N/A</v>
      </c>
      <c r="AB2024" s="113" t="e">
        <v>#N/A</v>
      </c>
    </row>
    <row r="2025" spans="17:28" x14ac:dyDescent="0.2">
      <c r="Q2025" s="72"/>
      <c r="T2025" s="72"/>
      <c r="U2025" s="93"/>
      <c r="X2025" s="114" t="str">
        <f t="shared" si="44"/>
        <v>1w</v>
      </c>
      <c r="Y2025" s="112">
        <f>_xll.qlCalendarAdvance(Calendar,Y2024,X2025,"f",FALSE)</f>
        <v>53365</v>
      </c>
      <c r="Z2025" s="115">
        <f>_xll.qlCalendarAdvance(Calendar,Y2025,NDays&amp;"D")</f>
        <v>53365</v>
      </c>
      <c r="AA2025" s="116" t="e">
        <v>#N/A</v>
      </c>
      <c r="AB2025" s="113" t="e">
        <v>#N/A</v>
      </c>
    </row>
    <row r="2026" spans="17:28" x14ac:dyDescent="0.2">
      <c r="Q2026" s="72"/>
      <c r="T2026" s="72"/>
      <c r="U2026" s="93"/>
      <c r="X2026" s="114" t="str">
        <f t="shared" si="44"/>
        <v>1w</v>
      </c>
      <c r="Y2026" s="112">
        <f>_xll.qlCalendarAdvance(Calendar,Y2025,X2026,"f",FALSE)</f>
        <v>53372</v>
      </c>
      <c r="Z2026" s="115">
        <f>_xll.qlCalendarAdvance(Calendar,Y2026,NDays&amp;"D")</f>
        <v>53372</v>
      </c>
      <c r="AA2026" s="116" t="e">
        <v>#N/A</v>
      </c>
      <c r="AB2026" s="113" t="e">
        <v>#N/A</v>
      </c>
    </row>
    <row r="2027" spans="17:28" x14ac:dyDescent="0.2">
      <c r="Q2027" s="72"/>
      <c r="T2027" s="72"/>
      <c r="U2027" s="93"/>
      <c r="X2027" s="114" t="str">
        <f t="shared" si="44"/>
        <v>1w</v>
      </c>
      <c r="Y2027" s="112">
        <f>_xll.qlCalendarAdvance(Calendar,Y2026,X2027,"f",FALSE)</f>
        <v>53379</v>
      </c>
      <c r="Z2027" s="115">
        <f>_xll.qlCalendarAdvance(Calendar,Y2027,NDays&amp;"D")</f>
        <v>53379</v>
      </c>
      <c r="AA2027" s="116" t="e">
        <v>#N/A</v>
      </c>
      <c r="AB2027" s="113" t="e">
        <v>#N/A</v>
      </c>
    </row>
    <row r="2028" spans="17:28" x14ac:dyDescent="0.2">
      <c r="Q2028" s="72"/>
      <c r="T2028" s="72"/>
      <c r="U2028" s="93"/>
      <c r="X2028" s="114" t="str">
        <f t="shared" si="44"/>
        <v>1w</v>
      </c>
      <c r="Y2028" s="112">
        <f>_xll.qlCalendarAdvance(Calendar,Y2027,X2028,"f",FALSE)</f>
        <v>53386</v>
      </c>
      <c r="Z2028" s="115">
        <f>_xll.qlCalendarAdvance(Calendar,Y2028,NDays&amp;"D")</f>
        <v>53386</v>
      </c>
      <c r="AA2028" s="116" t="e">
        <v>#N/A</v>
      </c>
      <c r="AB2028" s="113" t="e">
        <v>#N/A</v>
      </c>
    </row>
    <row r="2029" spans="17:28" x14ac:dyDescent="0.2">
      <c r="Q2029" s="72"/>
      <c r="T2029" s="72"/>
      <c r="U2029" s="93"/>
      <c r="X2029" s="114" t="str">
        <f t="shared" si="44"/>
        <v>1w</v>
      </c>
      <c r="Y2029" s="112">
        <f>_xll.qlCalendarAdvance(Calendar,Y2028,X2029,"f",FALSE)</f>
        <v>53393</v>
      </c>
      <c r="Z2029" s="115">
        <f>_xll.qlCalendarAdvance(Calendar,Y2029,NDays&amp;"D")</f>
        <v>53393</v>
      </c>
      <c r="AA2029" s="116" t="e">
        <v>#N/A</v>
      </c>
      <c r="AB2029" s="113" t="e">
        <v>#N/A</v>
      </c>
    </row>
    <row r="2030" spans="17:28" x14ac:dyDescent="0.2">
      <c r="Q2030" s="72"/>
      <c r="T2030" s="72"/>
      <c r="U2030" s="93"/>
      <c r="X2030" s="114" t="str">
        <f t="shared" si="44"/>
        <v>1w</v>
      </c>
      <c r="Y2030" s="112">
        <f>_xll.qlCalendarAdvance(Calendar,Y2029,X2030,"f",FALSE)</f>
        <v>53400</v>
      </c>
      <c r="Z2030" s="115">
        <f>_xll.qlCalendarAdvance(Calendar,Y2030,NDays&amp;"D")</f>
        <v>53400</v>
      </c>
      <c r="AA2030" s="116" t="e">
        <v>#N/A</v>
      </c>
      <c r="AB2030" s="113" t="e">
        <v>#N/A</v>
      </c>
    </row>
    <row r="2031" spans="17:28" x14ac:dyDescent="0.2">
      <c r="Q2031" s="72"/>
      <c r="T2031" s="72"/>
      <c r="U2031" s="93"/>
      <c r="X2031" s="114" t="str">
        <f t="shared" si="44"/>
        <v>1w</v>
      </c>
      <c r="Y2031" s="112">
        <f>_xll.qlCalendarAdvance(Calendar,Y2030,X2031,"f",FALSE)</f>
        <v>53407</v>
      </c>
      <c r="Z2031" s="115">
        <f>_xll.qlCalendarAdvance(Calendar,Y2031,NDays&amp;"D")</f>
        <v>53407</v>
      </c>
      <c r="AA2031" s="116" t="e">
        <v>#N/A</v>
      </c>
      <c r="AB2031" s="113" t="e">
        <v>#N/A</v>
      </c>
    </row>
    <row r="2032" spans="17:28" x14ac:dyDescent="0.2">
      <c r="Q2032" s="72"/>
      <c r="T2032" s="72"/>
      <c r="U2032" s="93"/>
      <c r="X2032" s="114" t="str">
        <f t="shared" si="44"/>
        <v>1w</v>
      </c>
      <c r="Y2032" s="112">
        <f>_xll.qlCalendarAdvance(Calendar,Y2031,X2032,"f",FALSE)</f>
        <v>53414</v>
      </c>
      <c r="Z2032" s="115">
        <f>_xll.qlCalendarAdvance(Calendar,Y2032,NDays&amp;"D")</f>
        <v>53414</v>
      </c>
      <c r="AA2032" s="116" t="e">
        <v>#N/A</v>
      </c>
      <c r="AB2032" s="113" t="e">
        <v>#N/A</v>
      </c>
    </row>
    <row r="2033" spans="17:28" x14ac:dyDescent="0.2">
      <c r="Q2033" s="72"/>
      <c r="T2033" s="72"/>
      <c r="U2033" s="93"/>
      <c r="X2033" s="114" t="str">
        <f t="shared" si="44"/>
        <v>1w</v>
      </c>
      <c r="Y2033" s="112">
        <f>_xll.qlCalendarAdvance(Calendar,Y2032,X2033,"f",FALSE)</f>
        <v>53421</v>
      </c>
      <c r="Z2033" s="115">
        <f>_xll.qlCalendarAdvance(Calendar,Y2033,NDays&amp;"D")</f>
        <v>53421</v>
      </c>
      <c r="AA2033" s="116" t="e">
        <v>#N/A</v>
      </c>
      <c r="AB2033" s="113" t="e">
        <v>#N/A</v>
      </c>
    </row>
    <row r="2034" spans="17:28" x14ac:dyDescent="0.2">
      <c r="Q2034" s="72"/>
      <c r="T2034" s="72"/>
      <c r="U2034" s="93"/>
      <c r="X2034" s="114" t="str">
        <f t="shared" si="44"/>
        <v>1w</v>
      </c>
      <c r="Y2034" s="112">
        <f>_xll.qlCalendarAdvance(Calendar,Y2033,X2034,"f",FALSE)</f>
        <v>53428</v>
      </c>
      <c r="Z2034" s="115">
        <f>_xll.qlCalendarAdvance(Calendar,Y2034,NDays&amp;"D")</f>
        <v>53428</v>
      </c>
      <c r="AA2034" s="116" t="e">
        <v>#N/A</v>
      </c>
      <c r="AB2034" s="113" t="e">
        <v>#N/A</v>
      </c>
    </row>
    <row r="2035" spans="17:28" x14ac:dyDescent="0.2">
      <c r="Q2035" s="72"/>
      <c r="T2035" s="72"/>
      <c r="U2035" s="93"/>
      <c r="X2035" s="114" t="str">
        <f t="shared" si="44"/>
        <v>1w</v>
      </c>
      <c r="Y2035" s="112">
        <f>_xll.qlCalendarAdvance(Calendar,Y2034,X2035,"f",FALSE)</f>
        <v>53435</v>
      </c>
      <c r="Z2035" s="115">
        <f>_xll.qlCalendarAdvance(Calendar,Y2035,NDays&amp;"D")</f>
        <v>53435</v>
      </c>
      <c r="AA2035" s="116" t="e">
        <v>#N/A</v>
      </c>
      <c r="AB2035" s="113" t="e">
        <v>#N/A</v>
      </c>
    </row>
    <row r="2036" spans="17:28" x14ac:dyDescent="0.2">
      <c r="Q2036" s="72"/>
      <c r="T2036" s="72"/>
      <c r="U2036" s="93"/>
      <c r="X2036" s="114" t="str">
        <f t="shared" si="44"/>
        <v>1w</v>
      </c>
      <c r="Y2036" s="112">
        <f>_xll.qlCalendarAdvance(Calendar,Y2035,X2036,"f",FALSE)</f>
        <v>53443</v>
      </c>
      <c r="Z2036" s="115">
        <f>_xll.qlCalendarAdvance(Calendar,Y2036,NDays&amp;"D")</f>
        <v>53443</v>
      </c>
      <c r="AA2036" s="116" t="e">
        <v>#N/A</v>
      </c>
      <c r="AB2036" s="113" t="e">
        <v>#N/A</v>
      </c>
    </row>
    <row r="2037" spans="17:28" x14ac:dyDescent="0.2">
      <c r="Q2037" s="72"/>
      <c r="T2037" s="72"/>
      <c r="U2037" s="93"/>
      <c r="X2037" s="114" t="str">
        <f t="shared" si="44"/>
        <v>1w</v>
      </c>
      <c r="Y2037" s="112">
        <f>_xll.qlCalendarAdvance(Calendar,Y2036,X2037,"f",FALSE)</f>
        <v>53450</v>
      </c>
      <c r="Z2037" s="115">
        <f>_xll.qlCalendarAdvance(Calendar,Y2037,NDays&amp;"D")</f>
        <v>53450</v>
      </c>
      <c r="AA2037" s="116" t="e">
        <v>#N/A</v>
      </c>
      <c r="AB2037" s="113" t="e">
        <v>#N/A</v>
      </c>
    </row>
    <row r="2038" spans="17:28" x14ac:dyDescent="0.2">
      <c r="Q2038" s="72"/>
      <c r="T2038" s="72"/>
      <c r="U2038" s="93"/>
      <c r="X2038" s="114" t="str">
        <f t="shared" si="44"/>
        <v>1w</v>
      </c>
      <c r="Y2038" s="112">
        <f>_xll.qlCalendarAdvance(Calendar,Y2037,X2038,"f",FALSE)</f>
        <v>53457</v>
      </c>
      <c r="Z2038" s="115">
        <f>_xll.qlCalendarAdvance(Calendar,Y2038,NDays&amp;"D")</f>
        <v>53457</v>
      </c>
      <c r="AA2038" s="116" t="e">
        <v>#N/A</v>
      </c>
      <c r="AB2038" s="113" t="e">
        <v>#N/A</v>
      </c>
    </row>
    <row r="2039" spans="17:28" x14ac:dyDescent="0.2">
      <c r="Q2039" s="72"/>
      <c r="T2039" s="72"/>
      <c r="U2039" s="93"/>
      <c r="X2039" s="114" t="str">
        <f t="shared" si="44"/>
        <v>1w</v>
      </c>
      <c r="Y2039" s="112">
        <f>_xll.qlCalendarAdvance(Calendar,Y2038,X2039,"f",FALSE)</f>
        <v>53464</v>
      </c>
      <c r="Z2039" s="115">
        <f>_xll.qlCalendarAdvance(Calendar,Y2039,NDays&amp;"D")</f>
        <v>53464</v>
      </c>
      <c r="AA2039" s="116" t="e">
        <v>#N/A</v>
      </c>
      <c r="AB2039" s="113" t="e">
        <v>#N/A</v>
      </c>
    </row>
    <row r="2040" spans="17:28" x14ac:dyDescent="0.2">
      <c r="Q2040" s="72"/>
      <c r="T2040" s="72"/>
      <c r="U2040" s="93"/>
      <c r="X2040" s="114" t="str">
        <f t="shared" si="44"/>
        <v>1w</v>
      </c>
      <c r="Y2040" s="112">
        <f>_xll.qlCalendarAdvance(Calendar,Y2039,X2040,"f",FALSE)</f>
        <v>53471</v>
      </c>
      <c r="Z2040" s="115">
        <f>_xll.qlCalendarAdvance(Calendar,Y2040,NDays&amp;"D")</f>
        <v>53471</v>
      </c>
      <c r="AA2040" s="116" t="e">
        <v>#N/A</v>
      </c>
      <c r="AB2040" s="113" t="e">
        <v>#N/A</v>
      </c>
    </row>
    <row r="2041" spans="17:28" x14ac:dyDescent="0.2">
      <c r="Q2041" s="72"/>
      <c r="T2041" s="72"/>
      <c r="U2041" s="93"/>
      <c r="X2041" s="114" t="str">
        <f t="shared" si="44"/>
        <v>1w</v>
      </c>
      <c r="Y2041" s="112">
        <f>_xll.qlCalendarAdvance(Calendar,Y2040,X2041,"f",FALSE)</f>
        <v>53478</v>
      </c>
      <c r="Z2041" s="115">
        <f>_xll.qlCalendarAdvance(Calendar,Y2041,NDays&amp;"D")</f>
        <v>53478</v>
      </c>
      <c r="AA2041" s="116" t="e">
        <v>#N/A</v>
      </c>
      <c r="AB2041" s="113" t="e">
        <v>#N/A</v>
      </c>
    </row>
    <row r="2042" spans="17:28" x14ac:dyDescent="0.2">
      <c r="Q2042" s="72"/>
      <c r="T2042" s="72"/>
      <c r="U2042" s="93"/>
      <c r="X2042" s="114" t="str">
        <f t="shared" si="44"/>
        <v>1w</v>
      </c>
      <c r="Y2042" s="112">
        <f>_xll.qlCalendarAdvance(Calendar,Y2041,X2042,"f",FALSE)</f>
        <v>53485</v>
      </c>
      <c r="Z2042" s="115">
        <f>_xll.qlCalendarAdvance(Calendar,Y2042,NDays&amp;"D")</f>
        <v>53485</v>
      </c>
      <c r="AA2042" s="116" t="e">
        <v>#N/A</v>
      </c>
      <c r="AB2042" s="113" t="e">
        <v>#N/A</v>
      </c>
    </row>
    <row r="2043" spans="17:28" x14ac:dyDescent="0.2">
      <c r="Q2043" s="72"/>
      <c r="T2043" s="72"/>
      <c r="U2043" s="93"/>
      <c r="X2043" s="114" t="str">
        <f t="shared" si="44"/>
        <v>1w</v>
      </c>
      <c r="Y2043" s="112">
        <f>_xll.qlCalendarAdvance(Calendar,Y2042,X2043,"f",FALSE)</f>
        <v>53492</v>
      </c>
      <c r="Z2043" s="115">
        <f>_xll.qlCalendarAdvance(Calendar,Y2043,NDays&amp;"D")</f>
        <v>53492</v>
      </c>
      <c r="AA2043" s="116" t="e">
        <v>#N/A</v>
      </c>
      <c r="AB2043" s="113" t="e">
        <v>#N/A</v>
      </c>
    </row>
    <row r="2044" spans="17:28" x14ac:dyDescent="0.2">
      <c r="Q2044" s="72"/>
      <c r="T2044" s="72"/>
      <c r="U2044" s="93"/>
      <c r="X2044" s="114" t="str">
        <f t="shared" si="44"/>
        <v>1w</v>
      </c>
      <c r="Y2044" s="112">
        <f>_xll.qlCalendarAdvance(Calendar,Y2043,X2044,"f",FALSE)</f>
        <v>53499</v>
      </c>
      <c r="Z2044" s="115">
        <f>_xll.qlCalendarAdvance(Calendar,Y2044,NDays&amp;"D")</f>
        <v>53499</v>
      </c>
      <c r="AA2044" s="116" t="e">
        <v>#N/A</v>
      </c>
      <c r="AB2044" s="113" t="e">
        <v>#N/A</v>
      </c>
    </row>
    <row r="2045" spans="17:28" x14ac:dyDescent="0.2">
      <c r="Q2045" s="72"/>
      <c r="T2045" s="72"/>
      <c r="U2045" s="93"/>
      <c r="X2045" s="114" t="str">
        <f t="shared" si="44"/>
        <v>1w</v>
      </c>
      <c r="Y2045" s="112">
        <f>_xll.qlCalendarAdvance(Calendar,Y2044,X2045,"f",FALSE)</f>
        <v>53506</v>
      </c>
      <c r="Z2045" s="115">
        <f>_xll.qlCalendarAdvance(Calendar,Y2045,NDays&amp;"D")</f>
        <v>53506</v>
      </c>
      <c r="AA2045" s="116" t="e">
        <v>#N/A</v>
      </c>
      <c r="AB2045" s="113" t="e">
        <v>#N/A</v>
      </c>
    </row>
    <row r="2046" spans="17:28" x14ac:dyDescent="0.2">
      <c r="Q2046" s="72"/>
      <c r="T2046" s="72"/>
      <c r="U2046" s="93"/>
      <c r="X2046" s="114" t="str">
        <f t="shared" si="44"/>
        <v>1w</v>
      </c>
      <c r="Y2046" s="112">
        <f>_xll.qlCalendarAdvance(Calendar,Y2045,X2046,"f",FALSE)</f>
        <v>53513</v>
      </c>
      <c r="Z2046" s="115">
        <f>_xll.qlCalendarAdvance(Calendar,Y2046,NDays&amp;"D")</f>
        <v>53513</v>
      </c>
      <c r="AA2046" s="116" t="e">
        <v>#N/A</v>
      </c>
      <c r="AB2046" s="113" t="e">
        <v>#N/A</v>
      </c>
    </row>
    <row r="2047" spans="17:28" x14ac:dyDescent="0.2">
      <c r="Q2047" s="72"/>
      <c r="T2047" s="72"/>
      <c r="U2047" s="93"/>
      <c r="X2047" s="114" t="str">
        <f t="shared" si="44"/>
        <v>1w</v>
      </c>
      <c r="Y2047" s="112">
        <f>_xll.qlCalendarAdvance(Calendar,Y2046,X2047,"f",FALSE)</f>
        <v>53520</v>
      </c>
      <c r="Z2047" s="115">
        <f>_xll.qlCalendarAdvance(Calendar,Y2047,NDays&amp;"D")</f>
        <v>53520</v>
      </c>
      <c r="AA2047" s="116" t="e">
        <v>#N/A</v>
      </c>
      <c r="AB2047" s="113" t="e">
        <v>#N/A</v>
      </c>
    </row>
    <row r="2048" spans="17:28" x14ac:dyDescent="0.2">
      <c r="Q2048" s="72"/>
      <c r="T2048" s="72"/>
      <c r="U2048" s="93"/>
      <c r="X2048" s="114" t="str">
        <f t="shared" si="44"/>
        <v>1w</v>
      </c>
      <c r="Y2048" s="112">
        <f>_xll.qlCalendarAdvance(Calendar,Y2047,X2048,"f",FALSE)</f>
        <v>53527</v>
      </c>
      <c r="Z2048" s="115">
        <f>_xll.qlCalendarAdvance(Calendar,Y2048,NDays&amp;"D")</f>
        <v>53527</v>
      </c>
      <c r="AA2048" s="116" t="e">
        <v>#N/A</v>
      </c>
      <c r="AB2048" s="113" t="e">
        <v>#N/A</v>
      </c>
    </row>
    <row r="2049" spans="17:28" x14ac:dyDescent="0.2">
      <c r="Q2049" s="72"/>
      <c r="T2049" s="72"/>
      <c r="U2049" s="93"/>
      <c r="X2049" s="114" t="str">
        <f t="shared" si="44"/>
        <v>1w</v>
      </c>
      <c r="Y2049" s="112">
        <f>_xll.qlCalendarAdvance(Calendar,Y2048,X2049,"f",FALSE)</f>
        <v>53534</v>
      </c>
      <c r="Z2049" s="115">
        <f>_xll.qlCalendarAdvance(Calendar,Y2049,NDays&amp;"D")</f>
        <v>53534</v>
      </c>
      <c r="AA2049" s="116" t="e">
        <v>#N/A</v>
      </c>
      <c r="AB2049" s="113" t="e">
        <v>#N/A</v>
      </c>
    </row>
    <row r="2050" spans="17:28" x14ac:dyDescent="0.2">
      <c r="Q2050" s="72"/>
      <c r="T2050" s="72"/>
      <c r="U2050" s="93"/>
      <c r="X2050" s="114" t="str">
        <f t="shared" si="44"/>
        <v>1w</v>
      </c>
      <c r="Y2050" s="112">
        <f>_xll.qlCalendarAdvance(Calendar,Y2049,X2050,"f",FALSE)</f>
        <v>53541</v>
      </c>
      <c r="Z2050" s="115">
        <f>_xll.qlCalendarAdvance(Calendar,Y2050,NDays&amp;"D")</f>
        <v>53541</v>
      </c>
      <c r="AA2050" s="116" t="e">
        <v>#N/A</v>
      </c>
      <c r="AB2050" s="113" t="e">
        <v>#N/A</v>
      </c>
    </row>
    <row r="2051" spans="17:28" x14ac:dyDescent="0.2">
      <c r="Q2051" s="72"/>
      <c r="T2051" s="72"/>
      <c r="U2051" s="93"/>
      <c r="X2051" s="114" t="str">
        <f t="shared" si="44"/>
        <v>1w</v>
      </c>
      <c r="Y2051" s="112">
        <f>_xll.qlCalendarAdvance(Calendar,Y2050,X2051,"f",FALSE)</f>
        <v>53548</v>
      </c>
      <c r="Z2051" s="115">
        <f>_xll.qlCalendarAdvance(Calendar,Y2051,NDays&amp;"D")</f>
        <v>53548</v>
      </c>
      <c r="AA2051" s="116" t="e">
        <v>#N/A</v>
      </c>
      <c r="AB2051" s="113" t="e">
        <v>#N/A</v>
      </c>
    </row>
    <row r="2052" spans="17:28" x14ac:dyDescent="0.2">
      <c r="Q2052" s="72"/>
      <c r="T2052" s="72"/>
      <c r="U2052" s="93"/>
      <c r="X2052" s="114" t="str">
        <f t="shared" si="44"/>
        <v>1w</v>
      </c>
      <c r="Y2052" s="112">
        <f>_xll.qlCalendarAdvance(Calendar,Y2051,X2052,"f",FALSE)</f>
        <v>53555</v>
      </c>
      <c r="Z2052" s="115">
        <f>_xll.qlCalendarAdvance(Calendar,Y2052,NDays&amp;"D")</f>
        <v>53555</v>
      </c>
      <c r="AA2052" s="116" t="e">
        <v>#N/A</v>
      </c>
      <c r="AB2052" s="113" t="e">
        <v>#N/A</v>
      </c>
    </row>
    <row r="2053" spans="17:28" x14ac:dyDescent="0.2">
      <c r="Q2053" s="72"/>
      <c r="T2053" s="72"/>
      <c r="U2053" s="93"/>
      <c r="X2053" s="114" t="str">
        <f t="shared" si="44"/>
        <v>1w</v>
      </c>
      <c r="Y2053" s="112">
        <f>_xll.qlCalendarAdvance(Calendar,Y2052,X2053,"f",FALSE)</f>
        <v>53562</v>
      </c>
      <c r="Z2053" s="115">
        <f>_xll.qlCalendarAdvance(Calendar,Y2053,NDays&amp;"D")</f>
        <v>53562</v>
      </c>
      <c r="AA2053" s="116" t="e">
        <v>#N/A</v>
      </c>
      <c r="AB2053" s="113" t="e">
        <v>#N/A</v>
      </c>
    </row>
    <row r="2054" spans="17:28" x14ac:dyDescent="0.2">
      <c r="Q2054" s="72"/>
      <c r="T2054" s="72"/>
      <c r="U2054" s="93"/>
      <c r="X2054" s="114" t="str">
        <f t="shared" si="44"/>
        <v>1w</v>
      </c>
      <c r="Y2054" s="112">
        <f>_xll.qlCalendarAdvance(Calendar,Y2053,X2054,"f",FALSE)</f>
        <v>53569</v>
      </c>
      <c r="Z2054" s="115">
        <f>_xll.qlCalendarAdvance(Calendar,Y2054,NDays&amp;"D")</f>
        <v>53569</v>
      </c>
      <c r="AA2054" s="116" t="e">
        <v>#N/A</v>
      </c>
      <c r="AB2054" s="113" t="e">
        <v>#N/A</v>
      </c>
    </row>
    <row r="2055" spans="17:28" x14ac:dyDescent="0.2">
      <c r="Q2055" s="72"/>
      <c r="T2055" s="72"/>
      <c r="U2055" s="93"/>
      <c r="X2055" s="114" t="str">
        <f t="shared" si="44"/>
        <v>1w</v>
      </c>
      <c r="Y2055" s="112">
        <f>_xll.qlCalendarAdvance(Calendar,Y2054,X2055,"f",FALSE)</f>
        <v>53576</v>
      </c>
      <c r="Z2055" s="115">
        <f>_xll.qlCalendarAdvance(Calendar,Y2055,NDays&amp;"D")</f>
        <v>53576</v>
      </c>
      <c r="AA2055" s="116" t="e">
        <v>#N/A</v>
      </c>
      <c r="AB2055" s="113" t="e">
        <v>#N/A</v>
      </c>
    </row>
    <row r="2056" spans="17:28" x14ac:dyDescent="0.2">
      <c r="Q2056" s="72"/>
      <c r="T2056" s="72"/>
      <c r="U2056" s="93"/>
      <c r="X2056" s="114" t="str">
        <f t="shared" si="44"/>
        <v>1w</v>
      </c>
      <c r="Y2056" s="112">
        <f>_xll.qlCalendarAdvance(Calendar,Y2055,X2056,"f",FALSE)</f>
        <v>53583</v>
      </c>
      <c r="Z2056" s="115">
        <f>_xll.qlCalendarAdvance(Calendar,Y2056,NDays&amp;"D")</f>
        <v>53583</v>
      </c>
      <c r="AA2056" s="116" t="e">
        <v>#N/A</v>
      </c>
      <c r="AB2056" s="113" t="e">
        <v>#N/A</v>
      </c>
    </row>
    <row r="2057" spans="17:28" x14ac:dyDescent="0.2">
      <c r="Q2057" s="72"/>
      <c r="T2057" s="72"/>
      <c r="U2057" s="93"/>
      <c r="X2057" s="114" t="str">
        <f t="shared" si="44"/>
        <v>1w</v>
      </c>
      <c r="Y2057" s="112">
        <f>_xll.qlCalendarAdvance(Calendar,Y2056,X2057,"f",FALSE)</f>
        <v>53590</v>
      </c>
      <c r="Z2057" s="115">
        <f>_xll.qlCalendarAdvance(Calendar,Y2057,NDays&amp;"D")</f>
        <v>53590</v>
      </c>
      <c r="AA2057" s="116" t="e">
        <v>#N/A</v>
      </c>
      <c r="AB2057" s="113" t="e">
        <v>#N/A</v>
      </c>
    </row>
    <row r="2058" spans="17:28" x14ac:dyDescent="0.2">
      <c r="Q2058" s="72"/>
      <c r="T2058" s="72"/>
      <c r="U2058" s="93"/>
      <c r="X2058" s="114" t="str">
        <f t="shared" si="44"/>
        <v>1w</v>
      </c>
      <c r="Y2058" s="112">
        <f>_xll.qlCalendarAdvance(Calendar,Y2057,X2058,"f",FALSE)</f>
        <v>53597</v>
      </c>
      <c r="Z2058" s="115">
        <f>_xll.qlCalendarAdvance(Calendar,Y2058,NDays&amp;"D")</f>
        <v>53597</v>
      </c>
      <c r="AA2058" s="116" t="e">
        <v>#N/A</v>
      </c>
      <c r="AB2058" s="113" t="e">
        <v>#N/A</v>
      </c>
    </row>
    <row r="2059" spans="17:28" x14ac:dyDescent="0.2">
      <c r="Q2059" s="72"/>
      <c r="T2059" s="72"/>
      <c r="U2059" s="93"/>
      <c r="X2059" s="114" t="str">
        <f t="shared" si="44"/>
        <v>1w</v>
      </c>
      <c r="Y2059" s="112">
        <f>_xll.qlCalendarAdvance(Calendar,Y2058,X2059,"f",FALSE)</f>
        <v>53604</v>
      </c>
      <c r="Z2059" s="115">
        <f>_xll.qlCalendarAdvance(Calendar,Y2059,NDays&amp;"D")</f>
        <v>53604</v>
      </c>
      <c r="AA2059" s="116" t="e">
        <v>#N/A</v>
      </c>
      <c r="AB2059" s="113" t="e">
        <v>#N/A</v>
      </c>
    </row>
    <row r="2060" spans="17:28" x14ac:dyDescent="0.2">
      <c r="Q2060" s="72"/>
      <c r="T2060" s="72"/>
      <c r="U2060" s="93"/>
      <c r="X2060" s="114" t="str">
        <f t="shared" si="44"/>
        <v>1w</v>
      </c>
      <c r="Y2060" s="112">
        <f>_xll.qlCalendarAdvance(Calendar,Y2059,X2060,"f",FALSE)</f>
        <v>53611</v>
      </c>
      <c r="Z2060" s="115">
        <f>_xll.qlCalendarAdvance(Calendar,Y2060,NDays&amp;"D")</f>
        <v>53611</v>
      </c>
      <c r="AA2060" s="116" t="e">
        <v>#N/A</v>
      </c>
      <c r="AB2060" s="113" t="e">
        <v>#N/A</v>
      </c>
    </row>
    <row r="2061" spans="17:28" x14ac:dyDescent="0.2">
      <c r="Q2061" s="72"/>
      <c r="T2061" s="72"/>
      <c r="U2061" s="93"/>
      <c r="X2061" s="114" t="str">
        <f t="shared" si="44"/>
        <v>1w</v>
      </c>
      <c r="Y2061" s="112">
        <f>_xll.qlCalendarAdvance(Calendar,Y2060,X2061,"f",FALSE)</f>
        <v>53618</v>
      </c>
      <c r="Z2061" s="115">
        <f>_xll.qlCalendarAdvance(Calendar,Y2061,NDays&amp;"D")</f>
        <v>53618</v>
      </c>
      <c r="AA2061" s="116" t="e">
        <v>#N/A</v>
      </c>
      <c r="AB2061" s="113" t="e">
        <v>#N/A</v>
      </c>
    </row>
    <row r="2062" spans="17:28" x14ac:dyDescent="0.2">
      <c r="Q2062" s="72"/>
      <c r="T2062" s="72"/>
      <c r="U2062" s="93"/>
      <c r="X2062" s="114" t="str">
        <f t="shared" si="44"/>
        <v>1w</v>
      </c>
      <c r="Y2062" s="112">
        <f>_xll.qlCalendarAdvance(Calendar,Y2061,X2062,"f",FALSE)</f>
        <v>53625</v>
      </c>
      <c r="Z2062" s="115">
        <f>_xll.qlCalendarAdvance(Calendar,Y2062,NDays&amp;"D")</f>
        <v>53625</v>
      </c>
      <c r="AA2062" s="116" t="e">
        <v>#N/A</v>
      </c>
      <c r="AB2062" s="113" t="e">
        <v>#N/A</v>
      </c>
    </row>
    <row r="2063" spans="17:28" x14ac:dyDescent="0.2">
      <c r="Q2063" s="72"/>
      <c r="T2063" s="72"/>
      <c r="U2063" s="93"/>
      <c r="X2063" s="114" t="str">
        <f t="shared" si="44"/>
        <v>1w</v>
      </c>
      <c r="Y2063" s="112">
        <f>_xll.qlCalendarAdvance(Calendar,Y2062,X2063,"f",FALSE)</f>
        <v>53632</v>
      </c>
      <c r="Z2063" s="115">
        <f>_xll.qlCalendarAdvance(Calendar,Y2063,NDays&amp;"D")</f>
        <v>53632</v>
      </c>
      <c r="AA2063" s="116" t="e">
        <v>#N/A</v>
      </c>
      <c r="AB2063" s="113" t="e">
        <v>#N/A</v>
      </c>
    </row>
    <row r="2064" spans="17:28" x14ac:dyDescent="0.2">
      <c r="Q2064" s="72"/>
      <c r="T2064" s="72"/>
      <c r="U2064" s="93"/>
      <c r="X2064" s="114" t="str">
        <f t="shared" si="44"/>
        <v>1w</v>
      </c>
      <c r="Y2064" s="112">
        <f>_xll.qlCalendarAdvance(Calendar,Y2063,X2064,"f",FALSE)</f>
        <v>53639</v>
      </c>
      <c r="Z2064" s="115">
        <f>_xll.qlCalendarAdvance(Calendar,Y2064,NDays&amp;"D")</f>
        <v>53639</v>
      </c>
      <c r="AA2064" s="116" t="e">
        <v>#N/A</v>
      </c>
      <c r="AB2064" s="113" t="e">
        <v>#N/A</v>
      </c>
    </row>
    <row r="2065" spans="17:28" x14ac:dyDescent="0.2">
      <c r="Q2065" s="72"/>
      <c r="T2065" s="72"/>
      <c r="U2065" s="93"/>
      <c r="X2065" s="114" t="str">
        <f t="shared" si="44"/>
        <v>1w</v>
      </c>
      <c r="Y2065" s="112">
        <f>_xll.qlCalendarAdvance(Calendar,Y2064,X2065,"f",FALSE)</f>
        <v>53646</v>
      </c>
      <c r="Z2065" s="115">
        <f>_xll.qlCalendarAdvance(Calendar,Y2065,NDays&amp;"D")</f>
        <v>53646</v>
      </c>
      <c r="AA2065" s="116" t="e">
        <v>#N/A</v>
      </c>
      <c r="AB2065" s="113" t="e">
        <v>#N/A</v>
      </c>
    </row>
    <row r="2066" spans="17:28" x14ac:dyDescent="0.2">
      <c r="Q2066" s="72"/>
      <c r="T2066" s="72"/>
      <c r="U2066" s="93"/>
      <c r="X2066" s="114" t="str">
        <f t="shared" si="44"/>
        <v>1w</v>
      </c>
      <c r="Y2066" s="112">
        <f>_xll.qlCalendarAdvance(Calendar,Y2065,X2066,"f",FALSE)</f>
        <v>53653</v>
      </c>
      <c r="Z2066" s="115">
        <f>_xll.qlCalendarAdvance(Calendar,Y2066,NDays&amp;"D")</f>
        <v>53653</v>
      </c>
      <c r="AA2066" s="116" t="e">
        <v>#N/A</v>
      </c>
      <c r="AB2066" s="113" t="e">
        <v>#N/A</v>
      </c>
    </row>
    <row r="2067" spans="17:28" x14ac:dyDescent="0.2">
      <c r="Q2067" s="72"/>
      <c r="T2067" s="72"/>
      <c r="U2067" s="93"/>
      <c r="X2067" s="114" t="str">
        <f t="shared" si="44"/>
        <v>1w</v>
      </c>
      <c r="Y2067" s="112">
        <f>_xll.qlCalendarAdvance(Calendar,Y2066,X2067,"f",FALSE)</f>
        <v>53660</v>
      </c>
      <c r="Z2067" s="115">
        <f>_xll.qlCalendarAdvance(Calendar,Y2067,NDays&amp;"D")</f>
        <v>53660</v>
      </c>
      <c r="AA2067" s="116" t="e">
        <v>#N/A</v>
      </c>
      <c r="AB2067" s="113" t="e">
        <v>#N/A</v>
      </c>
    </row>
    <row r="2068" spans="17:28" x14ac:dyDescent="0.2">
      <c r="Q2068" s="72"/>
      <c r="T2068" s="72"/>
      <c r="U2068" s="93"/>
      <c r="X2068" s="114" t="str">
        <f t="shared" si="44"/>
        <v>1w</v>
      </c>
      <c r="Y2068" s="112">
        <f>_xll.qlCalendarAdvance(Calendar,Y2067,X2068,"f",FALSE)</f>
        <v>53667</v>
      </c>
      <c r="Z2068" s="115">
        <f>_xll.qlCalendarAdvance(Calendar,Y2068,NDays&amp;"D")</f>
        <v>53667</v>
      </c>
      <c r="AA2068" s="116" t="e">
        <v>#N/A</v>
      </c>
      <c r="AB2068" s="113" t="e">
        <v>#N/A</v>
      </c>
    </row>
    <row r="2069" spans="17:28" x14ac:dyDescent="0.2">
      <c r="Q2069" s="72"/>
      <c r="T2069" s="72"/>
      <c r="U2069" s="93"/>
      <c r="X2069" s="114" t="str">
        <f t="shared" ref="X2069:X2132" si="45">X2068</f>
        <v>1w</v>
      </c>
      <c r="Y2069" s="112">
        <f>_xll.qlCalendarAdvance(Calendar,Y2068,X2069,"f",FALSE)</f>
        <v>53674</v>
      </c>
      <c r="Z2069" s="115">
        <f>_xll.qlCalendarAdvance(Calendar,Y2069,NDays&amp;"D")</f>
        <v>53674</v>
      </c>
      <c r="AA2069" s="116" t="e">
        <v>#N/A</v>
      </c>
      <c r="AB2069" s="113" t="e">
        <v>#N/A</v>
      </c>
    </row>
    <row r="2070" spans="17:28" x14ac:dyDescent="0.2">
      <c r="Q2070" s="72"/>
      <c r="T2070" s="72"/>
      <c r="U2070" s="93"/>
      <c r="X2070" s="114" t="str">
        <f t="shared" si="45"/>
        <v>1w</v>
      </c>
      <c r="Y2070" s="112">
        <f>_xll.qlCalendarAdvance(Calendar,Y2069,X2070,"f",FALSE)</f>
        <v>53681</v>
      </c>
      <c r="Z2070" s="115">
        <f>_xll.qlCalendarAdvance(Calendar,Y2070,NDays&amp;"D")</f>
        <v>53681</v>
      </c>
      <c r="AA2070" s="116" t="e">
        <v>#N/A</v>
      </c>
      <c r="AB2070" s="113" t="e">
        <v>#N/A</v>
      </c>
    </row>
    <row r="2071" spans="17:28" x14ac:dyDescent="0.2">
      <c r="Q2071" s="72"/>
      <c r="T2071" s="72"/>
      <c r="U2071" s="93"/>
      <c r="X2071" s="114" t="str">
        <f t="shared" si="45"/>
        <v>1w</v>
      </c>
      <c r="Y2071" s="112">
        <f>_xll.qlCalendarAdvance(Calendar,Y2070,X2071,"f",FALSE)</f>
        <v>53688</v>
      </c>
      <c r="Z2071" s="115">
        <f>_xll.qlCalendarAdvance(Calendar,Y2071,NDays&amp;"D")</f>
        <v>53688</v>
      </c>
      <c r="AA2071" s="116" t="e">
        <v>#N/A</v>
      </c>
      <c r="AB2071" s="113" t="e">
        <v>#N/A</v>
      </c>
    </row>
    <row r="2072" spans="17:28" x14ac:dyDescent="0.2">
      <c r="Q2072" s="72"/>
      <c r="T2072" s="72"/>
      <c r="U2072" s="93"/>
      <c r="X2072" s="114" t="str">
        <f t="shared" si="45"/>
        <v>1w</v>
      </c>
      <c r="Y2072" s="112">
        <f>_xll.qlCalendarAdvance(Calendar,Y2071,X2072,"f",FALSE)</f>
        <v>53695</v>
      </c>
      <c r="Z2072" s="115">
        <f>_xll.qlCalendarAdvance(Calendar,Y2072,NDays&amp;"D")</f>
        <v>53695</v>
      </c>
      <c r="AA2072" s="116" t="e">
        <v>#N/A</v>
      </c>
      <c r="AB2072" s="113" t="e">
        <v>#N/A</v>
      </c>
    </row>
    <row r="2073" spans="17:28" x14ac:dyDescent="0.2">
      <c r="Q2073" s="72"/>
      <c r="T2073" s="72"/>
      <c r="U2073" s="93"/>
      <c r="X2073" s="114" t="str">
        <f t="shared" si="45"/>
        <v>1w</v>
      </c>
      <c r="Y2073" s="112">
        <f>_xll.qlCalendarAdvance(Calendar,Y2072,X2073,"f",FALSE)</f>
        <v>53702</v>
      </c>
      <c r="Z2073" s="115">
        <f>_xll.qlCalendarAdvance(Calendar,Y2073,NDays&amp;"D")</f>
        <v>53702</v>
      </c>
      <c r="AA2073" s="116" t="e">
        <v>#N/A</v>
      </c>
      <c r="AB2073" s="113" t="e">
        <v>#N/A</v>
      </c>
    </row>
    <row r="2074" spans="17:28" x14ac:dyDescent="0.2">
      <c r="Q2074" s="72"/>
      <c r="T2074" s="72"/>
      <c r="U2074" s="93"/>
      <c r="X2074" s="114" t="str">
        <f t="shared" si="45"/>
        <v>1w</v>
      </c>
      <c r="Y2074" s="112">
        <f>_xll.qlCalendarAdvance(Calendar,Y2073,X2074,"f",FALSE)</f>
        <v>53709</v>
      </c>
      <c r="Z2074" s="115">
        <f>_xll.qlCalendarAdvance(Calendar,Y2074,NDays&amp;"D")</f>
        <v>53709</v>
      </c>
      <c r="AA2074" s="116" t="e">
        <v>#N/A</v>
      </c>
      <c r="AB2074" s="113" t="e">
        <v>#N/A</v>
      </c>
    </row>
    <row r="2075" spans="17:28" x14ac:dyDescent="0.2">
      <c r="Q2075" s="72"/>
      <c r="T2075" s="72"/>
      <c r="U2075" s="93"/>
      <c r="X2075" s="114" t="str">
        <f t="shared" si="45"/>
        <v>1w</v>
      </c>
      <c r="Y2075" s="112">
        <f>_xll.qlCalendarAdvance(Calendar,Y2074,X2075,"f",FALSE)</f>
        <v>53716</v>
      </c>
      <c r="Z2075" s="115">
        <f>_xll.qlCalendarAdvance(Calendar,Y2075,NDays&amp;"D")</f>
        <v>53716</v>
      </c>
      <c r="AA2075" s="116" t="e">
        <v>#N/A</v>
      </c>
      <c r="AB2075" s="113" t="e">
        <v>#N/A</v>
      </c>
    </row>
    <row r="2076" spans="17:28" x14ac:dyDescent="0.2">
      <c r="Q2076" s="72"/>
      <c r="T2076" s="72"/>
      <c r="U2076" s="93"/>
      <c r="X2076" s="114" t="str">
        <f t="shared" si="45"/>
        <v>1w</v>
      </c>
      <c r="Y2076" s="112">
        <f>_xll.qlCalendarAdvance(Calendar,Y2075,X2076,"f",FALSE)</f>
        <v>53723</v>
      </c>
      <c r="Z2076" s="115">
        <f>_xll.qlCalendarAdvance(Calendar,Y2076,NDays&amp;"D")</f>
        <v>53723</v>
      </c>
      <c r="AA2076" s="116" t="e">
        <v>#N/A</v>
      </c>
      <c r="AB2076" s="113" t="e">
        <v>#N/A</v>
      </c>
    </row>
    <row r="2077" spans="17:28" x14ac:dyDescent="0.2">
      <c r="Q2077" s="72"/>
      <c r="T2077" s="72"/>
      <c r="U2077" s="93"/>
      <c r="X2077" s="114" t="str">
        <f t="shared" si="45"/>
        <v>1w</v>
      </c>
      <c r="Y2077" s="112">
        <f>_xll.qlCalendarAdvance(Calendar,Y2076,X2077,"f",FALSE)</f>
        <v>53730</v>
      </c>
      <c r="Z2077" s="115">
        <f>_xll.qlCalendarAdvance(Calendar,Y2077,NDays&amp;"D")</f>
        <v>53730</v>
      </c>
      <c r="AA2077" s="116" t="e">
        <v>#N/A</v>
      </c>
      <c r="AB2077" s="113" t="e">
        <v>#N/A</v>
      </c>
    </row>
    <row r="2078" spans="17:28" x14ac:dyDescent="0.2">
      <c r="Q2078" s="72"/>
      <c r="T2078" s="72"/>
      <c r="U2078" s="93"/>
      <c r="X2078" s="114" t="str">
        <f t="shared" si="45"/>
        <v>1w</v>
      </c>
      <c r="Y2078" s="112">
        <f>_xll.qlCalendarAdvance(Calendar,Y2077,X2078,"f",FALSE)</f>
        <v>53737</v>
      </c>
      <c r="Z2078" s="115">
        <f>_xll.qlCalendarAdvance(Calendar,Y2078,NDays&amp;"D")</f>
        <v>53737</v>
      </c>
      <c r="AA2078" s="116" t="e">
        <v>#N/A</v>
      </c>
      <c r="AB2078" s="113" t="e">
        <v>#N/A</v>
      </c>
    </row>
    <row r="2079" spans="17:28" x14ac:dyDescent="0.2">
      <c r="Q2079" s="72"/>
      <c r="T2079" s="72"/>
      <c r="U2079" s="93"/>
      <c r="X2079" s="114" t="str">
        <f t="shared" si="45"/>
        <v>1w</v>
      </c>
      <c r="Y2079" s="112">
        <f>_xll.qlCalendarAdvance(Calendar,Y2078,X2079,"f",FALSE)</f>
        <v>53744</v>
      </c>
      <c r="Z2079" s="115">
        <f>_xll.qlCalendarAdvance(Calendar,Y2079,NDays&amp;"D")</f>
        <v>53744</v>
      </c>
      <c r="AA2079" s="116" t="e">
        <v>#N/A</v>
      </c>
      <c r="AB2079" s="113" t="e">
        <v>#N/A</v>
      </c>
    </row>
    <row r="2080" spans="17:28" x14ac:dyDescent="0.2">
      <c r="Q2080" s="72"/>
      <c r="T2080" s="72"/>
      <c r="U2080" s="93"/>
      <c r="X2080" s="114" t="str">
        <f t="shared" si="45"/>
        <v>1w</v>
      </c>
      <c r="Y2080" s="112">
        <f>_xll.qlCalendarAdvance(Calendar,Y2079,X2080,"f",FALSE)</f>
        <v>53751</v>
      </c>
      <c r="Z2080" s="115">
        <f>_xll.qlCalendarAdvance(Calendar,Y2080,NDays&amp;"D")</f>
        <v>53751</v>
      </c>
      <c r="AA2080" s="116" t="e">
        <v>#N/A</v>
      </c>
      <c r="AB2080" s="113" t="e">
        <v>#N/A</v>
      </c>
    </row>
    <row r="2081" spans="17:28" x14ac:dyDescent="0.2">
      <c r="Q2081" s="72"/>
      <c r="T2081" s="72"/>
      <c r="U2081" s="93"/>
      <c r="X2081" s="114" t="str">
        <f t="shared" si="45"/>
        <v>1w</v>
      </c>
      <c r="Y2081" s="112">
        <f>_xll.qlCalendarAdvance(Calendar,Y2080,X2081,"f",FALSE)</f>
        <v>53758</v>
      </c>
      <c r="Z2081" s="115">
        <f>_xll.qlCalendarAdvance(Calendar,Y2081,NDays&amp;"D")</f>
        <v>53758</v>
      </c>
      <c r="AA2081" s="116" t="e">
        <v>#N/A</v>
      </c>
      <c r="AB2081" s="113" t="e">
        <v>#N/A</v>
      </c>
    </row>
    <row r="2082" spans="17:28" x14ac:dyDescent="0.2">
      <c r="Q2082" s="72"/>
      <c r="T2082" s="72"/>
      <c r="U2082" s="93"/>
      <c r="X2082" s="114" t="str">
        <f t="shared" si="45"/>
        <v>1w</v>
      </c>
      <c r="Y2082" s="112">
        <f>_xll.qlCalendarAdvance(Calendar,Y2081,X2082,"f",FALSE)</f>
        <v>53765</v>
      </c>
      <c r="Z2082" s="115">
        <f>_xll.qlCalendarAdvance(Calendar,Y2082,NDays&amp;"D")</f>
        <v>53765</v>
      </c>
      <c r="AA2082" s="116" t="e">
        <v>#N/A</v>
      </c>
      <c r="AB2082" s="113" t="e">
        <v>#N/A</v>
      </c>
    </row>
    <row r="2083" spans="17:28" x14ac:dyDescent="0.2">
      <c r="Q2083" s="72"/>
      <c r="T2083" s="72"/>
      <c r="U2083" s="93"/>
      <c r="X2083" s="114" t="str">
        <f t="shared" si="45"/>
        <v>1w</v>
      </c>
      <c r="Y2083" s="112">
        <f>_xll.qlCalendarAdvance(Calendar,Y2082,X2083,"f",FALSE)</f>
        <v>53772</v>
      </c>
      <c r="Z2083" s="115">
        <f>_xll.qlCalendarAdvance(Calendar,Y2083,NDays&amp;"D")</f>
        <v>53772</v>
      </c>
      <c r="AA2083" s="116" t="e">
        <v>#N/A</v>
      </c>
      <c r="AB2083" s="113" t="e">
        <v>#N/A</v>
      </c>
    </row>
    <row r="2084" spans="17:28" x14ac:dyDescent="0.2">
      <c r="Q2084" s="72"/>
      <c r="T2084" s="72"/>
      <c r="U2084" s="93"/>
      <c r="X2084" s="114" t="str">
        <f t="shared" si="45"/>
        <v>1w</v>
      </c>
      <c r="Y2084" s="112">
        <f>_xll.qlCalendarAdvance(Calendar,Y2083,X2084,"f",FALSE)</f>
        <v>53779</v>
      </c>
      <c r="Z2084" s="115">
        <f>_xll.qlCalendarAdvance(Calendar,Y2084,NDays&amp;"D")</f>
        <v>53779</v>
      </c>
      <c r="AA2084" s="116" t="e">
        <v>#N/A</v>
      </c>
      <c r="AB2084" s="113" t="e">
        <v>#N/A</v>
      </c>
    </row>
    <row r="2085" spans="17:28" x14ac:dyDescent="0.2">
      <c r="Q2085" s="72"/>
      <c r="T2085" s="72"/>
      <c r="U2085" s="93"/>
      <c r="X2085" s="114" t="str">
        <f t="shared" si="45"/>
        <v>1w</v>
      </c>
      <c r="Y2085" s="112">
        <f>_xll.qlCalendarAdvance(Calendar,Y2084,X2085,"f",FALSE)</f>
        <v>53786</v>
      </c>
      <c r="Z2085" s="115">
        <f>_xll.qlCalendarAdvance(Calendar,Y2085,NDays&amp;"D")</f>
        <v>53786</v>
      </c>
      <c r="AA2085" s="116" t="e">
        <v>#N/A</v>
      </c>
      <c r="AB2085" s="113" t="e">
        <v>#N/A</v>
      </c>
    </row>
    <row r="2086" spans="17:28" x14ac:dyDescent="0.2">
      <c r="Q2086" s="72"/>
      <c r="T2086" s="72"/>
      <c r="U2086" s="93"/>
      <c r="X2086" s="114" t="str">
        <f t="shared" si="45"/>
        <v>1w</v>
      </c>
      <c r="Y2086" s="112">
        <f>_xll.qlCalendarAdvance(Calendar,Y2085,X2086,"f",FALSE)</f>
        <v>53793</v>
      </c>
      <c r="Z2086" s="115">
        <f>_xll.qlCalendarAdvance(Calendar,Y2086,NDays&amp;"D")</f>
        <v>53793</v>
      </c>
      <c r="AA2086" s="116" t="e">
        <v>#N/A</v>
      </c>
      <c r="AB2086" s="113" t="e">
        <v>#N/A</v>
      </c>
    </row>
    <row r="2087" spans="17:28" x14ac:dyDescent="0.2">
      <c r="Q2087" s="72"/>
      <c r="T2087" s="72"/>
      <c r="U2087" s="93"/>
      <c r="X2087" s="114" t="str">
        <f t="shared" si="45"/>
        <v>1w</v>
      </c>
      <c r="Y2087" s="112">
        <f>_xll.qlCalendarAdvance(Calendar,Y2086,X2087,"f",FALSE)</f>
        <v>53800</v>
      </c>
      <c r="Z2087" s="115">
        <f>_xll.qlCalendarAdvance(Calendar,Y2087,NDays&amp;"D")</f>
        <v>53800</v>
      </c>
      <c r="AA2087" s="116" t="e">
        <v>#N/A</v>
      </c>
      <c r="AB2087" s="113" t="e">
        <v>#N/A</v>
      </c>
    </row>
    <row r="2088" spans="17:28" x14ac:dyDescent="0.2">
      <c r="Q2088" s="72"/>
      <c r="T2088" s="72"/>
      <c r="U2088" s="93"/>
      <c r="X2088" s="114" t="str">
        <f t="shared" si="45"/>
        <v>1w</v>
      </c>
      <c r="Y2088" s="112">
        <f>_xll.qlCalendarAdvance(Calendar,Y2087,X2088,"f",FALSE)</f>
        <v>53808</v>
      </c>
      <c r="Z2088" s="115">
        <f>_xll.qlCalendarAdvance(Calendar,Y2088,NDays&amp;"D")</f>
        <v>53808</v>
      </c>
      <c r="AA2088" s="116" t="e">
        <v>#N/A</v>
      </c>
      <c r="AB2088" s="113" t="e">
        <v>#N/A</v>
      </c>
    </row>
    <row r="2089" spans="17:28" x14ac:dyDescent="0.2">
      <c r="Q2089" s="72"/>
      <c r="T2089" s="72"/>
      <c r="U2089" s="93"/>
      <c r="X2089" s="114" t="str">
        <f t="shared" si="45"/>
        <v>1w</v>
      </c>
      <c r="Y2089" s="112">
        <f>_xll.qlCalendarAdvance(Calendar,Y2088,X2089,"f",FALSE)</f>
        <v>53815</v>
      </c>
      <c r="Z2089" s="115">
        <f>_xll.qlCalendarAdvance(Calendar,Y2089,NDays&amp;"D")</f>
        <v>53815</v>
      </c>
      <c r="AA2089" s="116" t="e">
        <v>#N/A</v>
      </c>
      <c r="AB2089" s="113" t="e">
        <v>#N/A</v>
      </c>
    </row>
    <row r="2090" spans="17:28" x14ac:dyDescent="0.2">
      <c r="Q2090" s="72"/>
      <c r="T2090" s="72"/>
      <c r="U2090" s="93"/>
      <c r="X2090" s="114" t="str">
        <f t="shared" si="45"/>
        <v>1w</v>
      </c>
      <c r="Y2090" s="112">
        <f>_xll.qlCalendarAdvance(Calendar,Y2089,X2090,"f",FALSE)</f>
        <v>53822</v>
      </c>
      <c r="Z2090" s="115">
        <f>_xll.qlCalendarAdvance(Calendar,Y2090,NDays&amp;"D")</f>
        <v>53822</v>
      </c>
      <c r="AA2090" s="116" t="e">
        <v>#N/A</v>
      </c>
      <c r="AB2090" s="113" t="e">
        <v>#N/A</v>
      </c>
    </row>
    <row r="2091" spans="17:28" x14ac:dyDescent="0.2">
      <c r="Q2091" s="72"/>
      <c r="T2091" s="72"/>
      <c r="U2091" s="93"/>
      <c r="X2091" s="114" t="str">
        <f t="shared" si="45"/>
        <v>1w</v>
      </c>
      <c r="Y2091" s="112">
        <f>_xll.qlCalendarAdvance(Calendar,Y2090,X2091,"f",FALSE)</f>
        <v>53829</v>
      </c>
      <c r="Z2091" s="115">
        <f>_xll.qlCalendarAdvance(Calendar,Y2091,NDays&amp;"D")</f>
        <v>53829</v>
      </c>
      <c r="AA2091" s="116" t="e">
        <v>#N/A</v>
      </c>
      <c r="AB2091" s="113" t="e">
        <v>#N/A</v>
      </c>
    </row>
    <row r="2092" spans="17:28" x14ac:dyDescent="0.2">
      <c r="Q2092" s="72"/>
      <c r="T2092" s="72"/>
      <c r="U2092" s="93"/>
      <c r="X2092" s="114" t="str">
        <f t="shared" si="45"/>
        <v>1w</v>
      </c>
      <c r="Y2092" s="112">
        <f>_xll.qlCalendarAdvance(Calendar,Y2091,X2092,"f",FALSE)</f>
        <v>53836</v>
      </c>
      <c r="Z2092" s="115">
        <f>_xll.qlCalendarAdvance(Calendar,Y2092,NDays&amp;"D")</f>
        <v>53836</v>
      </c>
      <c r="AA2092" s="116" t="e">
        <v>#N/A</v>
      </c>
      <c r="AB2092" s="113" t="e">
        <v>#N/A</v>
      </c>
    </row>
    <row r="2093" spans="17:28" x14ac:dyDescent="0.2">
      <c r="Q2093" s="72"/>
      <c r="T2093" s="72"/>
      <c r="U2093" s="93"/>
      <c r="X2093" s="114" t="str">
        <f t="shared" si="45"/>
        <v>1w</v>
      </c>
      <c r="Y2093" s="112">
        <f>_xll.qlCalendarAdvance(Calendar,Y2092,X2093,"f",FALSE)</f>
        <v>53843</v>
      </c>
      <c r="Z2093" s="115">
        <f>_xll.qlCalendarAdvance(Calendar,Y2093,NDays&amp;"D")</f>
        <v>53843</v>
      </c>
      <c r="AA2093" s="116" t="e">
        <v>#N/A</v>
      </c>
      <c r="AB2093" s="113" t="e">
        <v>#N/A</v>
      </c>
    </row>
    <row r="2094" spans="17:28" x14ac:dyDescent="0.2">
      <c r="Q2094" s="72"/>
      <c r="T2094" s="72"/>
      <c r="U2094" s="93"/>
      <c r="X2094" s="114" t="str">
        <f t="shared" si="45"/>
        <v>1w</v>
      </c>
      <c r="Y2094" s="112">
        <f>_xll.qlCalendarAdvance(Calendar,Y2093,X2094,"f",FALSE)</f>
        <v>53850</v>
      </c>
      <c r="Z2094" s="115">
        <f>_xll.qlCalendarAdvance(Calendar,Y2094,NDays&amp;"D")</f>
        <v>53850</v>
      </c>
      <c r="AA2094" s="116" t="e">
        <v>#N/A</v>
      </c>
      <c r="AB2094" s="113" t="e">
        <v>#N/A</v>
      </c>
    </row>
    <row r="2095" spans="17:28" x14ac:dyDescent="0.2">
      <c r="Q2095" s="72"/>
      <c r="T2095" s="72"/>
      <c r="U2095" s="93"/>
      <c r="X2095" s="114" t="str">
        <f t="shared" si="45"/>
        <v>1w</v>
      </c>
      <c r="Y2095" s="112">
        <f>_xll.qlCalendarAdvance(Calendar,Y2094,X2095,"f",FALSE)</f>
        <v>53857</v>
      </c>
      <c r="Z2095" s="115">
        <f>_xll.qlCalendarAdvance(Calendar,Y2095,NDays&amp;"D")</f>
        <v>53857</v>
      </c>
      <c r="AA2095" s="116" t="e">
        <v>#N/A</v>
      </c>
      <c r="AB2095" s="113" t="e">
        <v>#N/A</v>
      </c>
    </row>
    <row r="2096" spans="17:28" x14ac:dyDescent="0.2">
      <c r="Q2096" s="72"/>
      <c r="T2096" s="72"/>
      <c r="U2096" s="93"/>
      <c r="X2096" s="114" t="str">
        <f t="shared" si="45"/>
        <v>1w</v>
      </c>
      <c r="Y2096" s="112">
        <f>_xll.qlCalendarAdvance(Calendar,Y2095,X2096,"f",FALSE)</f>
        <v>53864</v>
      </c>
      <c r="Z2096" s="115">
        <f>_xll.qlCalendarAdvance(Calendar,Y2096,NDays&amp;"D")</f>
        <v>53864</v>
      </c>
      <c r="AA2096" s="116" t="e">
        <v>#N/A</v>
      </c>
      <c r="AB2096" s="113" t="e">
        <v>#N/A</v>
      </c>
    </row>
    <row r="2097" spans="17:28" x14ac:dyDescent="0.2">
      <c r="Q2097" s="72"/>
      <c r="T2097" s="72"/>
      <c r="U2097" s="93"/>
      <c r="X2097" s="114" t="str">
        <f t="shared" si="45"/>
        <v>1w</v>
      </c>
      <c r="Y2097" s="112">
        <f>_xll.qlCalendarAdvance(Calendar,Y2096,X2097,"f",FALSE)</f>
        <v>53871</v>
      </c>
      <c r="Z2097" s="115">
        <f>_xll.qlCalendarAdvance(Calendar,Y2097,NDays&amp;"D")</f>
        <v>53871</v>
      </c>
      <c r="AA2097" s="116" t="e">
        <v>#N/A</v>
      </c>
      <c r="AB2097" s="113" t="e">
        <v>#N/A</v>
      </c>
    </row>
    <row r="2098" spans="17:28" x14ac:dyDescent="0.2">
      <c r="Q2098" s="72"/>
      <c r="T2098" s="72"/>
      <c r="U2098" s="93"/>
      <c r="X2098" s="114" t="str">
        <f t="shared" si="45"/>
        <v>1w</v>
      </c>
      <c r="Y2098" s="112">
        <f>_xll.qlCalendarAdvance(Calendar,Y2097,X2098,"f",FALSE)</f>
        <v>53878</v>
      </c>
      <c r="Z2098" s="115">
        <f>_xll.qlCalendarAdvance(Calendar,Y2098,NDays&amp;"D")</f>
        <v>53878</v>
      </c>
      <c r="AA2098" s="116" t="e">
        <v>#N/A</v>
      </c>
      <c r="AB2098" s="113" t="e">
        <v>#N/A</v>
      </c>
    </row>
    <row r="2099" spans="17:28" x14ac:dyDescent="0.2">
      <c r="Q2099" s="72"/>
      <c r="T2099" s="72"/>
      <c r="U2099" s="93"/>
      <c r="X2099" s="114" t="str">
        <f t="shared" si="45"/>
        <v>1w</v>
      </c>
      <c r="Y2099" s="112">
        <f>_xll.qlCalendarAdvance(Calendar,Y2098,X2099,"f",FALSE)</f>
        <v>53885</v>
      </c>
      <c r="Z2099" s="115">
        <f>_xll.qlCalendarAdvance(Calendar,Y2099,NDays&amp;"D")</f>
        <v>53885</v>
      </c>
      <c r="AA2099" s="116" t="e">
        <v>#N/A</v>
      </c>
      <c r="AB2099" s="113" t="e">
        <v>#N/A</v>
      </c>
    </row>
    <row r="2100" spans="17:28" x14ac:dyDescent="0.2">
      <c r="Q2100" s="72"/>
      <c r="T2100" s="72"/>
      <c r="U2100" s="93"/>
      <c r="X2100" s="114" t="str">
        <f t="shared" si="45"/>
        <v>1w</v>
      </c>
      <c r="Y2100" s="112">
        <f>_xll.qlCalendarAdvance(Calendar,Y2099,X2100,"f",FALSE)</f>
        <v>53892</v>
      </c>
      <c r="Z2100" s="115">
        <f>_xll.qlCalendarAdvance(Calendar,Y2100,NDays&amp;"D")</f>
        <v>53892</v>
      </c>
      <c r="AA2100" s="116" t="e">
        <v>#N/A</v>
      </c>
      <c r="AB2100" s="113" t="e">
        <v>#N/A</v>
      </c>
    </row>
    <row r="2101" spans="17:28" x14ac:dyDescent="0.2">
      <c r="Q2101" s="72"/>
      <c r="T2101" s="72"/>
      <c r="U2101" s="93"/>
      <c r="X2101" s="114" t="str">
        <f t="shared" si="45"/>
        <v>1w</v>
      </c>
      <c r="Y2101" s="112">
        <f>_xll.qlCalendarAdvance(Calendar,Y2100,X2101,"f",FALSE)</f>
        <v>53899</v>
      </c>
      <c r="Z2101" s="115">
        <f>_xll.qlCalendarAdvance(Calendar,Y2101,NDays&amp;"D")</f>
        <v>53899</v>
      </c>
      <c r="AA2101" s="116" t="e">
        <v>#N/A</v>
      </c>
      <c r="AB2101" s="113" t="e">
        <v>#N/A</v>
      </c>
    </row>
    <row r="2102" spans="17:28" x14ac:dyDescent="0.2">
      <c r="Q2102" s="72"/>
      <c r="T2102" s="72"/>
      <c r="U2102" s="93"/>
      <c r="X2102" s="114" t="str">
        <f t="shared" si="45"/>
        <v>1w</v>
      </c>
      <c r="Y2102" s="112">
        <f>_xll.qlCalendarAdvance(Calendar,Y2101,X2102,"f",FALSE)</f>
        <v>53906</v>
      </c>
      <c r="Z2102" s="115">
        <f>_xll.qlCalendarAdvance(Calendar,Y2102,NDays&amp;"D")</f>
        <v>53906</v>
      </c>
      <c r="AA2102" s="116" t="e">
        <v>#N/A</v>
      </c>
      <c r="AB2102" s="113" t="e">
        <v>#N/A</v>
      </c>
    </row>
    <row r="2103" spans="17:28" x14ac:dyDescent="0.2">
      <c r="Q2103" s="72"/>
      <c r="T2103" s="72"/>
      <c r="U2103" s="93"/>
      <c r="X2103" s="114" t="str">
        <f t="shared" si="45"/>
        <v>1w</v>
      </c>
      <c r="Y2103" s="112">
        <f>_xll.qlCalendarAdvance(Calendar,Y2102,X2103,"f",FALSE)</f>
        <v>53913</v>
      </c>
      <c r="Z2103" s="115">
        <f>_xll.qlCalendarAdvance(Calendar,Y2103,NDays&amp;"D")</f>
        <v>53913</v>
      </c>
      <c r="AA2103" s="116" t="e">
        <v>#N/A</v>
      </c>
      <c r="AB2103" s="113" t="e">
        <v>#N/A</v>
      </c>
    </row>
    <row r="2104" spans="17:28" x14ac:dyDescent="0.2">
      <c r="Q2104" s="72"/>
      <c r="T2104" s="72"/>
      <c r="U2104" s="93"/>
      <c r="X2104" s="114" t="str">
        <f t="shared" si="45"/>
        <v>1w</v>
      </c>
      <c r="Y2104" s="112">
        <f>_xll.qlCalendarAdvance(Calendar,Y2103,X2104,"f",FALSE)</f>
        <v>53920</v>
      </c>
      <c r="Z2104" s="115">
        <f>_xll.qlCalendarAdvance(Calendar,Y2104,NDays&amp;"D")</f>
        <v>53920</v>
      </c>
      <c r="AA2104" s="116" t="e">
        <v>#N/A</v>
      </c>
      <c r="AB2104" s="113" t="e">
        <v>#N/A</v>
      </c>
    </row>
    <row r="2105" spans="17:28" x14ac:dyDescent="0.2">
      <c r="Q2105" s="72"/>
      <c r="T2105" s="72"/>
      <c r="U2105" s="93"/>
      <c r="X2105" s="114" t="str">
        <f t="shared" si="45"/>
        <v>1w</v>
      </c>
      <c r="Y2105" s="112">
        <f>_xll.qlCalendarAdvance(Calendar,Y2104,X2105,"f",FALSE)</f>
        <v>53927</v>
      </c>
      <c r="Z2105" s="115">
        <f>_xll.qlCalendarAdvance(Calendar,Y2105,NDays&amp;"D")</f>
        <v>53927</v>
      </c>
      <c r="AA2105" s="116" t="e">
        <v>#N/A</v>
      </c>
      <c r="AB2105" s="113" t="e">
        <v>#N/A</v>
      </c>
    </row>
    <row r="2106" spans="17:28" x14ac:dyDescent="0.2">
      <c r="Q2106" s="72"/>
      <c r="T2106" s="72"/>
      <c r="U2106" s="93"/>
      <c r="X2106" s="114" t="str">
        <f t="shared" si="45"/>
        <v>1w</v>
      </c>
      <c r="Y2106" s="112">
        <f>_xll.qlCalendarAdvance(Calendar,Y2105,X2106,"f",FALSE)</f>
        <v>53934</v>
      </c>
      <c r="Z2106" s="115">
        <f>_xll.qlCalendarAdvance(Calendar,Y2106,NDays&amp;"D")</f>
        <v>53934</v>
      </c>
      <c r="AA2106" s="116" t="e">
        <v>#N/A</v>
      </c>
      <c r="AB2106" s="113" t="e">
        <v>#N/A</v>
      </c>
    </row>
    <row r="2107" spans="17:28" x14ac:dyDescent="0.2">
      <c r="Q2107" s="72"/>
      <c r="T2107" s="72"/>
      <c r="U2107" s="93"/>
      <c r="X2107" s="114" t="str">
        <f t="shared" si="45"/>
        <v>1w</v>
      </c>
      <c r="Y2107" s="112">
        <f>_xll.qlCalendarAdvance(Calendar,Y2106,X2107,"f",FALSE)</f>
        <v>53941</v>
      </c>
      <c r="Z2107" s="115">
        <f>_xll.qlCalendarAdvance(Calendar,Y2107,NDays&amp;"D")</f>
        <v>53941</v>
      </c>
      <c r="AA2107" s="116" t="e">
        <v>#N/A</v>
      </c>
      <c r="AB2107" s="113" t="e">
        <v>#N/A</v>
      </c>
    </row>
    <row r="2108" spans="17:28" x14ac:dyDescent="0.2">
      <c r="Q2108" s="72"/>
      <c r="T2108" s="72"/>
      <c r="U2108" s="93"/>
      <c r="X2108" s="114" t="str">
        <f t="shared" si="45"/>
        <v>1w</v>
      </c>
      <c r="Y2108" s="112">
        <f>_xll.qlCalendarAdvance(Calendar,Y2107,X2108,"f",FALSE)</f>
        <v>53948</v>
      </c>
      <c r="Z2108" s="115">
        <f>_xll.qlCalendarAdvance(Calendar,Y2108,NDays&amp;"D")</f>
        <v>53948</v>
      </c>
      <c r="AA2108" s="116" t="e">
        <v>#N/A</v>
      </c>
      <c r="AB2108" s="113" t="e">
        <v>#N/A</v>
      </c>
    </row>
    <row r="2109" spans="17:28" x14ac:dyDescent="0.2">
      <c r="Q2109" s="72"/>
      <c r="T2109" s="72"/>
      <c r="U2109" s="93"/>
      <c r="X2109" s="114" t="str">
        <f t="shared" si="45"/>
        <v>1w</v>
      </c>
      <c r="Y2109" s="112">
        <f>_xll.qlCalendarAdvance(Calendar,Y2108,X2109,"f",FALSE)</f>
        <v>53955</v>
      </c>
      <c r="Z2109" s="115">
        <f>_xll.qlCalendarAdvance(Calendar,Y2109,NDays&amp;"D")</f>
        <v>53955</v>
      </c>
      <c r="AA2109" s="116" t="e">
        <v>#N/A</v>
      </c>
      <c r="AB2109" s="113" t="e">
        <v>#N/A</v>
      </c>
    </row>
    <row r="2110" spans="17:28" x14ac:dyDescent="0.2">
      <c r="Q2110" s="72"/>
      <c r="T2110" s="72"/>
      <c r="U2110" s="93"/>
      <c r="X2110" s="114" t="str">
        <f t="shared" si="45"/>
        <v>1w</v>
      </c>
      <c r="Y2110" s="112">
        <f>_xll.qlCalendarAdvance(Calendar,Y2109,X2110,"f",FALSE)</f>
        <v>53962</v>
      </c>
      <c r="Z2110" s="115">
        <f>_xll.qlCalendarAdvance(Calendar,Y2110,NDays&amp;"D")</f>
        <v>53962</v>
      </c>
      <c r="AA2110" s="116" t="e">
        <v>#N/A</v>
      </c>
      <c r="AB2110" s="113" t="e">
        <v>#N/A</v>
      </c>
    </row>
    <row r="2111" spans="17:28" x14ac:dyDescent="0.2">
      <c r="Q2111" s="72"/>
      <c r="T2111" s="72"/>
      <c r="U2111" s="93"/>
      <c r="X2111" s="114" t="str">
        <f t="shared" si="45"/>
        <v>1w</v>
      </c>
      <c r="Y2111" s="112">
        <f>_xll.qlCalendarAdvance(Calendar,Y2110,X2111,"f",FALSE)</f>
        <v>53969</v>
      </c>
      <c r="Z2111" s="115">
        <f>_xll.qlCalendarAdvance(Calendar,Y2111,NDays&amp;"D")</f>
        <v>53969</v>
      </c>
      <c r="AA2111" s="116" t="e">
        <v>#N/A</v>
      </c>
      <c r="AB2111" s="113" t="e">
        <v>#N/A</v>
      </c>
    </row>
    <row r="2112" spans="17:28" x14ac:dyDescent="0.2">
      <c r="Q2112" s="72"/>
      <c r="T2112" s="72"/>
      <c r="U2112" s="93"/>
      <c r="X2112" s="114" t="str">
        <f t="shared" si="45"/>
        <v>1w</v>
      </c>
      <c r="Y2112" s="112">
        <f>_xll.qlCalendarAdvance(Calendar,Y2111,X2112,"f",FALSE)</f>
        <v>53976</v>
      </c>
      <c r="Z2112" s="115">
        <f>_xll.qlCalendarAdvance(Calendar,Y2112,NDays&amp;"D")</f>
        <v>53976</v>
      </c>
      <c r="AA2112" s="116" t="e">
        <v>#N/A</v>
      </c>
      <c r="AB2112" s="113" t="e">
        <v>#N/A</v>
      </c>
    </row>
    <row r="2113" spans="17:28" x14ac:dyDescent="0.2">
      <c r="Q2113" s="72"/>
      <c r="T2113" s="72"/>
      <c r="U2113" s="93"/>
      <c r="X2113" s="114" t="str">
        <f t="shared" si="45"/>
        <v>1w</v>
      </c>
      <c r="Y2113" s="112">
        <f>_xll.qlCalendarAdvance(Calendar,Y2112,X2113,"f",FALSE)</f>
        <v>53983</v>
      </c>
      <c r="Z2113" s="115">
        <f>_xll.qlCalendarAdvance(Calendar,Y2113,NDays&amp;"D")</f>
        <v>53983</v>
      </c>
      <c r="AA2113" s="116" t="e">
        <v>#N/A</v>
      </c>
      <c r="AB2113" s="113" t="e">
        <v>#N/A</v>
      </c>
    </row>
    <row r="2114" spans="17:28" x14ac:dyDescent="0.2">
      <c r="Q2114" s="72"/>
      <c r="T2114" s="72"/>
      <c r="U2114" s="93"/>
      <c r="X2114" s="114" t="str">
        <f t="shared" si="45"/>
        <v>1w</v>
      </c>
      <c r="Y2114" s="112">
        <f>_xll.qlCalendarAdvance(Calendar,Y2113,X2114,"f",FALSE)</f>
        <v>53990</v>
      </c>
      <c r="Z2114" s="115">
        <f>_xll.qlCalendarAdvance(Calendar,Y2114,NDays&amp;"D")</f>
        <v>53990</v>
      </c>
      <c r="AA2114" s="116" t="e">
        <v>#N/A</v>
      </c>
      <c r="AB2114" s="113" t="e">
        <v>#N/A</v>
      </c>
    </row>
    <row r="2115" spans="17:28" x14ac:dyDescent="0.2">
      <c r="Q2115" s="72"/>
      <c r="T2115" s="72"/>
      <c r="U2115" s="93"/>
      <c r="X2115" s="114" t="str">
        <f t="shared" si="45"/>
        <v>1w</v>
      </c>
      <c r="Y2115" s="112">
        <f>_xll.qlCalendarAdvance(Calendar,Y2114,X2115,"f",FALSE)</f>
        <v>53997</v>
      </c>
      <c r="Z2115" s="115">
        <f>_xll.qlCalendarAdvance(Calendar,Y2115,NDays&amp;"D")</f>
        <v>53997</v>
      </c>
      <c r="AA2115" s="116" t="e">
        <v>#N/A</v>
      </c>
      <c r="AB2115" s="113" t="e">
        <v>#N/A</v>
      </c>
    </row>
    <row r="2116" spans="17:28" x14ac:dyDescent="0.2">
      <c r="Q2116" s="72"/>
      <c r="T2116" s="72"/>
      <c r="U2116" s="93"/>
      <c r="X2116" s="114" t="str">
        <f t="shared" si="45"/>
        <v>1w</v>
      </c>
      <c r="Y2116" s="112">
        <f>_xll.qlCalendarAdvance(Calendar,Y2115,X2116,"f",FALSE)</f>
        <v>54004</v>
      </c>
      <c r="Z2116" s="115">
        <f>_xll.qlCalendarAdvance(Calendar,Y2116,NDays&amp;"D")</f>
        <v>54004</v>
      </c>
      <c r="AA2116" s="116" t="e">
        <v>#N/A</v>
      </c>
      <c r="AB2116" s="113" t="e">
        <v>#N/A</v>
      </c>
    </row>
    <row r="2117" spans="17:28" x14ac:dyDescent="0.2">
      <c r="Q2117" s="72"/>
      <c r="T2117" s="72"/>
      <c r="U2117" s="93"/>
      <c r="X2117" s="114" t="str">
        <f t="shared" si="45"/>
        <v>1w</v>
      </c>
      <c r="Y2117" s="112">
        <f>_xll.qlCalendarAdvance(Calendar,Y2116,X2117,"f",FALSE)</f>
        <v>54011</v>
      </c>
      <c r="Z2117" s="115">
        <f>_xll.qlCalendarAdvance(Calendar,Y2117,NDays&amp;"D")</f>
        <v>54011</v>
      </c>
      <c r="AA2117" s="116" t="e">
        <v>#N/A</v>
      </c>
      <c r="AB2117" s="113" t="e">
        <v>#N/A</v>
      </c>
    </row>
    <row r="2118" spans="17:28" x14ac:dyDescent="0.2">
      <c r="Q2118" s="72"/>
      <c r="T2118" s="72"/>
      <c r="U2118" s="93"/>
      <c r="X2118" s="114" t="str">
        <f t="shared" si="45"/>
        <v>1w</v>
      </c>
      <c r="Y2118" s="112">
        <f>_xll.qlCalendarAdvance(Calendar,Y2117,X2118,"f",FALSE)</f>
        <v>54018</v>
      </c>
      <c r="Z2118" s="115">
        <f>_xll.qlCalendarAdvance(Calendar,Y2118,NDays&amp;"D")</f>
        <v>54018</v>
      </c>
      <c r="AA2118" s="116" t="e">
        <v>#N/A</v>
      </c>
      <c r="AB2118" s="113" t="e">
        <v>#N/A</v>
      </c>
    </row>
    <row r="2119" spans="17:28" x14ac:dyDescent="0.2">
      <c r="Q2119" s="72"/>
      <c r="T2119" s="72"/>
      <c r="U2119" s="93"/>
      <c r="X2119" s="114" t="str">
        <f t="shared" si="45"/>
        <v>1w</v>
      </c>
      <c r="Y2119" s="112">
        <f>_xll.qlCalendarAdvance(Calendar,Y2118,X2119,"f",FALSE)</f>
        <v>54025</v>
      </c>
      <c r="Z2119" s="115">
        <f>_xll.qlCalendarAdvance(Calendar,Y2119,NDays&amp;"D")</f>
        <v>54025</v>
      </c>
      <c r="AA2119" s="116" t="e">
        <v>#N/A</v>
      </c>
      <c r="AB2119" s="113" t="e">
        <v>#N/A</v>
      </c>
    </row>
    <row r="2120" spans="17:28" x14ac:dyDescent="0.2">
      <c r="Q2120" s="72"/>
      <c r="T2120" s="72"/>
      <c r="U2120" s="93"/>
      <c r="X2120" s="114" t="str">
        <f t="shared" si="45"/>
        <v>1w</v>
      </c>
      <c r="Y2120" s="112">
        <f>_xll.qlCalendarAdvance(Calendar,Y2119,X2120,"f",FALSE)</f>
        <v>54032</v>
      </c>
      <c r="Z2120" s="115">
        <f>_xll.qlCalendarAdvance(Calendar,Y2120,NDays&amp;"D")</f>
        <v>54032</v>
      </c>
      <c r="AA2120" s="116" t="e">
        <v>#N/A</v>
      </c>
      <c r="AB2120" s="113" t="e">
        <v>#N/A</v>
      </c>
    </row>
    <row r="2121" spans="17:28" x14ac:dyDescent="0.2">
      <c r="Q2121" s="72"/>
      <c r="T2121" s="72"/>
      <c r="U2121" s="93"/>
      <c r="X2121" s="114" t="str">
        <f t="shared" si="45"/>
        <v>1w</v>
      </c>
      <c r="Y2121" s="112">
        <f>_xll.qlCalendarAdvance(Calendar,Y2120,X2121,"f",FALSE)</f>
        <v>54039</v>
      </c>
      <c r="Z2121" s="115">
        <f>_xll.qlCalendarAdvance(Calendar,Y2121,NDays&amp;"D")</f>
        <v>54039</v>
      </c>
      <c r="AA2121" s="116" t="e">
        <v>#N/A</v>
      </c>
      <c r="AB2121" s="113" t="e">
        <v>#N/A</v>
      </c>
    </row>
    <row r="2122" spans="17:28" x14ac:dyDescent="0.2">
      <c r="Q2122" s="72"/>
      <c r="T2122" s="72"/>
      <c r="U2122" s="93"/>
      <c r="X2122" s="114" t="str">
        <f t="shared" si="45"/>
        <v>1w</v>
      </c>
      <c r="Y2122" s="112">
        <f>_xll.qlCalendarAdvance(Calendar,Y2121,X2122,"f",FALSE)</f>
        <v>54046</v>
      </c>
      <c r="Z2122" s="115">
        <f>_xll.qlCalendarAdvance(Calendar,Y2122,NDays&amp;"D")</f>
        <v>54046</v>
      </c>
      <c r="AA2122" s="116" t="e">
        <v>#N/A</v>
      </c>
      <c r="AB2122" s="113" t="e">
        <v>#N/A</v>
      </c>
    </row>
    <row r="2123" spans="17:28" x14ac:dyDescent="0.2">
      <c r="Q2123" s="72"/>
      <c r="T2123" s="72"/>
      <c r="U2123" s="93"/>
      <c r="X2123" s="114" t="str">
        <f t="shared" si="45"/>
        <v>1w</v>
      </c>
      <c r="Y2123" s="112">
        <f>_xll.qlCalendarAdvance(Calendar,Y2122,X2123,"f",FALSE)</f>
        <v>54053</v>
      </c>
      <c r="Z2123" s="115">
        <f>_xll.qlCalendarAdvance(Calendar,Y2123,NDays&amp;"D")</f>
        <v>54053</v>
      </c>
      <c r="AA2123" s="116" t="e">
        <v>#N/A</v>
      </c>
      <c r="AB2123" s="113" t="e">
        <v>#N/A</v>
      </c>
    </row>
    <row r="2124" spans="17:28" x14ac:dyDescent="0.2">
      <c r="Q2124" s="72"/>
      <c r="T2124" s="72"/>
      <c r="U2124" s="93"/>
      <c r="X2124" s="114" t="str">
        <f t="shared" si="45"/>
        <v>1w</v>
      </c>
      <c r="Y2124" s="112">
        <f>_xll.qlCalendarAdvance(Calendar,Y2123,X2124,"f",FALSE)</f>
        <v>54060</v>
      </c>
      <c r="Z2124" s="115">
        <f>_xll.qlCalendarAdvance(Calendar,Y2124,NDays&amp;"D")</f>
        <v>54060</v>
      </c>
      <c r="AA2124" s="116" t="e">
        <v>#N/A</v>
      </c>
      <c r="AB2124" s="113" t="e">
        <v>#N/A</v>
      </c>
    </row>
    <row r="2125" spans="17:28" x14ac:dyDescent="0.2">
      <c r="Q2125" s="72"/>
      <c r="T2125" s="72"/>
      <c r="U2125" s="93"/>
      <c r="X2125" s="114" t="str">
        <f t="shared" si="45"/>
        <v>1w</v>
      </c>
      <c r="Y2125" s="112">
        <f>_xll.qlCalendarAdvance(Calendar,Y2124,X2125,"f",FALSE)</f>
        <v>54067</v>
      </c>
      <c r="Z2125" s="115">
        <f>_xll.qlCalendarAdvance(Calendar,Y2125,NDays&amp;"D")</f>
        <v>54067</v>
      </c>
      <c r="AA2125" s="116" t="e">
        <v>#N/A</v>
      </c>
      <c r="AB2125" s="113" t="e">
        <v>#N/A</v>
      </c>
    </row>
    <row r="2126" spans="17:28" x14ac:dyDescent="0.2">
      <c r="Q2126" s="72"/>
      <c r="T2126" s="72"/>
      <c r="U2126" s="93"/>
      <c r="X2126" s="114" t="str">
        <f t="shared" si="45"/>
        <v>1w</v>
      </c>
      <c r="Y2126" s="112">
        <f>_xll.qlCalendarAdvance(Calendar,Y2125,X2126,"f",FALSE)</f>
        <v>54074</v>
      </c>
      <c r="Z2126" s="115">
        <f>_xll.qlCalendarAdvance(Calendar,Y2126,NDays&amp;"D")</f>
        <v>54074</v>
      </c>
      <c r="AA2126" s="116" t="e">
        <v>#N/A</v>
      </c>
      <c r="AB2126" s="113" t="e">
        <v>#N/A</v>
      </c>
    </row>
    <row r="2127" spans="17:28" x14ac:dyDescent="0.2">
      <c r="Q2127" s="72"/>
      <c r="T2127" s="72"/>
      <c r="U2127" s="93"/>
      <c r="X2127" s="114" t="str">
        <f t="shared" si="45"/>
        <v>1w</v>
      </c>
      <c r="Y2127" s="112">
        <f>_xll.qlCalendarAdvance(Calendar,Y2126,X2127,"f",FALSE)</f>
        <v>54081</v>
      </c>
      <c r="Z2127" s="115">
        <f>_xll.qlCalendarAdvance(Calendar,Y2127,NDays&amp;"D")</f>
        <v>54081</v>
      </c>
      <c r="AA2127" s="116" t="e">
        <v>#N/A</v>
      </c>
      <c r="AB2127" s="113" t="e">
        <v>#N/A</v>
      </c>
    </row>
    <row r="2128" spans="17:28" x14ac:dyDescent="0.2">
      <c r="Q2128" s="72"/>
      <c r="T2128" s="72"/>
      <c r="U2128" s="93"/>
      <c r="X2128" s="114" t="str">
        <f t="shared" si="45"/>
        <v>1w</v>
      </c>
      <c r="Y2128" s="112">
        <f>_xll.qlCalendarAdvance(Calendar,Y2127,X2128,"f",FALSE)</f>
        <v>54088</v>
      </c>
      <c r="Z2128" s="115">
        <f>_xll.qlCalendarAdvance(Calendar,Y2128,NDays&amp;"D")</f>
        <v>54088</v>
      </c>
      <c r="AA2128" s="116" t="e">
        <v>#N/A</v>
      </c>
      <c r="AB2128" s="113" t="e">
        <v>#N/A</v>
      </c>
    </row>
    <row r="2129" spans="17:28" x14ac:dyDescent="0.2">
      <c r="Q2129" s="72"/>
      <c r="T2129" s="72"/>
      <c r="U2129" s="93"/>
      <c r="X2129" s="114" t="str">
        <f t="shared" si="45"/>
        <v>1w</v>
      </c>
      <c r="Y2129" s="112">
        <f>_xll.qlCalendarAdvance(Calendar,Y2128,X2129,"f",FALSE)</f>
        <v>54095</v>
      </c>
      <c r="Z2129" s="115">
        <f>_xll.qlCalendarAdvance(Calendar,Y2129,NDays&amp;"D")</f>
        <v>54095</v>
      </c>
      <c r="AA2129" s="116" t="e">
        <v>#N/A</v>
      </c>
      <c r="AB2129" s="113" t="e">
        <v>#N/A</v>
      </c>
    </row>
    <row r="2130" spans="17:28" x14ac:dyDescent="0.2">
      <c r="Q2130" s="72"/>
      <c r="T2130" s="72"/>
      <c r="U2130" s="93"/>
      <c r="X2130" s="114" t="str">
        <f t="shared" si="45"/>
        <v>1w</v>
      </c>
      <c r="Y2130" s="112">
        <f>_xll.qlCalendarAdvance(Calendar,Y2129,X2130,"f",FALSE)</f>
        <v>54102</v>
      </c>
      <c r="Z2130" s="115">
        <f>_xll.qlCalendarAdvance(Calendar,Y2130,NDays&amp;"D")</f>
        <v>54102</v>
      </c>
      <c r="AA2130" s="116" t="e">
        <v>#N/A</v>
      </c>
      <c r="AB2130" s="113" t="e">
        <v>#N/A</v>
      </c>
    </row>
    <row r="2131" spans="17:28" x14ac:dyDescent="0.2">
      <c r="Q2131" s="72"/>
      <c r="T2131" s="72"/>
      <c r="U2131" s="93"/>
      <c r="X2131" s="114" t="str">
        <f t="shared" si="45"/>
        <v>1w</v>
      </c>
      <c r="Y2131" s="112">
        <f>_xll.qlCalendarAdvance(Calendar,Y2130,X2131,"f",FALSE)</f>
        <v>54109</v>
      </c>
      <c r="Z2131" s="115">
        <f>_xll.qlCalendarAdvance(Calendar,Y2131,NDays&amp;"D")</f>
        <v>54109</v>
      </c>
      <c r="AA2131" s="116" t="e">
        <v>#N/A</v>
      </c>
      <c r="AB2131" s="113" t="e">
        <v>#N/A</v>
      </c>
    </row>
    <row r="2132" spans="17:28" x14ac:dyDescent="0.2">
      <c r="Q2132" s="72"/>
      <c r="T2132" s="72"/>
      <c r="U2132" s="93"/>
      <c r="X2132" s="114" t="str">
        <f t="shared" si="45"/>
        <v>1w</v>
      </c>
      <c r="Y2132" s="112">
        <f>_xll.qlCalendarAdvance(Calendar,Y2131,X2132,"f",FALSE)</f>
        <v>54116</v>
      </c>
      <c r="Z2132" s="115">
        <f>_xll.qlCalendarAdvance(Calendar,Y2132,NDays&amp;"D")</f>
        <v>54116</v>
      </c>
      <c r="AA2132" s="116" t="e">
        <v>#N/A</v>
      </c>
      <c r="AB2132" s="113" t="e">
        <v>#N/A</v>
      </c>
    </row>
    <row r="2133" spans="17:28" x14ac:dyDescent="0.2">
      <c r="Q2133" s="72"/>
      <c r="T2133" s="72"/>
      <c r="U2133" s="93"/>
      <c r="X2133" s="114" t="str">
        <f t="shared" ref="X2133:X2196" si="46">X2132</f>
        <v>1w</v>
      </c>
      <c r="Y2133" s="112">
        <f>_xll.qlCalendarAdvance(Calendar,Y2132,X2133,"f",FALSE)</f>
        <v>54123</v>
      </c>
      <c r="Z2133" s="115">
        <f>_xll.qlCalendarAdvance(Calendar,Y2133,NDays&amp;"D")</f>
        <v>54123</v>
      </c>
      <c r="AA2133" s="116" t="e">
        <v>#N/A</v>
      </c>
      <c r="AB2133" s="113" t="e">
        <v>#N/A</v>
      </c>
    </row>
    <row r="2134" spans="17:28" x14ac:dyDescent="0.2">
      <c r="Q2134" s="72"/>
      <c r="T2134" s="72"/>
      <c r="U2134" s="93"/>
      <c r="X2134" s="114" t="str">
        <f t="shared" si="46"/>
        <v>1w</v>
      </c>
      <c r="Y2134" s="112">
        <f>_xll.qlCalendarAdvance(Calendar,Y2133,X2134,"f",FALSE)</f>
        <v>54130</v>
      </c>
      <c r="Z2134" s="115">
        <f>_xll.qlCalendarAdvance(Calendar,Y2134,NDays&amp;"D")</f>
        <v>54130</v>
      </c>
      <c r="AA2134" s="116" t="e">
        <v>#N/A</v>
      </c>
      <c r="AB2134" s="113" t="e">
        <v>#N/A</v>
      </c>
    </row>
    <row r="2135" spans="17:28" x14ac:dyDescent="0.2">
      <c r="Q2135" s="72"/>
      <c r="T2135" s="72"/>
      <c r="U2135" s="93"/>
      <c r="X2135" s="114" t="str">
        <f t="shared" si="46"/>
        <v>1w</v>
      </c>
      <c r="Y2135" s="112">
        <f>_xll.qlCalendarAdvance(Calendar,Y2134,X2135,"f",FALSE)</f>
        <v>54137</v>
      </c>
      <c r="Z2135" s="115">
        <f>_xll.qlCalendarAdvance(Calendar,Y2135,NDays&amp;"D")</f>
        <v>54137</v>
      </c>
      <c r="AA2135" s="116" t="e">
        <v>#N/A</v>
      </c>
      <c r="AB2135" s="113" t="e">
        <v>#N/A</v>
      </c>
    </row>
    <row r="2136" spans="17:28" x14ac:dyDescent="0.2">
      <c r="Q2136" s="72"/>
      <c r="T2136" s="72"/>
      <c r="U2136" s="93"/>
      <c r="X2136" s="114" t="str">
        <f t="shared" si="46"/>
        <v>1w</v>
      </c>
      <c r="Y2136" s="112">
        <f>_xll.qlCalendarAdvance(Calendar,Y2135,X2136,"f",FALSE)</f>
        <v>54144</v>
      </c>
      <c r="Z2136" s="115">
        <f>_xll.qlCalendarAdvance(Calendar,Y2136,NDays&amp;"D")</f>
        <v>54144</v>
      </c>
      <c r="AA2136" s="116" t="e">
        <v>#N/A</v>
      </c>
      <c r="AB2136" s="113" t="e">
        <v>#N/A</v>
      </c>
    </row>
    <row r="2137" spans="17:28" x14ac:dyDescent="0.2">
      <c r="Q2137" s="72"/>
      <c r="T2137" s="72"/>
      <c r="U2137" s="93"/>
      <c r="X2137" s="114" t="str">
        <f t="shared" si="46"/>
        <v>1w</v>
      </c>
      <c r="Y2137" s="112">
        <f>_xll.qlCalendarAdvance(Calendar,Y2136,X2137,"f",FALSE)</f>
        <v>54155</v>
      </c>
      <c r="Z2137" s="115">
        <f>_xll.qlCalendarAdvance(Calendar,Y2137,NDays&amp;"D")</f>
        <v>54155</v>
      </c>
      <c r="AA2137" s="116" t="e">
        <v>#N/A</v>
      </c>
      <c r="AB2137" s="113" t="e">
        <v>#N/A</v>
      </c>
    </row>
    <row r="2138" spans="17:28" x14ac:dyDescent="0.2">
      <c r="Q2138" s="72"/>
      <c r="T2138" s="72"/>
      <c r="U2138" s="93"/>
      <c r="X2138" s="114" t="str">
        <f t="shared" si="46"/>
        <v>1w</v>
      </c>
      <c r="Y2138" s="112">
        <f>_xll.qlCalendarAdvance(Calendar,Y2137,X2138,"f",FALSE)</f>
        <v>54162</v>
      </c>
      <c r="Z2138" s="115">
        <f>_xll.qlCalendarAdvance(Calendar,Y2138,NDays&amp;"D")</f>
        <v>54162</v>
      </c>
      <c r="AA2138" s="116" t="e">
        <v>#N/A</v>
      </c>
      <c r="AB2138" s="113" t="e">
        <v>#N/A</v>
      </c>
    </row>
    <row r="2139" spans="17:28" x14ac:dyDescent="0.2">
      <c r="Q2139" s="72"/>
      <c r="T2139" s="72"/>
      <c r="U2139" s="93"/>
      <c r="X2139" s="114" t="str">
        <f t="shared" si="46"/>
        <v>1w</v>
      </c>
      <c r="Y2139" s="112">
        <f>_xll.qlCalendarAdvance(Calendar,Y2138,X2139,"f",FALSE)</f>
        <v>54169</v>
      </c>
      <c r="Z2139" s="115">
        <f>_xll.qlCalendarAdvance(Calendar,Y2139,NDays&amp;"D")</f>
        <v>54169</v>
      </c>
      <c r="AA2139" s="116" t="e">
        <v>#N/A</v>
      </c>
      <c r="AB2139" s="113" t="e">
        <v>#N/A</v>
      </c>
    </row>
    <row r="2140" spans="17:28" x14ac:dyDescent="0.2">
      <c r="Q2140" s="72"/>
      <c r="T2140" s="72"/>
      <c r="U2140" s="93"/>
      <c r="X2140" s="114" t="str">
        <f t="shared" si="46"/>
        <v>1w</v>
      </c>
      <c r="Y2140" s="112">
        <f>_xll.qlCalendarAdvance(Calendar,Y2139,X2140,"f",FALSE)</f>
        <v>54176</v>
      </c>
      <c r="Z2140" s="115">
        <f>_xll.qlCalendarAdvance(Calendar,Y2140,NDays&amp;"D")</f>
        <v>54176</v>
      </c>
      <c r="AA2140" s="116" t="e">
        <v>#N/A</v>
      </c>
      <c r="AB2140" s="113" t="e">
        <v>#N/A</v>
      </c>
    </row>
    <row r="2141" spans="17:28" x14ac:dyDescent="0.2">
      <c r="Q2141" s="72"/>
      <c r="T2141" s="72"/>
      <c r="U2141" s="93"/>
      <c r="X2141" s="114" t="str">
        <f t="shared" si="46"/>
        <v>1w</v>
      </c>
      <c r="Y2141" s="112">
        <f>_xll.qlCalendarAdvance(Calendar,Y2140,X2141,"f",FALSE)</f>
        <v>54183</v>
      </c>
      <c r="Z2141" s="115">
        <f>_xll.qlCalendarAdvance(Calendar,Y2141,NDays&amp;"D")</f>
        <v>54183</v>
      </c>
      <c r="AA2141" s="116" t="e">
        <v>#N/A</v>
      </c>
      <c r="AB2141" s="113" t="e">
        <v>#N/A</v>
      </c>
    </row>
    <row r="2142" spans="17:28" x14ac:dyDescent="0.2">
      <c r="Q2142" s="72"/>
      <c r="T2142" s="72"/>
      <c r="U2142" s="93"/>
      <c r="X2142" s="114" t="str">
        <f t="shared" si="46"/>
        <v>1w</v>
      </c>
      <c r="Y2142" s="112">
        <f>_xll.qlCalendarAdvance(Calendar,Y2141,X2142,"f",FALSE)</f>
        <v>54190</v>
      </c>
      <c r="Z2142" s="115">
        <f>_xll.qlCalendarAdvance(Calendar,Y2142,NDays&amp;"D")</f>
        <v>54190</v>
      </c>
      <c r="AA2142" s="116" t="e">
        <v>#N/A</v>
      </c>
      <c r="AB2142" s="113" t="e">
        <v>#N/A</v>
      </c>
    </row>
    <row r="2143" spans="17:28" x14ac:dyDescent="0.2">
      <c r="Q2143" s="72"/>
      <c r="T2143" s="72"/>
      <c r="U2143" s="93"/>
      <c r="X2143" s="114" t="str">
        <f t="shared" si="46"/>
        <v>1w</v>
      </c>
      <c r="Y2143" s="112">
        <f>_xll.qlCalendarAdvance(Calendar,Y2142,X2143,"f",FALSE)</f>
        <v>54197</v>
      </c>
      <c r="Z2143" s="115">
        <f>_xll.qlCalendarAdvance(Calendar,Y2143,NDays&amp;"D")</f>
        <v>54197</v>
      </c>
      <c r="AA2143" s="116" t="e">
        <v>#N/A</v>
      </c>
      <c r="AB2143" s="113" t="e">
        <v>#N/A</v>
      </c>
    </row>
    <row r="2144" spans="17:28" x14ac:dyDescent="0.2">
      <c r="Q2144" s="72"/>
      <c r="T2144" s="72"/>
      <c r="U2144" s="93"/>
      <c r="X2144" s="114" t="str">
        <f t="shared" si="46"/>
        <v>1w</v>
      </c>
      <c r="Y2144" s="112">
        <f>_xll.qlCalendarAdvance(Calendar,Y2143,X2144,"f",FALSE)</f>
        <v>54204</v>
      </c>
      <c r="Z2144" s="115">
        <f>_xll.qlCalendarAdvance(Calendar,Y2144,NDays&amp;"D")</f>
        <v>54204</v>
      </c>
      <c r="AA2144" s="116" t="e">
        <v>#N/A</v>
      </c>
      <c r="AB2144" s="113" t="e">
        <v>#N/A</v>
      </c>
    </row>
    <row r="2145" spans="17:28" x14ac:dyDescent="0.2">
      <c r="Q2145" s="72"/>
      <c r="T2145" s="72"/>
      <c r="U2145" s="93"/>
      <c r="X2145" s="114" t="str">
        <f t="shared" si="46"/>
        <v>1w</v>
      </c>
      <c r="Y2145" s="112">
        <f>_xll.qlCalendarAdvance(Calendar,Y2144,X2145,"f",FALSE)</f>
        <v>54211</v>
      </c>
      <c r="Z2145" s="115">
        <f>_xll.qlCalendarAdvance(Calendar,Y2145,NDays&amp;"D")</f>
        <v>54211</v>
      </c>
      <c r="AA2145" s="116" t="e">
        <v>#N/A</v>
      </c>
      <c r="AB2145" s="113" t="e">
        <v>#N/A</v>
      </c>
    </row>
    <row r="2146" spans="17:28" x14ac:dyDescent="0.2">
      <c r="Q2146" s="72"/>
      <c r="T2146" s="72"/>
      <c r="U2146" s="93"/>
      <c r="X2146" s="114" t="str">
        <f t="shared" si="46"/>
        <v>1w</v>
      </c>
      <c r="Y2146" s="112">
        <f>_xll.qlCalendarAdvance(Calendar,Y2145,X2146,"f",FALSE)</f>
        <v>54218</v>
      </c>
      <c r="Z2146" s="115">
        <f>_xll.qlCalendarAdvance(Calendar,Y2146,NDays&amp;"D")</f>
        <v>54218</v>
      </c>
      <c r="AA2146" s="116" t="e">
        <v>#N/A</v>
      </c>
      <c r="AB2146" s="113" t="e">
        <v>#N/A</v>
      </c>
    </row>
    <row r="2147" spans="17:28" x14ac:dyDescent="0.2">
      <c r="Q2147" s="72"/>
      <c r="T2147" s="72"/>
      <c r="U2147" s="93"/>
      <c r="X2147" s="114" t="str">
        <f t="shared" si="46"/>
        <v>1w</v>
      </c>
      <c r="Y2147" s="112">
        <f>_xll.qlCalendarAdvance(Calendar,Y2146,X2147,"f",FALSE)</f>
        <v>54225</v>
      </c>
      <c r="Z2147" s="115">
        <f>_xll.qlCalendarAdvance(Calendar,Y2147,NDays&amp;"D")</f>
        <v>54225</v>
      </c>
      <c r="AA2147" s="116" t="e">
        <v>#N/A</v>
      </c>
      <c r="AB2147" s="113" t="e">
        <v>#N/A</v>
      </c>
    </row>
    <row r="2148" spans="17:28" x14ac:dyDescent="0.2">
      <c r="Q2148" s="72"/>
      <c r="T2148" s="72"/>
      <c r="U2148" s="93"/>
      <c r="X2148" s="114" t="str">
        <f t="shared" si="46"/>
        <v>1w</v>
      </c>
      <c r="Y2148" s="112">
        <f>_xll.qlCalendarAdvance(Calendar,Y2147,X2148,"f",FALSE)</f>
        <v>54232</v>
      </c>
      <c r="Z2148" s="115">
        <f>_xll.qlCalendarAdvance(Calendar,Y2148,NDays&amp;"D")</f>
        <v>54232</v>
      </c>
      <c r="AA2148" s="116" t="e">
        <v>#N/A</v>
      </c>
      <c r="AB2148" s="113" t="e">
        <v>#N/A</v>
      </c>
    </row>
    <row r="2149" spans="17:28" x14ac:dyDescent="0.2">
      <c r="Q2149" s="72"/>
      <c r="T2149" s="72"/>
      <c r="U2149" s="93"/>
      <c r="X2149" s="114" t="str">
        <f t="shared" si="46"/>
        <v>1w</v>
      </c>
      <c r="Y2149" s="112">
        <f>_xll.qlCalendarAdvance(Calendar,Y2148,X2149,"f",FALSE)</f>
        <v>54239</v>
      </c>
      <c r="Z2149" s="115">
        <f>_xll.qlCalendarAdvance(Calendar,Y2149,NDays&amp;"D")</f>
        <v>54239</v>
      </c>
      <c r="AA2149" s="116" t="e">
        <v>#N/A</v>
      </c>
      <c r="AB2149" s="113" t="e">
        <v>#N/A</v>
      </c>
    </row>
    <row r="2150" spans="17:28" x14ac:dyDescent="0.2">
      <c r="Q2150" s="72"/>
      <c r="T2150" s="72"/>
      <c r="U2150" s="93"/>
      <c r="X2150" s="114" t="str">
        <f t="shared" si="46"/>
        <v>1w</v>
      </c>
      <c r="Y2150" s="112">
        <f>_xll.qlCalendarAdvance(Calendar,Y2149,X2150,"f",FALSE)</f>
        <v>54246</v>
      </c>
      <c r="Z2150" s="115">
        <f>_xll.qlCalendarAdvance(Calendar,Y2150,NDays&amp;"D")</f>
        <v>54246</v>
      </c>
      <c r="AA2150" s="116" t="e">
        <v>#N/A</v>
      </c>
      <c r="AB2150" s="113" t="e">
        <v>#N/A</v>
      </c>
    </row>
    <row r="2151" spans="17:28" x14ac:dyDescent="0.2">
      <c r="Q2151" s="72"/>
      <c r="T2151" s="72"/>
      <c r="U2151" s="93"/>
      <c r="X2151" s="114" t="str">
        <f t="shared" si="46"/>
        <v>1w</v>
      </c>
      <c r="Y2151" s="112">
        <f>_xll.qlCalendarAdvance(Calendar,Y2150,X2151,"f",FALSE)</f>
        <v>54253</v>
      </c>
      <c r="Z2151" s="115">
        <f>_xll.qlCalendarAdvance(Calendar,Y2151,NDays&amp;"D")</f>
        <v>54253</v>
      </c>
      <c r="AA2151" s="116" t="e">
        <v>#N/A</v>
      </c>
      <c r="AB2151" s="113" t="e">
        <v>#N/A</v>
      </c>
    </row>
    <row r="2152" spans="17:28" x14ac:dyDescent="0.2">
      <c r="Q2152" s="72"/>
      <c r="T2152" s="72"/>
      <c r="U2152" s="93"/>
      <c r="X2152" s="114" t="str">
        <f t="shared" si="46"/>
        <v>1w</v>
      </c>
      <c r="Y2152" s="112">
        <f>_xll.qlCalendarAdvance(Calendar,Y2151,X2152,"f",FALSE)</f>
        <v>54260</v>
      </c>
      <c r="Z2152" s="115">
        <f>_xll.qlCalendarAdvance(Calendar,Y2152,NDays&amp;"D")</f>
        <v>54260</v>
      </c>
      <c r="AA2152" s="116" t="e">
        <v>#N/A</v>
      </c>
      <c r="AB2152" s="113" t="e">
        <v>#N/A</v>
      </c>
    </row>
    <row r="2153" spans="17:28" x14ac:dyDescent="0.2">
      <c r="Q2153" s="72"/>
      <c r="T2153" s="72"/>
      <c r="U2153" s="93"/>
      <c r="X2153" s="114" t="str">
        <f t="shared" si="46"/>
        <v>1w</v>
      </c>
      <c r="Y2153" s="112">
        <f>_xll.qlCalendarAdvance(Calendar,Y2152,X2153,"f",FALSE)</f>
        <v>54267</v>
      </c>
      <c r="Z2153" s="115">
        <f>_xll.qlCalendarAdvance(Calendar,Y2153,NDays&amp;"D")</f>
        <v>54267</v>
      </c>
      <c r="AA2153" s="116" t="e">
        <v>#N/A</v>
      </c>
      <c r="AB2153" s="113" t="e">
        <v>#N/A</v>
      </c>
    </row>
    <row r="2154" spans="17:28" x14ac:dyDescent="0.2">
      <c r="Q2154" s="72"/>
      <c r="T2154" s="72"/>
      <c r="U2154" s="93"/>
      <c r="X2154" s="114" t="str">
        <f t="shared" si="46"/>
        <v>1w</v>
      </c>
      <c r="Y2154" s="112">
        <f>_xll.qlCalendarAdvance(Calendar,Y2153,X2154,"f",FALSE)</f>
        <v>54274</v>
      </c>
      <c r="Z2154" s="115">
        <f>_xll.qlCalendarAdvance(Calendar,Y2154,NDays&amp;"D")</f>
        <v>54274</v>
      </c>
      <c r="AA2154" s="116" t="e">
        <v>#N/A</v>
      </c>
      <c r="AB2154" s="113" t="e">
        <v>#N/A</v>
      </c>
    </row>
    <row r="2155" spans="17:28" x14ac:dyDescent="0.2">
      <c r="Q2155" s="72"/>
      <c r="T2155" s="72"/>
      <c r="U2155" s="93"/>
      <c r="X2155" s="114" t="str">
        <f t="shared" si="46"/>
        <v>1w</v>
      </c>
      <c r="Y2155" s="112">
        <f>_xll.qlCalendarAdvance(Calendar,Y2154,X2155,"f",FALSE)</f>
        <v>54281</v>
      </c>
      <c r="Z2155" s="115">
        <f>_xll.qlCalendarAdvance(Calendar,Y2155,NDays&amp;"D")</f>
        <v>54281</v>
      </c>
      <c r="AA2155" s="116" t="e">
        <v>#N/A</v>
      </c>
      <c r="AB2155" s="113" t="e">
        <v>#N/A</v>
      </c>
    </row>
    <row r="2156" spans="17:28" x14ac:dyDescent="0.2">
      <c r="Q2156" s="72"/>
      <c r="T2156" s="72"/>
      <c r="U2156" s="93"/>
      <c r="X2156" s="114" t="str">
        <f t="shared" si="46"/>
        <v>1w</v>
      </c>
      <c r="Y2156" s="112">
        <f>_xll.qlCalendarAdvance(Calendar,Y2155,X2156,"f",FALSE)</f>
        <v>54288</v>
      </c>
      <c r="Z2156" s="115">
        <f>_xll.qlCalendarAdvance(Calendar,Y2156,NDays&amp;"D")</f>
        <v>54288</v>
      </c>
      <c r="AA2156" s="116" t="e">
        <v>#N/A</v>
      </c>
      <c r="AB2156" s="113" t="e">
        <v>#N/A</v>
      </c>
    </row>
    <row r="2157" spans="17:28" x14ac:dyDescent="0.2">
      <c r="Q2157" s="72"/>
      <c r="T2157" s="72"/>
      <c r="U2157" s="93"/>
      <c r="X2157" s="114" t="str">
        <f t="shared" si="46"/>
        <v>1w</v>
      </c>
      <c r="Y2157" s="112">
        <f>_xll.qlCalendarAdvance(Calendar,Y2156,X2157,"f",FALSE)</f>
        <v>54295</v>
      </c>
      <c r="Z2157" s="115">
        <f>_xll.qlCalendarAdvance(Calendar,Y2157,NDays&amp;"D")</f>
        <v>54295</v>
      </c>
      <c r="AA2157" s="116" t="e">
        <v>#N/A</v>
      </c>
      <c r="AB2157" s="113" t="e">
        <v>#N/A</v>
      </c>
    </row>
    <row r="2158" spans="17:28" x14ac:dyDescent="0.2">
      <c r="Q2158" s="72"/>
      <c r="T2158" s="72"/>
      <c r="U2158" s="93"/>
      <c r="X2158" s="114" t="str">
        <f t="shared" si="46"/>
        <v>1w</v>
      </c>
      <c r="Y2158" s="112">
        <f>_xll.qlCalendarAdvance(Calendar,Y2157,X2158,"f",FALSE)</f>
        <v>54302</v>
      </c>
      <c r="Z2158" s="115">
        <f>_xll.qlCalendarAdvance(Calendar,Y2158,NDays&amp;"D")</f>
        <v>54302</v>
      </c>
      <c r="AA2158" s="116" t="e">
        <v>#N/A</v>
      </c>
      <c r="AB2158" s="113" t="e">
        <v>#N/A</v>
      </c>
    </row>
    <row r="2159" spans="17:28" x14ac:dyDescent="0.2">
      <c r="Q2159" s="72"/>
      <c r="T2159" s="72"/>
      <c r="U2159" s="93"/>
      <c r="X2159" s="114" t="str">
        <f t="shared" si="46"/>
        <v>1w</v>
      </c>
      <c r="Y2159" s="112">
        <f>_xll.qlCalendarAdvance(Calendar,Y2158,X2159,"f",FALSE)</f>
        <v>54309</v>
      </c>
      <c r="Z2159" s="115">
        <f>_xll.qlCalendarAdvance(Calendar,Y2159,NDays&amp;"D")</f>
        <v>54309</v>
      </c>
      <c r="AA2159" s="116" t="e">
        <v>#N/A</v>
      </c>
      <c r="AB2159" s="113" t="e">
        <v>#N/A</v>
      </c>
    </row>
    <row r="2160" spans="17:28" x14ac:dyDescent="0.2">
      <c r="Q2160" s="72"/>
      <c r="T2160" s="72"/>
      <c r="U2160" s="93"/>
      <c r="X2160" s="114" t="str">
        <f t="shared" si="46"/>
        <v>1w</v>
      </c>
      <c r="Y2160" s="112">
        <f>_xll.qlCalendarAdvance(Calendar,Y2159,X2160,"f",FALSE)</f>
        <v>54316</v>
      </c>
      <c r="Z2160" s="115">
        <f>_xll.qlCalendarAdvance(Calendar,Y2160,NDays&amp;"D")</f>
        <v>54316</v>
      </c>
      <c r="AA2160" s="116" t="e">
        <v>#N/A</v>
      </c>
      <c r="AB2160" s="113" t="e">
        <v>#N/A</v>
      </c>
    </row>
    <row r="2161" spans="17:28" x14ac:dyDescent="0.2">
      <c r="Q2161" s="72"/>
      <c r="T2161" s="72"/>
      <c r="U2161" s="93"/>
      <c r="X2161" s="114" t="str">
        <f t="shared" si="46"/>
        <v>1w</v>
      </c>
      <c r="Y2161" s="112">
        <f>_xll.qlCalendarAdvance(Calendar,Y2160,X2161,"f",FALSE)</f>
        <v>54323</v>
      </c>
      <c r="Z2161" s="115">
        <f>_xll.qlCalendarAdvance(Calendar,Y2161,NDays&amp;"D")</f>
        <v>54323</v>
      </c>
      <c r="AA2161" s="116" t="e">
        <v>#N/A</v>
      </c>
      <c r="AB2161" s="113" t="e">
        <v>#N/A</v>
      </c>
    </row>
    <row r="2162" spans="17:28" x14ac:dyDescent="0.2">
      <c r="Q2162" s="72"/>
      <c r="T2162" s="72"/>
      <c r="U2162" s="93"/>
      <c r="X2162" s="114" t="str">
        <f t="shared" si="46"/>
        <v>1w</v>
      </c>
      <c r="Y2162" s="112">
        <f>_xll.qlCalendarAdvance(Calendar,Y2161,X2162,"f",FALSE)</f>
        <v>54330</v>
      </c>
      <c r="Z2162" s="115">
        <f>_xll.qlCalendarAdvance(Calendar,Y2162,NDays&amp;"D")</f>
        <v>54330</v>
      </c>
      <c r="AA2162" s="116" t="e">
        <v>#N/A</v>
      </c>
      <c r="AB2162" s="113" t="e">
        <v>#N/A</v>
      </c>
    </row>
    <row r="2163" spans="17:28" x14ac:dyDescent="0.2">
      <c r="Q2163" s="72"/>
      <c r="T2163" s="72"/>
      <c r="U2163" s="93"/>
      <c r="X2163" s="114" t="str">
        <f t="shared" si="46"/>
        <v>1w</v>
      </c>
      <c r="Y2163" s="112">
        <f>_xll.qlCalendarAdvance(Calendar,Y2162,X2163,"f",FALSE)</f>
        <v>54337</v>
      </c>
      <c r="Z2163" s="115">
        <f>_xll.qlCalendarAdvance(Calendar,Y2163,NDays&amp;"D")</f>
        <v>54337</v>
      </c>
      <c r="AA2163" s="116" t="e">
        <v>#N/A</v>
      </c>
      <c r="AB2163" s="113" t="e">
        <v>#N/A</v>
      </c>
    </row>
    <row r="2164" spans="17:28" x14ac:dyDescent="0.2">
      <c r="Q2164" s="72"/>
      <c r="T2164" s="72"/>
      <c r="U2164" s="93"/>
      <c r="X2164" s="114" t="str">
        <f t="shared" si="46"/>
        <v>1w</v>
      </c>
      <c r="Y2164" s="112">
        <f>_xll.qlCalendarAdvance(Calendar,Y2163,X2164,"f",FALSE)</f>
        <v>54344</v>
      </c>
      <c r="Z2164" s="115">
        <f>_xll.qlCalendarAdvance(Calendar,Y2164,NDays&amp;"D")</f>
        <v>54344</v>
      </c>
      <c r="AA2164" s="116" t="e">
        <v>#N/A</v>
      </c>
      <c r="AB2164" s="113" t="e">
        <v>#N/A</v>
      </c>
    </row>
    <row r="2165" spans="17:28" x14ac:dyDescent="0.2">
      <c r="Q2165" s="72"/>
      <c r="T2165" s="72"/>
      <c r="U2165" s="93"/>
      <c r="X2165" s="114" t="str">
        <f t="shared" si="46"/>
        <v>1w</v>
      </c>
      <c r="Y2165" s="112">
        <f>_xll.qlCalendarAdvance(Calendar,Y2164,X2165,"f",FALSE)</f>
        <v>54351</v>
      </c>
      <c r="Z2165" s="115">
        <f>_xll.qlCalendarAdvance(Calendar,Y2165,NDays&amp;"D")</f>
        <v>54351</v>
      </c>
      <c r="AA2165" s="116" t="e">
        <v>#N/A</v>
      </c>
      <c r="AB2165" s="113" t="e">
        <v>#N/A</v>
      </c>
    </row>
    <row r="2166" spans="17:28" x14ac:dyDescent="0.2">
      <c r="Q2166" s="72"/>
      <c r="T2166" s="72"/>
      <c r="U2166" s="93"/>
      <c r="X2166" s="114" t="str">
        <f t="shared" si="46"/>
        <v>1w</v>
      </c>
      <c r="Y2166" s="112">
        <f>_xll.qlCalendarAdvance(Calendar,Y2165,X2166,"f",FALSE)</f>
        <v>54358</v>
      </c>
      <c r="Z2166" s="115">
        <f>_xll.qlCalendarAdvance(Calendar,Y2166,NDays&amp;"D")</f>
        <v>54358</v>
      </c>
      <c r="AA2166" s="116" t="e">
        <v>#N/A</v>
      </c>
      <c r="AB2166" s="113" t="e">
        <v>#N/A</v>
      </c>
    </row>
    <row r="2167" spans="17:28" x14ac:dyDescent="0.2">
      <c r="Q2167" s="72"/>
      <c r="T2167" s="72"/>
      <c r="U2167" s="93"/>
      <c r="X2167" s="114" t="str">
        <f t="shared" si="46"/>
        <v>1w</v>
      </c>
      <c r="Y2167" s="112">
        <f>_xll.qlCalendarAdvance(Calendar,Y2166,X2167,"f",FALSE)</f>
        <v>54365</v>
      </c>
      <c r="Z2167" s="115">
        <f>_xll.qlCalendarAdvance(Calendar,Y2167,NDays&amp;"D")</f>
        <v>54365</v>
      </c>
      <c r="AA2167" s="116" t="e">
        <v>#N/A</v>
      </c>
      <c r="AB2167" s="113" t="e">
        <v>#N/A</v>
      </c>
    </row>
    <row r="2168" spans="17:28" x14ac:dyDescent="0.2">
      <c r="Q2168" s="72"/>
      <c r="T2168" s="72"/>
      <c r="U2168" s="93"/>
      <c r="X2168" s="114" t="str">
        <f t="shared" si="46"/>
        <v>1w</v>
      </c>
      <c r="Y2168" s="112">
        <f>_xll.qlCalendarAdvance(Calendar,Y2167,X2168,"f",FALSE)</f>
        <v>54372</v>
      </c>
      <c r="Z2168" s="115">
        <f>_xll.qlCalendarAdvance(Calendar,Y2168,NDays&amp;"D")</f>
        <v>54372</v>
      </c>
      <c r="AA2168" s="116" t="e">
        <v>#N/A</v>
      </c>
      <c r="AB2168" s="113" t="e">
        <v>#N/A</v>
      </c>
    </row>
    <row r="2169" spans="17:28" x14ac:dyDescent="0.2">
      <c r="Q2169" s="72"/>
      <c r="T2169" s="72"/>
      <c r="U2169" s="93"/>
      <c r="X2169" s="114" t="str">
        <f t="shared" si="46"/>
        <v>1w</v>
      </c>
      <c r="Y2169" s="112">
        <f>_xll.qlCalendarAdvance(Calendar,Y2168,X2169,"f",FALSE)</f>
        <v>54379</v>
      </c>
      <c r="Z2169" s="115">
        <f>_xll.qlCalendarAdvance(Calendar,Y2169,NDays&amp;"D")</f>
        <v>54379</v>
      </c>
      <c r="AA2169" s="116" t="e">
        <v>#N/A</v>
      </c>
      <c r="AB2169" s="113" t="e">
        <v>#N/A</v>
      </c>
    </row>
    <row r="2170" spans="17:28" x14ac:dyDescent="0.2">
      <c r="Q2170" s="72"/>
      <c r="T2170" s="72"/>
      <c r="U2170" s="93"/>
      <c r="X2170" s="114" t="str">
        <f t="shared" si="46"/>
        <v>1w</v>
      </c>
      <c r="Y2170" s="112">
        <f>_xll.qlCalendarAdvance(Calendar,Y2169,X2170,"f",FALSE)</f>
        <v>54386</v>
      </c>
      <c r="Z2170" s="115">
        <f>_xll.qlCalendarAdvance(Calendar,Y2170,NDays&amp;"D")</f>
        <v>54386</v>
      </c>
      <c r="AA2170" s="116" t="e">
        <v>#N/A</v>
      </c>
      <c r="AB2170" s="113" t="e">
        <v>#N/A</v>
      </c>
    </row>
    <row r="2171" spans="17:28" x14ac:dyDescent="0.2">
      <c r="Q2171" s="72"/>
      <c r="T2171" s="72"/>
      <c r="U2171" s="93"/>
      <c r="X2171" s="114" t="str">
        <f t="shared" si="46"/>
        <v>1w</v>
      </c>
      <c r="Y2171" s="112">
        <f>_xll.qlCalendarAdvance(Calendar,Y2170,X2171,"f",FALSE)</f>
        <v>54393</v>
      </c>
      <c r="Z2171" s="115">
        <f>_xll.qlCalendarAdvance(Calendar,Y2171,NDays&amp;"D")</f>
        <v>54393</v>
      </c>
      <c r="AA2171" s="116" t="e">
        <v>#N/A</v>
      </c>
      <c r="AB2171" s="113" t="e">
        <v>#N/A</v>
      </c>
    </row>
    <row r="2172" spans="17:28" x14ac:dyDescent="0.2">
      <c r="Q2172" s="72"/>
      <c r="T2172" s="72"/>
      <c r="U2172" s="93"/>
      <c r="X2172" s="114" t="str">
        <f t="shared" si="46"/>
        <v>1w</v>
      </c>
      <c r="Y2172" s="112">
        <f>_xll.qlCalendarAdvance(Calendar,Y2171,X2172,"f",FALSE)</f>
        <v>54400</v>
      </c>
      <c r="Z2172" s="115">
        <f>_xll.qlCalendarAdvance(Calendar,Y2172,NDays&amp;"D")</f>
        <v>54400</v>
      </c>
      <c r="AA2172" s="116" t="e">
        <v>#N/A</v>
      </c>
      <c r="AB2172" s="113" t="e">
        <v>#N/A</v>
      </c>
    </row>
    <row r="2173" spans="17:28" x14ac:dyDescent="0.2">
      <c r="Q2173" s="72"/>
      <c r="T2173" s="72"/>
      <c r="U2173" s="93"/>
      <c r="X2173" s="114" t="str">
        <f t="shared" si="46"/>
        <v>1w</v>
      </c>
      <c r="Y2173" s="112">
        <f>_xll.qlCalendarAdvance(Calendar,Y2172,X2173,"f",FALSE)</f>
        <v>54407</v>
      </c>
      <c r="Z2173" s="115">
        <f>_xll.qlCalendarAdvance(Calendar,Y2173,NDays&amp;"D")</f>
        <v>54407</v>
      </c>
      <c r="AA2173" s="116" t="e">
        <v>#N/A</v>
      </c>
      <c r="AB2173" s="113" t="e">
        <v>#N/A</v>
      </c>
    </row>
    <row r="2174" spans="17:28" x14ac:dyDescent="0.2">
      <c r="Q2174" s="72"/>
      <c r="T2174" s="72"/>
      <c r="U2174" s="93"/>
      <c r="X2174" s="114" t="str">
        <f t="shared" si="46"/>
        <v>1w</v>
      </c>
      <c r="Y2174" s="112">
        <f>_xll.qlCalendarAdvance(Calendar,Y2173,X2174,"f",FALSE)</f>
        <v>54414</v>
      </c>
      <c r="Z2174" s="115">
        <f>_xll.qlCalendarAdvance(Calendar,Y2174,NDays&amp;"D")</f>
        <v>54414</v>
      </c>
      <c r="AA2174" s="116" t="e">
        <v>#N/A</v>
      </c>
      <c r="AB2174" s="113" t="e">
        <v>#N/A</v>
      </c>
    </row>
    <row r="2175" spans="17:28" x14ac:dyDescent="0.2">
      <c r="Q2175" s="72"/>
      <c r="T2175" s="72"/>
      <c r="U2175" s="93"/>
      <c r="X2175" s="114" t="str">
        <f t="shared" si="46"/>
        <v>1w</v>
      </c>
      <c r="Y2175" s="112">
        <f>_xll.qlCalendarAdvance(Calendar,Y2174,X2175,"f",FALSE)</f>
        <v>54421</v>
      </c>
      <c r="Z2175" s="115">
        <f>_xll.qlCalendarAdvance(Calendar,Y2175,NDays&amp;"D")</f>
        <v>54421</v>
      </c>
      <c r="AA2175" s="116" t="e">
        <v>#N/A</v>
      </c>
      <c r="AB2175" s="113" t="e">
        <v>#N/A</v>
      </c>
    </row>
    <row r="2176" spans="17:28" x14ac:dyDescent="0.2">
      <c r="Q2176" s="72"/>
      <c r="T2176" s="72"/>
      <c r="U2176" s="93"/>
      <c r="X2176" s="114" t="str">
        <f t="shared" si="46"/>
        <v>1w</v>
      </c>
      <c r="Y2176" s="112">
        <f>_xll.qlCalendarAdvance(Calendar,Y2175,X2176,"f",FALSE)</f>
        <v>54428</v>
      </c>
      <c r="Z2176" s="115">
        <f>_xll.qlCalendarAdvance(Calendar,Y2176,NDays&amp;"D")</f>
        <v>54428</v>
      </c>
      <c r="AA2176" s="116" t="e">
        <v>#N/A</v>
      </c>
      <c r="AB2176" s="113" t="e">
        <v>#N/A</v>
      </c>
    </row>
    <row r="2177" spans="17:28" x14ac:dyDescent="0.2">
      <c r="Q2177" s="72"/>
      <c r="T2177" s="72"/>
      <c r="U2177" s="93"/>
      <c r="X2177" s="114" t="str">
        <f t="shared" si="46"/>
        <v>1w</v>
      </c>
      <c r="Y2177" s="112">
        <f>_xll.qlCalendarAdvance(Calendar,Y2176,X2177,"f",FALSE)</f>
        <v>54435</v>
      </c>
      <c r="Z2177" s="115">
        <f>_xll.qlCalendarAdvance(Calendar,Y2177,NDays&amp;"D")</f>
        <v>54435</v>
      </c>
      <c r="AA2177" s="116" t="e">
        <v>#N/A</v>
      </c>
      <c r="AB2177" s="113" t="e">
        <v>#N/A</v>
      </c>
    </row>
    <row r="2178" spans="17:28" x14ac:dyDescent="0.2">
      <c r="Q2178" s="72"/>
      <c r="T2178" s="72"/>
      <c r="U2178" s="93"/>
      <c r="X2178" s="114" t="str">
        <f t="shared" si="46"/>
        <v>1w</v>
      </c>
      <c r="Y2178" s="112">
        <f>_xll.qlCalendarAdvance(Calendar,Y2177,X2178,"f",FALSE)</f>
        <v>54442</v>
      </c>
      <c r="Z2178" s="115">
        <f>_xll.qlCalendarAdvance(Calendar,Y2178,NDays&amp;"D")</f>
        <v>54442</v>
      </c>
      <c r="AA2178" s="116" t="e">
        <v>#N/A</v>
      </c>
      <c r="AB2178" s="113" t="e">
        <v>#N/A</v>
      </c>
    </row>
    <row r="2179" spans="17:28" x14ac:dyDescent="0.2">
      <c r="Q2179" s="72"/>
      <c r="T2179" s="72"/>
      <c r="U2179" s="93"/>
      <c r="X2179" s="114" t="str">
        <f t="shared" si="46"/>
        <v>1w</v>
      </c>
      <c r="Y2179" s="112">
        <f>_xll.qlCalendarAdvance(Calendar,Y2178,X2179,"f",FALSE)</f>
        <v>54450</v>
      </c>
      <c r="Z2179" s="115">
        <f>_xll.qlCalendarAdvance(Calendar,Y2179,NDays&amp;"D")</f>
        <v>54450</v>
      </c>
      <c r="AA2179" s="116" t="e">
        <v>#N/A</v>
      </c>
      <c r="AB2179" s="113" t="e">
        <v>#N/A</v>
      </c>
    </row>
    <row r="2180" spans="17:28" x14ac:dyDescent="0.2">
      <c r="Q2180" s="72"/>
      <c r="T2180" s="72"/>
      <c r="U2180" s="93"/>
      <c r="X2180" s="114" t="str">
        <f t="shared" si="46"/>
        <v>1w</v>
      </c>
      <c r="Y2180" s="112">
        <f>_xll.qlCalendarAdvance(Calendar,Y2179,X2180,"f",FALSE)</f>
        <v>54457</v>
      </c>
      <c r="Z2180" s="115">
        <f>_xll.qlCalendarAdvance(Calendar,Y2180,NDays&amp;"D")</f>
        <v>54457</v>
      </c>
      <c r="AA2180" s="116" t="e">
        <v>#N/A</v>
      </c>
      <c r="AB2180" s="113" t="e">
        <v>#N/A</v>
      </c>
    </row>
    <row r="2181" spans="17:28" x14ac:dyDescent="0.2">
      <c r="Q2181" s="72"/>
      <c r="T2181" s="72"/>
      <c r="U2181" s="93"/>
      <c r="X2181" s="114" t="str">
        <f t="shared" si="46"/>
        <v>1w</v>
      </c>
      <c r="Y2181" s="112">
        <f>_xll.qlCalendarAdvance(Calendar,Y2180,X2181,"f",FALSE)</f>
        <v>54464</v>
      </c>
      <c r="Z2181" s="115">
        <f>_xll.qlCalendarAdvance(Calendar,Y2181,NDays&amp;"D")</f>
        <v>54464</v>
      </c>
      <c r="AA2181" s="116" t="e">
        <v>#N/A</v>
      </c>
      <c r="AB2181" s="113" t="e">
        <v>#N/A</v>
      </c>
    </row>
    <row r="2182" spans="17:28" x14ac:dyDescent="0.2">
      <c r="Q2182" s="72"/>
      <c r="T2182" s="72"/>
      <c r="U2182" s="93"/>
      <c r="X2182" s="114" t="str">
        <f t="shared" si="46"/>
        <v>1w</v>
      </c>
      <c r="Y2182" s="112">
        <f>_xll.qlCalendarAdvance(Calendar,Y2181,X2182,"f",FALSE)</f>
        <v>54471</v>
      </c>
      <c r="Z2182" s="115">
        <f>_xll.qlCalendarAdvance(Calendar,Y2182,NDays&amp;"D")</f>
        <v>54471</v>
      </c>
      <c r="AA2182" s="116" t="e">
        <v>#N/A</v>
      </c>
      <c r="AB2182" s="113" t="e">
        <v>#N/A</v>
      </c>
    </row>
    <row r="2183" spans="17:28" x14ac:dyDescent="0.2">
      <c r="Q2183" s="72"/>
      <c r="T2183" s="72"/>
      <c r="U2183" s="93"/>
      <c r="X2183" s="114" t="str">
        <f t="shared" si="46"/>
        <v>1w</v>
      </c>
      <c r="Y2183" s="112">
        <f>_xll.qlCalendarAdvance(Calendar,Y2182,X2183,"f",FALSE)</f>
        <v>54478</v>
      </c>
      <c r="Z2183" s="115">
        <f>_xll.qlCalendarAdvance(Calendar,Y2183,NDays&amp;"D")</f>
        <v>54478</v>
      </c>
      <c r="AA2183" s="116" t="e">
        <v>#N/A</v>
      </c>
      <c r="AB2183" s="113" t="e">
        <v>#N/A</v>
      </c>
    </row>
    <row r="2184" spans="17:28" x14ac:dyDescent="0.2">
      <c r="Q2184" s="72"/>
      <c r="T2184" s="72"/>
      <c r="U2184" s="93"/>
      <c r="X2184" s="114" t="str">
        <f t="shared" si="46"/>
        <v>1w</v>
      </c>
      <c r="Y2184" s="112">
        <f>_xll.qlCalendarAdvance(Calendar,Y2183,X2184,"f",FALSE)</f>
        <v>54485</v>
      </c>
      <c r="Z2184" s="115">
        <f>_xll.qlCalendarAdvance(Calendar,Y2184,NDays&amp;"D")</f>
        <v>54485</v>
      </c>
      <c r="AA2184" s="116" t="e">
        <v>#N/A</v>
      </c>
      <c r="AB2184" s="113" t="e">
        <v>#N/A</v>
      </c>
    </row>
    <row r="2185" spans="17:28" x14ac:dyDescent="0.2">
      <c r="Q2185" s="72"/>
      <c r="T2185" s="72"/>
      <c r="U2185" s="93"/>
      <c r="X2185" s="114" t="str">
        <f t="shared" si="46"/>
        <v>1w</v>
      </c>
      <c r="Y2185" s="112">
        <f>_xll.qlCalendarAdvance(Calendar,Y2184,X2185,"f",FALSE)</f>
        <v>54492</v>
      </c>
      <c r="Z2185" s="115">
        <f>_xll.qlCalendarAdvance(Calendar,Y2185,NDays&amp;"D")</f>
        <v>54492</v>
      </c>
      <c r="AA2185" s="116" t="e">
        <v>#N/A</v>
      </c>
      <c r="AB2185" s="113" t="e">
        <v>#N/A</v>
      </c>
    </row>
    <row r="2186" spans="17:28" x14ac:dyDescent="0.2">
      <c r="Q2186" s="72"/>
      <c r="T2186" s="72"/>
      <c r="U2186" s="93"/>
      <c r="X2186" s="114" t="str">
        <f t="shared" si="46"/>
        <v>1w</v>
      </c>
      <c r="Y2186" s="112">
        <f>_xll.qlCalendarAdvance(Calendar,Y2185,X2186,"f",FALSE)</f>
        <v>54499</v>
      </c>
      <c r="Z2186" s="115">
        <f>_xll.qlCalendarAdvance(Calendar,Y2186,NDays&amp;"D")</f>
        <v>54499</v>
      </c>
      <c r="AA2186" s="116" t="e">
        <v>#N/A</v>
      </c>
      <c r="AB2186" s="113" t="e">
        <v>#N/A</v>
      </c>
    </row>
    <row r="2187" spans="17:28" x14ac:dyDescent="0.2">
      <c r="Q2187" s="72"/>
      <c r="T2187" s="72"/>
      <c r="U2187" s="93"/>
      <c r="X2187" s="114" t="str">
        <f t="shared" si="46"/>
        <v>1w</v>
      </c>
      <c r="Y2187" s="112">
        <f>_xll.qlCalendarAdvance(Calendar,Y2186,X2187,"f",FALSE)</f>
        <v>54506</v>
      </c>
      <c r="Z2187" s="115">
        <f>_xll.qlCalendarAdvance(Calendar,Y2187,NDays&amp;"D")</f>
        <v>54506</v>
      </c>
      <c r="AA2187" s="116" t="e">
        <v>#N/A</v>
      </c>
      <c r="AB2187" s="113" t="e">
        <v>#N/A</v>
      </c>
    </row>
    <row r="2188" spans="17:28" x14ac:dyDescent="0.2">
      <c r="Q2188" s="72"/>
      <c r="T2188" s="72"/>
      <c r="U2188" s="93"/>
      <c r="X2188" s="114" t="str">
        <f t="shared" si="46"/>
        <v>1w</v>
      </c>
      <c r="Y2188" s="112">
        <f>_xll.qlCalendarAdvance(Calendar,Y2187,X2188,"f",FALSE)</f>
        <v>54513</v>
      </c>
      <c r="Z2188" s="115">
        <f>_xll.qlCalendarAdvance(Calendar,Y2188,NDays&amp;"D")</f>
        <v>54513</v>
      </c>
      <c r="AA2188" s="116" t="e">
        <v>#N/A</v>
      </c>
      <c r="AB2188" s="113" t="e">
        <v>#N/A</v>
      </c>
    </row>
    <row r="2189" spans="17:28" x14ac:dyDescent="0.2">
      <c r="Q2189" s="72"/>
      <c r="T2189" s="72"/>
      <c r="U2189" s="93"/>
      <c r="X2189" s="114" t="str">
        <f t="shared" si="46"/>
        <v>1w</v>
      </c>
      <c r="Y2189" s="112">
        <f>_xll.qlCalendarAdvance(Calendar,Y2188,X2189,"f",FALSE)</f>
        <v>54520</v>
      </c>
      <c r="Z2189" s="115">
        <f>_xll.qlCalendarAdvance(Calendar,Y2189,NDays&amp;"D")</f>
        <v>54520</v>
      </c>
      <c r="AA2189" s="116" t="e">
        <v>#N/A</v>
      </c>
      <c r="AB2189" s="113" t="e">
        <v>#N/A</v>
      </c>
    </row>
    <row r="2190" spans="17:28" x14ac:dyDescent="0.2">
      <c r="Q2190" s="72"/>
      <c r="T2190" s="72"/>
      <c r="U2190" s="93"/>
      <c r="X2190" s="114" t="str">
        <f t="shared" si="46"/>
        <v>1w</v>
      </c>
      <c r="Y2190" s="112">
        <f>_xll.qlCalendarAdvance(Calendar,Y2189,X2190,"f",FALSE)</f>
        <v>54527</v>
      </c>
      <c r="Z2190" s="115">
        <f>_xll.qlCalendarAdvance(Calendar,Y2190,NDays&amp;"D")</f>
        <v>54527</v>
      </c>
      <c r="AA2190" s="116" t="e">
        <v>#N/A</v>
      </c>
      <c r="AB2190" s="113" t="e">
        <v>#N/A</v>
      </c>
    </row>
    <row r="2191" spans="17:28" x14ac:dyDescent="0.2">
      <c r="Q2191" s="72"/>
      <c r="T2191" s="72"/>
      <c r="U2191" s="93"/>
      <c r="X2191" s="114" t="str">
        <f t="shared" si="46"/>
        <v>1w</v>
      </c>
      <c r="Y2191" s="112">
        <f>_xll.qlCalendarAdvance(Calendar,Y2190,X2191,"f",FALSE)</f>
        <v>54534</v>
      </c>
      <c r="Z2191" s="115">
        <f>_xll.qlCalendarAdvance(Calendar,Y2191,NDays&amp;"D")</f>
        <v>54534</v>
      </c>
      <c r="AA2191" s="116" t="e">
        <v>#N/A</v>
      </c>
      <c r="AB2191" s="113" t="e">
        <v>#N/A</v>
      </c>
    </row>
    <row r="2192" spans="17:28" x14ac:dyDescent="0.2">
      <c r="Q2192" s="72"/>
      <c r="T2192" s="72"/>
      <c r="U2192" s="93"/>
      <c r="X2192" s="114" t="str">
        <f t="shared" si="46"/>
        <v>1w</v>
      </c>
      <c r="Y2192" s="112">
        <f>_xll.qlCalendarAdvance(Calendar,Y2191,X2192,"f",FALSE)</f>
        <v>54541</v>
      </c>
      <c r="Z2192" s="115">
        <f>_xll.qlCalendarAdvance(Calendar,Y2192,NDays&amp;"D")</f>
        <v>54541</v>
      </c>
      <c r="AA2192" s="116" t="e">
        <v>#N/A</v>
      </c>
      <c r="AB2192" s="113" t="e">
        <v>#N/A</v>
      </c>
    </row>
    <row r="2193" spans="17:28" x14ac:dyDescent="0.2">
      <c r="Q2193" s="72"/>
      <c r="T2193" s="72"/>
      <c r="U2193" s="93"/>
      <c r="X2193" s="114" t="str">
        <f t="shared" si="46"/>
        <v>1w</v>
      </c>
      <c r="Y2193" s="112">
        <f>_xll.qlCalendarAdvance(Calendar,Y2192,X2193,"f",FALSE)</f>
        <v>54548</v>
      </c>
      <c r="Z2193" s="115">
        <f>_xll.qlCalendarAdvance(Calendar,Y2193,NDays&amp;"D")</f>
        <v>54548</v>
      </c>
      <c r="AA2193" s="116" t="e">
        <v>#N/A</v>
      </c>
      <c r="AB2193" s="113" t="e">
        <v>#N/A</v>
      </c>
    </row>
    <row r="2194" spans="17:28" x14ac:dyDescent="0.2">
      <c r="Q2194" s="72"/>
      <c r="T2194" s="72"/>
      <c r="U2194" s="93"/>
      <c r="X2194" s="114" t="str">
        <f t="shared" si="46"/>
        <v>1w</v>
      </c>
      <c r="Y2194" s="112">
        <f>_xll.qlCalendarAdvance(Calendar,Y2193,X2194,"f",FALSE)</f>
        <v>54555</v>
      </c>
      <c r="Z2194" s="115">
        <f>_xll.qlCalendarAdvance(Calendar,Y2194,NDays&amp;"D")</f>
        <v>54555</v>
      </c>
      <c r="AA2194" s="116" t="e">
        <v>#N/A</v>
      </c>
      <c r="AB2194" s="113" t="e">
        <v>#N/A</v>
      </c>
    </row>
    <row r="2195" spans="17:28" x14ac:dyDescent="0.2">
      <c r="Q2195" s="72"/>
      <c r="T2195" s="72"/>
      <c r="U2195" s="93"/>
      <c r="X2195" s="114" t="str">
        <f t="shared" si="46"/>
        <v>1w</v>
      </c>
      <c r="Y2195" s="112">
        <f>_xll.qlCalendarAdvance(Calendar,Y2194,X2195,"f",FALSE)</f>
        <v>54562</v>
      </c>
      <c r="Z2195" s="115">
        <f>_xll.qlCalendarAdvance(Calendar,Y2195,NDays&amp;"D")</f>
        <v>54562</v>
      </c>
      <c r="AA2195" s="116" t="e">
        <v>#N/A</v>
      </c>
      <c r="AB2195" s="113" t="e">
        <v>#N/A</v>
      </c>
    </row>
    <row r="2196" spans="17:28" x14ac:dyDescent="0.2">
      <c r="Q2196" s="72"/>
      <c r="T2196" s="72"/>
      <c r="U2196" s="93"/>
      <c r="X2196" s="114" t="str">
        <f t="shared" si="46"/>
        <v>1w</v>
      </c>
      <c r="Y2196" s="112">
        <f>_xll.qlCalendarAdvance(Calendar,Y2195,X2196,"f",FALSE)</f>
        <v>54569</v>
      </c>
      <c r="Z2196" s="115">
        <f>_xll.qlCalendarAdvance(Calendar,Y2196,NDays&amp;"D")</f>
        <v>54569</v>
      </c>
      <c r="AA2196" s="116" t="e">
        <v>#N/A</v>
      </c>
      <c r="AB2196" s="113" t="e">
        <v>#N/A</v>
      </c>
    </row>
    <row r="2197" spans="17:28" x14ac:dyDescent="0.2">
      <c r="Q2197" s="72"/>
      <c r="T2197" s="72"/>
      <c r="U2197" s="93"/>
      <c r="X2197" s="114" t="str">
        <f t="shared" ref="X2197:X2260" si="47">X2196</f>
        <v>1w</v>
      </c>
      <c r="Y2197" s="112">
        <f>_xll.qlCalendarAdvance(Calendar,Y2196,X2197,"f",FALSE)</f>
        <v>54576</v>
      </c>
      <c r="Z2197" s="115">
        <f>_xll.qlCalendarAdvance(Calendar,Y2197,NDays&amp;"D")</f>
        <v>54576</v>
      </c>
      <c r="AA2197" s="116" t="e">
        <v>#N/A</v>
      </c>
      <c r="AB2197" s="113" t="e">
        <v>#N/A</v>
      </c>
    </row>
    <row r="2198" spans="17:28" x14ac:dyDescent="0.2">
      <c r="Q2198" s="72"/>
      <c r="T2198" s="72"/>
      <c r="U2198" s="93"/>
      <c r="X2198" s="114" t="str">
        <f t="shared" si="47"/>
        <v>1w</v>
      </c>
      <c r="Y2198" s="112">
        <f>_xll.qlCalendarAdvance(Calendar,Y2197,X2198,"f",FALSE)</f>
        <v>54583</v>
      </c>
      <c r="Z2198" s="115">
        <f>_xll.qlCalendarAdvance(Calendar,Y2198,NDays&amp;"D")</f>
        <v>54583</v>
      </c>
      <c r="AA2198" s="116" t="e">
        <v>#N/A</v>
      </c>
      <c r="AB2198" s="113" t="e">
        <v>#N/A</v>
      </c>
    </row>
    <row r="2199" spans="17:28" x14ac:dyDescent="0.2">
      <c r="Q2199" s="72"/>
      <c r="T2199" s="72"/>
      <c r="U2199" s="93"/>
      <c r="X2199" s="114" t="str">
        <f t="shared" si="47"/>
        <v>1w</v>
      </c>
      <c r="Y2199" s="112">
        <f>_xll.qlCalendarAdvance(Calendar,Y2198,X2199,"f",FALSE)</f>
        <v>54590</v>
      </c>
      <c r="Z2199" s="115">
        <f>_xll.qlCalendarAdvance(Calendar,Y2199,NDays&amp;"D")</f>
        <v>54590</v>
      </c>
      <c r="AA2199" s="116" t="e">
        <v>#N/A</v>
      </c>
      <c r="AB2199" s="113" t="e">
        <v>#N/A</v>
      </c>
    </row>
    <row r="2200" spans="17:28" x14ac:dyDescent="0.2">
      <c r="Q2200" s="72"/>
      <c r="T2200" s="72"/>
      <c r="U2200" s="93"/>
      <c r="X2200" s="114" t="str">
        <f t="shared" si="47"/>
        <v>1w</v>
      </c>
      <c r="Y2200" s="112">
        <f>_xll.qlCalendarAdvance(Calendar,Y2199,X2200,"f",FALSE)</f>
        <v>54597</v>
      </c>
      <c r="Z2200" s="115">
        <f>_xll.qlCalendarAdvance(Calendar,Y2200,NDays&amp;"D")</f>
        <v>54597</v>
      </c>
      <c r="AA2200" s="116" t="e">
        <v>#N/A</v>
      </c>
      <c r="AB2200" s="113" t="e">
        <v>#N/A</v>
      </c>
    </row>
    <row r="2201" spans="17:28" x14ac:dyDescent="0.2">
      <c r="Q2201" s="72"/>
      <c r="T2201" s="72"/>
      <c r="U2201" s="93"/>
      <c r="X2201" s="114" t="str">
        <f t="shared" si="47"/>
        <v>1w</v>
      </c>
      <c r="Y2201" s="112">
        <f>_xll.qlCalendarAdvance(Calendar,Y2200,X2201,"f",FALSE)</f>
        <v>54604</v>
      </c>
      <c r="Z2201" s="115">
        <f>_xll.qlCalendarAdvance(Calendar,Y2201,NDays&amp;"D")</f>
        <v>54604</v>
      </c>
      <c r="AA2201" s="116" t="e">
        <v>#N/A</v>
      </c>
      <c r="AB2201" s="113" t="e">
        <v>#N/A</v>
      </c>
    </row>
    <row r="2202" spans="17:28" x14ac:dyDescent="0.2">
      <c r="Q2202" s="72"/>
      <c r="T2202" s="72"/>
      <c r="U2202" s="93"/>
      <c r="X2202" s="114" t="str">
        <f t="shared" si="47"/>
        <v>1w</v>
      </c>
      <c r="Y2202" s="112">
        <f>_xll.qlCalendarAdvance(Calendar,Y2201,X2202,"f",FALSE)</f>
        <v>54611</v>
      </c>
      <c r="Z2202" s="115">
        <f>_xll.qlCalendarAdvance(Calendar,Y2202,NDays&amp;"D")</f>
        <v>54611</v>
      </c>
      <c r="AA2202" s="116" t="e">
        <v>#N/A</v>
      </c>
      <c r="AB2202" s="113" t="e">
        <v>#N/A</v>
      </c>
    </row>
    <row r="2203" spans="17:28" x14ac:dyDescent="0.2">
      <c r="Q2203" s="72"/>
      <c r="T2203" s="72"/>
      <c r="U2203" s="93"/>
      <c r="X2203" s="114" t="str">
        <f t="shared" si="47"/>
        <v>1w</v>
      </c>
      <c r="Y2203" s="112">
        <f>_xll.qlCalendarAdvance(Calendar,Y2202,X2203,"f",FALSE)</f>
        <v>54618</v>
      </c>
      <c r="Z2203" s="115">
        <f>_xll.qlCalendarAdvance(Calendar,Y2203,NDays&amp;"D")</f>
        <v>54618</v>
      </c>
      <c r="AA2203" s="116" t="e">
        <v>#N/A</v>
      </c>
      <c r="AB2203" s="113" t="e">
        <v>#N/A</v>
      </c>
    </row>
    <row r="2204" spans="17:28" x14ac:dyDescent="0.2">
      <c r="Q2204" s="72"/>
      <c r="T2204" s="72"/>
      <c r="U2204" s="93"/>
      <c r="X2204" s="114" t="str">
        <f t="shared" si="47"/>
        <v>1w</v>
      </c>
      <c r="Y2204" s="112">
        <f>_xll.qlCalendarAdvance(Calendar,Y2203,X2204,"f",FALSE)</f>
        <v>54625</v>
      </c>
      <c r="Z2204" s="115">
        <f>_xll.qlCalendarAdvance(Calendar,Y2204,NDays&amp;"D")</f>
        <v>54625</v>
      </c>
      <c r="AA2204" s="116" t="e">
        <v>#N/A</v>
      </c>
      <c r="AB2204" s="113" t="e">
        <v>#N/A</v>
      </c>
    </row>
    <row r="2205" spans="17:28" x14ac:dyDescent="0.2">
      <c r="Q2205" s="72"/>
      <c r="T2205" s="72"/>
      <c r="U2205" s="93"/>
      <c r="X2205" s="114" t="str">
        <f t="shared" si="47"/>
        <v>1w</v>
      </c>
      <c r="Y2205" s="112">
        <f>_xll.qlCalendarAdvance(Calendar,Y2204,X2205,"f",FALSE)</f>
        <v>54632</v>
      </c>
      <c r="Z2205" s="115">
        <f>_xll.qlCalendarAdvance(Calendar,Y2205,NDays&amp;"D")</f>
        <v>54632</v>
      </c>
      <c r="AA2205" s="116" t="e">
        <v>#N/A</v>
      </c>
      <c r="AB2205" s="113" t="e">
        <v>#N/A</v>
      </c>
    </row>
    <row r="2206" spans="17:28" x14ac:dyDescent="0.2">
      <c r="Q2206" s="72"/>
      <c r="T2206" s="72"/>
      <c r="U2206" s="93"/>
      <c r="X2206" s="114" t="str">
        <f t="shared" si="47"/>
        <v>1w</v>
      </c>
      <c r="Y2206" s="112">
        <f>_xll.qlCalendarAdvance(Calendar,Y2205,X2206,"f",FALSE)</f>
        <v>54639</v>
      </c>
      <c r="Z2206" s="115">
        <f>_xll.qlCalendarAdvance(Calendar,Y2206,NDays&amp;"D")</f>
        <v>54639</v>
      </c>
      <c r="AA2206" s="116" t="e">
        <v>#N/A</v>
      </c>
      <c r="AB2206" s="113" t="e">
        <v>#N/A</v>
      </c>
    </row>
    <row r="2207" spans="17:28" x14ac:dyDescent="0.2">
      <c r="Q2207" s="72"/>
      <c r="T2207" s="72"/>
      <c r="U2207" s="93"/>
      <c r="X2207" s="114" t="str">
        <f t="shared" si="47"/>
        <v>1w</v>
      </c>
      <c r="Y2207" s="112">
        <f>_xll.qlCalendarAdvance(Calendar,Y2206,X2207,"f",FALSE)</f>
        <v>54646</v>
      </c>
      <c r="Z2207" s="115">
        <f>_xll.qlCalendarAdvance(Calendar,Y2207,NDays&amp;"D")</f>
        <v>54646</v>
      </c>
      <c r="AA2207" s="116" t="e">
        <v>#N/A</v>
      </c>
      <c r="AB2207" s="113" t="e">
        <v>#N/A</v>
      </c>
    </row>
    <row r="2208" spans="17:28" x14ac:dyDescent="0.2">
      <c r="Q2208" s="72"/>
      <c r="T2208" s="72"/>
      <c r="U2208" s="93"/>
      <c r="X2208" s="114" t="str">
        <f t="shared" si="47"/>
        <v>1w</v>
      </c>
      <c r="Y2208" s="112">
        <f>_xll.qlCalendarAdvance(Calendar,Y2207,X2208,"f",FALSE)</f>
        <v>54653</v>
      </c>
      <c r="Z2208" s="115">
        <f>_xll.qlCalendarAdvance(Calendar,Y2208,NDays&amp;"D")</f>
        <v>54653</v>
      </c>
      <c r="AA2208" s="116" t="e">
        <v>#N/A</v>
      </c>
      <c r="AB2208" s="113" t="e">
        <v>#N/A</v>
      </c>
    </row>
    <row r="2209" spans="17:28" x14ac:dyDescent="0.2">
      <c r="Q2209" s="72"/>
      <c r="T2209" s="72"/>
      <c r="U2209" s="93"/>
      <c r="X2209" s="114" t="str">
        <f t="shared" si="47"/>
        <v>1w</v>
      </c>
      <c r="Y2209" s="112">
        <f>_xll.qlCalendarAdvance(Calendar,Y2208,X2209,"f",FALSE)</f>
        <v>54660</v>
      </c>
      <c r="Z2209" s="115">
        <f>_xll.qlCalendarAdvance(Calendar,Y2209,NDays&amp;"D")</f>
        <v>54660</v>
      </c>
      <c r="AA2209" s="116" t="e">
        <v>#N/A</v>
      </c>
      <c r="AB2209" s="113" t="e">
        <v>#N/A</v>
      </c>
    </row>
    <row r="2210" spans="17:28" x14ac:dyDescent="0.2">
      <c r="Q2210" s="72"/>
      <c r="T2210" s="72"/>
      <c r="U2210" s="93"/>
      <c r="X2210" s="114" t="str">
        <f t="shared" si="47"/>
        <v>1w</v>
      </c>
      <c r="Y2210" s="112">
        <f>_xll.qlCalendarAdvance(Calendar,Y2209,X2210,"f",FALSE)</f>
        <v>54667</v>
      </c>
      <c r="Z2210" s="115">
        <f>_xll.qlCalendarAdvance(Calendar,Y2210,NDays&amp;"D")</f>
        <v>54667</v>
      </c>
      <c r="AA2210" s="116" t="e">
        <v>#N/A</v>
      </c>
      <c r="AB2210" s="113" t="e">
        <v>#N/A</v>
      </c>
    </row>
    <row r="2211" spans="17:28" x14ac:dyDescent="0.2">
      <c r="Q2211" s="72"/>
      <c r="T2211" s="72"/>
      <c r="U2211" s="93"/>
      <c r="X2211" s="114" t="str">
        <f t="shared" si="47"/>
        <v>1w</v>
      </c>
      <c r="Y2211" s="112">
        <f>_xll.qlCalendarAdvance(Calendar,Y2210,X2211,"f",FALSE)</f>
        <v>54674</v>
      </c>
      <c r="Z2211" s="115">
        <f>_xll.qlCalendarAdvance(Calendar,Y2211,NDays&amp;"D")</f>
        <v>54674</v>
      </c>
      <c r="AA2211" s="116" t="e">
        <v>#N/A</v>
      </c>
      <c r="AB2211" s="113" t="e">
        <v>#N/A</v>
      </c>
    </row>
    <row r="2212" spans="17:28" x14ac:dyDescent="0.2">
      <c r="Q2212" s="72"/>
      <c r="T2212" s="72"/>
      <c r="U2212" s="93"/>
      <c r="X2212" s="114" t="str">
        <f t="shared" si="47"/>
        <v>1w</v>
      </c>
      <c r="Y2212" s="112">
        <f>_xll.qlCalendarAdvance(Calendar,Y2211,X2212,"f",FALSE)</f>
        <v>54681</v>
      </c>
      <c r="Z2212" s="115">
        <f>_xll.qlCalendarAdvance(Calendar,Y2212,NDays&amp;"D")</f>
        <v>54681</v>
      </c>
      <c r="AA2212" s="116" t="e">
        <v>#N/A</v>
      </c>
      <c r="AB2212" s="113" t="e">
        <v>#N/A</v>
      </c>
    </row>
    <row r="2213" spans="17:28" x14ac:dyDescent="0.2">
      <c r="Q2213" s="72"/>
      <c r="T2213" s="72"/>
      <c r="U2213" s="93"/>
      <c r="X2213" s="114" t="str">
        <f t="shared" si="47"/>
        <v>1w</v>
      </c>
      <c r="Y2213" s="112">
        <f>_xll.qlCalendarAdvance(Calendar,Y2212,X2213,"f",FALSE)</f>
        <v>54688</v>
      </c>
      <c r="Z2213" s="115">
        <f>_xll.qlCalendarAdvance(Calendar,Y2213,NDays&amp;"D")</f>
        <v>54688</v>
      </c>
      <c r="AA2213" s="116" t="e">
        <v>#N/A</v>
      </c>
      <c r="AB2213" s="113" t="e">
        <v>#N/A</v>
      </c>
    </row>
    <row r="2214" spans="17:28" x14ac:dyDescent="0.2">
      <c r="Q2214" s="72"/>
      <c r="T2214" s="72"/>
      <c r="U2214" s="93"/>
      <c r="X2214" s="114" t="str">
        <f t="shared" si="47"/>
        <v>1w</v>
      </c>
      <c r="Y2214" s="112">
        <f>_xll.qlCalendarAdvance(Calendar,Y2213,X2214,"f",FALSE)</f>
        <v>54695</v>
      </c>
      <c r="Z2214" s="115">
        <f>_xll.qlCalendarAdvance(Calendar,Y2214,NDays&amp;"D")</f>
        <v>54695</v>
      </c>
      <c r="AA2214" s="116" t="e">
        <v>#N/A</v>
      </c>
      <c r="AB2214" s="113" t="e">
        <v>#N/A</v>
      </c>
    </row>
    <row r="2215" spans="17:28" x14ac:dyDescent="0.2">
      <c r="Q2215" s="72"/>
      <c r="T2215" s="72"/>
      <c r="U2215" s="93"/>
      <c r="X2215" s="114" t="str">
        <f t="shared" si="47"/>
        <v>1w</v>
      </c>
      <c r="Y2215" s="112">
        <f>_xll.qlCalendarAdvance(Calendar,Y2214,X2215,"f",FALSE)</f>
        <v>54702</v>
      </c>
      <c r="Z2215" s="115">
        <f>_xll.qlCalendarAdvance(Calendar,Y2215,NDays&amp;"D")</f>
        <v>54702</v>
      </c>
      <c r="AA2215" s="116" t="e">
        <v>#N/A</v>
      </c>
      <c r="AB2215" s="113" t="e">
        <v>#N/A</v>
      </c>
    </row>
    <row r="2216" spans="17:28" x14ac:dyDescent="0.2">
      <c r="Q2216" s="72"/>
      <c r="T2216" s="72"/>
      <c r="U2216" s="93"/>
      <c r="X2216" s="114" t="str">
        <f t="shared" si="47"/>
        <v>1w</v>
      </c>
      <c r="Y2216" s="112">
        <f>_xll.qlCalendarAdvance(Calendar,Y2215,X2216,"f",FALSE)</f>
        <v>54709</v>
      </c>
      <c r="Z2216" s="115">
        <f>_xll.qlCalendarAdvance(Calendar,Y2216,NDays&amp;"D")</f>
        <v>54709</v>
      </c>
      <c r="AA2216" s="116" t="e">
        <v>#N/A</v>
      </c>
      <c r="AB2216" s="113" t="e">
        <v>#N/A</v>
      </c>
    </row>
    <row r="2217" spans="17:28" x14ac:dyDescent="0.2">
      <c r="Q2217" s="72"/>
      <c r="T2217" s="72"/>
      <c r="U2217" s="93"/>
      <c r="X2217" s="114" t="str">
        <f t="shared" si="47"/>
        <v>1w</v>
      </c>
      <c r="Y2217" s="112">
        <f>_xll.qlCalendarAdvance(Calendar,Y2216,X2217,"f",FALSE)</f>
        <v>54716</v>
      </c>
      <c r="Z2217" s="115">
        <f>_xll.qlCalendarAdvance(Calendar,Y2217,NDays&amp;"D")</f>
        <v>54716</v>
      </c>
      <c r="AA2217" s="116" t="e">
        <v>#N/A</v>
      </c>
      <c r="AB2217" s="113" t="e">
        <v>#N/A</v>
      </c>
    </row>
    <row r="2218" spans="17:28" x14ac:dyDescent="0.2">
      <c r="Q2218" s="72"/>
      <c r="T2218" s="72"/>
      <c r="U2218" s="93"/>
      <c r="X2218" s="114" t="str">
        <f t="shared" si="47"/>
        <v>1w</v>
      </c>
      <c r="Y2218" s="112">
        <f>_xll.qlCalendarAdvance(Calendar,Y2217,X2218,"f",FALSE)</f>
        <v>54723</v>
      </c>
      <c r="Z2218" s="115">
        <f>_xll.qlCalendarAdvance(Calendar,Y2218,NDays&amp;"D")</f>
        <v>54723</v>
      </c>
      <c r="AA2218" s="116" t="e">
        <v>#N/A</v>
      </c>
      <c r="AB2218" s="113" t="e">
        <v>#N/A</v>
      </c>
    </row>
    <row r="2219" spans="17:28" x14ac:dyDescent="0.2">
      <c r="Q2219" s="72"/>
      <c r="T2219" s="72"/>
      <c r="U2219" s="93"/>
      <c r="X2219" s="114" t="str">
        <f t="shared" si="47"/>
        <v>1w</v>
      </c>
      <c r="Y2219" s="112">
        <f>_xll.qlCalendarAdvance(Calendar,Y2218,X2219,"f",FALSE)</f>
        <v>54730</v>
      </c>
      <c r="Z2219" s="115">
        <f>_xll.qlCalendarAdvance(Calendar,Y2219,NDays&amp;"D")</f>
        <v>54730</v>
      </c>
      <c r="AA2219" s="116" t="e">
        <v>#N/A</v>
      </c>
      <c r="AB2219" s="113" t="e">
        <v>#N/A</v>
      </c>
    </row>
    <row r="2220" spans="17:28" x14ac:dyDescent="0.2">
      <c r="Q2220" s="72"/>
      <c r="T2220" s="72"/>
      <c r="U2220" s="93"/>
      <c r="X2220" s="114" t="str">
        <f t="shared" si="47"/>
        <v>1w</v>
      </c>
      <c r="Y2220" s="112">
        <f>_xll.qlCalendarAdvance(Calendar,Y2219,X2220,"f",FALSE)</f>
        <v>54737</v>
      </c>
      <c r="Z2220" s="115">
        <f>_xll.qlCalendarAdvance(Calendar,Y2220,NDays&amp;"D")</f>
        <v>54737</v>
      </c>
      <c r="AA2220" s="116" t="e">
        <v>#N/A</v>
      </c>
      <c r="AB2220" s="113" t="e">
        <v>#N/A</v>
      </c>
    </row>
    <row r="2221" spans="17:28" x14ac:dyDescent="0.2">
      <c r="Q2221" s="72"/>
      <c r="T2221" s="72"/>
      <c r="U2221" s="93"/>
      <c r="X2221" s="114" t="str">
        <f t="shared" si="47"/>
        <v>1w</v>
      </c>
      <c r="Y2221" s="112">
        <f>_xll.qlCalendarAdvance(Calendar,Y2220,X2221,"f",FALSE)</f>
        <v>54744</v>
      </c>
      <c r="Z2221" s="115">
        <f>_xll.qlCalendarAdvance(Calendar,Y2221,NDays&amp;"D")</f>
        <v>54744</v>
      </c>
      <c r="AA2221" s="116" t="e">
        <v>#N/A</v>
      </c>
      <c r="AB2221" s="113" t="e">
        <v>#N/A</v>
      </c>
    </row>
    <row r="2222" spans="17:28" x14ac:dyDescent="0.2">
      <c r="Q2222" s="72"/>
      <c r="T2222" s="72"/>
      <c r="U2222" s="93"/>
      <c r="X2222" s="114" t="str">
        <f t="shared" si="47"/>
        <v>1w</v>
      </c>
      <c r="Y2222" s="112">
        <f>_xll.qlCalendarAdvance(Calendar,Y2221,X2222,"f",FALSE)</f>
        <v>54751</v>
      </c>
      <c r="Z2222" s="115">
        <f>_xll.qlCalendarAdvance(Calendar,Y2222,NDays&amp;"D")</f>
        <v>54751</v>
      </c>
      <c r="AA2222" s="116" t="e">
        <v>#N/A</v>
      </c>
      <c r="AB2222" s="113" t="e">
        <v>#N/A</v>
      </c>
    </row>
    <row r="2223" spans="17:28" x14ac:dyDescent="0.2">
      <c r="Q2223" s="72"/>
      <c r="T2223" s="72"/>
      <c r="U2223" s="93"/>
      <c r="X2223" s="114" t="str">
        <f t="shared" si="47"/>
        <v>1w</v>
      </c>
      <c r="Y2223" s="112">
        <f>_xll.qlCalendarAdvance(Calendar,Y2222,X2223,"f",FALSE)</f>
        <v>54758</v>
      </c>
      <c r="Z2223" s="115">
        <f>_xll.qlCalendarAdvance(Calendar,Y2223,NDays&amp;"D")</f>
        <v>54758</v>
      </c>
      <c r="AA2223" s="116" t="e">
        <v>#N/A</v>
      </c>
      <c r="AB2223" s="113" t="e">
        <v>#N/A</v>
      </c>
    </row>
    <row r="2224" spans="17:28" x14ac:dyDescent="0.2">
      <c r="Q2224" s="72"/>
      <c r="T2224" s="72"/>
      <c r="U2224" s="93"/>
      <c r="X2224" s="114" t="str">
        <f t="shared" si="47"/>
        <v>1w</v>
      </c>
      <c r="Y2224" s="112">
        <f>_xll.qlCalendarAdvance(Calendar,Y2223,X2224,"f",FALSE)</f>
        <v>54765</v>
      </c>
      <c r="Z2224" s="115">
        <f>_xll.qlCalendarAdvance(Calendar,Y2224,NDays&amp;"D")</f>
        <v>54765</v>
      </c>
      <c r="AA2224" s="116" t="e">
        <v>#N/A</v>
      </c>
      <c r="AB2224" s="113" t="e">
        <v>#N/A</v>
      </c>
    </row>
    <row r="2225" spans="17:28" x14ac:dyDescent="0.2">
      <c r="Q2225" s="72"/>
      <c r="T2225" s="72"/>
      <c r="U2225" s="93"/>
      <c r="X2225" s="114" t="str">
        <f t="shared" si="47"/>
        <v>1w</v>
      </c>
      <c r="Y2225" s="112">
        <f>_xll.qlCalendarAdvance(Calendar,Y2224,X2225,"f",FALSE)</f>
        <v>54772</v>
      </c>
      <c r="Z2225" s="115">
        <f>_xll.qlCalendarAdvance(Calendar,Y2225,NDays&amp;"D")</f>
        <v>54772</v>
      </c>
      <c r="AA2225" s="116" t="e">
        <v>#N/A</v>
      </c>
      <c r="AB2225" s="113" t="e">
        <v>#N/A</v>
      </c>
    </row>
    <row r="2226" spans="17:28" x14ac:dyDescent="0.2">
      <c r="Q2226" s="72"/>
      <c r="T2226" s="72"/>
      <c r="U2226" s="93"/>
      <c r="X2226" s="114" t="str">
        <f t="shared" si="47"/>
        <v>1w</v>
      </c>
      <c r="Y2226" s="112">
        <f>_xll.qlCalendarAdvance(Calendar,Y2225,X2226,"f",FALSE)</f>
        <v>54779</v>
      </c>
      <c r="Z2226" s="115">
        <f>_xll.qlCalendarAdvance(Calendar,Y2226,NDays&amp;"D")</f>
        <v>54779</v>
      </c>
      <c r="AA2226" s="116" t="e">
        <v>#N/A</v>
      </c>
      <c r="AB2226" s="113" t="e">
        <v>#N/A</v>
      </c>
    </row>
    <row r="2227" spans="17:28" x14ac:dyDescent="0.2">
      <c r="Q2227" s="72"/>
      <c r="T2227" s="72"/>
      <c r="U2227" s="93"/>
      <c r="X2227" s="114" t="str">
        <f t="shared" si="47"/>
        <v>1w</v>
      </c>
      <c r="Y2227" s="112">
        <f>_xll.qlCalendarAdvance(Calendar,Y2226,X2227,"f",FALSE)</f>
        <v>54786</v>
      </c>
      <c r="Z2227" s="115">
        <f>_xll.qlCalendarAdvance(Calendar,Y2227,NDays&amp;"D")</f>
        <v>54786</v>
      </c>
      <c r="AA2227" s="116" t="e">
        <v>#N/A</v>
      </c>
      <c r="AB2227" s="113" t="e">
        <v>#N/A</v>
      </c>
    </row>
    <row r="2228" spans="17:28" x14ac:dyDescent="0.2">
      <c r="Q2228" s="72"/>
      <c r="T2228" s="72"/>
      <c r="U2228" s="93"/>
      <c r="X2228" s="114" t="str">
        <f t="shared" si="47"/>
        <v>1w</v>
      </c>
      <c r="Y2228" s="112">
        <f>_xll.qlCalendarAdvance(Calendar,Y2227,X2228,"f",FALSE)</f>
        <v>54793</v>
      </c>
      <c r="Z2228" s="115">
        <f>_xll.qlCalendarAdvance(Calendar,Y2228,NDays&amp;"D")</f>
        <v>54793</v>
      </c>
      <c r="AA2228" s="116" t="e">
        <v>#N/A</v>
      </c>
      <c r="AB2228" s="113" t="e">
        <v>#N/A</v>
      </c>
    </row>
    <row r="2229" spans="17:28" x14ac:dyDescent="0.2">
      <c r="Q2229" s="72"/>
      <c r="T2229" s="72"/>
      <c r="U2229" s="93"/>
      <c r="X2229" s="114" t="str">
        <f t="shared" si="47"/>
        <v>1w</v>
      </c>
      <c r="Y2229" s="112">
        <f>_xll.qlCalendarAdvance(Calendar,Y2228,X2229,"f",FALSE)</f>
        <v>54800</v>
      </c>
      <c r="Z2229" s="115">
        <f>_xll.qlCalendarAdvance(Calendar,Y2229,NDays&amp;"D")</f>
        <v>54800</v>
      </c>
      <c r="AA2229" s="116" t="e">
        <v>#N/A</v>
      </c>
      <c r="AB2229" s="113" t="e">
        <v>#N/A</v>
      </c>
    </row>
    <row r="2230" spans="17:28" x14ac:dyDescent="0.2">
      <c r="Q2230" s="72"/>
      <c r="T2230" s="72"/>
      <c r="U2230" s="93"/>
      <c r="X2230" s="114" t="str">
        <f t="shared" si="47"/>
        <v>1w</v>
      </c>
      <c r="Y2230" s="112">
        <f>_xll.qlCalendarAdvance(Calendar,Y2229,X2230,"f",FALSE)</f>
        <v>54807</v>
      </c>
      <c r="Z2230" s="115">
        <f>_xll.qlCalendarAdvance(Calendar,Y2230,NDays&amp;"D")</f>
        <v>54807</v>
      </c>
      <c r="AA2230" s="116" t="e">
        <v>#N/A</v>
      </c>
      <c r="AB2230" s="113" t="e">
        <v>#N/A</v>
      </c>
    </row>
    <row r="2231" spans="17:28" x14ac:dyDescent="0.2">
      <c r="Q2231" s="72"/>
      <c r="T2231" s="72"/>
      <c r="U2231" s="93"/>
      <c r="X2231" s="114" t="str">
        <f t="shared" si="47"/>
        <v>1w</v>
      </c>
      <c r="Y2231" s="112">
        <f>_xll.qlCalendarAdvance(Calendar,Y2230,X2231,"f",FALSE)</f>
        <v>54815</v>
      </c>
      <c r="Z2231" s="115">
        <f>_xll.qlCalendarAdvance(Calendar,Y2231,NDays&amp;"D")</f>
        <v>54815</v>
      </c>
      <c r="AA2231" s="116" t="e">
        <v>#N/A</v>
      </c>
      <c r="AB2231" s="113" t="e">
        <v>#N/A</v>
      </c>
    </row>
    <row r="2232" spans="17:28" x14ac:dyDescent="0.2">
      <c r="Q2232" s="72"/>
      <c r="T2232" s="72"/>
      <c r="U2232" s="93"/>
      <c r="X2232" s="114" t="str">
        <f t="shared" si="47"/>
        <v>1w</v>
      </c>
      <c r="Y2232" s="112">
        <f>_xll.qlCalendarAdvance(Calendar,Y2231,X2232,"f",FALSE)</f>
        <v>54822</v>
      </c>
      <c r="Z2232" s="115">
        <f>_xll.qlCalendarAdvance(Calendar,Y2232,NDays&amp;"D")</f>
        <v>54822</v>
      </c>
      <c r="AA2232" s="116" t="e">
        <v>#N/A</v>
      </c>
      <c r="AB2232" s="113" t="e">
        <v>#N/A</v>
      </c>
    </row>
    <row r="2233" spans="17:28" x14ac:dyDescent="0.2">
      <c r="Q2233" s="72"/>
      <c r="T2233" s="72"/>
      <c r="U2233" s="93"/>
      <c r="X2233" s="114" t="str">
        <f t="shared" si="47"/>
        <v>1w</v>
      </c>
      <c r="Y2233" s="112">
        <f>_xll.qlCalendarAdvance(Calendar,Y2232,X2233,"f",FALSE)</f>
        <v>54829</v>
      </c>
      <c r="Z2233" s="115">
        <f>_xll.qlCalendarAdvance(Calendar,Y2233,NDays&amp;"D")</f>
        <v>54829</v>
      </c>
      <c r="AA2233" s="116" t="e">
        <v>#N/A</v>
      </c>
      <c r="AB2233" s="113" t="e">
        <v>#N/A</v>
      </c>
    </row>
    <row r="2234" spans="17:28" x14ac:dyDescent="0.2">
      <c r="Q2234" s="72"/>
      <c r="T2234" s="72"/>
      <c r="U2234" s="93"/>
      <c r="X2234" s="114" t="str">
        <f t="shared" si="47"/>
        <v>1w</v>
      </c>
      <c r="Y2234" s="112">
        <f>_xll.qlCalendarAdvance(Calendar,Y2233,X2234,"f",FALSE)</f>
        <v>54836</v>
      </c>
      <c r="Z2234" s="115">
        <f>_xll.qlCalendarAdvance(Calendar,Y2234,NDays&amp;"D")</f>
        <v>54836</v>
      </c>
      <c r="AA2234" s="116" t="e">
        <v>#N/A</v>
      </c>
      <c r="AB2234" s="113" t="e">
        <v>#N/A</v>
      </c>
    </row>
    <row r="2235" spans="17:28" x14ac:dyDescent="0.2">
      <c r="Q2235" s="72"/>
      <c r="T2235" s="72"/>
      <c r="U2235" s="93"/>
      <c r="X2235" s="114" t="str">
        <f t="shared" si="47"/>
        <v>1w</v>
      </c>
      <c r="Y2235" s="112">
        <f>_xll.qlCalendarAdvance(Calendar,Y2234,X2235,"f",FALSE)</f>
        <v>54843</v>
      </c>
      <c r="Z2235" s="115">
        <f>_xll.qlCalendarAdvance(Calendar,Y2235,NDays&amp;"D")</f>
        <v>54843</v>
      </c>
      <c r="AA2235" s="116" t="e">
        <v>#N/A</v>
      </c>
      <c r="AB2235" s="113" t="e">
        <v>#N/A</v>
      </c>
    </row>
    <row r="2236" spans="17:28" x14ac:dyDescent="0.2">
      <c r="Q2236" s="72"/>
      <c r="T2236" s="72"/>
      <c r="U2236" s="93"/>
      <c r="X2236" s="114" t="str">
        <f t="shared" si="47"/>
        <v>1w</v>
      </c>
      <c r="Y2236" s="112">
        <f>_xll.qlCalendarAdvance(Calendar,Y2235,X2236,"f",FALSE)</f>
        <v>54850</v>
      </c>
      <c r="Z2236" s="115">
        <f>_xll.qlCalendarAdvance(Calendar,Y2236,NDays&amp;"D")</f>
        <v>54850</v>
      </c>
      <c r="AA2236" s="116" t="e">
        <v>#N/A</v>
      </c>
      <c r="AB2236" s="113" t="e">
        <v>#N/A</v>
      </c>
    </row>
    <row r="2237" spans="17:28" x14ac:dyDescent="0.2">
      <c r="Q2237" s="72"/>
      <c r="T2237" s="72"/>
      <c r="U2237" s="93"/>
      <c r="X2237" s="114" t="str">
        <f t="shared" si="47"/>
        <v>1w</v>
      </c>
      <c r="Y2237" s="112">
        <f>_xll.qlCalendarAdvance(Calendar,Y2236,X2237,"f",FALSE)</f>
        <v>54857</v>
      </c>
      <c r="Z2237" s="115">
        <f>_xll.qlCalendarAdvance(Calendar,Y2237,NDays&amp;"D")</f>
        <v>54857</v>
      </c>
      <c r="AA2237" s="116" t="e">
        <v>#N/A</v>
      </c>
      <c r="AB2237" s="113" t="e">
        <v>#N/A</v>
      </c>
    </row>
    <row r="2238" spans="17:28" x14ac:dyDescent="0.2">
      <c r="Q2238" s="72"/>
      <c r="T2238" s="72"/>
      <c r="U2238" s="93"/>
      <c r="X2238" s="114" t="str">
        <f t="shared" si="47"/>
        <v>1w</v>
      </c>
      <c r="Y2238" s="112">
        <f>_xll.qlCalendarAdvance(Calendar,Y2237,X2238,"f",FALSE)</f>
        <v>54864</v>
      </c>
      <c r="Z2238" s="115">
        <f>_xll.qlCalendarAdvance(Calendar,Y2238,NDays&amp;"D")</f>
        <v>54864</v>
      </c>
      <c r="AA2238" s="116" t="e">
        <v>#N/A</v>
      </c>
      <c r="AB2238" s="113" t="e">
        <v>#N/A</v>
      </c>
    </row>
    <row r="2239" spans="17:28" x14ac:dyDescent="0.2">
      <c r="Q2239" s="72"/>
      <c r="T2239" s="72"/>
      <c r="U2239" s="93"/>
      <c r="X2239" s="114" t="str">
        <f t="shared" si="47"/>
        <v>1w</v>
      </c>
      <c r="Y2239" s="112">
        <f>_xll.qlCalendarAdvance(Calendar,Y2238,X2239,"f",FALSE)</f>
        <v>54871</v>
      </c>
      <c r="Z2239" s="115">
        <f>_xll.qlCalendarAdvance(Calendar,Y2239,NDays&amp;"D")</f>
        <v>54871</v>
      </c>
      <c r="AA2239" s="116" t="e">
        <v>#N/A</v>
      </c>
      <c r="AB2239" s="113" t="e">
        <v>#N/A</v>
      </c>
    </row>
    <row r="2240" spans="17:28" x14ac:dyDescent="0.2">
      <c r="Q2240" s="72"/>
      <c r="T2240" s="72"/>
      <c r="U2240" s="93"/>
      <c r="X2240" s="114" t="str">
        <f t="shared" si="47"/>
        <v>1w</v>
      </c>
      <c r="Y2240" s="112">
        <f>_xll.qlCalendarAdvance(Calendar,Y2239,X2240,"f",FALSE)</f>
        <v>54878</v>
      </c>
      <c r="Z2240" s="115">
        <f>_xll.qlCalendarAdvance(Calendar,Y2240,NDays&amp;"D")</f>
        <v>54878</v>
      </c>
      <c r="AA2240" s="116" t="e">
        <v>#N/A</v>
      </c>
      <c r="AB2240" s="113" t="e">
        <v>#N/A</v>
      </c>
    </row>
    <row r="2241" spans="17:28" x14ac:dyDescent="0.2">
      <c r="Q2241" s="72"/>
      <c r="T2241" s="72"/>
      <c r="U2241" s="93"/>
      <c r="X2241" s="114" t="str">
        <f t="shared" si="47"/>
        <v>1w</v>
      </c>
      <c r="Y2241" s="112">
        <f>_xll.qlCalendarAdvance(Calendar,Y2240,X2241,"f",FALSE)</f>
        <v>54885</v>
      </c>
      <c r="Z2241" s="115">
        <f>_xll.qlCalendarAdvance(Calendar,Y2241,NDays&amp;"D")</f>
        <v>54885</v>
      </c>
      <c r="AA2241" s="116" t="e">
        <v>#N/A</v>
      </c>
      <c r="AB2241" s="113" t="e">
        <v>#N/A</v>
      </c>
    </row>
    <row r="2242" spans="17:28" x14ac:dyDescent="0.2">
      <c r="Q2242" s="72"/>
      <c r="T2242" s="72"/>
      <c r="U2242" s="93"/>
      <c r="X2242" s="114" t="str">
        <f t="shared" si="47"/>
        <v>1w</v>
      </c>
      <c r="Y2242" s="112">
        <f>_xll.qlCalendarAdvance(Calendar,Y2241,X2242,"f",FALSE)</f>
        <v>54892</v>
      </c>
      <c r="Z2242" s="115">
        <f>_xll.qlCalendarAdvance(Calendar,Y2242,NDays&amp;"D")</f>
        <v>54892</v>
      </c>
      <c r="AA2242" s="116" t="e">
        <v>#N/A</v>
      </c>
      <c r="AB2242" s="113" t="e">
        <v>#N/A</v>
      </c>
    </row>
    <row r="2243" spans="17:28" x14ac:dyDescent="0.2">
      <c r="Q2243" s="72"/>
      <c r="T2243" s="72"/>
      <c r="U2243" s="93"/>
      <c r="X2243" s="114" t="str">
        <f t="shared" si="47"/>
        <v>1w</v>
      </c>
      <c r="Y2243" s="112">
        <f>_xll.qlCalendarAdvance(Calendar,Y2242,X2243,"f",FALSE)</f>
        <v>54899</v>
      </c>
      <c r="Z2243" s="115">
        <f>_xll.qlCalendarAdvance(Calendar,Y2243,NDays&amp;"D")</f>
        <v>54899</v>
      </c>
      <c r="AA2243" s="116" t="e">
        <v>#N/A</v>
      </c>
      <c r="AB2243" s="113" t="e">
        <v>#N/A</v>
      </c>
    </row>
    <row r="2244" spans="17:28" x14ac:dyDescent="0.2">
      <c r="Q2244" s="72"/>
      <c r="T2244" s="72"/>
      <c r="U2244" s="93"/>
      <c r="X2244" s="114" t="str">
        <f t="shared" si="47"/>
        <v>1w</v>
      </c>
      <c r="Y2244" s="112">
        <f>_xll.qlCalendarAdvance(Calendar,Y2243,X2244,"f",FALSE)</f>
        <v>54906</v>
      </c>
      <c r="Z2244" s="115">
        <f>_xll.qlCalendarAdvance(Calendar,Y2244,NDays&amp;"D")</f>
        <v>54906</v>
      </c>
      <c r="AA2244" s="116" t="e">
        <v>#N/A</v>
      </c>
      <c r="AB2244" s="113" t="e">
        <v>#N/A</v>
      </c>
    </row>
    <row r="2245" spans="17:28" x14ac:dyDescent="0.2">
      <c r="Q2245" s="72"/>
      <c r="T2245" s="72"/>
      <c r="U2245" s="93"/>
      <c r="X2245" s="114" t="str">
        <f t="shared" si="47"/>
        <v>1w</v>
      </c>
      <c r="Y2245" s="112">
        <f>_xll.qlCalendarAdvance(Calendar,Y2244,X2245,"f",FALSE)</f>
        <v>54913</v>
      </c>
      <c r="Z2245" s="115">
        <f>_xll.qlCalendarAdvance(Calendar,Y2245,NDays&amp;"D")</f>
        <v>54913</v>
      </c>
      <c r="AA2245" s="116" t="e">
        <v>#N/A</v>
      </c>
      <c r="AB2245" s="113" t="e">
        <v>#N/A</v>
      </c>
    </row>
    <row r="2246" spans="17:28" x14ac:dyDescent="0.2">
      <c r="Q2246" s="72"/>
      <c r="T2246" s="72"/>
      <c r="U2246" s="93"/>
      <c r="X2246" s="114" t="str">
        <f t="shared" si="47"/>
        <v>1w</v>
      </c>
      <c r="Y2246" s="112">
        <f>_xll.qlCalendarAdvance(Calendar,Y2245,X2246,"f",FALSE)</f>
        <v>54920</v>
      </c>
      <c r="Z2246" s="115">
        <f>_xll.qlCalendarAdvance(Calendar,Y2246,NDays&amp;"D")</f>
        <v>54920</v>
      </c>
      <c r="AA2246" s="116" t="e">
        <v>#N/A</v>
      </c>
      <c r="AB2246" s="113" t="e">
        <v>#N/A</v>
      </c>
    </row>
    <row r="2247" spans="17:28" x14ac:dyDescent="0.2">
      <c r="Q2247" s="72"/>
      <c r="T2247" s="72"/>
      <c r="U2247" s="93"/>
      <c r="X2247" s="114" t="str">
        <f t="shared" si="47"/>
        <v>1w</v>
      </c>
      <c r="Y2247" s="112">
        <f>_xll.qlCalendarAdvance(Calendar,Y2246,X2247,"f",FALSE)</f>
        <v>54927</v>
      </c>
      <c r="Z2247" s="115">
        <f>_xll.qlCalendarAdvance(Calendar,Y2247,NDays&amp;"D")</f>
        <v>54927</v>
      </c>
      <c r="AA2247" s="116" t="e">
        <v>#N/A</v>
      </c>
      <c r="AB2247" s="113" t="e">
        <v>#N/A</v>
      </c>
    </row>
    <row r="2248" spans="17:28" x14ac:dyDescent="0.2">
      <c r="Q2248" s="72"/>
      <c r="T2248" s="72"/>
      <c r="U2248" s="93"/>
      <c r="X2248" s="114" t="str">
        <f t="shared" si="47"/>
        <v>1w</v>
      </c>
      <c r="Y2248" s="112">
        <f>_xll.qlCalendarAdvance(Calendar,Y2247,X2248,"f",FALSE)</f>
        <v>54934</v>
      </c>
      <c r="Z2248" s="115">
        <f>_xll.qlCalendarAdvance(Calendar,Y2248,NDays&amp;"D")</f>
        <v>54934</v>
      </c>
      <c r="AA2248" s="116" t="e">
        <v>#N/A</v>
      </c>
      <c r="AB2248" s="113" t="e">
        <v>#N/A</v>
      </c>
    </row>
    <row r="2249" spans="17:28" x14ac:dyDescent="0.2">
      <c r="Q2249" s="72"/>
      <c r="T2249" s="72"/>
      <c r="U2249" s="93"/>
      <c r="X2249" s="114" t="str">
        <f t="shared" si="47"/>
        <v>1w</v>
      </c>
      <c r="Y2249" s="112">
        <f>_xll.qlCalendarAdvance(Calendar,Y2248,X2249,"f",FALSE)</f>
        <v>54941</v>
      </c>
      <c r="Z2249" s="115">
        <f>_xll.qlCalendarAdvance(Calendar,Y2249,NDays&amp;"D")</f>
        <v>54941</v>
      </c>
      <c r="AA2249" s="116" t="e">
        <v>#N/A</v>
      </c>
      <c r="AB2249" s="113" t="e">
        <v>#N/A</v>
      </c>
    </row>
    <row r="2250" spans="17:28" x14ac:dyDescent="0.2">
      <c r="Q2250" s="72"/>
      <c r="T2250" s="72"/>
      <c r="U2250" s="93"/>
      <c r="X2250" s="114" t="str">
        <f t="shared" si="47"/>
        <v>1w</v>
      </c>
      <c r="Y2250" s="112">
        <f>_xll.qlCalendarAdvance(Calendar,Y2249,X2250,"f",FALSE)</f>
        <v>54948</v>
      </c>
      <c r="Z2250" s="115">
        <f>_xll.qlCalendarAdvance(Calendar,Y2250,NDays&amp;"D")</f>
        <v>54948</v>
      </c>
      <c r="AA2250" s="116" t="e">
        <v>#N/A</v>
      </c>
      <c r="AB2250" s="113" t="e">
        <v>#N/A</v>
      </c>
    </row>
    <row r="2251" spans="17:28" x14ac:dyDescent="0.2">
      <c r="Q2251" s="72"/>
      <c r="T2251" s="72"/>
      <c r="U2251" s="93"/>
      <c r="X2251" s="114" t="str">
        <f t="shared" si="47"/>
        <v>1w</v>
      </c>
      <c r="Y2251" s="112">
        <f>_xll.qlCalendarAdvance(Calendar,Y2250,X2251,"f",FALSE)</f>
        <v>54955</v>
      </c>
      <c r="Z2251" s="115">
        <f>_xll.qlCalendarAdvance(Calendar,Y2251,NDays&amp;"D")</f>
        <v>54955</v>
      </c>
      <c r="AA2251" s="116" t="e">
        <v>#N/A</v>
      </c>
      <c r="AB2251" s="113" t="e">
        <v>#N/A</v>
      </c>
    </row>
    <row r="2252" spans="17:28" x14ac:dyDescent="0.2">
      <c r="Q2252" s="72"/>
      <c r="T2252" s="72"/>
      <c r="U2252" s="93"/>
      <c r="X2252" s="114" t="str">
        <f t="shared" si="47"/>
        <v>1w</v>
      </c>
      <c r="Y2252" s="112">
        <f>_xll.qlCalendarAdvance(Calendar,Y2251,X2252,"f",FALSE)</f>
        <v>54962</v>
      </c>
      <c r="Z2252" s="115">
        <f>_xll.qlCalendarAdvance(Calendar,Y2252,NDays&amp;"D")</f>
        <v>54962</v>
      </c>
      <c r="AA2252" s="116" t="e">
        <v>#N/A</v>
      </c>
      <c r="AB2252" s="113" t="e">
        <v>#N/A</v>
      </c>
    </row>
    <row r="2253" spans="17:28" x14ac:dyDescent="0.2">
      <c r="Q2253" s="72"/>
      <c r="T2253" s="72"/>
      <c r="U2253" s="93"/>
      <c r="X2253" s="114" t="str">
        <f t="shared" si="47"/>
        <v>1w</v>
      </c>
      <c r="Y2253" s="112">
        <f>_xll.qlCalendarAdvance(Calendar,Y2252,X2253,"f",FALSE)</f>
        <v>54969</v>
      </c>
      <c r="Z2253" s="115">
        <f>_xll.qlCalendarAdvance(Calendar,Y2253,NDays&amp;"D")</f>
        <v>54969</v>
      </c>
      <c r="AA2253" s="116" t="e">
        <v>#N/A</v>
      </c>
      <c r="AB2253" s="113" t="e">
        <v>#N/A</v>
      </c>
    </row>
    <row r="2254" spans="17:28" x14ac:dyDescent="0.2">
      <c r="Q2254" s="72"/>
      <c r="T2254" s="72"/>
      <c r="U2254" s="93"/>
      <c r="X2254" s="114" t="str">
        <f t="shared" si="47"/>
        <v>1w</v>
      </c>
      <c r="Y2254" s="112">
        <f>_xll.qlCalendarAdvance(Calendar,Y2253,X2254,"f",FALSE)</f>
        <v>54976</v>
      </c>
      <c r="Z2254" s="115">
        <f>_xll.qlCalendarAdvance(Calendar,Y2254,NDays&amp;"D")</f>
        <v>54976</v>
      </c>
      <c r="AA2254" s="116" t="e">
        <v>#N/A</v>
      </c>
      <c r="AB2254" s="113" t="e">
        <v>#N/A</v>
      </c>
    </row>
    <row r="2255" spans="17:28" x14ac:dyDescent="0.2">
      <c r="Q2255" s="72"/>
      <c r="T2255" s="72"/>
      <c r="U2255" s="93"/>
      <c r="X2255" s="114" t="str">
        <f t="shared" si="47"/>
        <v>1w</v>
      </c>
      <c r="Y2255" s="112">
        <f>_xll.qlCalendarAdvance(Calendar,Y2254,X2255,"f",FALSE)</f>
        <v>54983</v>
      </c>
      <c r="Z2255" s="115">
        <f>_xll.qlCalendarAdvance(Calendar,Y2255,NDays&amp;"D")</f>
        <v>54983</v>
      </c>
      <c r="AA2255" s="116" t="e">
        <v>#N/A</v>
      </c>
      <c r="AB2255" s="113" t="e">
        <v>#N/A</v>
      </c>
    </row>
    <row r="2256" spans="17:28" x14ac:dyDescent="0.2">
      <c r="Q2256" s="72"/>
      <c r="T2256" s="72"/>
      <c r="U2256" s="93"/>
      <c r="X2256" s="114" t="str">
        <f t="shared" si="47"/>
        <v>1w</v>
      </c>
      <c r="Y2256" s="112">
        <f>_xll.qlCalendarAdvance(Calendar,Y2255,X2256,"f",FALSE)</f>
        <v>54990</v>
      </c>
      <c r="Z2256" s="115">
        <f>_xll.qlCalendarAdvance(Calendar,Y2256,NDays&amp;"D")</f>
        <v>54990</v>
      </c>
      <c r="AA2256" s="116" t="e">
        <v>#N/A</v>
      </c>
      <c r="AB2256" s="113" t="e">
        <v>#N/A</v>
      </c>
    </row>
    <row r="2257" spans="17:28" x14ac:dyDescent="0.2">
      <c r="Q2257" s="72"/>
      <c r="T2257" s="72"/>
      <c r="U2257" s="93"/>
      <c r="X2257" s="114" t="str">
        <f t="shared" si="47"/>
        <v>1w</v>
      </c>
      <c r="Y2257" s="112">
        <f>_xll.qlCalendarAdvance(Calendar,Y2256,X2257,"f",FALSE)</f>
        <v>54997</v>
      </c>
      <c r="Z2257" s="115">
        <f>_xll.qlCalendarAdvance(Calendar,Y2257,NDays&amp;"D")</f>
        <v>54997</v>
      </c>
      <c r="AA2257" s="116" t="e">
        <v>#N/A</v>
      </c>
      <c r="AB2257" s="113" t="e">
        <v>#N/A</v>
      </c>
    </row>
    <row r="2258" spans="17:28" x14ac:dyDescent="0.2">
      <c r="Q2258" s="72"/>
      <c r="T2258" s="72"/>
      <c r="U2258" s="93"/>
      <c r="X2258" s="114" t="str">
        <f t="shared" si="47"/>
        <v>1w</v>
      </c>
      <c r="Y2258" s="112">
        <f>_xll.qlCalendarAdvance(Calendar,Y2257,X2258,"f",FALSE)</f>
        <v>55004</v>
      </c>
      <c r="Z2258" s="115">
        <f>_xll.qlCalendarAdvance(Calendar,Y2258,NDays&amp;"D")</f>
        <v>55004</v>
      </c>
      <c r="AA2258" s="116" t="e">
        <v>#N/A</v>
      </c>
      <c r="AB2258" s="113" t="e">
        <v>#N/A</v>
      </c>
    </row>
    <row r="2259" spans="17:28" x14ac:dyDescent="0.2">
      <c r="Q2259" s="72"/>
      <c r="T2259" s="72"/>
      <c r="U2259" s="93"/>
      <c r="X2259" s="114" t="str">
        <f t="shared" si="47"/>
        <v>1w</v>
      </c>
      <c r="Y2259" s="112">
        <f>_xll.qlCalendarAdvance(Calendar,Y2258,X2259,"f",FALSE)</f>
        <v>55011</v>
      </c>
      <c r="Z2259" s="115">
        <f>_xll.qlCalendarAdvance(Calendar,Y2259,NDays&amp;"D")</f>
        <v>55011</v>
      </c>
      <c r="AA2259" s="116" t="e">
        <v>#N/A</v>
      </c>
      <c r="AB2259" s="113" t="e">
        <v>#N/A</v>
      </c>
    </row>
    <row r="2260" spans="17:28" x14ac:dyDescent="0.2">
      <c r="Q2260" s="72"/>
      <c r="T2260" s="72"/>
      <c r="U2260" s="93"/>
      <c r="X2260" s="114" t="str">
        <f t="shared" si="47"/>
        <v>1w</v>
      </c>
      <c r="Y2260" s="112">
        <f>_xll.qlCalendarAdvance(Calendar,Y2259,X2260,"f",FALSE)</f>
        <v>55018</v>
      </c>
      <c r="Z2260" s="115">
        <f>_xll.qlCalendarAdvance(Calendar,Y2260,NDays&amp;"D")</f>
        <v>55018</v>
      </c>
      <c r="AA2260" s="116" t="e">
        <v>#N/A</v>
      </c>
      <c r="AB2260" s="113" t="e">
        <v>#N/A</v>
      </c>
    </row>
    <row r="2261" spans="17:28" x14ac:dyDescent="0.2">
      <c r="Q2261" s="72"/>
      <c r="T2261" s="72"/>
      <c r="U2261" s="93"/>
      <c r="X2261" s="114" t="str">
        <f t="shared" ref="X2261:X2324" si="48">X2260</f>
        <v>1w</v>
      </c>
      <c r="Y2261" s="112">
        <f>_xll.qlCalendarAdvance(Calendar,Y2260,X2261,"f",FALSE)</f>
        <v>55025</v>
      </c>
      <c r="Z2261" s="115">
        <f>_xll.qlCalendarAdvance(Calendar,Y2261,NDays&amp;"D")</f>
        <v>55025</v>
      </c>
      <c r="AA2261" s="116" t="e">
        <v>#N/A</v>
      </c>
      <c r="AB2261" s="113" t="e">
        <v>#N/A</v>
      </c>
    </row>
    <row r="2262" spans="17:28" x14ac:dyDescent="0.2">
      <c r="Q2262" s="72"/>
      <c r="T2262" s="72"/>
      <c r="U2262" s="93"/>
      <c r="X2262" s="114" t="str">
        <f t="shared" si="48"/>
        <v>1w</v>
      </c>
      <c r="Y2262" s="112">
        <f>_xll.qlCalendarAdvance(Calendar,Y2261,X2262,"f",FALSE)</f>
        <v>55032</v>
      </c>
      <c r="Z2262" s="115">
        <f>_xll.qlCalendarAdvance(Calendar,Y2262,NDays&amp;"D")</f>
        <v>55032</v>
      </c>
      <c r="AA2262" s="116" t="e">
        <v>#N/A</v>
      </c>
      <c r="AB2262" s="113" t="e">
        <v>#N/A</v>
      </c>
    </row>
    <row r="2263" spans="17:28" x14ac:dyDescent="0.2">
      <c r="Q2263" s="72"/>
      <c r="T2263" s="72"/>
      <c r="U2263" s="93"/>
      <c r="X2263" s="114" t="str">
        <f t="shared" si="48"/>
        <v>1w</v>
      </c>
      <c r="Y2263" s="112">
        <f>_xll.qlCalendarAdvance(Calendar,Y2262,X2263,"f",FALSE)</f>
        <v>55039</v>
      </c>
      <c r="Z2263" s="115">
        <f>_xll.qlCalendarAdvance(Calendar,Y2263,NDays&amp;"D")</f>
        <v>55039</v>
      </c>
      <c r="AA2263" s="116" t="e">
        <v>#N/A</v>
      </c>
      <c r="AB2263" s="113" t="e">
        <v>#N/A</v>
      </c>
    </row>
    <row r="2264" spans="17:28" x14ac:dyDescent="0.2">
      <c r="Q2264" s="72"/>
      <c r="T2264" s="72"/>
      <c r="U2264" s="93"/>
      <c r="X2264" s="114" t="str">
        <f t="shared" si="48"/>
        <v>1w</v>
      </c>
      <c r="Y2264" s="112">
        <f>_xll.qlCalendarAdvance(Calendar,Y2263,X2264,"f",FALSE)</f>
        <v>55046</v>
      </c>
      <c r="Z2264" s="115">
        <f>_xll.qlCalendarAdvance(Calendar,Y2264,NDays&amp;"D")</f>
        <v>55046</v>
      </c>
      <c r="AA2264" s="116" t="e">
        <v>#N/A</v>
      </c>
      <c r="AB2264" s="113" t="e">
        <v>#N/A</v>
      </c>
    </row>
    <row r="2265" spans="17:28" x14ac:dyDescent="0.2">
      <c r="Q2265" s="72"/>
      <c r="T2265" s="72"/>
      <c r="U2265" s="93"/>
      <c r="X2265" s="114" t="str">
        <f t="shared" si="48"/>
        <v>1w</v>
      </c>
      <c r="Y2265" s="112">
        <f>_xll.qlCalendarAdvance(Calendar,Y2264,X2265,"f",FALSE)</f>
        <v>55053</v>
      </c>
      <c r="Z2265" s="115">
        <f>_xll.qlCalendarAdvance(Calendar,Y2265,NDays&amp;"D")</f>
        <v>55053</v>
      </c>
      <c r="AA2265" s="116" t="e">
        <v>#N/A</v>
      </c>
      <c r="AB2265" s="113" t="e">
        <v>#N/A</v>
      </c>
    </row>
    <row r="2266" spans="17:28" x14ac:dyDescent="0.2">
      <c r="Q2266" s="72"/>
      <c r="T2266" s="72"/>
      <c r="U2266" s="93"/>
      <c r="X2266" s="114" t="str">
        <f t="shared" si="48"/>
        <v>1w</v>
      </c>
      <c r="Y2266" s="112">
        <f>_xll.qlCalendarAdvance(Calendar,Y2265,X2266,"f",FALSE)</f>
        <v>55060</v>
      </c>
      <c r="Z2266" s="115">
        <f>_xll.qlCalendarAdvance(Calendar,Y2266,NDays&amp;"D")</f>
        <v>55060</v>
      </c>
      <c r="AA2266" s="116" t="e">
        <v>#N/A</v>
      </c>
      <c r="AB2266" s="113" t="e">
        <v>#N/A</v>
      </c>
    </row>
    <row r="2267" spans="17:28" x14ac:dyDescent="0.2">
      <c r="Q2267" s="72"/>
      <c r="T2267" s="72"/>
      <c r="U2267" s="93"/>
      <c r="X2267" s="114" t="str">
        <f t="shared" si="48"/>
        <v>1w</v>
      </c>
      <c r="Y2267" s="112">
        <f>_xll.qlCalendarAdvance(Calendar,Y2266,X2267,"f",FALSE)</f>
        <v>55067</v>
      </c>
      <c r="Z2267" s="115">
        <f>_xll.qlCalendarAdvance(Calendar,Y2267,NDays&amp;"D")</f>
        <v>55067</v>
      </c>
      <c r="AA2267" s="116" t="e">
        <v>#N/A</v>
      </c>
      <c r="AB2267" s="113" t="e">
        <v>#N/A</v>
      </c>
    </row>
    <row r="2268" spans="17:28" x14ac:dyDescent="0.2">
      <c r="Q2268" s="72"/>
      <c r="T2268" s="72"/>
      <c r="U2268" s="93"/>
      <c r="X2268" s="114" t="str">
        <f t="shared" si="48"/>
        <v>1w</v>
      </c>
      <c r="Y2268" s="112">
        <f>_xll.qlCalendarAdvance(Calendar,Y2267,X2268,"f",FALSE)</f>
        <v>55074</v>
      </c>
      <c r="Z2268" s="115">
        <f>_xll.qlCalendarAdvance(Calendar,Y2268,NDays&amp;"D")</f>
        <v>55074</v>
      </c>
      <c r="AA2268" s="116" t="e">
        <v>#N/A</v>
      </c>
      <c r="AB2268" s="113" t="e">
        <v>#N/A</v>
      </c>
    </row>
    <row r="2269" spans="17:28" x14ac:dyDescent="0.2">
      <c r="Q2269" s="72"/>
      <c r="T2269" s="72"/>
      <c r="U2269" s="93"/>
      <c r="X2269" s="114" t="str">
        <f t="shared" si="48"/>
        <v>1w</v>
      </c>
      <c r="Y2269" s="112">
        <f>_xll.qlCalendarAdvance(Calendar,Y2268,X2269,"f",FALSE)</f>
        <v>55081</v>
      </c>
      <c r="Z2269" s="115">
        <f>_xll.qlCalendarAdvance(Calendar,Y2269,NDays&amp;"D")</f>
        <v>55081</v>
      </c>
      <c r="AA2269" s="116" t="e">
        <v>#N/A</v>
      </c>
      <c r="AB2269" s="113" t="e">
        <v>#N/A</v>
      </c>
    </row>
    <row r="2270" spans="17:28" x14ac:dyDescent="0.2">
      <c r="Q2270" s="72"/>
      <c r="T2270" s="72"/>
      <c r="U2270" s="93"/>
      <c r="X2270" s="114" t="str">
        <f t="shared" si="48"/>
        <v>1w</v>
      </c>
      <c r="Y2270" s="112">
        <f>_xll.qlCalendarAdvance(Calendar,Y2269,X2270,"f",FALSE)</f>
        <v>55088</v>
      </c>
      <c r="Z2270" s="115">
        <f>_xll.qlCalendarAdvance(Calendar,Y2270,NDays&amp;"D")</f>
        <v>55088</v>
      </c>
      <c r="AA2270" s="116" t="e">
        <v>#N/A</v>
      </c>
      <c r="AB2270" s="113" t="e">
        <v>#N/A</v>
      </c>
    </row>
    <row r="2271" spans="17:28" x14ac:dyDescent="0.2">
      <c r="Q2271" s="72"/>
      <c r="T2271" s="72"/>
      <c r="U2271" s="93"/>
      <c r="X2271" s="114" t="str">
        <f t="shared" si="48"/>
        <v>1w</v>
      </c>
      <c r="Y2271" s="112">
        <f>_xll.qlCalendarAdvance(Calendar,Y2270,X2271,"f",FALSE)</f>
        <v>55095</v>
      </c>
      <c r="Z2271" s="115">
        <f>_xll.qlCalendarAdvance(Calendar,Y2271,NDays&amp;"D")</f>
        <v>55095</v>
      </c>
      <c r="AA2271" s="116" t="e">
        <v>#N/A</v>
      </c>
      <c r="AB2271" s="113" t="e">
        <v>#N/A</v>
      </c>
    </row>
    <row r="2272" spans="17:28" x14ac:dyDescent="0.2">
      <c r="Q2272" s="72"/>
      <c r="T2272" s="72"/>
      <c r="U2272" s="93"/>
      <c r="X2272" s="114" t="str">
        <f t="shared" si="48"/>
        <v>1w</v>
      </c>
      <c r="Y2272" s="112">
        <f>_xll.qlCalendarAdvance(Calendar,Y2271,X2272,"f",FALSE)</f>
        <v>55102</v>
      </c>
      <c r="Z2272" s="115">
        <f>_xll.qlCalendarAdvance(Calendar,Y2272,NDays&amp;"D")</f>
        <v>55102</v>
      </c>
      <c r="AA2272" s="116" t="e">
        <v>#N/A</v>
      </c>
      <c r="AB2272" s="113" t="e">
        <v>#N/A</v>
      </c>
    </row>
    <row r="2273" spans="17:28" x14ac:dyDescent="0.2">
      <c r="Q2273" s="72"/>
      <c r="T2273" s="72"/>
      <c r="U2273" s="93"/>
      <c r="X2273" s="114" t="str">
        <f t="shared" si="48"/>
        <v>1w</v>
      </c>
      <c r="Y2273" s="112">
        <f>_xll.qlCalendarAdvance(Calendar,Y2272,X2273,"f",FALSE)</f>
        <v>55109</v>
      </c>
      <c r="Z2273" s="115">
        <f>_xll.qlCalendarAdvance(Calendar,Y2273,NDays&amp;"D")</f>
        <v>55109</v>
      </c>
      <c r="AA2273" s="116" t="e">
        <v>#N/A</v>
      </c>
      <c r="AB2273" s="113" t="e">
        <v>#N/A</v>
      </c>
    </row>
    <row r="2274" spans="17:28" x14ac:dyDescent="0.2">
      <c r="Q2274" s="72"/>
      <c r="T2274" s="72"/>
      <c r="U2274" s="93"/>
      <c r="X2274" s="114" t="str">
        <f t="shared" si="48"/>
        <v>1w</v>
      </c>
      <c r="Y2274" s="112">
        <f>_xll.qlCalendarAdvance(Calendar,Y2273,X2274,"f",FALSE)</f>
        <v>55116</v>
      </c>
      <c r="Z2274" s="115">
        <f>_xll.qlCalendarAdvance(Calendar,Y2274,NDays&amp;"D")</f>
        <v>55116</v>
      </c>
      <c r="AA2274" s="116" t="e">
        <v>#N/A</v>
      </c>
      <c r="AB2274" s="113" t="e">
        <v>#N/A</v>
      </c>
    </row>
    <row r="2275" spans="17:28" x14ac:dyDescent="0.2">
      <c r="Q2275" s="72"/>
      <c r="T2275" s="72"/>
      <c r="U2275" s="93"/>
      <c r="X2275" s="114" t="str">
        <f t="shared" si="48"/>
        <v>1w</v>
      </c>
      <c r="Y2275" s="112">
        <f>_xll.qlCalendarAdvance(Calendar,Y2274,X2275,"f",FALSE)</f>
        <v>55123</v>
      </c>
      <c r="Z2275" s="115">
        <f>_xll.qlCalendarAdvance(Calendar,Y2275,NDays&amp;"D")</f>
        <v>55123</v>
      </c>
      <c r="AA2275" s="116" t="e">
        <v>#N/A</v>
      </c>
      <c r="AB2275" s="113" t="e">
        <v>#N/A</v>
      </c>
    </row>
    <row r="2276" spans="17:28" x14ac:dyDescent="0.2">
      <c r="Q2276" s="72"/>
      <c r="T2276" s="72"/>
      <c r="U2276" s="93"/>
      <c r="X2276" s="114" t="str">
        <f t="shared" si="48"/>
        <v>1w</v>
      </c>
      <c r="Y2276" s="112">
        <f>_xll.qlCalendarAdvance(Calendar,Y2275,X2276,"f",FALSE)</f>
        <v>55130</v>
      </c>
      <c r="Z2276" s="115">
        <f>_xll.qlCalendarAdvance(Calendar,Y2276,NDays&amp;"D")</f>
        <v>55130</v>
      </c>
      <c r="AA2276" s="116" t="e">
        <v>#N/A</v>
      </c>
      <c r="AB2276" s="113" t="e">
        <v>#N/A</v>
      </c>
    </row>
    <row r="2277" spans="17:28" x14ac:dyDescent="0.2">
      <c r="Q2277" s="72"/>
      <c r="T2277" s="72"/>
      <c r="U2277" s="93"/>
      <c r="X2277" s="114" t="str">
        <f t="shared" si="48"/>
        <v>1w</v>
      </c>
      <c r="Y2277" s="112">
        <f>_xll.qlCalendarAdvance(Calendar,Y2276,X2277,"f",FALSE)</f>
        <v>55137</v>
      </c>
      <c r="Z2277" s="115">
        <f>_xll.qlCalendarAdvance(Calendar,Y2277,NDays&amp;"D")</f>
        <v>55137</v>
      </c>
      <c r="AA2277" s="116" t="e">
        <v>#N/A</v>
      </c>
      <c r="AB2277" s="113" t="e">
        <v>#N/A</v>
      </c>
    </row>
    <row r="2278" spans="17:28" x14ac:dyDescent="0.2">
      <c r="Q2278" s="72"/>
      <c r="T2278" s="72"/>
      <c r="U2278" s="93"/>
      <c r="X2278" s="114" t="str">
        <f t="shared" si="48"/>
        <v>1w</v>
      </c>
      <c r="Y2278" s="112">
        <f>_xll.qlCalendarAdvance(Calendar,Y2277,X2278,"f",FALSE)</f>
        <v>55144</v>
      </c>
      <c r="Z2278" s="115">
        <f>_xll.qlCalendarAdvance(Calendar,Y2278,NDays&amp;"D")</f>
        <v>55144</v>
      </c>
      <c r="AA2278" s="116" t="e">
        <v>#N/A</v>
      </c>
      <c r="AB2278" s="113" t="e">
        <v>#N/A</v>
      </c>
    </row>
    <row r="2279" spans="17:28" x14ac:dyDescent="0.2">
      <c r="Q2279" s="72"/>
      <c r="T2279" s="72"/>
      <c r="U2279" s="93"/>
      <c r="X2279" s="114" t="str">
        <f t="shared" si="48"/>
        <v>1w</v>
      </c>
      <c r="Y2279" s="112">
        <f>_xll.qlCalendarAdvance(Calendar,Y2278,X2279,"f",FALSE)</f>
        <v>55151</v>
      </c>
      <c r="Z2279" s="115">
        <f>_xll.qlCalendarAdvance(Calendar,Y2279,NDays&amp;"D")</f>
        <v>55151</v>
      </c>
      <c r="AA2279" s="116" t="e">
        <v>#N/A</v>
      </c>
      <c r="AB2279" s="113" t="e">
        <v>#N/A</v>
      </c>
    </row>
    <row r="2280" spans="17:28" x14ac:dyDescent="0.2">
      <c r="Q2280" s="72"/>
      <c r="T2280" s="72"/>
      <c r="U2280" s="93"/>
      <c r="X2280" s="114" t="str">
        <f t="shared" si="48"/>
        <v>1w</v>
      </c>
      <c r="Y2280" s="112">
        <f>_xll.qlCalendarAdvance(Calendar,Y2279,X2280,"f",FALSE)</f>
        <v>55158</v>
      </c>
      <c r="Z2280" s="115">
        <f>_xll.qlCalendarAdvance(Calendar,Y2280,NDays&amp;"D")</f>
        <v>55158</v>
      </c>
      <c r="AA2280" s="116" t="e">
        <v>#N/A</v>
      </c>
      <c r="AB2280" s="113" t="e">
        <v>#N/A</v>
      </c>
    </row>
    <row r="2281" spans="17:28" x14ac:dyDescent="0.2">
      <c r="Q2281" s="72"/>
      <c r="T2281" s="72"/>
      <c r="U2281" s="93"/>
      <c r="X2281" s="114" t="str">
        <f t="shared" si="48"/>
        <v>1w</v>
      </c>
      <c r="Y2281" s="112">
        <f>_xll.qlCalendarAdvance(Calendar,Y2280,X2281,"f",FALSE)</f>
        <v>55165</v>
      </c>
      <c r="Z2281" s="115">
        <f>_xll.qlCalendarAdvance(Calendar,Y2281,NDays&amp;"D")</f>
        <v>55165</v>
      </c>
      <c r="AA2281" s="116" t="e">
        <v>#N/A</v>
      </c>
      <c r="AB2281" s="113" t="e">
        <v>#N/A</v>
      </c>
    </row>
    <row r="2282" spans="17:28" x14ac:dyDescent="0.2">
      <c r="Q2282" s="72"/>
      <c r="T2282" s="72"/>
      <c r="U2282" s="93"/>
      <c r="X2282" s="114" t="str">
        <f t="shared" si="48"/>
        <v>1w</v>
      </c>
      <c r="Y2282" s="112">
        <f>_xll.qlCalendarAdvance(Calendar,Y2281,X2282,"f",FALSE)</f>
        <v>55172</v>
      </c>
      <c r="Z2282" s="115">
        <f>_xll.qlCalendarAdvance(Calendar,Y2282,NDays&amp;"D")</f>
        <v>55172</v>
      </c>
      <c r="AA2282" s="116" t="e">
        <v>#N/A</v>
      </c>
      <c r="AB2282" s="113" t="e">
        <v>#N/A</v>
      </c>
    </row>
    <row r="2283" spans="17:28" x14ac:dyDescent="0.2">
      <c r="Q2283" s="72"/>
      <c r="T2283" s="72"/>
      <c r="U2283" s="93"/>
      <c r="X2283" s="114" t="str">
        <f t="shared" si="48"/>
        <v>1w</v>
      </c>
      <c r="Y2283" s="112">
        <f>_xll.qlCalendarAdvance(Calendar,Y2282,X2283,"f",FALSE)</f>
        <v>55180</v>
      </c>
      <c r="Z2283" s="115">
        <f>_xll.qlCalendarAdvance(Calendar,Y2283,NDays&amp;"D")</f>
        <v>55180</v>
      </c>
      <c r="AA2283" s="116" t="e">
        <v>#N/A</v>
      </c>
      <c r="AB2283" s="113" t="e">
        <v>#N/A</v>
      </c>
    </row>
    <row r="2284" spans="17:28" x14ac:dyDescent="0.2">
      <c r="Q2284" s="72"/>
      <c r="T2284" s="72"/>
      <c r="U2284" s="93"/>
      <c r="X2284" s="114" t="str">
        <f t="shared" si="48"/>
        <v>1w</v>
      </c>
      <c r="Y2284" s="112">
        <f>_xll.qlCalendarAdvance(Calendar,Y2283,X2284,"f",FALSE)</f>
        <v>55187</v>
      </c>
      <c r="Z2284" s="115">
        <f>_xll.qlCalendarAdvance(Calendar,Y2284,NDays&amp;"D")</f>
        <v>55187</v>
      </c>
      <c r="AA2284" s="116" t="e">
        <v>#N/A</v>
      </c>
      <c r="AB2284" s="113" t="e">
        <v>#N/A</v>
      </c>
    </row>
    <row r="2285" spans="17:28" x14ac:dyDescent="0.2">
      <c r="Q2285" s="72"/>
      <c r="T2285" s="72"/>
      <c r="U2285" s="93"/>
      <c r="X2285" s="114" t="str">
        <f t="shared" si="48"/>
        <v>1w</v>
      </c>
      <c r="Y2285" s="112">
        <f>_xll.qlCalendarAdvance(Calendar,Y2284,X2285,"f",FALSE)</f>
        <v>55194</v>
      </c>
      <c r="Z2285" s="115">
        <f>_xll.qlCalendarAdvance(Calendar,Y2285,NDays&amp;"D")</f>
        <v>55194</v>
      </c>
      <c r="AA2285" s="116" t="e">
        <v>#N/A</v>
      </c>
      <c r="AB2285" s="113" t="e">
        <v>#N/A</v>
      </c>
    </row>
    <row r="2286" spans="17:28" x14ac:dyDescent="0.2">
      <c r="Q2286" s="72"/>
      <c r="T2286" s="72"/>
      <c r="U2286" s="93"/>
      <c r="X2286" s="114" t="str">
        <f t="shared" si="48"/>
        <v>1w</v>
      </c>
      <c r="Y2286" s="112">
        <f>_xll.qlCalendarAdvance(Calendar,Y2285,X2286,"f",FALSE)</f>
        <v>55201</v>
      </c>
      <c r="Z2286" s="115">
        <f>_xll.qlCalendarAdvance(Calendar,Y2286,NDays&amp;"D")</f>
        <v>55201</v>
      </c>
      <c r="AA2286" s="116" t="e">
        <v>#N/A</v>
      </c>
      <c r="AB2286" s="113" t="e">
        <v>#N/A</v>
      </c>
    </row>
    <row r="2287" spans="17:28" x14ac:dyDescent="0.2">
      <c r="Q2287" s="72"/>
      <c r="T2287" s="72"/>
      <c r="U2287" s="93"/>
      <c r="X2287" s="114" t="str">
        <f t="shared" si="48"/>
        <v>1w</v>
      </c>
      <c r="Y2287" s="112">
        <f>_xll.qlCalendarAdvance(Calendar,Y2286,X2287,"f",FALSE)</f>
        <v>55208</v>
      </c>
      <c r="Z2287" s="115">
        <f>_xll.qlCalendarAdvance(Calendar,Y2287,NDays&amp;"D")</f>
        <v>55208</v>
      </c>
      <c r="AA2287" s="116" t="e">
        <v>#N/A</v>
      </c>
      <c r="AB2287" s="113" t="e">
        <v>#N/A</v>
      </c>
    </row>
    <row r="2288" spans="17:28" x14ac:dyDescent="0.2">
      <c r="Q2288" s="72"/>
      <c r="T2288" s="72"/>
      <c r="U2288" s="93"/>
      <c r="X2288" s="114" t="str">
        <f t="shared" si="48"/>
        <v>1w</v>
      </c>
      <c r="Y2288" s="112">
        <f>_xll.qlCalendarAdvance(Calendar,Y2287,X2288,"f",FALSE)</f>
        <v>55215</v>
      </c>
      <c r="Z2288" s="115">
        <f>_xll.qlCalendarAdvance(Calendar,Y2288,NDays&amp;"D")</f>
        <v>55215</v>
      </c>
      <c r="AA2288" s="116" t="e">
        <v>#N/A</v>
      </c>
      <c r="AB2288" s="113" t="e">
        <v>#N/A</v>
      </c>
    </row>
    <row r="2289" spans="17:28" x14ac:dyDescent="0.2">
      <c r="Q2289" s="72"/>
      <c r="T2289" s="72"/>
      <c r="U2289" s="93"/>
      <c r="X2289" s="114" t="str">
        <f t="shared" si="48"/>
        <v>1w</v>
      </c>
      <c r="Y2289" s="112">
        <f>_xll.qlCalendarAdvance(Calendar,Y2288,X2289,"f",FALSE)</f>
        <v>55222</v>
      </c>
      <c r="Z2289" s="115">
        <f>_xll.qlCalendarAdvance(Calendar,Y2289,NDays&amp;"D")</f>
        <v>55222</v>
      </c>
      <c r="AA2289" s="116" t="e">
        <v>#N/A</v>
      </c>
      <c r="AB2289" s="113" t="e">
        <v>#N/A</v>
      </c>
    </row>
    <row r="2290" spans="17:28" x14ac:dyDescent="0.2">
      <c r="Q2290" s="72"/>
      <c r="T2290" s="72"/>
      <c r="U2290" s="93"/>
      <c r="X2290" s="114" t="str">
        <f t="shared" si="48"/>
        <v>1w</v>
      </c>
      <c r="Y2290" s="112">
        <f>_xll.qlCalendarAdvance(Calendar,Y2289,X2290,"f",FALSE)</f>
        <v>55229</v>
      </c>
      <c r="Z2290" s="115">
        <f>_xll.qlCalendarAdvance(Calendar,Y2290,NDays&amp;"D")</f>
        <v>55229</v>
      </c>
      <c r="AA2290" s="116" t="e">
        <v>#N/A</v>
      </c>
      <c r="AB2290" s="113" t="e">
        <v>#N/A</v>
      </c>
    </row>
    <row r="2291" spans="17:28" x14ac:dyDescent="0.2">
      <c r="Q2291" s="72"/>
      <c r="T2291" s="72"/>
      <c r="U2291" s="93"/>
      <c r="X2291" s="114" t="str">
        <f t="shared" si="48"/>
        <v>1w</v>
      </c>
      <c r="Y2291" s="112">
        <f>_xll.qlCalendarAdvance(Calendar,Y2290,X2291,"f",FALSE)</f>
        <v>55236</v>
      </c>
      <c r="Z2291" s="115">
        <f>_xll.qlCalendarAdvance(Calendar,Y2291,NDays&amp;"D")</f>
        <v>55236</v>
      </c>
      <c r="AA2291" s="116" t="e">
        <v>#N/A</v>
      </c>
      <c r="AB2291" s="113" t="e">
        <v>#N/A</v>
      </c>
    </row>
    <row r="2292" spans="17:28" x14ac:dyDescent="0.2">
      <c r="Q2292" s="72"/>
      <c r="T2292" s="72"/>
      <c r="U2292" s="93"/>
      <c r="X2292" s="114" t="str">
        <f t="shared" si="48"/>
        <v>1w</v>
      </c>
      <c r="Y2292" s="112">
        <f>_xll.qlCalendarAdvance(Calendar,Y2291,X2292,"f",FALSE)</f>
        <v>55247</v>
      </c>
      <c r="Z2292" s="115">
        <f>_xll.qlCalendarAdvance(Calendar,Y2292,NDays&amp;"D")</f>
        <v>55247</v>
      </c>
      <c r="AA2292" s="116" t="e">
        <v>#N/A</v>
      </c>
      <c r="AB2292" s="113" t="e">
        <v>#N/A</v>
      </c>
    </row>
    <row r="2293" spans="17:28" x14ac:dyDescent="0.2">
      <c r="Q2293" s="72"/>
      <c r="T2293" s="72"/>
      <c r="U2293" s="93"/>
      <c r="X2293" s="114" t="str">
        <f t="shared" si="48"/>
        <v>1w</v>
      </c>
      <c r="Y2293" s="112">
        <f>_xll.qlCalendarAdvance(Calendar,Y2292,X2293,"f",FALSE)</f>
        <v>55254</v>
      </c>
      <c r="Z2293" s="115">
        <f>_xll.qlCalendarAdvance(Calendar,Y2293,NDays&amp;"D")</f>
        <v>55254</v>
      </c>
      <c r="AA2293" s="116" t="e">
        <v>#N/A</v>
      </c>
      <c r="AB2293" s="113" t="e">
        <v>#N/A</v>
      </c>
    </row>
    <row r="2294" spans="17:28" x14ac:dyDescent="0.2">
      <c r="Q2294" s="72"/>
      <c r="T2294" s="72"/>
      <c r="U2294" s="93"/>
      <c r="X2294" s="114" t="str">
        <f t="shared" si="48"/>
        <v>1w</v>
      </c>
      <c r="Y2294" s="112">
        <f>_xll.qlCalendarAdvance(Calendar,Y2293,X2294,"f",FALSE)</f>
        <v>55261</v>
      </c>
      <c r="Z2294" s="115">
        <f>_xll.qlCalendarAdvance(Calendar,Y2294,NDays&amp;"D")</f>
        <v>55261</v>
      </c>
      <c r="AA2294" s="116" t="e">
        <v>#N/A</v>
      </c>
      <c r="AB2294" s="113" t="e">
        <v>#N/A</v>
      </c>
    </row>
    <row r="2295" spans="17:28" x14ac:dyDescent="0.2">
      <c r="Q2295" s="72"/>
      <c r="T2295" s="72"/>
      <c r="U2295" s="93"/>
      <c r="X2295" s="114" t="str">
        <f t="shared" si="48"/>
        <v>1w</v>
      </c>
      <c r="Y2295" s="112">
        <f>_xll.qlCalendarAdvance(Calendar,Y2294,X2295,"f",FALSE)</f>
        <v>55269</v>
      </c>
      <c r="Z2295" s="115">
        <f>_xll.qlCalendarAdvance(Calendar,Y2295,NDays&amp;"D")</f>
        <v>55269</v>
      </c>
      <c r="AA2295" s="116" t="e">
        <v>#N/A</v>
      </c>
      <c r="AB2295" s="113" t="e">
        <v>#N/A</v>
      </c>
    </row>
    <row r="2296" spans="17:28" x14ac:dyDescent="0.2">
      <c r="Q2296" s="72"/>
      <c r="T2296" s="72"/>
      <c r="U2296" s="93"/>
      <c r="X2296" s="114" t="str">
        <f t="shared" si="48"/>
        <v>1w</v>
      </c>
      <c r="Y2296" s="112">
        <f>_xll.qlCalendarAdvance(Calendar,Y2295,X2296,"f",FALSE)</f>
        <v>55276</v>
      </c>
      <c r="Z2296" s="115">
        <f>_xll.qlCalendarAdvance(Calendar,Y2296,NDays&amp;"D")</f>
        <v>55276</v>
      </c>
      <c r="AA2296" s="116" t="e">
        <v>#N/A</v>
      </c>
      <c r="AB2296" s="113" t="e">
        <v>#N/A</v>
      </c>
    </row>
    <row r="2297" spans="17:28" x14ac:dyDescent="0.2">
      <c r="Q2297" s="72"/>
      <c r="T2297" s="72"/>
      <c r="U2297" s="93"/>
      <c r="X2297" s="114" t="str">
        <f t="shared" si="48"/>
        <v>1w</v>
      </c>
      <c r="Y2297" s="112">
        <f>_xll.qlCalendarAdvance(Calendar,Y2296,X2297,"f",FALSE)</f>
        <v>55283</v>
      </c>
      <c r="Z2297" s="115">
        <f>_xll.qlCalendarAdvance(Calendar,Y2297,NDays&amp;"D")</f>
        <v>55283</v>
      </c>
      <c r="AA2297" s="116" t="e">
        <v>#N/A</v>
      </c>
      <c r="AB2297" s="113" t="e">
        <v>#N/A</v>
      </c>
    </row>
    <row r="2298" spans="17:28" x14ac:dyDescent="0.2">
      <c r="Q2298" s="72"/>
      <c r="T2298" s="72"/>
      <c r="U2298" s="93"/>
      <c r="X2298" s="114" t="str">
        <f t="shared" si="48"/>
        <v>1w</v>
      </c>
      <c r="Y2298" s="112">
        <f>_xll.qlCalendarAdvance(Calendar,Y2297,X2298,"f",FALSE)</f>
        <v>55290</v>
      </c>
      <c r="Z2298" s="115">
        <f>_xll.qlCalendarAdvance(Calendar,Y2298,NDays&amp;"D")</f>
        <v>55290</v>
      </c>
      <c r="AA2298" s="116" t="e">
        <v>#N/A</v>
      </c>
      <c r="AB2298" s="113" t="e">
        <v>#N/A</v>
      </c>
    </row>
    <row r="2299" spans="17:28" x14ac:dyDescent="0.2">
      <c r="Q2299" s="72"/>
      <c r="T2299" s="72"/>
      <c r="U2299" s="93"/>
      <c r="X2299" s="114" t="str">
        <f t="shared" si="48"/>
        <v>1w</v>
      </c>
      <c r="Y2299" s="112">
        <f>_xll.qlCalendarAdvance(Calendar,Y2298,X2299,"f",FALSE)</f>
        <v>55297</v>
      </c>
      <c r="Z2299" s="115">
        <f>_xll.qlCalendarAdvance(Calendar,Y2299,NDays&amp;"D")</f>
        <v>55297</v>
      </c>
      <c r="AA2299" s="116" t="e">
        <v>#N/A</v>
      </c>
      <c r="AB2299" s="113" t="e">
        <v>#N/A</v>
      </c>
    </row>
    <row r="2300" spans="17:28" x14ac:dyDescent="0.2">
      <c r="Q2300" s="72"/>
      <c r="T2300" s="72"/>
      <c r="U2300" s="93"/>
      <c r="X2300" s="114" t="str">
        <f t="shared" si="48"/>
        <v>1w</v>
      </c>
      <c r="Y2300" s="112">
        <f>_xll.qlCalendarAdvance(Calendar,Y2299,X2300,"f",FALSE)</f>
        <v>55304</v>
      </c>
      <c r="Z2300" s="115">
        <f>_xll.qlCalendarAdvance(Calendar,Y2300,NDays&amp;"D")</f>
        <v>55304</v>
      </c>
      <c r="AA2300" s="116" t="e">
        <v>#N/A</v>
      </c>
      <c r="AB2300" s="113" t="e">
        <v>#N/A</v>
      </c>
    </row>
    <row r="2301" spans="17:28" x14ac:dyDescent="0.2">
      <c r="Q2301" s="72"/>
      <c r="T2301" s="72"/>
      <c r="U2301" s="93"/>
      <c r="X2301" s="114" t="str">
        <f t="shared" si="48"/>
        <v>1w</v>
      </c>
      <c r="Y2301" s="112">
        <f>_xll.qlCalendarAdvance(Calendar,Y2300,X2301,"f",FALSE)</f>
        <v>55311</v>
      </c>
      <c r="Z2301" s="115">
        <f>_xll.qlCalendarAdvance(Calendar,Y2301,NDays&amp;"D")</f>
        <v>55311</v>
      </c>
      <c r="AA2301" s="116" t="e">
        <v>#N/A</v>
      </c>
      <c r="AB2301" s="113" t="e">
        <v>#N/A</v>
      </c>
    </row>
    <row r="2302" spans="17:28" x14ac:dyDescent="0.2">
      <c r="Q2302" s="72"/>
      <c r="T2302" s="72"/>
      <c r="U2302" s="93"/>
      <c r="X2302" s="114" t="str">
        <f t="shared" si="48"/>
        <v>1w</v>
      </c>
      <c r="Y2302" s="112">
        <f>_xll.qlCalendarAdvance(Calendar,Y2301,X2302,"f",FALSE)</f>
        <v>55318</v>
      </c>
      <c r="Z2302" s="115">
        <f>_xll.qlCalendarAdvance(Calendar,Y2302,NDays&amp;"D")</f>
        <v>55318</v>
      </c>
      <c r="AA2302" s="116" t="e">
        <v>#N/A</v>
      </c>
      <c r="AB2302" s="113" t="e">
        <v>#N/A</v>
      </c>
    </row>
    <row r="2303" spans="17:28" x14ac:dyDescent="0.2">
      <c r="Q2303" s="72"/>
      <c r="T2303" s="72"/>
      <c r="U2303" s="93"/>
      <c r="X2303" s="114" t="str">
        <f t="shared" si="48"/>
        <v>1w</v>
      </c>
      <c r="Y2303" s="112">
        <f>_xll.qlCalendarAdvance(Calendar,Y2302,X2303,"f",FALSE)</f>
        <v>55325</v>
      </c>
      <c r="Z2303" s="115">
        <f>_xll.qlCalendarAdvance(Calendar,Y2303,NDays&amp;"D")</f>
        <v>55325</v>
      </c>
      <c r="AA2303" s="116" t="e">
        <v>#N/A</v>
      </c>
      <c r="AB2303" s="113" t="e">
        <v>#N/A</v>
      </c>
    </row>
    <row r="2304" spans="17:28" x14ac:dyDescent="0.2">
      <c r="Q2304" s="72"/>
      <c r="T2304" s="72"/>
      <c r="U2304" s="93"/>
      <c r="X2304" s="114" t="str">
        <f t="shared" si="48"/>
        <v>1w</v>
      </c>
      <c r="Y2304" s="112">
        <f>_xll.qlCalendarAdvance(Calendar,Y2303,X2304,"f",FALSE)</f>
        <v>55332</v>
      </c>
      <c r="Z2304" s="115">
        <f>_xll.qlCalendarAdvance(Calendar,Y2304,NDays&amp;"D")</f>
        <v>55332</v>
      </c>
      <c r="AA2304" s="116" t="e">
        <v>#N/A</v>
      </c>
      <c r="AB2304" s="113" t="e">
        <v>#N/A</v>
      </c>
    </row>
    <row r="2305" spans="17:28" x14ac:dyDescent="0.2">
      <c r="Q2305" s="72"/>
      <c r="T2305" s="72"/>
      <c r="U2305" s="93"/>
      <c r="X2305" s="114" t="str">
        <f t="shared" si="48"/>
        <v>1w</v>
      </c>
      <c r="Y2305" s="112">
        <f>_xll.qlCalendarAdvance(Calendar,Y2304,X2305,"f",FALSE)</f>
        <v>55339</v>
      </c>
      <c r="Z2305" s="115">
        <f>_xll.qlCalendarAdvance(Calendar,Y2305,NDays&amp;"D")</f>
        <v>55339</v>
      </c>
      <c r="AA2305" s="116" t="e">
        <v>#N/A</v>
      </c>
      <c r="AB2305" s="113" t="e">
        <v>#N/A</v>
      </c>
    </row>
    <row r="2306" spans="17:28" x14ac:dyDescent="0.2">
      <c r="Q2306" s="72"/>
      <c r="T2306" s="72"/>
      <c r="U2306" s="93"/>
      <c r="X2306" s="114" t="str">
        <f t="shared" si="48"/>
        <v>1w</v>
      </c>
      <c r="Y2306" s="112">
        <f>_xll.qlCalendarAdvance(Calendar,Y2305,X2306,"f",FALSE)</f>
        <v>55346</v>
      </c>
      <c r="Z2306" s="115">
        <f>_xll.qlCalendarAdvance(Calendar,Y2306,NDays&amp;"D")</f>
        <v>55346</v>
      </c>
      <c r="AA2306" s="116" t="e">
        <v>#N/A</v>
      </c>
      <c r="AB2306" s="113" t="e">
        <v>#N/A</v>
      </c>
    </row>
    <row r="2307" spans="17:28" x14ac:dyDescent="0.2">
      <c r="Q2307" s="72"/>
      <c r="T2307" s="72"/>
      <c r="U2307" s="93"/>
      <c r="X2307" s="114" t="str">
        <f t="shared" si="48"/>
        <v>1w</v>
      </c>
      <c r="Y2307" s="112">
        <f>_xll.qlCalendarAdvance(Calendar,Y2306,X2307,"f",FALSE)</f>
        <v>55353</v>
      </c>
      <c r="Z2307" s="115">
        <f>_xll.qlCalendarAdvance(Calendar,Y2307,NDays&amp;"D")</f>
        <v>55353</v>
      </c>
      <c r="AA2307" s="116" t="e">
        <v>#N/A</v>
      </c>
      <c r="AB2307" s="113" t="e">
        <v>#N/A</v>
      </c>
    </row>
    <row r="2308" spans="17:28" x14ac:dyDescent="0.2">
      <c r="Q2308" s="72"/>
      <c r="T2308" s="72"/>
      <c r="U2308" s="93"/>
      <c r="X2308" s="114" t="str">
        <f t="shared" si="48"/>
        <v>1w</v>
      </c>
      <c r="Y2308" s="112">
        <f>_xll.qlCalendarAdvance(Calendar,Y2307,X2308,"f",FALSE)</f>
        <v>55360</v>
      </c>
      <c r="Z2308" s="115">
        <f>_xll.qlCalendarAdvance(Calendar,Y2308,NDays&amp;"D")</f>
        <v>55360</v>
      </c>
      <c r="AA2308" s="116" t="e">
        <v>#N/A</v>
      </c>
      <c r="AB2308" s="113" t="e">
        <v>#N/A</v>
      </c>
    </row>
    <row r="2309" spans="17:28" x14ac:dyDescent="0.2">
      <c r="Q2309" s="72"/>
      <c r="T2309" s="72"/>
      <c r="U2309" s="93"/>
      <c r="X2309" s="114" t="str">
        <f t="shared" si="48"/>
        <v>1w</v>
      </c>
      <c r="Y2309" s="112">
        <f>_xll.qlCalendarAdvance(Calendar,Y2308,X2309,"f",FALSE)</f>
        <v>55367</v>
      </c>
      <c r="Z2309" s="115">
        <f>_xll.qlCalendarAdvance(Calendar,Y2309,NDays&amp;"D")</f>
        <v>55367</v>
      </c>
      <c r="AA2309" s="116" t="e">
        <v>#N/A</v>
      </c>
      <c r="AB2309" s="113" t="e">
        <v>#N/A</v>
      </c>
    </row>
    <row r="2310" spans="17:28" x14ac:dyDescent="0.2">
      <c r="Q2310" s="72"/>
      <c r="T2310" s="72"/>
      <c r="U2310" s="93"/>
      <c r="X2310" s="114" t="str">
        <f t="shared" si="48"/>
        <v>1w</v>
      </c>
      <c r="Y2310" s="112">
        <f>_xll.qlCalendarAdvance(Calendar,Y2309,X2310,"f",FALSE)</f>
        <v>55374</v>
      </c>
      <c r="Z2310" s="115">
        <f>_xll.qlCalendarAdvance(Calendar,Y2310,NDays&amp;"D")</f>
        <v>55374</v>
      </c>
      <c r="AA2310" s="116" t="e">
        <v>#N/A</v>
      </c>
      <c r="AB2310" s="113" t="e">
        <v>#N/A</v>
      </c>
    </row>
    <row r="2311" spans="17:28" x14ac:dyDescent="0.2">
      <c r="Q2311" s="72"/>
      <c r="T2311" s="72"/>
      <c r="U2311" s="93"/>
      <c r="X2311" s="114" t="str">
        <f t="shared" si="48"/>
        <v>1w</v>
      </c>
      <c r="Y2311" s="112">
        <f>_xll.qlCalendarAdvance(Calendar,Y2310,X2311,"f",FALSE)</f>
        <v>55381</v>
      </c>
      <c r="Z2311" s="115">
        <f>_xll.qlCalendarAdvance(Calendar,Y2311,NDays&amp;"D")</f>
        <v>55381</v>
      </c>
      <c r="AA2311" s="116" t="e">
        <v>#N/A</v>
      </c>
      <c r="AB2311" s="113" t="e">
        <v>#N/A</v>
      </c>
    </row>
    <row r="2312" spans="17:28" x14ac:dyDescent="0.2">
      <c r="Q2312" s="72"/>
      <c r="T2312" s="72"/>
      <c r="U2312" s="93"/>
      <c r="X2312" s="114" t="str">
        <f t="shared" si="48"/>
        <v>1w</v>
      </c>
      <c r="Y2312" s="112">
        <f>_xll.qlCalendarAdvance(Calendar,Y2311,X2312,"f",FALSE)</f>
        <v>55388</v>
      </c>
      <c r="Z2312" s="115">
        <f>_xll.qlCalendarAdvance(Calendar,Y2312,NDays&amp;"D")</f>
        <v>55388</v>
      </c>
      <c r="AA2312" s="116" t="e">
        <v>#N/A</v>
      </c>
      <c r="AB2312" s="113" t="e">
        <v>#N/A</v>
      </c>
    </row>
    <row r="2313" spans="17:28" x14ac:dyDescent="0.2">
      <c r="Q2313" s="72"/>
      <c r="T2313" s="72"/>
      <c r="U2313" s="93"/>
      <c r="X2313" s="114" t="str">
        <f t="shared" si="48"/>
        <v>1w</v>
      </c>
      <c r="Y2313" s="112">
        <f>_xll.qlCalendarAdvance(Calendar,Y2312,X2313,"f",FALSE)</f>
        <v>55395</v>
      </c>
      <c r="Z2313" s="115">
        <f>_xll.qlCalendarAdvance(Calendar,Y2313,NDays&amp;"D")</f>
        <v>55395</v>
      </c>
      <c r="AA2313" s="116" t="e">
        <v>#N/A</v>
      </c>
      <c r="AB2313" s="113" t="e">
        <v>#N/A</v>
      </c>
    </row>
    <row r="2314" spans="17:28" x14ac:dyDescent="0.2">
      <c r="Q2314" s="72"/>
      <c r="T2314" s="72"/>
      <c r="U2314" s="93"/>
      <c r="X2314" s="114" t="str">
        <f t="shared" si="48"/>
        <v>1w</v>
      </c>
      <c r="Y2314" s="112">
        <f>_xll.qlCalendarAdvance(Calendar,Y2313,X2314,"f",FALSE)</f>
        <v>55402</v>
      </c>
      <c r="Z2314" s="115">
        <f>_xll.qlCalendarAdvance(Calendar,Y2314,NDays&amp;"D")</f>
        <v>55402</v>
      </c>
      <c r="AA2314" s="116" t="e">
        <v>#N/A</v>
      </c>
      <c r="AB2314" s="113" t="e">
        <v>#N/A</v>
      </c>
    </row>
    <row r="2315" spans="17:28" x14ac:dyDescent="0.2">
      <c r="Q2315" s="72"/>
      <c r="T2315" s="72"/>
      <c r="U2315" s="93"/>
      <c r="X2315" s="114" t="str">
        <f t="shared" si="48"/>
        <v>1w</v>
      </c>
      <c r="Y2315" s="112">
        <f>_xll.qlCalendarAdvance(Calendar,Y2314,X2315,"f",FALSE)</f>
        <v>55409</v>
      </c>
      <c r="Z2315" s="115">
        <f>_xll.qlCalendarAdvance(Calendar,Y2315,NDays&amp;"D")</f>
        <v>55409</v>
      </c>
      <c r="AA2315" s="116" t="e">
        <v>#N/A</v>
      </c>
      <c r="AB2315" s="113" t="e">
        <v>#N/A</v>
      </c>
    </row>
    <row r="2316" spans="17:28" x14ac:dyDescent="0.2">
      <c r="Q2316" s="72"/>
      <c r="T2316" s="72"/>
      <c r="U2316" s="93"/>
      <c r="X2316" s="114" t="str">
        <f t="shared" si="48"/>
        <v>1w</v>
      </c>
      <c r="Y2316" s="112">
        <f>_xll.qlCalendarAdvance(Calendar,Y2315,X2316,"f",FALSE)</f>
        <v>55416</v>
      </c>
      <c r="Z2316" s="115">
        <f>_xll.qlCalendarAdvance(Calendar,Y2316,NDays&amp;"D")</f>
        <v>55416</v>
      </c>
      <c r="AA2316" s="116" t="e">
        <v>#N/A</v>
      </c>
      <c r="AB2316" s="113" t="e">
        <v>#N/A</v>
      </c>
    </row>
    <row r="2317" spans="17:28" x14ac:dyDescent="0.2">
      <c r="Q2317" s="72"/>
      <c r="T2317" s="72"/>
      <c r="U2317" s="93"/>
      <c r="X2317" s="114" t="str">
        <f t="shared" si="48"/>
        <v>1w</v>
      </c>
      <c r="Y2317" s="112">
        <f>_xll.qlCalendarAdvance(Calendar,Y2316,X2317,"f",FALSE)</f>
        <v>55423</v>
      </c>
      <c r="Z2317" s="115">
        <f>_xll.qlCalendarAdvance(Calendar,Y2317,NDays&amp;"D")</f>
        <v>55423</v>
      </c>
      <c r="AA2317" s="116" t="e">
        <v>#N/A</v>
      </c>
      <c r="AB2317" s="113" t="e">
        <v>#N/A</v>
      </c>
    </row>
    <row r="2318" spans="17:28" x14ac:dyDescent="0.2">
      <c r="Q2318" s="72"/>
      <c r="T2318" s="72"/>
      <c r="U2318" s="93"/>
      <c r="X2318" s="114" t="str">
        <f t="shared" si="48"/>
        <v>1w</v>
      </c>
      <c r="Y2318" s="112">
        <f>_xll.qlCalendarAdvance(Calendar,Y2317,X2318,"f",FALSE)</f>
        <v>55430</v>
      </c>
      <c r="Z2318" s="115">
        <f>_xll.qlCalendarAdvance(Calendar,Y2318,NDays&amp;"D")</f>
        <v>55430</v>
      </c>
      <c r="AA2318" s="116" t="e">
        <v>#N/A</v>
      </c>
      <c r="AB2318" s="113" t="e">
        <v>#N/A</v>
      </c>
    </row>
    <row r="2319" spans="17:28" x14ac:dyDescent="0.2">
      <c r="Q2319" s="72"/>
      <c r="T2319" s="72"/>
      <c r="U2319" s="93"/>
      <c r="X2319" s="114" t="str">
        <f t="shared" si="48"/>
        <v>1w</v>
      </c>
      <c r="Y2319" s="112">
        <f>_xll.qlCalendarAdvance(Calendar,Y2318,X2319,"f",FALSE)</f>
        <v>55437</v>
      </c>
      <c r="Z2319" s="115">
        <f>_xll.qlCalendarAdvance(Calendar,Y2319,NDays&amp;"D")</f>
        <v>55437</v>
      </c>
      <c r="AA2319" s="116" t="e">
        <v>#N/A</v>
      </c>
      <c r="AB2319" s="113" t="e">
        <v>#N/A</v>
      </c>
    </row>
    <row r="2320" spans="17:28" x14ac:dyDescent="0.2">
      <c r="Q2320" s="72"/>
      <c r="T2320" s="72"/>
      <c r="U2320" s="93"/>
      <c r="X2320" s="114" t="str">
        <f t="shared" si="48"/>
        <v>1w</v>
      </c>
      <c r="Y2320" s="112">
        <f>_xll.qlCalendarAdvance(Calendar,Y2319,X2320,"f",FALSE)</f>
        <v>55444</v>
      </c>
      <c r="Z2320" s="115">
        <f>_xll.qlCalendarAdvance(Calendar,Y2320,NDays&amp;"D")</f>
        <v>55444</v>
      </c>
      <c r="AA2320" s="116" t="e">
        <v>#N/A</v>
      </c>
      <c r="AB2320" s="113" t="e">
        <v>#N/A</v>
      </c>
    </row>
    <row r="2321" spans="17:28" x14ac:dyDescent="0.2">
      <c r="Q2321" s="72"/>
      <c r="T2321" s="72"/>
      <c r="U2321" s="93"/>
      <c r="X2321" s="114" t="str">
        <f t="shared" si="48"/>
        <v>1w</v>
      </c>
      <c r="Y2321" s="112">
        <f>_xll.qlCalendarAdvance(Calendar,Y2320,X2321,"f",FALSE)</f>
        <v>55451</v>
      </c>
      <c r="Z2321" s="115">
        <f>_xll.qlCalendarAdvance(Calendar,Y2321,NDays&amp;"D")</f>
        <v>55451</v>
      </c>
      <c r="AA2321" s="116" t="e">
        <v>#N/A</v>
      </c>
      <c r="AB2321" s="113" t="e">
        <v>#N/A</v>
      </c>
    </row>
    <row r="2322" spans="17:28" x14ac:dyDescent="0.2">
      <c r="Q2322" s="72"/>
      <c r="T2322" s="72"/>
      <c r="U2322" s="93"/>
      <c r="X2322" s="114" t="str">
        <f t="shared" si="48"/>
        <v>1w</v>
      </c>
      <c r="Y2322" s="112">
        <f>_xll.qlCalendarAdvance(Calendar,Y2321,X2322,"f",FALSE)</f>
        <v>55458</v>
      </c>
      <c r="Z2322" s="115">
        <f>_xll.qlCalendarAdvance(Calendar,Y2322,NDays&amp;"D")</f>
        <v>55458</v>
      </c>
      <c r="AA2322" s="116" t="e">
        <v>#N/A</v>
      </c>
      <c r="AB2322" s="113" t="e">
        <v>#N/A</v>
      </c>
    </row>
    <row r="2323" spans="17:28" x14ac:dyDescent="0.2">
      <c r="Q2323" s="72"/>
      <c r="T2323" s="72"/>
      <c r="U2323" s="93"/>
      <c r="X2323" s="114" t="str">
        <f t="shared" si="48"/>
        <v>1w</v>
      </c>
      <c r="Y2323" s="112">
        <f>_xll.qlCalendarAdvance(Calendar,Y2322,X2323,"f",FALSE)</f>
        <v>55465</v>
      </c>
      <c r="Z2323" s="115">
        <f>_xll.qlCalendarAdvance(Calendar,Y2323,NDays&amp;"D")</f>
        <v>55465</v>
      </c>
      <c r="AA2323" s="116" t="e">
        <v>#N/A</v>
      </c>
      <c r="AB2323" s="113" t="e">
        <v>#N/A</v>
      </c>
    </row>
    <row r="2324" spans="17:28" x14ac:dyDescent="0.2">
      <c r="Q2324" s="72"/>
      <c r="T2324" s="72"/>
      <c r="U2324" s="93"/>
      <c r="X2324" s="114" t="str">
        <f t="shared" si="48"/>
        <v>1w</v>
      </c>
      <c r="Y2324" s="112">
        <f>_xll.qlCalendarAdvance(Calendar,Y2323,X2324,"f",FALSE)</f>
        <v>55472</v>
      </c>
      <c r="Z2324" s="115">
        <f>_xll.qlCalendarAdvance(Calendar,Y2324,NDays&amp;"D")</f>
        <v>55472</v>
      </c>
      <c r="AA2324" s="116" t="e">
        <v>#N/A</v>
      </c>
      <c r="AB2324" s="113" t="e">
        <v>#N/A</v>
      </c>
    </row>
    <row r="2325" spans="17:28" x14ac:dyDescent="0.2">
      <c r="Q2325" s="72"/>
      <c r="T2325" s="72"/>
      <c r="U2325" s="93"/>
      <c r="X2325" s="114" t="str">
        <f t="shared" ref="X2325:X2388" si="49">X2324</f>
        <v>1w</v>
      </c>
      <c r="Y2325" s="112">
        <f>_xll.qlCalendarAdvance(Calendar,Y2324,X2325,"f",FALSE)</f>
        <v>55479</v>
      </c>
      <c r="Z2325" s="115">
        <f>_xll.qlCalendarAdvance(Calendar,Y2325,NDays&amp;"D")</f>
        <v>55479</v>
      </c>
      <c r="AA2325" s="116" t="e">
        <v>#N/A</v>
      </c>
      <c r="AB2325" s="113" t="e">
        <v>#N/A</v>
      </c>
    </row>
    <row r="2326" spans="17:28" x14ac:dyDescent="0.2">
      <c r="Q2326" s="72"/>
      <c r="T2326" s="72"/>
      <c r="U2326" s="93"/>
      <c r="X2326" s="114" t="str">
        <f t="shared" si="49"/>
        <v>1w</v>
      </c>
      <c r="Y2326" s="112">
        <f>_xll.qlCalendarAdvance(Calendar,Y2325,X2326,"f",FALSE)</f>
        <v>55486</v>
      </c>
      <c r="Z2326" s="115">
        <f>_xll.qlCalendarAdvance(Calendar,Y2326,NDays&amp;"D")</f>
        <v>55486</v>
      </c>
      <c r="AA2326" s="116" t="e">
        <v>#N/A</v>
      </c>
      <c r="AB2326" s="113" t="e">
        <v>#N/A</v>
      </c>
    </row>
    <row r="2327" spans="17:28" x14ac:dyDescent="0.2">
      <c r="Q2327" s="72"/>
      <c r="T2327" s="72"/>
      <c r="U2327" s="93"/>
      <c r="X2327" s="114" t="str">
        <f t="shared" si="49"/>
        <v>1w</v>
      </c>
      <c r="Y2327" s="112">
        <f>_xll.qlCalendarAdvance(Calendar,Y2326,X2327,"f",FALSE)</f>
        <v>55493</v>
      </c>
      <c r="Z2327" s="115">
        <f>_xll.qlCalendarAdvance(Calendar,Y2327,NDays&amp;"D")</f>
        <v>55493</v>
      </c>
      <c r="AA2327" s="116" t="e">
        <v>#N/A</v>
      </c>
      <c r="AB2327" s="113" t="e">
        <v>#N/A</v>
      </c>
    </row>
    <row r="2328" spans="17:28" x14ac:dyDescent="0.2">
      <c r="Q2328" s="72"/>
      <c r="T2328" s="72"/>
      <c r="U2328" s="93"/>
      <c r="X2328" s="114" t="str">
        <f t="shared" si="49"/>
        <v>1w</v>
      </c>
      <c r="Y2328" s="112">
        <f>_xll.qlCalendarAdvance(Calendar,Y2327,X2328,"f",FALSE)</f>
        <v>55500</v>
      </c>
      <c r="Z2328" s="115">
        <f>_xll.qlCalendarAdvance(Calendar,Y2328,NDays&amp;"D")</f>
        <v>55500</v>
      </c>
      <c r="AA2328" s="116" t="e">
        <v>#N/A</v>
      </c>
      <c r="AB2328" s="113" t="e">
        <v>#N/A</v>
      </c>
    </row>
    <row r="2329" spans="17:28" x14ac:dyDescent="0.2">
      <c r="Q2329" s="72"/>
      <c r="T2329" s="72"/>
      <c r="U2329" s="93"/>
      <c r="X2329" s="114" t="str">
        <f t="shared" si="49"/>
        <v>1w</v>
      </c>
      <c r="Y2329" s="112">
        <f>_xll.qlCalendarAdvance(Calendar,Y2328,X2329,"f",FALSE)</f>
        <v>55507</v>
      </c>
      <c r="Z2329" s="115">
        <f>_xll.qlCalendarAdvance(Calendar,Y2329,NDays&amp;"D")</f>
        <v>55507</v>
      </c>
      <c r="AA2329" s="116" t="e">
        <v>#N/A</v>
      </c>
      <c r="AB2329" s="113" t="e">
        <v>#N/A</v>
      </c>
    </row>
    <row r="2330" spans="17:28" x14ac:dyDescent="0.2">
      <c r="Q2330" s="72"/>
      <c r="T2330" s="72"/>
      <c r="U2330" s="93"/>
      <c r="X2330" s="114" t="str">
        <f t="shared" si="49"/>
        <v>1w</v>
      </c>
      <c r="Y2330" s="112">
        <f>_xll.qlCalendarAdvance(Calendar,Y2329,X2330,"f",FALSE)</f>
        <v>55514</v>
      </c>
      <c r="Z2330" s="115">
        <f>_xll.qlCalendarAdvance(Calendar,Y2330,NDays&amp;"D")</f>
        <v>55514</v>
      </c>
      <c r="AA2330" s="116" t="e">
        <v>#N/A</v>
      </c>
      <c r="AB2330" s="113" t="e">
        <v>#N/A</v>
      </c>
    </row>
    <row r="2331" spans="17:28" x14ac:dyDescent="0.2">
      <c r="Q2331" s="72"/>
      <c r="T2331" s="72"/>
      <c r="U2331" s="93"/>
      <c r="X2331" s="114" t="str">
        <f t="shared" si="49"/>
        <v>1w</v>
      </c>
      <c r="Y2331" s="112">
        <f>_xll.qlCalendarAdvance(Calendar,Y2330,X2331,"f",FALSE)</f>
        <v>55521</v>
      </c>
      <c r="Z2331" s="115">
        <f>_xll.qlCalendarAdvance(Calendar,Y2331,NDays&amp;"D")</f>
        <v>55521</v>
      </c>
      <c r="AA2331" s="116" t="e">
        <v>#N/A</v>
      </c>
      <c r="AB2331" s="113" t="e">
        <v>#N/A</v>
      </c>
    </row>
    <row r="2332" spans="17:28" x14ac:dyDescent="0.2">
      <c r="Q2332" s="72"/>
      <c r="T2332" s="72"/>
      <c r="U2332" s="93"/>
      <c r="X2332" s="114" t="str">
        <f t="shared" si="49"/>
        <v>1w</v>
      </c>
      <c r="Y2332" s="112">
        <f>_xll.qlCalendarAdvance(Calendar,Y2331,X2332,"f",FALSE)</f>
        <v>55528</v>
      </c>
      <c r="Z2332" s="115">
        <f>_xll.qlCalendarAdvance(Calendar,Y2332,NDays&amp;"D")</f>
        <v>55528</v>
      </c>
      <c r="AA2332" s="116" t="e">
        <v>#N/A</v>
      </c>
      <c r="AB2332" s="113" t="e">
        <v>#N/A</v>
      </c>
    </row>
    <row r="2333" spans="17:28" x14ac:dyDescent="0.2">
      <c r="Q2333" s="72"/>
      <c r="T2333" s="72"/>
      <c r="U2333" s="93"/>
      <c r="X2333" s="114" t="str">
        <f t="shared" si="49"/>
        <v>1w</v>
      </c>
      <c r="Y2333" s="112">
        <f>_xll.qlCalendarAdvance(Calendar,Y2332,X2333,"f",FALSE)</f>
        <v>55535</v>
      </c>
      <c r="Z2333" s="115">
        <f>_xll.qlCalendarAdvance(Calendar,Y2333,NDays&amp;"D")</f>
        <v>55535</v>
      </c>
      <c r="AA2333" s="116" t="e">
        <v>#N/A</v>
      </c>
      <c r="AB2333" s="113" t="e">
        <v>#N/A</v>
      </c>
    </row>
    <row r="2334" spans="17:28" x14ac:dyDescent="0.2">
      <c r="Q2334" s="72"/>
      <c r="T2334" s="72"/>
      <c r="U2334" s="93"/>
      <c r="X2334" s="114" t="str">
        <f t="shared" si="49"/>
        <v>1w</v>
      </c>
      <c r="Y2334" s="112">
        <f>_xll.qlCalendarAdvance(Calendar,Y2333,X2334,"f",FALSE)</f>
        <v>55542</v>
      </c>
      <c r="Z2334" s="115">
        <f>_xll.qlCalendarAdvance(Calendar,Y2334,NDays&amp;"D")</f>
        <v>55542</v>
      </c>
      <c r="AA2334" s="116" t="e">
        <v>#N/A</v>
      </c>
      <c r="AB2334" s="113" t="e">
        <v>#N/A</v>
      </c>
    </row>
    <row r="2335" spans="17:28" x14ac:dyDescent="0.2">
      <c r="Q2335" s="72"/>
      <c r="T2335" s="72"/>
      <c r="U2335" s="93"/>
      <c r="X2335" s="114" t="str">
        <f t="shared" si="49"/>
        <v>1w</v>
      </c>
      <c r="Y2335" s="112">
        <f>_xll.qlCalendarAdvance(Calendar,Y2334,X2335,"f",FALSE)</f>
        <v>55549</v>
      </c>
      <c r="Z2335" s="115">
        <f>_xll.qlCalendarAdvance(Calendar,Y2335,NDays&amp;"D")</f>
        <v>55549</v>
      </c>
      <c r="AA2335" s="116" t="e">
        <v>#N/A</v>
      </c>
      <c r="AB2335" s="113" t="e">
        <v>#N/A</v>
      </c>
    </row>
    <row r="2336" spans="17:28" x14ac:dyDescent="0.2">
      <c r="Q2336" s="72"/>
      <c r="T2336" s="72"/>
      <c r="U2336" s="93"/>
      <c r="X2336" s="114" t="str">
        <f t="shared" si="49"/>
        <v>1w</v>
      </c>
      <c r="Y2336" s="112">
        <f>_xll.qlCalendarAdvance(Calendar,Y2335,X2336,"f",FALSE)</f>
        <v>55556</v>
      </c>
      <c r="Z2336" s="115">
        <f>_xll.qlCalendarAdvance(Calendar,Y2336,NDays&amp;"D")</f>
        <v>55556</v>
      </c>
      <c r="AA2336" s="116" t="e">
        <v>#N/A</v>
      </c>
      <c r="AB2336" s="113" t="e">
        <v>#N/A</v>
      </c>
    </row>
    <row r="2337" spans="17:28" x14ac:dyDescent="0.2">
      <c r="Q2337" s="72"/>
      <c r="T2337" s="72"/>
      <c r="U2337" s="93"/>
      <c r="X2337" s="114" t="str">
        <f t="shared" si="49"/>
        <v>1w</v>
      </c>
      <c r="Y2337" s="112">
        <f>_xll.qlCalendarAdvance(Calendar,Y2336,X2337,"f",FALSE)</f>
        <v>55563</v>
      </c>
      <c r="Z2337" s="115">
        <f>_xll.qlCalendarAdvance(Calendar,Y2337,NDays&amp;"D")</f>
        <v>55563</v>
      </c>
      <c r="AA2337" s="116" t="e">
        <v>#N/A</v>
      </c>
      <c r="AB2337" s="113" t="e">
        <v>#N/A</v>
      </c>
    </row>
    <row r="2338" spans="17:28" x14ac:dyDescent="0.2">
      <c r="Q2338" s="72"/>
      <c r="T2338" s="72"/>
      <c r="U2338" s="93"/>
      <c r="X2338" s="114" t="str">
        <f t="shared" si="49"/>
        <v>1w</v>
      </c>
      <c r="Y2338" s="112">
        <f>_xll.qlCalendarAdvance(Calendar,Y2337,X2338,"f",FALSE)</f>
        <v>55570</v>
      </c>
      <c r="Z2338" s="115">
        <f>_xll.qlCalendarAdvance(Calendar,Y2338,NDays&amp;"D")</f>
        <v>55570</v>
      </c>
      <c r="AA2338" s="116" t="e">
        <v>#N/A</v>
      </c>
      <c r="AB2338" s="113" t="e">
        <v>#N/A</v>
      </c>
    </row>
    <row r="2339" spans="17:28" x14ac:dyDescent="0.2">
      <c r="Q2339" s="72"/>
      <c r="T2339" s="72"/>
      <c r="U2339" s="93"/>
      <c r="X2339" s="114" t="str">
        <f t="shared" si="49"/>
        <v>1w</v>
      </c>
      <c r="Y2339" s="112">
        <f>_xll.qlCalendarAdvance(Calendar,Y2338,X2339,"f",FALSE)</f>
        <v>55577</v>
      </c>
      <c r="Z2339" s="115">
        <f>_xll.qlCalendarAdvance(Calendar,Y2339,NDays&amp;"D")</f>
        <v>55577</v>
      </c>
      <c r="AA2339" s="116" t="e">
        <v>#N/A</v>
      </c>
      <c r="AB2339" s="113" t="e">
        <v>#N/A</v>
      </c>
    </row>
    <row r="2340" spans="17:28" x14ac:dyDescent="0.2">
      <c r="Q2340" s="72"/>
      <c r="T2340" s="72"/>
      <c r="U2340" s="93"/>
      <c r="X2340" s="114" t="str">
        <f t="shared" si="49"/>
        <v>1w</v>
      </c>
      <c r="Y2340" s="112">
        <f>_xll.qlCalendarAdvance(Calendar,Y2339,X2340,"f",FALSE)</f>
        <v>55584</v>
      </c>
      <c r="Z2340" s="115">
        <f>_xll.qlCalendarAdvance(Calendar,Y2340,NDays&amp;"D")</f>
        <v>55584</v>
      </c>
      <c r="AA2340" s="116" t="e">
        <v>#N/A</v>
      </c>
      <c r="AB2340" s="113" t="e">
        <v>#N/A</v>
      </c>
    </row>
    <row r="2341" spans="17:28" x14ac:dyDescent="0.2">
      <c r="Q2341" s="72"/>
      <c r="T2341" s="72"/>
      <c r="U2341" s="93"/>
      <c r="X2341" s="114" t="str">
        <f t="shared" si="49"/>
        <v>1w</v>
      </c>
      <c r="Y2341" s="112">
        <f>_xll.qlCalendarAdvance(Calendar,Y2340,X2341,"f",FALSE)</f>
        <v>55591</v>
      </c>
      <c r="Z2341" s="115">
        <f>_xll.qlCalendarAdvance(Calendar,Y2341,NDays&amp;"D")</f>
        <v>55591</v>
      </c>
      <c r="AA2341" s="116" t="e">
        <v>#N/A</v>
      </c>
      <c r="AB2341" s="113" t="e">
        <v>#N/A</v>
      </c>
    </row>
    <row r="2342" spans="17:28" x14ac:dyDescent="0.2">
      <c r="Q2342" s="72"/>
      <c r="T2342" s="72"/>
      <c r="U2342" s="93"/>
      <c r="X2342" s="114" t="str">
        <f t="shared" si="49"/>
        <v>1w</v>
      </c>
      <c r="Y2342" s="112">
        <f>_xll.qlCalendarAdvance(Calendar,Y2341,X2342,"f",FALSE)</f>
        <v>55598</v>
      </c>
      <c r="Z2342" s="115">
        <f>_xll.qlCalendarAdvance(Calendar,Y2342,NDays&amp;"D")</f>
        <v>55598</v>
      </c>
      <c r="AA2342" s="116" t="e">
        <v>#N/A</v>
      </c>
      <c r="AB2342" s="113" t="e">
        <v>#N/A</v>
      </c>
    </row>
    <row r="2343" spans="17:28" x14ac:dyDescent="0.2">
      <c r="Q2343" s="72"/>
      <c r="T2343" s="72"/>
      <c r="U2343" s="93"/>
      <c r="X2343" s="114" t="str">
        <f t="shared" si="49"/>
        <v>1w</v>
      </c>
      <c r="Y2343" s="112">
        <f>_xll.qlCalendarAdvance(Calendar,Y2342,X2343,"f",FALSE)</f>
        <v>55605</v>
      </c>
      <c r="Z2343" s="115">
        <f>_xll.qlCalendarAdvance(Calendar,Y2343,NDays&amp;"D")</f>
        <v>55605</v>
      </c>
      <c r="AA2343" s="116" t="e">
        <v>#N/A</v>
      </c>
      <c r="AB2343" s="113" t="e">
        <v>#N/A</v>
      </c>
    </row>
    <row r="2344" spans="17:28" x14ac:dyDescent="0.2">
      <c r="Q2344" s="72"/>
      <c r="T2344" s="72"/>
      <c r="U2344" s="93"/>
      <c r="X2344" s="114" t="str">
        <f t="shared" si="49"/>
        <v>1w</v>
      </c>
      <c r="Y2344" s="112">
        <f>_xll.qlCalendarAdvance(Calendar,Y2343,X2344,"f",FALSE)</f>
        <v>55612</v>
      </c>
      <c r="Z2344" s="115">
        <f>_xll.qlCalendarAdvance(Calendar,Y2344,NDays&amp;"D")</f>
        <v>55612</v>
      </c>
      <c r="AA2344" s="116" t="e">
        <v>#N/A</v>
      </c>
      <c r="AB2344" s="113" t="e">
        <v>#N/A</v>
      </c>
    </row>
    <row r="2345" spans="17:28" x14ac:dyDescent="0.2">
      <c r="Q2345" s="72"/>
      <c r="T2345" s="72"/>
      <c r="U2345" s="93"/>
      <c r="X2345" s="114" t="str">
        <f t="shared" si="49"/>
        <v>1w</v>
      </c>
      <c r="Y2345" s="112">
        <f>_xll.qlCalendarAdvance(Calendar,Y2344,X2345,"f",FALSE)</f>
        <v>55619</v>
      </c>
      <c r="Z2345" s="115">
        <f>_xll.qlCalendarAdvance(Calendar,Y2345,NDays&amp;"D")</f>
        <v>55619</v>
      </c>
      <c r="AA2345" s="116" t="e">
        <v>#N/A</v>
      </c>
      <c r="AB2345" s="113" t="e">
        <v>#N/A</v>
      </c>
    </row>
    <row r="2346" spans="17:28" x14ac:dyDescent="0.2">
      <c r="Q2346" s="72"/>
      <c r="T2346" s="72"/>
      <c r="U2346" s="93"/>
      <c r="X2346" s="114" t="str">
        <f t="shared" si="49"/>
        <v>1w</v>
      </c>
      <c r="Y2346" s="112">
        <f>_xll.qlCalendarAdvance(Calendar,Y2345,X2346,"f",FALSE)</f>
        <v>55626</v>
      </c>
      <c r="Z2346" s="115">
        <f>_xll.qlCalendarAdvance(Calendar,Y2346,NDays&amp;"D")</f>
        <v>55626</v>
      </c>
      <c r="AA2346" s="116" t="e">
        <v>#N/A</v>
      </c>
      <c r="AB2346" s="113" t="e">
        <v>#N/A</v>
      </c>
    </row>
    <row r="2347" spans="17:28" x14ac:dyDescent="0.2">
      <c r="Q2347" s="72"/>
      <c r="T2347" s="72"/>
      <c r="U2347" s="93"/>
      <c r="X2347" s="114" t="str">
        <f t="shared" si="49"/>
        <v>1w</v>
      </c>
      <c r="Y2347" s="112">
        <f>_xll.qlCalendarAdvance(Calendar,Y2346,X2347,"f",FALSE)</f>
        <v>55633</v>
      </c>
      <c r="Z2347" s="115">
        <f>_xll.qlCalendarAdvance(Calendar,Y2347,NDays&amp;"D")</f>
        <v>55633</v>
      </c>
      <c r="AA2347" s="116" t="e">
        <v>#N/A</v>
      </c>
      <c r="AB2347" s="113" t="e">
        <v>#N/A</v>
      </c>
    </row>
    <row r="2348" spans="17:28" x14ac:dyDescent="0.2">
      <c r="Q2348" s="72"/>
      <c r="T2348" s="72"/>
      <c r="U2348" s="93"/>
      <c r="X2348" s="114" t="str">
        <f t="shared" si="49"/>
        <v>1w</v>
      </c>
      <c r="Y2348" s="112">
        <f>_xll.qlCalendarAdvance(Calendar,Y2347,X2348,"f",FALSE)</f>
        <v>55640</v>
      </c>
      <c r="Z2348" s="115">
        <f>_xll.qlCalendarAdvance(Calendar,Y2348,NDays&amp;"D")</f>
        <v>55640</v>
      </c>
      <c r="AA2348" s="116" t="e">
        <v>#N/A</v>
      </c>
      <c r="AB2348" s="113" t="e">
        <v>#N/A</v>
      </c>
    </row>
    <row r="2349" spans="17:28" x14ac:dyDescent="0.2">
      <c r="Q2349" s="72"/>
      <c r="T2349" s="72"/>
      <c r="U2349" s="93"/>
      <c r="X2349" s="114" t="str">
        <f t="shared" si="49"/>
        <v>1w</v>
      </c>
      <c r="Y2349" s="112">
        <f>_xll.qlCalendarAdvance(Calendar,Y2348,X2349,"f",FALSE)</f>
        <v>55647</v>
      </c>
      <c r="Z2349" s="115">
        <f>_xll.qlCalendarAdvance(Calendar,Y2349,NDays&amp;"D")</f>
        <v>55647</v>
      </c>
      <c r="AA2349" s="116" t="e">
        <v>#N/A</v>
      </c>
      <c r="AB2349" s="113" t="e">
        <v>#N/A</v>
      </c>
    </row>
    <row r="2350" spans="17:28" x14ac:dyDescent="0.2">
      <c r="Q2350" s="72"/>
      <c r="T2350" s="72"/>
      <c r="U2350" s="93"/>
      <c r="X2350" s="114" t="str">
        <f t="shared" si="49"/>
        <v>1w</v>
      </c>
      <c r="Y2350" s="112">
        <f>_xll.qlCalendarAdvance(Calendar,Y2349,X2350,"f",FALSE)</f>
        <v>55654</v>
      </c>
      <c r="Z2350" s="115">
        <f>_xll.qlCalendarAdvance(Calendar,Y2350,NDays&amp;"D")</f>
        <v>55654</v>
      </c>
      <c r="AA2350" s="116" t="e">
        <v>#N/A</v>
      </c>
      <c r="AB2350" s="113" t="e">
        <v>#N/A</v>
      </c>
    </row>
    <row r="2351" spans="17:28" x14ac:dyDescent="0.2">
      <c r="Q2351" s="72"/>
      <c r="T2351" s="72"/>
      <c r="U2351" s="93"/>
      <c r="X2351" s="114" t="str">
        <f t="shared" si="49"/>
        <v>1w</v>
      </c>
      <c r="Y2351" s="112">
        <f>_xll.qlCalendarAdvance(Calendar,Y2350,X2351,"f",FALSE)</f>
        <v>55661</v>
      </c>
      <c r="Z2351" s="115">
        <f>_xll.qlCalendarAdvance(Calendar,Y2351,NDays&amp;"D")</f>
        <v>55661</v>
      </c>
      <c r="AA2351" s="116" t="e">
        <v>#N/A</v>
      </c>
      <c r="AB2351" s="113" t="e">
        <v>#N/A</v>
      </c>
    </row>
    <row r="2352" spans="17:28" x14ac:dyDescent="0.2">
      <c r="Q2352" s="72"/>
      <c r="T2352" s="72"/>
      <c r="U2352" s="93"/>
      <c r="X2352" s="114" t="str">
        <f t="shared" si="49"/>
        <v>1w</v>
      </c>
      <c r="Y2352" s="112">
        <f>_xll.qlCalendarAdvance(Calendar,Y2351,X2352,"f",FALSE)</f>
        <v>55668</v>
      </c>
      <c r="Z2352" s="115">
        <f>_xll.qlCalendarAdvance(Calendar,Y2352,NDays&amp;"D")</f>
        <v>55668</v>
      </c>
      <c r="AA2352" s="116" t="e">
        <v>#N/A</v>
      </c>
      <c r="AB2352" s="113" t="e">
        <v>#N/A</v>
      </c>
    </row>
    <row r="2353" spans="17:28" x14ac:dyDescent="0.2">
      <c r="Q2353" s="72"/>
      <c r="T2353" s="72"/>
      <c r="U2353" s="93"/>
      <c r="X2353" s="114" t="str">
        <f t="shared" si="49"/>
        <v>1w</v>
      </c>
      <c r="Y2353" s="112">
        <f>_xll.qlCalendarAdvance(Calendar,Y2352,X2353,"f",FALSE)</f>
        <v>55675</v>
      </c>
      <c r="Z2353" s="115">
        <f>_xll.qlCalendarAdvance(Calendar,Y2353,NDays&amp;"D")</f>
        <v>55675</v>
      </c>
      <c r="AA2353" s="116" t="e">
        <v>#N/A</v>
      </c>
      <c r="AB2353" s="113" t="e">
        <v>#N/A</v>
      </c>
    </row>
    <row r="2354" spans="17:28" x14ac:dyDescent="0.2">
      <c r="Q2354" s="72"/>
      <c r="T2354" s="72"/>
      <c r="U2354" s="93"/>
      <c r="X2354" s="114" t="str">
        <f t="shared" si="49"/>
        <v>1w</v>
      </c>
      <c r="Y2354" s="112">
        <f>_xll.qlCalendarAdvance(Calendar,Y2353,X2354,"f",FALSE)</f>
        <v>55682</v>
      </c>
      <c r="Z2354" s="115">
        <f>_xll.qlCalendarAdvance(Calendar,Y2354,NDays&amp;"D")</f>
        <v>55682</v>
      </c>
      <c r="AA2354" s="116" t="e">
        <v>#N/A</v>
      </c>
      <c r="AB2354" s="113" t="e">
        <v>#N/A</v>
      </c>
    </row>
    <row r="2355" spans="17:28" x14ac:dyDescent="0.2">
      <c r="Q2355" s="72"/>
      <c r="T2355" s="72"/>
      <c r="U2355" s="93"/>
      <c r="X2355" s="114" t="str">
        <f t="shared" si="49"/>
        <v>1w</v>
      </c>
      <c r="Y2355" s="112">
        <f>_xll.qlCalendarAdvance(Calendar,Y2354,X2355,"f",FALSE)</f>
        <v>55689</v>
      </c>
      <c r="Z2355" s="115">
        <f>_xll.qlCalendarAdvance(Calendar,Y2355,NDays&amp;"D")</f>
        <v>55689</v>
      </c>
      <c r="AA2355" s="116" t="e">
        <v>#N/A</v>
      </c>
      <c r="AB2355" s="113" t="e">
        <v>#N/A</v>
      </c>
    </row>
    <row r="2356" spans="17:28" x14ac:dyDescent="0.2">
      <c r="Q2356" s="72"/>
      <c r="T2356" s="72"/>
      <c r="U2356" s="93"/>
      <c r="X2356" s="114" t="str">
        <f t="shared" si="49"/>
        <v>1w</v>
      </c>
      <c r="Y2356" s="112">
        <f>_xll.qlCalendarAdvance(Calendar,Y2355,X2356,"f",FALSE)</f>
        <v>55696</v>
      </c>
      <c r="Z2356" s="115">
        <f>_xll.qlCalendarAdvance(Calendar,Y2356,NDays&amp;"D")</f>
        <v>55696</v>
      </c>
      <c r="AA2356" s="116" t="e">
        <v>#N/A</v>
      </c>
      <c r="AB2356" s="113" t="e">
        <v>#N/A</v>
      </c>
    </row>
    <row r="2357" spans="17:28" x14ac:dyDescent="0.2">
      <c r="Q2357" s="72"/>
      <c r="T2357" s="72"/>
      <c r="U2357" s="93"/>
      <c r="X2357" s="114" t="str">
        <f t="shared" si="49"/>
        <v>1w</v>
      </c>
      <c r="Y2357" s="112">
        <f>_xll.qlCalendarAdvance(Calendar,Y2356,X2357,"f",FALSE)</f>
        <v>55703</v>
      </c>
      <c r="Z2357" s="115">
        <f>_xll.qlCalendarAdvance(Calendar,Y2357,NDays&amp;"D")</f>
        <v>55703</v>
      </c>
      <c r="AA2357" s="116" t="e">
        <v>#N/A</v>
      </c>
      <c r="AB2357" s="113" t="e">
        <v>#N/A</v>
      </c>
    </row>
    <row r="2358" spans="17:28" x14ac:dyDescent="0.2">
      <c r="Q2358" s="72"/>
      <c r="T2358" s="72"/>
      <c r="U2358" s="93"/>
      <c r="X2358" s="114" t="str">
        <f t="shared" si="49"/>
        <v>1w</v>
      </c>
      <c r="Y2358" s="112">
        <f>_xll.qlCalendarAdvance(Calendar,Y2357,X2358,"f",FALSE)</f>
        <v>55710</v>
      </c>
      <c r="Z2358" s="115">
        <f>_xll.qlCalendarAdvance(Calendar,Y2358,NDays&amp;"D")</f>
        <v>55710</v>
      </c>
      <c r="AA2358" s="116" t="e">
        <v>#N/A</v>
      </c>
      <c r="AB2358" s="113" t="e">
        <v>#N/A</v>
      </c>
    </row>
    <row r="2359" spans="17:28" x14ac:dyDescent="0.2">
      <c r="Q2359" s="72"/>
      <c r="T2359" s="72"/>
      <c r="U2359" s="93"/>
      <c r="X2359" s="114" t="str">
        <f t="shared" si="49"/>
        <v>1w</v>
      </c>
      <c r="Y2359" s="112">
        <f>_xll.qlCalendarAdvance(Calendar,Y2358,X2359,"f",FALSE)</f>
        <v>55717</v>
      </c>
      <c r="Z2359" s="115">
        <f>_xll.qlCalendarAdvance(Calendar,Y2359,NDays&amp;"D")</f>
        <v>55717</v>
      </c>
      <c r="AA2359" s="116" t="e">
        <v>#N/A</v>
      </c>
      <c r="AB2359" s="113" t="e">
        <v>#N/A</v>
      </c>
    </row>
    <row r="2360" spans="17:28" x14ac:dyDescent="0.2">
      <c r="Q2360" s="72"/>
      <c r="T2360" s="72"/>
      <c r="U2360" s="93"/>
      <c r="X2360" s="114" t="str">
        <f t="shared" si="49"/>
        <v>1w</v>
      </c>
      <c r="Y2360" s="112">
        <f>_xll.qlCalendarAdvance(Calendar,Y2359,X2360,"f",FALSE)</f>
        <v>55724</v>
      </c>
      <c r="Z2360" s="115">
        <f>_xll.qlCalendarAdvance(Calendar,Y2360,NDays&amp;"D")</f>
        <v>55724</v>
      </c>
      <c r="AA2360" s="116" t="e">
        <v>#N/A</v>
      </c>
      <c r="AB2360" s="113" t="e">
        <v>#N/A</v>
      </c>
    </row>
    <row r="2361" spans="17:28" x14ac:dyDescent="0.2">
      <c r="Q2361" s="72"/>
      <c r="T2361" s="72"/>
      <c r="U2361" s="93"/>
      <c r="X2361" s="114" t="str">
        <f t="shared" si="49"/>
        <v>1w</v>
      </c>
      <c r="Y2361" s="112">
        <f>_xll.qlCalendarAdvance(Calendar,Y2360,X2361,"f",FALSE)</f>
        <v>55731</v>
      </c>
      <c r="Z2361" s="115">
        <f>_xll.qlCalendarAdvance(Calendar,Y2361,NDays&amp;"D")</f>
        <v>55731</v>
      </c>
      <c r="AA2361" s="116" t="e">
        <v>#N/A</v>
      </c>
      <c r="AB2361" s="113" t="e">
        <v>#N/A</v>
      </c>
    </row>
    <row r="2362" spans="17:28" x14ac:dyDescent="0.2">
      <c r="Q2362" s="72"/>
      <c r="T2362" s="72"/>
      <c r="U2362" s="93"/>
      <c r="X2362" s="114" t="str">
        <f t="shared" si="49"/>
        <v>1w</v>
      </c>
      <c r="Y2362" s="112">
        <f>_xll.qlCalendarAdvance(Calendar,Y2361,X2362,"f",FALSE)</f>
        <v>55738</v>
      </c>
      <c r="Z2362" s="115">
        <f>_xll.qlCalendarAdvance(Calendar,Y2362,NDays&amp;"D")</f>
        <v>55738</v>
      </c>
      <c r="AA2362" s="116" t="e">
        <v>#N/A</v>
      </c>
      <c r="AB2362" s="113" t="e">
        <v>#N/A</v>
      </c>
    </row>
    <row r="2363" spans="17:28" x14ac:dyDescent="0.2">
      <c r="Q2363" s="72"/>
      <c r="T2363" s="72"/>
      <c r="U2363" s="93"/>
      <c r="X2363" s="114" t="str">
        <f t="shared" si="49"/>
        <v>1w</v>
      </c>
      <c r="Y2363" s="112">
        <f>_xll.qlCalendarAdvance(Calendar,Y2362,X2363,"f",FALSE)</f>
        <v>55745</v>
      </c>
      <c r="Z2363" s="115">
        <f>_xll.qlCalendarAdvance(Calendar,Y2363,NDays&amp;"D")</f>
        <v>55745</v>
      </c>
      <c r="AA2363" s="116" t="e">
        <v>#N/A</v>
      </c>
      <c r="AB2363" s="113" t="e">
        <v>#N/A</v>
      </c>
    </row>
    <row r="2364" spans="17:28" x14ac:dyDescent="0.2">
      <c r="Q2364" s="72"/>
      <c r="T2364" s="72"/>
      <c r="U2364" s="93"/>
      <c r="X2364" s="114" t="str">
        <f t="shared" si="49"/>
        <v>1w</v>
      </c>
      <c r="Y2364" s="112">
        <f>_xll.qlCalendarAdvance(Calendar,Y2363,X2364,"f",FALSE)</f>
        <v>55752</v>
      </c>
      <c r="Z2364" s="115">
        <f>_xll.qlCalendarAdvance(Calendar,Y2364,NDays&amp;"D")</f>
        <v>55752</v>
      </c>
      <c r="AA2364" s="116" t="e">
        <v>#N/A</v>
      </c>
      <c r="AB2364" s="113" t="e">
        <v>#N/A</v>
      </c>
    </row>
    <row r="2365" spans="17:28" x14ac:dyDescent="0.2">
      <c r="Q2365" s="72"/>
      <c r="T2365" s="72"/>
      <c r="U2365" s="93"/>
      <c r="X2365" s="114" t="str">
        <f t="shared" si="49"/>
        <v>1w</v>
      </c>
      <c r="Y2365" s="112">
        <f>_xll.qlCalendarAdvance(Calendar,Y2364,X2365,"f",FALSE)</f>
        <v>55759</v>
      </c>
      <c r="Z2365" s="115">
        <f>_xll.qlCalendarAdvance(Calendar,Y2365,NDays&amp;"D")</f>
        <v>55759</v>
      </c>
      <c r="AA2365" s="116" t="e">
        <v>#N/A</v>
      </c>
      <c r="AB2365" s="113" t="e">
        <v>#N/A</v>
      </c>
    </row>
    <row r="2366" spans="17:28" x14ac:dyDescent="0.2">
      <c r="Q2366" s="72"/>
      <c r="T2366" s="72"/>
      <c r="U2366" s="93"/>
      <c r="X2366" s="114" t="str">
        <f t="shared" si="49"/>
        <v>1w</v>
      </c>
      <c r="Y2366" s="112">
        <f>_xll.qlCalendarAdvance(Calendar,Y2365,X2366,"f",FALSE)</f>
        <v>55766</v>
      </c>
      <c r="Z2366" s="115">
        <f>_xll.qlCalendarAdvance(Calendar,Y2366,NDays&amp;"D")</f>
        <v>55766</v>
      </c>
      <c r="AA2366" s="116" t="e">
        <v>#N/A</v>
      </c>
      <c r="AB2366" s="113" t="e">
        <v>#N/A</v>
      </c>
    </row>
    <row r="2367" spans="17:28" x14ac:dyDescent="0.2">
      <c r="Q2367" s="72"/>
      <c r="T2367" s="72"/>
      <c r="U2367" s="93"/>
      <c r="X2367" s="114" t="str">
        <f t="shared" si="49"/>
        <v>1w</v>
      </c>
      <c r="Y2367" s="112">
        <f>_xll.qlCalendarAdvance(Calendar,Y2366,X2367,"f",FALSE)</f>
        <v>55773</v>
      </c>
      <c r="Z2367" s="115">
        <f>_xll.qlCalendarAdvance(Calendar,Y2367,NDays&amp;"D")</f>
        <v>55773</v>
      </c>
      <c r="AA2367" s="116" t="e">
        <v>#N/A</v>
      </c>
      <c r="AB2367" s="113" t="e">
        <v>#N/A</v>
      </c>
    </row>
    <row r="2368" spans="17:28" x14ac:dyDescent="0.2">
      <c r="Q2368" s="72"/>
      <c r="T2368" s="72"/>
      <c r="U2368" s="93"/>
      <c r="X2368" s="114" t="str">
        <f t="shared" si="49"/>
        <v>1w</v>
      </c>
      <c r="Y2368" s="112">
        <f>_xll.qlCalendarAdvance(Calendar,Y2367,X2368,"f",FALSE)</f>
        <v>55780</v>
      </c>
      <c r="Z2368" s="115">
        <f>_xll.qlCalendarAdvance(Calendar,Y2368,NDays&amp;"D")</f>
        <v>55780</v>
      </c>
      <c r="AA2368" s="116" t="e">
        <v>#N/A</v>
      </c>
      <c r="AB2368" s="113" t="e">
        <v>#N/A</v>
      </c>
    </row>
    <row r="2369" spans="17:28" x14ac:dyDescent="0.2">
      <c r="Q2369" s="72"/>
      <c r="T2369" s="72"/>
      <c r="U2369" s="93"/>
      <c r="X2369" s="114" t="str">
        <f t="shared" si="49"/>
        <v>1w</v>
      </c>
      <c r="Y2369" s="112">
        <f>_xll.qlCalendarAdvance(Calendar,Y2368,X2369,"f",FALSE)</f>
        <v>55787</v>
      </c>
      <c r="Z2369" s="115">
        <f>_xll.qlCalendarAdvance(Calendar,Y2369,NDays&amp;"D")</f>
        <v>55787</v>
      </c>
      <c r="AA2369" s="116" t="e">
        <v>#N/A</v>
      </c>
      <c r="AB2369" s="113" t="e">
        <v>#N/A</v>
      </c>
    </row>
    <row r="2370" spans="17:28" x14ac:dyDescent="0.2">
      <c r="Q2370" s="72"/>
      <c r="T2370" s="72"/>
      <c r="U2370" s="93"/>
      <c r="X2370" s="114" t="str">
        <f t="shared" si="49"/>
        <v>1w</v>
      </c>
      <c r="Y2370" s="112">
        <f>_xll.qlCalendarAdvance(Calendar,Y2369,X2370,"f",FALSE)</f>
        <v>55794</v>
      </c>
      <c r="Z2370" s="115">
        <f>_xll.qlCalendarAdvance(Calendar,Y2370,NDays&amp;"D")</f>
        <v>55794</v>
      </c>
      <c r="AA2370" s="116" t="e">
        <v>#N/A</v>
      </c>
      <c r="AB2370" s="113" t="e">
        <v>#N/A</v>
      </c>
    </row>
    <row r="2371" spans="17:28" x14ac:dyDescent="0.2">
      <c r="Q2371" s="72"/>
      <c r="T2371" s="72"/>
      <c r="U2371" s="93"/>
      <c r="X2371" s="114" t="str">
        <f t="shared" si="49"/>
        <v>1w</v>
      </c>
      <c r="Y2371" s="112">
        <f>_xll.qlCalendarAdvance(Calendar,Y2370,X2371,"f",FALSE)</f>
        <v>55801</v>
      </c>
      <c r="Z2371" s="115">
        <f>_xll.qlCalendarAdvance(Calendar,Y2371,NDays&amp;"D")</f>
        <v>55801</v>
      </c>
      <c r="AA2371" s="116" t="e">
        <v>#N/A</v>
      </c>
      <c r="AB2371" s="113" t="e">
        <v>#N/A</v>
      </c>
    </row>
    <row r="2372" spans="17:28" x14ac:dyDescent="0.2">
      <c r="Q2372" s="72"/>
      <c r="T2372" s="72"/>
      <c r="U2372" s="93"/>
      <c r="X2372" s="114" t="str">
        <f t="shared" si="49"/>
        <v>1w</v>
      </c>
      <c r="Y2372" s="112">
        <f>_xll.qlCalendarAdvance(Calendar,Y2371,X2372,"f",FALSE)</f>
        <v>55808</v>
      </c>
      <c r="Z2372" s="115">
        <f>_xll.qlCalendarAdvance(Calendar,Y2372,NDays&amp;"D")</f>
        <v>55808</v>
      </c>
      <c r="AA2372" s="116" t="e">
        <v>#N/A</v>
      </c>
      <c r="AB2372" s="113" t="e">
        <v>#N/A</v>
      </c>
    </row>
    <row r="2373" spans="17:28" x14ac:dyDescent="0.2">
      <c r="Q2373" s="72"/>
      <c r="T2373" s="72"/>
      <c r="U2373" s="93"/>
      <c r="X2373" s="114" t="str">
        <f t="shared" si="49"/>
        <v>1w</v>
      </c>
      <c r="Y2373" s="112">
        <f>_xll.qlCalendarAdvance(Calendar,Y2372,X2373,"f",FALSE)</f>
        <v>55815</v>
      </c>
      <c r="Z2373" s="115">
        <f>_xll.qlCalendarAdvance(Calendar,Y2373,NDays&amp;"D")</f>
        <v>55815</v>
      </c>
      <c r="AA2373" s="116" t="e">
        <v>#N/A</v>
      </c>
      <c r="AB2373" s="113" t="e">
        <v>#N/A</v>
      </c>
    </row>
    <row r="2374" spans="17:28" x14ac:dyDescent="0.2">
      <c r="Q2374" s="72"/>
      <c r="T2374" s="72"/>
      <c r="U2374" s="93"/>
      <c r="X2374" s="114" t="str">
        <f t="shared" si="49"/>
        <v>1w</v>
      </c>
      <c r="Y2374" s="112">
        <f>_xll.qlCalendarAdvance(Calendar,Y2373,X2374,"f",FALSE)</f>
        <v>55822</v>
      </c>
      <c r="Z2374" s="115">
        <f>_xll.qlCalendarAdvance(Calendar,Y2374,NDays&amp;"D")</f>
        <v>55822</v>
      </c>
      <c r="AA2374" s="116" t="e">
        <v>#N/A</v>
      </c>
      <c r="AB2374" s="113" t="e">
        <v>#N/A</v>
      </c>
    </row>
    <row r="2375" spans="17:28" x14ac:dyDescent="0.2">
      <c r="Q2375" s="72"/>
      <c r="T2375" s="72"/>
      <c r="U2375" s="93"/>
      <c r="X2375" s="114" t="str">
        <f t="shared" si="49"/>
        <v>1w</v>
      </c>
      <c r="Y2375" s="112">
        <f>_xll.qlCalendarAdvance(Calendar,Y2374,X2375,"f",FALSE)</f>
        <v>55829</v>
      </c>
      <c r="Z2375" s="115">
        <f>_xll.qlCalendarAdvance(Calendar,Y2375,NDays&amp;"D")</f>
        <v>55829</v>
      </c>
      <c r="AA2375" s="116" t="e">
        <v>#N/A</v>
      </c>
      <c r="AB2375" s="113" t="e">
        <v>#N/A</v>
      </c>
    </row>
    <row r="2376" spans="17:28" x14ac:dyDescent="0.2">
      <c r="Q2376" s="72"/>
      <c r="T2376" s="72"/>
      <c r="U2376" s="93"/>
      <c r="X2376" s="114" t="str">
        <f t="shared" si="49"/>
        <v>1w</v>
      </c>
      <c r="Y2376" s="112">
        <f>_xll.qlCalendarAdvance(Calendar,Y2375,X2376,"f",FALSE)</f>
        <v>55836</v>
      </c>
      <c r="Z2376" s="115">
        <f>_xll.qlCalendarAdvance(Calendar,Y2376,NDays&amp;"D")</f>
        <v>55836</v>
      </c>
      <c r="AA2376" s="116" t="e">
        <v>#N/A</v>
      </c>
      <c r="AB2376" s="113" t="e">
        <v>#N/A</v>
      </c>
    </row>
    <row r="2377" spans="17:28" x14ac:dyDescent="0.2">
      <c r="Q2377" s="72"/>
      <c r="T2377" s="72"/>
      <c r="U2377" s="93"/>
      <c r="X2377" s="114" t="str">
        <f t="shared" si="49"/>
        <v>1w</v>
      </c>
      <c r="Y2377" s="112">
        <f>_xll.qlCalendarAdvance(Calendar,Y2376,X2377,"f",FALSE)</f>
        <v>55843</v>
      </c>
      <c r="Z2377" s="115">
        <f>_xll.qlCalendarAdvance(Calendar,Y2377,NDays&amp;"D")</f>
        <v>55843</v>
      </c>
      <c r="AA2377" s="116" t="e">
        <v>#N/A</v>
      </c>
      <c r="AB2377" s="113" t="e">
        <v>#N/A</v>
      </c>
    </row>
    <row r="2378" spans="17:28" x14ac:dyDescent="0.2">
      <c r="Q2378" s="72"/>
      <c r="T2378" s="72"/>
      <c r="U2378" s="93"/>
      <c r="X2378" s="114" t="str">
        <f t="shared" si="49"/>
        <v>1w</v>
      </c>
      <c r="Y2378" s="112">
        <f>_xll.qlCalendarAdvance(Calendar,Y2377,X2378,"f",FALSE)</f>
        <v>55850</v>
      </c>
      <c r="Z2378" s="115">
        <f>_xll.qlCalendarAdvance(Calendar,Y2378,NDays&amp;"D")</f>
        <v>55850</v>
      </c>
      <c r="AA2378" s="116" t="e">
        <v>#N/A</v>
      </c>
      <c r="AB2378" s="113" t="e">
        <v>#N/A</v>
      </c>
    </row>
    <row r="2379" spans="17:28" x14ac:dyDescent="0.2">
      <c r="Q2379" s="72"/>
      <c r="T2379" s="72"/>
      <c r="U2379" s="93"/>
      <c r="X2379" s="114" t="str">
        <f t="shared" si="49"/>
        <v>1w</v>
      </c>
      <c r="Y2379" s="112">
        <f>_xll.qlCalendarAdvance(Calendar,Y2378,X2379,"f",FALSE)</f>
        <v>55857</v>
      </c>
      <c r="Z2379" s="115">
        <f>_xll.qlCalendarAdvance(Calendar,Y2379,NDays&amp;"D")</f>
        <v>55857</v>
      </c>
      <c r="AA2379" s="116" t="e">
        <v>#N/A</v>
      </c>
      <c r="AB2379" s="113" t="e">
        <v>#N/A</v>
      </c>
    </row>
    <row r="2380" spans="17:28" x14ac:dyDescent="0.2">
      <c r="Q2380" s="72"/>
      <c r="T2380" s="72"/>
      <c r="U2380" s="93"/>
      <c r="X2380" s="114" t="str">
        <f t="shared" si="49"/>
        <v>1w</v>
      </c>
      <c r="Y2380" s="112">
        <f>_xll.qlCalendarAdvance(Calendar,Y2379,X2380,"f",FALSE)</f>
        <v>55864</v>
      </c>
      <c r="Z2380" s="115">
        <f>_xll.qlCalendarAdvance(Calendar,Y2380,NDays&amp;"D")</f>
        <v>55864</v>
      </c>
      <c r="AA2380" s="116" t="e">
        <v>#N/A</v>
      </c>
      <c r="AB2380" s="113" t="e">
        <v>#N/A</v>
      </c>
    </row>
    <row r="2381" spans="17:28" x14ac:dyDescent="0.2">
      <c r="Q2381" s="72"/>
      <c r="T2381" s="72"/>
      <c r="U2381" s="93"/>
      <c r="X2381" s="114" t="str">
        <f t="shared" si="49"/>
        <v>1w</v>
      </c>
      <c r="Y2381" s="112">
        <f>_xll.qlCalendarAdvance(Calendar,Y2380,X2381,"f",FALSE)</f>
        <v>55871</v>
      </c>
      <c r="Z2381" s="115">
        <f>_xll.qlCalendarAdvance(Calendar,Y2381,NDays&amp;"D")</f>
        <v>55871</v>
      </c>
      <c r="AA2381" s="116" t="e">
        <v>#N/A</v>
      </c>
      <c r="AB2381" s="113" t="e">
        <v>#N/A</v>
      </c>
    </row>
    <row r="2382" spans="17:28" x14ac:dyDescent="0.2">
      <c r="Q2382" s="72"/>
      <c r="T2382" s="72"/>
      <c r="U2382" s="93"/>
      <c r="X2382" s="114" t="str">
        <f t="shared" si="49"/>
        <v>1w</v>
      </c>
      <c r="Y2382" s="112">
        <f>_xll.qlCalendarAdvance(Calendar,Y2381,X2382,"f",FALSE)</f>
        <v>55880</v>
      </c>
      <c r="Z2382" s="115">
        <f>_xll.qlCalendarAdvance(Calendar,Y2382,NDays&amp;"D")</f>
        <v>55880</v>
      </c>
      <c r="AA2382" s="116" t="e">
        <v>#N/A</v>
      </c>
      <c r="AB2382" s="113" t="e">
        <v>#N/A</v>
      </c>
    </row>
    <row r="2383" spans="17:28" x14ac:dyDescent="0.2">
      <c r="Q2383" s="72"/>
      <c r="T2383" s="72"/>
      <c r="U2383" s="93"/>
      <c r="X2383" s="114" t="str">
        <f t="shared" si="49"/>
        <v>1w</v>
      </c>
      <c r="Y2383" s="112">
        <f>_xll.qlCalendarAdvance(Calendar,Y2382,X2383,"f",FALSE)</f>
        <v>55887</v>
      </c>
      <c r="Z2383" s="115">
        <f>_xll.qlCalendarAdvance(Calendar,Y2383,NDays&amp;"D")</f>
        <v>55887</v>
      </c>
      <c r="AA2383" s="116" t="e">
        <v>#N/A</v>
      </c>
      <c r="AB2383" s="113" t="e">
        <v>#N/A</v>
      </c>
    </row>
    <row r="2384" spans="17:28" x14ac:dyDescent="0.2">
      <c r="Q2384" s="72"/>
      <c r="T2384" s="72"/>
      <c r="U2384" s="93"/>
      <c r="X2384" s="114" t="str">
        <f t="shared" si="49"/>
        <v>1w</v>
      </c>
      <c r="Y2384" s="112">
        <f>_xll.qlCalendarAdvance(Calendar,Y2383,X2384,"f",FALSE)</f>
        <v>55894</v>
      </c>
      <c r="Z2384" s="115">
        <f>_xll.qlCalendarAdvance(Calendar,Y2384,NDays&amp;"D")</f>
        <v>55894</v>
      </c>
      <c r="AA2384" s="116" t="e">
        <v>#N/A</v>
      </c>
      <c r="AB2384" s="113" t="e">
        <v>#N/A</v>
      </c>
    </row>
    <row r="2385" spans="17:28" x14ac:dyDescent="0.2">
      <c r="Q2385" s="72"/>
      <c r="T2385" s="72"/>
      <c r="U2385" s="93"/>
      <c r="X2385" s="114" t="str">
        <f t="shared" si="49"/>
        <v>1w</v>
      </c>
      <c r="Y2385" s="112">
        <f>_xll.qlCalendarAdvance(Calendar,Y2384,X2385,"f",FALSE)</f>
        <v>55901</v>
      </c>
      <c r="Z2385" s="115">
        <f>_xll.qlCalendarAdvance(Calendar,Y2385,NDays&amp;"D")</f>
        <v>55901</v>
      </c>
      <c r="AA2385" s="116" t="e">
        <v>#N/A</v>
      </c>
      <c r="AB2385" s="113" t="e">
        <v>#N/A</v>
      </c>
    </row>
    <row r="2386" spans="17:28" x14ac:dyDescent="0.2">
      <c r="Q2386" s="72"/>
      <c r="T2386" s="72"/>
      <c r="U2386" s="93"/>
      <c r="X2386" s="114" t="str">
        <f t="shared" si="49"/>
        <v>1w</v>
      </c>
      <c r="Y2386" s="112">
        <f>_xll.qlCalendarAdvance(Calendar,Y2385,X2386,"f",FALSE)</f>
        <v>55908</v>
      </c>
      <c r="Z2386" s="115">
        <f>_xll.qlCalendarAdvance(Calendar,Y2386,NDays&amp;"D")</f>
        <v>55908</v>
      </c>
      <c r="AA2386" s="116" t="e">
        <v>#N/A</v>
      </c>
      <c r="AB2386" s="113" t="e">
        <v>#N/A</v>
      </c>
    </row>
    <row r="2387" spans="17:28" x14ac:dyDescent="0.2">
      <c r="Q2387" s="72"/>
      <c r="T2387" s="72"/>
      <c r="U2387" s="93"/>
      <c r="X2387" s="114" t="str">
        <f t="shared" si="49"/>
        <v>1w</v>
      </c>
      <c r="Y2387" s="112">
        <f>_xll.qlCalendarAdvance(Calendar,Y2386,X2387,"f",FALSE)</f>
        <v>55915</v>
      </c>
      <c r="Z2387" s="115">
        <f>_xll.qlCalendarAdvance(Calendar,Y2387,NDays&amp;"D")</f>
        <v>55915</v>
      </c>
      <c r="AA2387" s="116" t="e">
        <v>#N/A</v>
      </c>
      <c r="AB2387" s="113" t="e">
        <v>#N/A</v>
      </c>
    </row>
    <row r="2388" spans="17:28" x14ac:dyDescent="0.2">
      <c r="Q2388" s="72"/>
      <c r="T2388" s="72"/>
      <c r="U2388" s="93"/>
      <c r="X2388" s="114" t="str">
        <f t="shared" si="49"/>
        <v>1w</v>
      </c>
      <c r="Y2388" s="112">
        <f>_xll.qlCalendarAdvance(Calendar,Y2387,X2388,"f",FALSE)</f>
        <v>55922</v>
      </c>
      <c r="Z2388" s="115">
        <f>_xll.qlCalendarAdvance(Calendar,Y2388,NDays&amp;"D")</f>
        <v>55922</v>
      </c>
      <c r="AA2388" s="116" t="e">
        <v>#N/A</v>
      </c>
      <c r="AB2388" s="113" t="e">
        <v>#N/A</v>
      </c>
    </row>
    <row r="2389" spans="17:28" x14ac:dyDescent="0.2">
      <c r="Q2389" s="72"/>
      <c r="T2389" s="72"/>
      <c r="U2389" s="93"/>
      <c r="X2389" s="114" t="str">
        <f t="shared" ref="X2389:X2452" si="50">X2388</f>
        <v>1w</v>
      </c>
      <c r="Y2389" s="112">
        <f>_xll.qlCalendarAdvance(Calendar,Y2388,X2389,"f",FALSE)</f>
        <v>55929</v>
      </c>
      <c r="Z2389" s="115">
        <f>_xll.qlCalendarAdvance(Calendar,Y2389,NDays&amp;"D")</f>
        <v>55929</v>
      </c>
      <c r="AA2389" s="116" t="e">
        <v>#N/A</v>
      </c>
      <c r="AB2389" s="113" t="e">
        <v>#N/A</v>
      </c>
    </row>
    <row r="2390" spans="17:28" x14ac:dyDescent="0.2">
      <c r="Q2390" s="72"/>
      <c r="T2390" s="72"/>
      <c r="U2390" s="93"/>
      <c r="X2390" s="114" t="str">
        <f t="shared" si="50"/>
        <v>1w</v>
      </c>
      <c r="Y2390" s="112">
        <f>_xll.qlCalendarAdvance(Calendar,Y2389,X2390,"f",FALSE)</f>
        <v>55936</v>
      </c>
      <c r="Z2390" s="115">
        <f>_xll.qlCalendarAdvance(Calendar,Y2390,NDays&amp;"D")</f>
        <v>55936</v>
      </c>
      <c r="AA2390" s="116" t="e">
        <v>#N/A</v>
      </c>
      <c r="AB2390" s="113" t="e">
        <v>#N/A</v>
      </c>
    </row>
    <row r="2391" spans="17:28" x14ac:dyDescent="0.2">
      <c r="Q2391" s="72"/>
      <c r="T2391" s="72"/>
      <c r="U2391" s="93"/>
      <c r="X2391" s="114" t="str">
        <f t="shared" si="50"/>
        <v>1w</v>
      </c>
      <c r="Y2391" s="112">
        <f>_xll.qlCalendarAdvance(Calendar,Y2390,X2391,"f",FALSE)</f>
        <v>55943</v>
      </c>
      <c r="Z2391" s="115">
        <f>_xll.qlCalendarAdvance(Calendar,Y2391,NDays&amp;"D")</f>
        <v>55943</v>
      </c>
      <c r="AA2391" s="116" t="e">
        <v>#N/A</v>
      </c>
      <c r="AB2391" s="113" t="e">
        <v>#N/A</v>
      </c>
    </row>
    <row r="2392" spans="17:28" x14ac:dyDescent="0.2">
      <c r="Q2392" s="72"/>
      <c r="T2392" s="72"/>
      <c r="U2392" s="93"/>
      <c r="X2392" s="114" t="str">
        <f t="shared" si="50"/>
        <v>1w</v>
      </c>
      <c r="Y2392" s="112">
        <f>_xll.qlCalendarAdvance(Calendar,Y2391,X2392,"f",FALSE)</f>
        <v>55950</v>
      </c>
      <c r="Z2392" s="115">
        <f>_xll.qlCalendarAdvance(Calendar,Y2392,NDays&amp;"D")</f>
        <v>55950</v>
      </c>
      <c r="AA2392" s="116" t="e">
        <v>#N/A</v>
      </c>
      <c r="AB2392" s="113" t="e">
        <v>#N/A</v>
      </c>
    </row>
    <row r="2393" spans="17:28" x14ac:dyDescent="0.2">
      <c r="Q2393" s="72"/>
      <c r="T2393" s="72"/>
      <c r="U2393" s="93"/>
      <c r="X2393" s="114" t="str">
        <f t="shared" si="50"/>
        <v>1w</v>
      </c>
      <c r="Y2393" s="112">
        <f>_xll.qlCalendarAdvance(Calendar,Y2392,X2393,"f",FALSE)</f>
        <v>55957</v>
      </c>
      <c r="Z2393" s="115">
        <f>_xll.qlCalendarAdvance(Calendar,Y2393,NDays&amp;"D")</f>
        <v>55957</v>
      </c>
      <c r="AA2393" s="116" t="e">
        <v>#N/A</v>
      </c>
      <c r="AB2393" s="113" t="e">
        <v>#N/A</v>
      </c>
    </row>
    <row r="2394" spans="17:28" x14ac:dyDescent="0.2">
      <c r="Q2394" s="72"/>
      <c r="T2394" s="72"/>
      <c r="U2394" s="93"/>
      <c r="X2394" s="114" t="str">
        <f t="shared" si="50"/>
        <v>1w</v>
      </c>
      <c r="Y2394" s="112">
        <f>_xll.qlCalendarAdvance(Calendar,Y2393,X2394,"f",FALSE)</f>
        <v>55964</v>
      </c>
      <c r="Z2394" s="115">
        <f>_xll.qlCalendarAdvance(Calendar,Y2394,NDays&amp;"D")</f>
        <v>55964</v>
      </c>
      <c r="AA2394" s="116" t="e">
        <v>#N/A</v>
      </c>
      <c r="AB2394" s="113" t="e">
        <v>#N/A</v>
      </c>
    </row>
    <row r="2395" spans="17:28" x14ac:dyDescent="0.2">
      <c r="Q2395" s="72"/>
      <c r="T2395" s="72"/>
      <c r="U2395" s="93"/>
      <c r="X2395" s="114" t="str">
        <f t="shared" si="50"/>
        <v>1w</v>
      </c>
      <c r="Y2395" s="112">
        <f>_xll.qlCalendarAdvance(Calendar,Y2394,X2395,"f",FALSE)</f>
        <v>55971</v>
      </c>
      <c r="Z2395" s="115">
        <f>_xll.qlCalendarAdvance(Calendar,Y2395,NDays&amp;"D")</f>
        <v>55971</v>
      </c>
      <c r="AA2395" s="116" t="e">
        <v>#N/A</v>
      </c>
      <c r="AB2395" s="113" t="e">
        <v>#N/A</v>
      </c>
    </row>
    <row r="2396" spans="17:28" x14ac:dyDescent="0.2">
      <c r="Q2396" s="72"/>
      <c r="T2396" s="72"/>
      <c r="U2396" s="93"/>
      <c r="X2396" s="114" t="str">
        <f t="shared" si="50"/>
        <v>1w</v>
      </c>
      <c r="Y2396" s="112">
        <f>_xll.qlCalendarAdvance(Calendar,Y2395,X2396,"f",FALSE)</f>
        <v>55982</v>
      </c>
      <c r="Z2396" s="115">
        <f>_xll.qlCalendarAdvance(Calendar,Y2396,NDays&amp;"D")</f>
        <v>55982</v>
      </c>
      <c r="AA2396" s="116" t="e">
        <v>#N/A</v>
      </c>
      <c r="AB2396" s="113" t="e">
        <v>#N/A</v>
      </c>
    </row>
    <row r="2397" spans="17:28" x14ac:dyDescent="0.2">
      <c r="Q2397" s="72"/>
      <c r="T2397" s="72"/>
      <c r="U2397" s="93"/>
      <c r="X2397" s="114" t="str">
        <f t="shared" si="50"/>
        <v>1w</v>
      </c>
      <c r="Y2397" s="112">
        <f>_xll.qlCalendarAdvance(Calendar,Y2396,X2397,"f",FALSE)</f>
        <v>55989</v>
      </c>
      <c r="Z2397" s="115">
        <f>_xll.qlCalendarAdvance(Calendar,Y2397,NDays&amp;"D")</f>
        <v>55989</v>
      </c>
      <c r="AA2397" s="116" t="e">
        <v>#N/A</v>
      </c>
      <c r="AB2397" s="113" t="e">
        <v>#N/A</v>
      </c>
    </row>
    <row r="2398" spans="17:28" x14ac:dyDescent="0.2">
      <c r="Q2398" s="72"/>
      <c r="T2398" s="72"/>
      <c r="U2398" s="93"/>
      <c r="X2398" s="114" t="str">
        <f t="shared" si="50"/>
        <v>1w</v>
      </c>
      <c r="Y2398" s="112">
        <f>_xll.qlCalendarAdvance(Calendar,Y2397,X2398,"f",FALSE)</f>
        <v>55996</v>
      </c>
      <c r="Z2398" s="115">
        <f>_xll.qlCalendarAdvance(Calendar,Y2398,NDays&amp;"D")</f>
        <v>55996</v>
      </c>
      <c r="AA2398" s="116" t="e">
        <v>#N/A</v>
      </c>
      <c r="AB2398" s="113" t="e">
        <v>#N/A</v>
      </c>
    </row>
    <row r="2399" spans="17:28" x14ac:dyDescent="0.2">
      <c r="Q2399" s="72"/>
      <c r="T2399" s="72"/>
      <c r="U2399" s="93"/>
      <c r="X2399" s="114" t="str">
        <f t="shared" si="50"/>
        <v>1w</v>
      </c>
      <c r="Y2399" s="112">
        <f>_xll.qlCalendarAdvance(Calendar,Y2398,X2399,"f",FALSE)</f>
        <v>56003</v>
      </c>
      <c r="Z2399" s="115">
        <f>_xll.qlCalendarAdvance(Calendar,Y2399,NDays&amp;"D")</f>
        <v>56003</v>
      </c>
      <c r="AA2399" s="116" t="e">
        <v>#N/A</v>
      </c>
      <c r="AB2399" s="113" t="e">
        <v>#N/A</v>
      </c>
    </row>
    <row r="2400" spans="17:28" x14ac:dyDescent="0.2">
      <c r="Q2400" s="72"/>
      <c r="T2400" s="72"/>
      <c r="U2400" s="93"/>
      <c r="X2400" s="114" t="str">
        <f t="shared" si="50"/>
        <v>1w</v>
      </c>
      <c r="Y2400" s="112">
        <f>_xll.qlCalendarAdvance(Calendar,Y2399,X2400,"f",FALSE)</f>
        <v>56010</v>
      </c>
      <c r="Z2400" s="115">
        <f>_xll.qlCalendarAdvance(Calendar,Y2400,NDays&amp;"D")</f>
        <v>56010</v>
      </c>
      <c r="AA2400" s="116" t="e">
        <v>#N/A</v>
      </c>
      <c r="AB2400" s="113" t="e">
        <v>#N/A</v>
      </c>
    </row>
    <row r="2401" spans="17:28" x14ac:dyDescent="0.2">
      <c r="Q2401" s="72"/>
      <c r="T2401" s="72"/>
      <c r="U2401" s="93"/>
      <c r="X2401" s="114" t="str">
        <f t="shared" si="50"/>
        <v>1w</v>
      </c>
      <c r="Y2401" s="112">
        <f>_xll.qlCalendarAdvance(Calendar,Y2400,X2401,"f",FALSE)</f>
        <v>56017</v>
      </c>
      <c r="Z2401" s="115">
        <f>_xll.qlCalendarAdvance(Calendar,Y2401,NDays&amp;"D")</f>
        <v>56017</v>
      </c>
      <c r="AA2401" s="116" t="e">
        <v>#N/A</v>
      </c>
      <c r="AB2401" s="113" t="e">
        <v>#N/A</v>
      </c>
    </row>
    <row r="2402" spans="17:28" x14ac:dyDescent="0.2">
      <c r="Q2402" s="72"/>
      <c r="T2402" s="72"/>
      <c r="U2402" s="93"/>
      <c r="X2402" s="114" t="str">
        <f t="shared" si="50"/>
        <v>1w</v>
      </c>
      <c r="Y2402" s="112">
        <f>_xll.qlCalendarAdvance(Calendar,Y2401,X2402,"f",FALSE)</f>
        <v>56024</v>
      </c>
      <c r="Z2402" s="115">
        <f>_xll.qlCalendarAdvance(Calendar,Y2402,NDays&amp;"D")</f>
        <v>56024</v>
      </c>
      <c r="AA2402" s="116" t="e">
        <v>#N/A</v>
      </c>
      <c r="AB2402" s="113" t="e">
        <v>#N/A</v>
      </c>
    </row>
    <row r="2403" spans="17:28" x14ac:dyDescent="0.2">
      <c r="Q2403" s="72"/>
      <c r="T2403" s="72"/>
      <c r="U2403" s="93"/>
      <c r="X2403" s="114" t="str">
        <f t="shared" si="50"/>
        <v>1w</v>
      </c>
      <c r="Y2403" s="112">
        <f>_xll.qlCalendarAdvance(Calendar,Y2402,X2403,"f",FALSE)</f>
        <v>56031</v>
      </c>
      <c r="Z2403" s="115">
        <f>_xll.qlCalendarAdvance(Calendar,Y2403,NDays&amp;"D")</f>
        <v>56031</v>
      </c>
      <c r="AA2403" s="116" t="e">
        <v>#N/A</v>
      </c>
      <c r="AB2403" s="113" t="e">
        <v>#N/A</v>
      </c>
    </row>
    <row r="2404" spans="17:28" x14ac:dyDescent="0.2">
      <c r="Q2404" s="72"/>
      <c r="T2404" s="72"/>
      <c r="U2404" s="93"/>
      <c r="X2404" s="114" t="str">
        <f t="shared" si="50"/>
        <v>1w</v>
      </c>
      <c r="Y2404" s="112">
        <f>_xll.qlCalendarAdvance(Calendar,Y2403,X2404,"f",FALSE)</f>
        <v>56038</v>
      </c>
      <c r="Z2404" s="115">
        <f>_xll.qlCalendarAdvance(Calendar,Y2404,NDays&amp;"D")</f>
        <v>56038</v>
      </c>
      <c r="AA2404" s="116" t="e">
        <v>#N/A</v>
      </c>
      <c r="AB2404" s="113" t="e">
        <v>#N/A</v>
      </c>
    </row>
    <row r="2405" spans="17:28" x14ac:dyDescent="0.2">
      <c r="Q2405" s="72"/>
      <c r="T2405" s="72"/>
      <c r="U2405" s="93"/>
      <c r="X2405" s="114" t="str">
        <f t="shared" si="50"/>
        <v>1w</v>
      </c>
      <c r="Y2405" s="112">
        <f>_xll.qlCalendarAdvance(Calendar,Y2404,X2405,"f",FALSE)</f>
        <v>56045</v>
      </c>
      <c r="Z2405" s="115">
        <f>_xll.qlCalendarAdvance(Calendar,Y2405,NDays&amp;"D")</f>
        <v>56045</v>
      </c>
      <c r="AA2405" s="116" t="e">
        <v>#N/A</v>
      </c>
      <c r="AB2405" s="113" t="e">
        <v>#N/A</v>
      </c>
    </row>
    <row r="2406" spans="17:28" x14ac:dyDescent="0.2">
      <c r="Q2406" s="72"/>
      <c r="T2406" s="72"/>
      <c r="U2406" s="93"/>
      <c r="X2406" s="114" t="str">
        <f t="shared" si="50"/>
        <v>1w</v>
      </c>
      <c r="Y2406" s="112">
        <f>_xll.qlCalendarAdvance(Calendar,Y2405,X2406,"f",FALSE)</f>
        <v>56052</v>
      </c>
      <c r="Z2406" s="115">
        <f>_xll.qlCalendarAdvance(Calendar,Y2406,NDays&amp;"D")</f>
        <v>56052</v>
      </c>
      <c r="AA2406" s="116" t="e">
        <v>#N/A</v>
      </c>
      <c r="AB2406" s="113" t="e">
        <v>#N/A</v>
      </c>
    </row>
    <row r="2407" spans="17:28" x14ac:dyDescent="0.2">
      <c r="Q2407" s="72"/>
      <c r="T2407" s="72"/>
      <c r="U2407" s="93"/>
      <c r="X2407" s="114" t="str">
        <f t="shared" si="50"/>
        <v>1w</v>
      </c>
      <c r="Y2407" s="112">
        <f>_xll.qlCalendarAdvance(Calendar,Y2406,X2407,"f",FALSE)</f>
        <v>56059</v>
      </c>
      <c r="Z2407" s="115">
        <f>_xll.qlCalendarAdvance(Calendar,Y2407,NDays&amp;"D")</f>
        <v>56059</v>
      </c>
      <c r="AA2407" s="116" t="e">
        <v>#N/A</v>
      </c>
      <c r="AB2407" s="113" t="e">
        <v>#N/A</v>
      </c>
    </row>
    <row r="2408" spans="17:28" x14ac:dyDescent="0.2">
      <c r="Q2408" s="72"/>
      <c r="T2408" s="72"/>
      <c r="U2408" s="93"/>
      <c r="X2408" s="114" t="str">
        <f t="shared" si="50"/>
        <v>1w</v>
      </c>
      <c r="Y2408" s="112">
        <f>_xll.qlCalendarAdvance(Calendar,Y2407,X2408,"f",FALSE)</f>
        <v>56066</v>
      </c>
      <c r="Z2408" s="115">
        <f>_xll.qlCalendarAdvance(Calendar,Y2408,NDays&amp;"D")</f>
        <v>56066</v>
      </c>
      <c r="AA2408" s="116" t="e">
        <v>#N/A</v>
      </c>
      <c r="AB2408" s="113" t="e">
        <v>#N/A</v>
      </c>
    </row>
    <row r="2409" spans="17:28" x14ac:dyDescent="0.2">
      <c r="Q2409" s="72"/>
      <c r="T2409" s="72"/>
      <c r="U2409" s="93"/>
      <c r="X2409" s="114" t="str">
        <f t="shared" si="50"/>
        <v>1w</v>
      </c>
      <c r="Y2409" s="112">
        <f>_xll.qlCalendarAdvance(Calendar,Y2408,X2409,"f",FALSE)</f>
        <v>56073</v>
      </c>
      <c r="Z2409" s="115">
        <f>_xll.qlCalendarAdvance(Calendar,Y2409,NDays&amp;"D")</f>
        <v>56073</v>
      </c>
      <c r="AA2409" s="116" t="e">
        <v>#N/A</v>
      </c>
      <c r="AB2409" s="113" t="e">
        <v>#N/A</v>
      </c>
    </row>
    <row r="2410" spans="17:28" x14ac:dyDescent="0.2">
      <c r="Q2410" s="72"/>
      <c r="T2410" s="72"/>
      <c r="U2410" s="93"/>
      <c r="X2410" s="114" t="str">
        <f t="shared" si="50"/>
        <v>1w</v>
      </c>
      <c r="Y2410" s="112">
        <f>_xll.qlCalendarAdvance(Calendar,Y2409,X2410,"f",FALSE)</f>
        <v>56080</v>
      </c>
      <c r="Z2410" s="115">
        <f>_xll.qlCalendarAdvance(Calendar,Y2410,NDays&amp;"D")</f>
        <v>56080</v>
      </c>
      <c r="AA2410" s="116" t="e">
        <v>#N/A</v>
      </c>
      <c r="AB2410" s="113" t="e">
        <v>#N/A</v>
      </c>
    </row>
    <row r="2411" spans="17:28" x14ac:dyDescent="0.2">
      <c r="Q2411" s="72"/>
      <c r="T2411" s="72"/>
      <c r="U2411" s="93"/>
      <c r="X2411" s="114" t="str">
        <f t="shared" si="50"/>
        <v>1w</v>
      </c>
      <c r="Y2411" s="112">
        <f>_xll.qlCalendarAdvance(Calendar,Y2410,X2411,"f",FALSE)</f>
        <v>56087</v>
      </c>
      <c r="Z2411" s="115">
        <f>_xll.qlCalendarAdvance(Calendar,Y2411,NDays&amp;"D")</f>
        <v>56087</v>
      </c>
      <c r="AA2411" s="116" t="e">
        <v>#N/A</v>
      </c>
      <c r="AB2411" s="113" t="e">
        <v>#N/A</v>
      </c>
    </row>
    <row r="2412" spans="17:28" x14ac:dyDescent="0.2">
      <c r="Q2412" s="72"/>
      <c r="T2412" s="72"/>
      <c r="U2412" s="93"/>
      <c r="X2412" s="114" t="str">
        <f t="shared" si="50"/>
        <v>1w</v>
      </c>
      <c r="Y2412" s="112">
        <f>_xll.qlCalendarAdvance(Calendar,Y2411,X2412,"f",FALSE)</f>
        <v>56094</v>
      </c>
      <c r="Z2412" s="115">
        <f>_xll.qlCalendarAdvance(Calendar,Y2412,NDays&amp;"D")</f>
        <v>56094</v>
      </c>
      <c r="AA2412" s="116" t="e">
        <v>#N/A</v>
      </c>
      <c r="AB2412" s="113" t="e">
        <v>#N/A</v>
      </c>
    </row>
    <row r="2413" spans="17:28" x14ac:dyDescent="0.2">
      <c r="Q2413" s="72"/>
      <c r="T2413" s="72"/>
      <c r="U2413" s="93"/>
      <c r="X2413" s="114" t="str">
        <f t="shared" si="50"/>
        <v>1w</v>
      </c>
      <c r="Y2413" s="112">
        <f>_xll.qlCalendarAdvance(Calendar,Y2412,X2413,"f",FALSE)</f>
        <v>56101</v>
      </c>
      <c r="Z2413" s="115">
        <f>_xll.qlCalendarAdvance(Calendar,Y2413,NDays&amp;"D")</f>
        <v>56101</v>
      </c>
      <c r="AA2413" s="116" t="e">
        <v>#N/A</v>
      </c>
      <c r="AB2413" s="113" t="e">
        <v>#N/A</v>
      </c>
    </row>
    <row r="2414" spans="17:28" x14ac:dyDescent="0.2">
      <c r="Q2414" s="72"/>
      <c r="T2414" s="72"/>
      <c r="U2414" s="93"/>
      <c r="X2414" s="114" t="str">
        <f t="shared" si="50"/>
        <v>1w</v>
      </c>
      <c r="Y2414" s="112">
        <f>_xll.qlCalendarAdvance(Calendar,Y2413,X2414,"f",FALSE)</f>
        <v>56108</v>
      </c>
      <c r="Z2414" s="115">
        <f>_xll.qlCalendarAdvance(Calendar,Y2414,NDays&amp;"D")</f>
        <v>56108</v>
      </c>
      <c r="AA2414" s="116" t="e">
        <v>#N/A</v>
      </c>
      <c r="AB2414" s="113" t="e">
        <v>#N/A</v>
      </c>
    </row>
    <row r="2415" spans="17:28" x14ac:dyDescent="0.2">
      <c r="Q2415" s="72"/>
      <c r="T2415" s="72"/>
      <c r="U2415" s="93"/>
      <c r="X2415" s="114" t="str">
        <f t="shared" si="50"/>
        <v>1w</v>
      </c>
      <c r="Y2415" s="112">
        <f>_xll.qlCalendarAdvance(Calendar,Y2414,X2415,"f",FALSE)</f>
        <v>56115</v>
      </c>
      <c r="Z2415" s="115">
        <f>_xll.qlCalendarAdvance(Calendar,Y2415,NDays&amp;"D")</f>
        <v>56115</v>
      </c>
      <c r="AA2415" s="116" t="e">
        <v>#N/A</v>
      </c>
      <c r="AB2415" s="113" t="e">
        <v>#N/A</v>
      </c>
    </row>
    <row r="2416" spans="17:28" x14ac:dyDescent="0.2">
      <c r="Q2416" s="72"/>
      <c r="T2416" s="72"/>
      <c r="U2416" s="93"/>
      <c r="X2416" s="114" t="str">
        <f t="shared" si="50"/>
        <v>1w</v>
      </c>
      <c r="Y2416" s="112">
        <f>_xll.qlCalendarAdvance(Calendar,Y2415,X2416,"f",FALSE)</f>
        <v>56122</v>
      </c>
      <c r="Z2416" s="115">
        <f>_xll.qlCalendarAdvance(Calendar,Y2416,NDays&amp;"D")</f>
        <v>56122</v>
      </c>
      <c r="AA2416" s="116" t="e">
        <v>#N/A</v>
      </c>
      <c r="AB2416" s="113" t="e">
        <v>#N/A</v>
      </c>
    </row>
    <row r="2417" spans="17:28" x14ac:dyDescent="0.2">
      <c r="Q2417" s="72"/>
      <c r="T2417" s="72"/>
      <c r="U2417" s="93"/>
      <c r="X2417" s="114" t="str">
        <f t="shared" si="50"/>
        <v>1w</v>
      </c>
      <c r="Y2417" s="112">
        <f>_xll.qlCalendarAdvance(Calendar,Y2416,X2417,"f",FALSE)</f>
        <v>56129</v>
      </c>
      <c r="Z2417" s="115">
        <f>_xll.qlCalendarAdvance(Calendar,Y2417,NDays&amp;"D")</f>
        <v>56129</v>
      </c>
      <c r="AA2417" s="116" t="e">
        <v>#N/A</v>
      </c>
      <c r="AB2417" s="113" t="e">
        <v>#N/A</v>
      </c>
    </row>
    <row r="2418" spans="17:28" x14ac:dyDescent="0.2">
      <c r="Q2418" s="72"/>
      <c r="T2418" s="72"/>
      <c r="U2418" s="93"/>
      <c r="X2418" s="114" t="str">
        <f t="shared" si="50"/>
        <v>1w</v>
      </c>
      <c r="Y2418" s="112">
        <f>_xll.qlCalendarAdvance(Calendar,Y2417,X2418,"f",FALSE)</f>
        <v>56136</v>
      </c>
      <c r="Z2418" s="115">
        <f>_xll.qlCalendarAdvance(Calendar,Y2418,NDays&amp;"D")</f>
        <v>56136</v>
      </c>
      <c r="AA2418" s="116" t="e">
        <v>#N/A</v>
      </c>
      <c r="AB2418" s="113" t="e">
        <v>#N/A</v>
      </c>
    </row>
    <row r="2419" spans="17:28" x14ac:dyDescent="0.2">
      <c r="Q2419" s="72"/>
      <c r="T2419" s="72"/>
      <c r="U2419" s="93"/>
      <c r="X2419" s="114" t="str">
        <f t="shared" si="50"/>
        <v>1w</v>
      </c>
      <c r="Y2419" s="112">
        <f>_xll.qlCalendarAdvance(Calendar,Y2418,X2419,"f",FALSE)</f>
        <v>56143</v>
      </c>
      <c r="Z2419" s="115">
        <f>_xll.qlCalendarAdvance(Calendar,Y2419,NDays&amp;"D")</f>
        <v>56143</v>
      </c>
      <c r="AA2419" s="116" t="e">
        <v>#N/A</v>
      </c>
      <c r="AB2419" s="113" t="e">
        <v>#N/A</v>
      </c>
    </row>
    <row r="2420" spans="17:28" x14ac:dyDescent="0.2">
      <c r="Q2420" s="72"/>
      <c r="T2420" s="72"/>
      <c r="U2420" s="93"/>
      <c r="X2420" s="114" t="str">
        <f t="shared" si="50"/>
        <v>1w</v>
      </c>
      <c r="Y2420" s="112">
        <f>_xll.qlCalendarAdvance(Calendar,Y2419,X2420,"f",FALSE)</f>
        <v>56150</v>
      </c>
      <c r="Z2420" s="115">
        <f>_xll.qlCalendarAdvance(Calendar,Y2420,NDays&amp;"D")</f>
        <v>56150</v>
      </c>
      <c r="AA2420" s="116" t="e">
        <v>#N/A</v>
      </c>
      <c r="AB2420" s="113" t="e">
        <v>#N/A</v>
      </c>
    </row>
    <row r="2421" spans="17:28" x14ac:dyDescent="0.2">
      <c r="Q2421" s="72"/>
      <c r="T2421" s="72"/>
      <c r="U2421" s="93"/>
      <c r="X2421" s="114" t="str">
        <f t="shared" si="50"/>
        <v>1w</v>
      </c>
      <c r="Y2421" s="112">
        <f>_xll.qlCalendarAdvance(Calendar,Y2420,X2421,"f",FALSE)</f>
        <v>56157</v>
      </c>
      <c r="Z2421" s="115">
        <f>_xll.qlCalendarAdvance(Calendar,Y2421,NDays&amp;"D")</f>
        <v>56157</v>
      </c>
      <c r="AA2421" s="116" t="e">
        <v>#N/A</v>
      </c>
      <c r="AB2421" s="113" t="e">
        <v>#N/A</v>
      </c>
    </row>
    <row r="2422" spans="17:28" x14ac:dyDescent="0.2">
      <c r="Q2422" s="72"/>
      <c r="T2422" s="72"/>
      <c r="U2422" s="93"/>
      <c r="X2422" s="114" t="str">
        <f t="shared" si="50"/>
        <v>1w</v>
      </c>
      <c r="Y2422" s="112">
        <f>_xll.qlCalendarAdvance(Calendar,Y2421,X2422,"f",FALSE)</f>
        <v>56164</v>
      </c>
      <c r="Z2422" s="115">
        <f>_xll.qlCalendarAdvance(Calendar,Y2422,NDays&amp;"D")</f>
        <v>56164</v>
      </c>
      <c r="AA2422" s="116" t="e">
        <v>#N/A</v>
      </c>
      <c r="AB2422" s="113" t="e">
        <v>#N/A</v>
      </c>
    </row>
    <row r="2423" spans="17:28" x14ac:dyDescent="0.2">
      <c r="Q2423" s="72"/>
      <c r="T2423" s="72"/>
      <c r="U2423" s="93"/>
      <c r="X2423" s="114" t="str">
        <f t="shared" si="50"/>
        <v>1w</v>
      </c>
      <c r="Y2423" s="112">
        <f>_xll.qlCalendarAdvance(Calendar,Y2422,X2423,"f",FALSE)</f>
        <v>56171</v>
      </c>
      <c r="Z2423" s="115">
        <f>_xll.qlCalendarAdvance(Calendar,Y2423,NDays&amp;"D")</f>
        <v>56171</v>
      </c>
      <c r="AA2423" s="116" t="e">
        <v>#N/A</v>
      </c>
      <c r="AB2423" s="113" t="e">
        <v>#N/A</v>
      </c>
    </row>
    <row r="2424" spans="17:28" x14ac:dyDescent="0.2">
      <c r="Q2424" s="72"/>
      <c r="T2424" s="72"/>
      <c r="U2424" s="93"/>
      <c r="X2424" s="114" t="str">
        <f t="shared" si="50"/>
        <v>1w</v>
      </c>
      <c r="Y2424" s="112">
        <f>_xll.qlCalendarAdvance(Calendar,Y2423,X2424,"f",FALSE)</f>
        <v>56178</v>
      </c>
      <c r="Z2424" s="115">
        <f>_xll.qlCalendarAdvance(Calendar,Y2424,NDays&amp;"D")</f>
        <v>56178</v>
      </c>
      <c r="AA2424" s="116" t="e">
        <v>#N/A</v>
      </c>
      <c r="AB2424" s="113" t="e">
        <v>#N/A</v>
      </c>
    </row>
    <row r="2425" spans="17:28" x14ac:dyDescent="0.2">
      <c r="Q2425" s="72"/>
      <c r="T2425" s="72"/>
      <c r="U2425" s="93"/>
      <c r="X2425" s="114" t="str">
        <f t="shared" si="50"/>
        <v>1w</v>
      </c>
      <c r="Y2425" s="112">
        <f>_xll.qlCalendarAdvance(Calendar,Y2424,X2425,"f",FALSE)</f>
        <v>56185</v>
      </c>
      <c r="Z2425" s="115">
        <f>_xll.qlCalendarAdvance(Calendar,Y2425,NDays&amp;"D")</f>
        <v>56185</v>
      </c>
      <c r="AA2425" s="116" t="e">
        <v>#N/A</v>
      </c>
      <c r="AB2425" s="113" t="e">
        <v>#N/A</v>
      </c>
    </row>
    <row r="2426" spans="17:28" x14ac:dyDescent="0.2">
      <c r="Q2426" s="72"/>
      <c r="T2426" s="72"/>
      <c r="U2426" s="93"/>
      <c r="X2426" s="114" t="str">
        <f t="shared" si="50"/>
        <v>1w</v>
      </c>
      <c r="Y2426" s="112">
        <f>_xll.qlCalendarAdvance(Calendar,Y2425,X2426,"f",FALSE)</f>
        <v>56192</v>
      </c>
      <c r="Z2426" s="115">
        <f>_xll.qlCalendarAdvance(Calendar,Y2426,NDays&amp;"D")</f>
        <v>56192</v>
      </c>
      <c r="AA2426" s="116" t="e">
        <v>#N/A</v>
      </c>
      <c r="AB2426" s="113" t="e">
        <v>#N/A</v>
      </c>
    </row>
    <row r="2427" spans="17:28" x14ac:dyDescent="0.2">
      <c r="Q2427" s="72"/>
      <c r="T2427" s="72"/>
      <c r="U2427" s="93"/>
      <c r="X2427" s="114" t="str">
        <f t="shared" si="50"/>
        <v>1w</v>
      </c>
      <c r="Y2427" s="112">
        <f>_xll.qlCalendarAdvance(Calendar,Y2426,X2427,"f",FALSE)</f>
        <v>56199</v>
      </c>
      <c r="Z2427" s="115">
        <f>_xll.qlCalendarAdvance(Calendar,Y2427,NDays&amp;"D")</f>
        <v>56199</v>
      </c>
      <c r="AA2427" s="116" t="e">
        <v>#N/A</v>
      </c>
      <c r="AB2427" s="113" t="e">
        <v>#N/A</v>
      </c>
    </row>
    <row r="2428" spans="17:28" x14ac:dyDescent="0.2">
      <c r="Q2428" s="72"/>
      <c r="T2428" s="72"/>
      <c r="U2428" s="93"/>
      <c r="X2428" s="114" t="str">
        <f t="shared" si="50"/>
        <v>1w</v>
      </c>
      <c r="Y2428" s="112">
        <f>_xll.qlCalendarAdvance(Calendar,Y2427,X2428,"f",FALSE)</f>
        <v>56206</v>
      </c>
      <c r="Z2428" s="115">
        <f>_xll.qlCalendarAdvance(Calendar,Y2428,NDays&amp;"D")</f>
        <v>56206</v>
      </c>
      <c r="AA2428" s="116" t="e">
        <v>#N/A</v>
      </c>
      <c r="AB2428" s="113" t="e">
        <v>#N/A</v>
      </c>
    </row>
    <row r="2429" spans="17:28" x14ac:dyDescent="0.2">
      <c r="Q2429" s="72"/>
      <c r="T2429" s="72"/>
      <c r="U2429" s="93"/>
      <c r="X2429" s="114" t="str">
        <f t="shared" si="50"/>
        <v>1w</v>
      </c>
      <c r="Y2429" s="112">
        <f>_xll.qlCalendarAdvance(Calendar,Y2428,X2429,"f",FALSE)</f>
        <v>56213</v>
      </c>
      <c r="Z2429" s="115">
        <f>_xll.qlCalendarAdvance(Calendar,Y2429,NDays&amp;"D")</f>
        <v>56213</v>
      </c>
      <c r="AA2429" s="116" t="e">
        <v>#N/A</v>
      </c>
      <c r="AB2429" s="113" t="e">
        <v>#N/A</v>
      </c>
    </row>
    <row r="2430" spans="17:28" x14ac:dyDescent="0.2">
      <c r="Q2430" s="72"/>
      <c r="T2430" s="72"/>
      <c r="U2430" s="93"/>
      <c r="X2430" s="114" t="str">
        <f t="shared" si="50"/>
        <v>1w</v>
      </c>
      <c r="Y2430" s="112">
        <f>_xll.qlCalendarAdvance(Calendar,Y2429,X2430,"f",FALSE)</f>
        <v>56220</v>
      </c>
      <c r="Z2430" s="115">
        <f>_xll.qlCalendarAdvance(Calendar,Y2430,NDays&amp;"D")</f>
        <v>56220</v>
      </c>
      <c r="AA2430" s="116" t="e">
        <v>#N/A</v>
      </c>
      <c r="AB2430" s="113" t="e">
        <v>#N/A</v>
      </c>
    </row>
    <row r="2431" spans="17:28" x14ac:dyDescent="0.2">
      <c r="Q2431" s="72"/>
      <c r="T2431" s="72"/>
      <c r="U2431" s="93"/>
      <c r="X2431" s="114" t="str">
        <f t="shared" si="50"/>
        <v>1w</v>
      </c>
      <c r="Y2431" s="112">
        <f>_xll.qlCalendarAdvance(Calendar,Y2430,X2431,"f",FALSE)</f>
        <v>56227</v>
      </c>
      <c r="Z2431" s="115">
        <f>_xll.qlCalendarAdvance(Calendar,Y2431,NDays&amp;"D")</f>
        <v>56227</v>
      </c>
      <c r="AA2431" s="116" t="e">
        <v>#N/A</v>
      </c>
      <c r="AB2431" s="113" t="e">
        <v>#N/A</v>
      </c>
    </row>
    <row r="2432" spans="17:28" x14ac:dyDescent="0.2">
      <c r="Q2432" s="72"/>
      <c r="T2432" s="72"/>
      <c r="U2432" s="93"/>
      <c r="X2432" s="114" t="str">
        <f t="shared" si="50"/>
        <v>1w</v>
      </c>
      <c r="Y2432" s="112">
        <f>_xll.qlCalendarAdvance(Calendar,Y2431,X2432,"f",FALSE)</f>
        <v>56234</v>
      </c>
      <c r="Z2432" s="115">
        <f>_xll.qlCalendarAdvance(Calendar,Y2432,NDays&amp;"D")</f>
        <v>56234</v>
      </c>
      <c r="AA2432" s="116" t="e">
        <v>#N/A</v>
      </c>
      <c r="AB2432" s="113" t="e">
        <v>#N/A</v>
      </c>
    </row>
    <row r="2433" spans="17:28" x14ac:dyDescent="0.2">
      <c r="Q2433" s="72"/>
      <c r="T2433" s="72"/>
      <c r="U2433" s="93"/>
      <c r="X2433" s="114" t="str">
        <f t="shared" si="50"/>
        <v>1w</v>
      </c>
      <c r="Y2433" s="112">
        <f>_xll.qlCalendarAdvance(Calendar,Y2432,X2433,"f",FALSE)</f>
        <v>56241</v>
      </c>
      <c r="Z2433" s="115">
        <f>_xll.qlCalendarAdvance(Calendar,Y2433,NDays&amp;"D")</f>
        <v>56241</v>
      </c>
      <c r="AA2433" s="116" t="e">
        <v>#N/A</v>
      </c>
      <c r="AB2433" s="113" t="e">
        <v>#N/A</v>
      </c>
    </row>
    <row r="2434" spans="17:28" x14ac:dyDescent="0.2">
      <c r="Q2434" s="72"/>
      <c r="T2434" s="72"/>
      <c r="U2434" s="93"/>
      <c r="X2434" s="114" t="str">
        <f t="shared" si="50"/>
        <v>1w</v>
      </c>
      <c r="Y2434" s="112">
        <f>_xll.qlCalendarAdvance(Calendar,Y2433,X2434,"f",FALSE)</f>
        <v>56248</v>
      </c>
      <c r="Z2434" s="115">
        <f>_xll.qlCalendarAdvance(Calendar,Y2434,NDays&amp;"D")</f>
        <v>56248</v>
      </c>
      <c r="AA2434" s="116" t="e">
        <v>#N/A</v>
      </c>
      <c r="AB2434" s="113" t="e">
        <v>#N/A</v>
      </c>
    </row>
    <row r="2435" spans="17:28" x14ac:dyDescent="0.2">
      <c r="Q2435" s="72"/>
      <c r="T2435" s="72"/>
      <c r="U2435" s="93"/>
      <c r="X2435" s="114" t="str">
        <f t="shared" si="50"/>
        <v>1w</v>
      </c>
      <c r="Y2435" s="112">
        <f>_xll.qlCalendarAdvance(Calendar,Y2434,X2435,"f",FALSE)</f>
        <v>56255</v>
      </c>
      <c r="Z2435" s="115">
        <f>_xll.qlCalendarAdvance(Calendar,Y2435,NDays&amp;"D")</f>
        <v>56255</v>
      </c>
      <c r="AA2435" s="116" t="e">
        <v>#N/A</v>
      </c>
      <c r="AB2435" s="113" t="e">
        <v>#N/A</v>
      </c>
    </row>
    <row r="2436" spans="17:28" x14ac:dyDescent="0.2">
      <c r="Q2436" s="72"/>
      <c r="T2436" s="72"/>
      <c r="U2436" s="93"/>
      <c r="X2436" s="114" t="str">
        <f t="shared" si="50"/>
        <v>1w</v>
      </c>
      <c r="Y2436" s="112">
        <f>_xll.qlCalendarAdvance(Calendar,Y2435,X2436,"f",FALSE)</f>
        <v>56262</v>
      </c>
      <c r="Z2436" s="115">
        <f>_xll.qlCalendarAdvance(Calendar,Y2436,NDays&amp;"D")</f>
        <v>56262</v>
      </c>
      <c r="AA2436" s="116" t="e">
        <v>#N/A</v>
      </c>
      <c r="AB2436" s="113" t="e">
        <v>#N/A</v>
      </c>
    </row>
    <row r="2437" spans="17:28" x14ac:dyDescent="0.2">
      <c r="Q2437" s="72"/>
      <c r="T2437" s="72"/>
      <c r="U2437" s="93"/>
      <c r="X2437" s="114" t="str">
        <f t="shared" si="50"/>
        <v>1w</v>
      </c>
      <c r="Y2437" s="112">
        <f>_xll.qlCalendarAdvance(Calendar,Y2436,X2437,"f",FALSE)</f>
        <v>56269</v>
      </c>
      <c r="Z2437" s="115">
        <f>_xll.qlCalendarAdvance(Calendar,Y2437,NDays&amp;"D")</f>
        <v>56269</v>
      </c>
      <c r="AA2437" s="116" t="e">
        <v>#N/A</v>
      </c>
      <c r="AB2437" s="113" t="e">
        <v>#N/A</v>
      </c>
    </row>
    <row r="2438" spans="17:28" x14ac:dyDescent="0.2">
      <c r="Q2438" s="72"/>
      <c r="T2438" s="72"/>
      <c r="U2438" s="93"/>
      <c r="X2438" s="114" t="str">
        <f t="shared" si="50"/>
        <v>1w</v>
      </c>
      <c r="Y2438" s="112">
        <f>_xll.qlCalendarAdvance(Calendar,Y2437,X2438,"f",FALSE)</f>
        <v>56276</v>
      </c>
      <c r="Z2438" s="115">
        <f>_xll.qlCalendarAdvance(Calendar,Y2438,NDays&amp;"D")</f>
        <v>56276</v>
      </c>
      <c r="AA2438" s="116" t="e">
        <v>#N/A</v>
      </c>
      <c r="AB2438" s="113" t="e">
        <v>#N/A</v>
      </c>
    </row>
    <row r="2439" spans="17:28" x14ac:dyDescent="0.2">
      <c r="Q2439" s="72"/>
      <c r="T2439" s="72"/>
      <c r="U2439" s="93"/>
      <c r="X2439" s="114" t="str">
        <f t="shared" si="50"/>
        <v>1w</v>
      </c>
      <c r="Y2439" s="112">
        <f>_xll.qlCalendarAdvance(Calendar,Y2438,X2439,"f",FALSE)</f>
        <v>56283</v>
      </c>
      <c r="Z2439" s="115">
        <f>_xll.qlCalendarAdvance(Calendar,Y2439,NDays&amp;"D")</f>
        <v>56283</v>
      </c>
      <c r="AA2439" s="116" t="e">
        <v>#N/A</v>
      </c>
      <c r="AB2439" s="113" t="e">
        <v>#N/A</v>
      </c>
    </row>
    <row r="2440" spans="17:28" x14ac:dyDescent="0.2">
      <c r="Q2440" s="72"/>
      <c r="T2440" s="72"/>
      <c r="U2440" s="93"/>
      <c r="X2440" s="114" t="str">
        <f t="shared" si="50"/>
        <v>1w</v>
      </c>
      <c r="Y2440" s="112">
        <f>_xll.qlCalendarAdvance(Calendar,Y2439,X2440,"f",FALSE)</f>
        <v>56290</v>
      </c>
      <c r="Z2440" s="115">
        <f>_xll.qlCalendarAdvance(Calendar,Y2440,NDays&amp;"D")</f>
        <v>56290</v>
      </c>
      <c r="AA2440" s="116" t="e">
        <v>#N/A</v>
      </c>
      <c r="AB2440" s="113" t="e">
        <v>#N/A</v>
      </c>
    </row>
    <row r="2441" spans="17:28" x14ac:dyDescent="0.2">
      <c r="Q2441" s="72"/>
      <c r="T2441" s="72"/>
      <c r="U2441" s="93"/>
      <c r="X2441" s="114" t="str">
        <f t="shared" si="50"/>
        <v>1w</v>
      </c>
      <c r="Y2441" s="112">
        <f>_xll.qlCalendarAdvance(Calendar,Y2440,X2441,"f",FALSE)</f>
        <v>56297</v>
      </c>
      <c r="Z2441" s="115">
        <f>_xll.qlCalendarAdvance(Calendar,Y2441,NDays&amp;"D")</f>
        <v>56297</v>
      </c>
      <c r="AA2441" s="116" t="e">
        <v>#N/A</v>
      </c>
      <c r="AB2441" s="113" t="e">
        <v>#N/A</v>
      </c>
    </row>
    <row r="2442" spans="17:28" x14ac:dyDescent="0.2">
      <c r="Q2442" s="72"/>
      <c r="T2442" s="72"/>
      <c r="U2442" s="93"/>
      <c r="X2442" s="114" t="str">
        <f t="shared" si="50"/>
        <v>1w</v>
      </c>
      <c r="Y2442" s="112">
        <f>_xll.qlCalendarAdvance(Calendar,Y2441,X2442,"f",FALSE)</f>
        <v>56304</v>
      </c>
      <c r="Z2442" s="115">
        <f>_xll.qlCalendarAdvance(Calendar,Y2442,NDays&amp;"D")</f>
        <v>56304</v>
      </c>
      <c r="AA2442" s="116" t="e">
        <v>#N/A</v>
      </c>
      <c r="AB2442" s="113" t="e">
        <v>#N/A</v>
      </c>
    </row>
    <row r="2443" spans="17:28" x14ac:dyDescent="0.2">
      <c r="Q2443" s="72"/>
      <c r="T2443" s="72"/>
      <c r="U2443" s="93"/>
      <c r="X2443" s="114" t="str">
        <f t="shared" si="50"/>
        <v>1w</v>
      </c>
      <c r="Y2443" s="112">
        <f>_xll.qlCalendarAdvance(Calendar,Y2442,X2443,"f",FALSE)</f>
        <v>56311</v>
      </c>
      <c r="Z2443" s="115">
        <f>_xll.qlCalendarAdvance(Calendar,Y2443,NDays&amp;"D")</f>
        <v>56311</v>
      </c>
      <c r="AA2443" s="116" t="e">
        <v>#N/A</v>
      </c>
      <c r="AB2443" s="113" t="e">
        <v>#N/A</v>
      </c>
    </row>
    <row r="2444" spans="17:28" x14ac:dyDescent="0.2">
      <c r="Q2444" s="72"/>
      <c r="T2444" s="72"/>
      <c r="U2444" s="93"/>
      <c r="X2444" s="114" t="str">
        <f t="shared" si="50"/>
        <v>1w</v>
      </c>
      <c r="Y2444" s="112">
        <f>_xll.qlCalendarAdvance(Calendar,Y2443,X2444,"f",FALSE)</f>
        <v>56318</v>
      </c>
      <c r="Z2444" s="115">
        <f>_xll.qlCalendarAdvance(Calendar,Y2444,NDays&amp;"D")</f>
        <v>56318</v>
      </c>
      <c r="AA2444" s="116" t="e">
        <v>#N/A</v>
      </c>
      <c r="AB2444" s="113" t="e">
        <v>#N/A</v>
      </c>
    </row>
    <row r="2445" spans="17:28" x14ac:dyDescent="0.2">
      <c r="Q2445" s="72"/>
      <c r="T2445" s="72"/>
      <c r="U2445" s="93"/>
      <c r="X2445" s="114" t="str">
        <f t="shared" si="50"/>
        <v>1w</v>
      </c>
      <c r="Y2445" s="112">
        <f>_xll.qlCalendarAdvance(Calendar,Y2444,X2445,"f",FALSE)</f>
        <v>56325</v>
      </c>
      <c r="Z2445" s="115">
        <f>_xll.qlCalendarAdvance(Calendar,Y2445,NDays&amp;"D")</f>
        <v>56325</v>
      </c>
      <c r="AA2445" s="116" t="e">
        <v>#N/A</v>
      </c>
      <c r="AB2445" s="113" t="e">
        <v>#N/A</v>
      </c>
    </row>
    <row r="2446" spans="17:28" x14ac:dyDescent="0.2">
      <c r="Q2446" s="72"/>
      <c r="T2446" s="72"/>
      <c r="U2446" s="93"/>
      <c r="X2446" s="114" t="str">
        <f t="shared" si="50"/>
        <v>1w</v>
      </c>
      <c r="Y2446" s="112">
        <f>_xll.qlCalendarAdvance(Calendar,Y2445,X2446,"f",FALSE)</f>
        <v>56332</v>
      </c>
      <c r="Z2446" s="115">
        <f>_xll.qlCalendarAdvance(Calendar,Y2446,NDays&amp;"D")</f>
        <v>56332</v>
      </c>
      <c r="AA2446" s="116" t="e">
        <v>#N/A</v>
      </c>
      <c r="AB2446" s="113" t="e">
        <v>#N/A</v>
      </c>
    </row>
    <row r="2447" spans="17:28" x14ac:dyDescent="0.2">
      <c r="Q2447" s="72"/>
      <c r="T2447" s="72"/>
      <c r="U2447" s="93"/>
      <c r="X2447" s="114" t="str">
        <f t="shared" si="50"/>
        <v>1w</v>
      </c>
      <c r="Y2447" s="112">
        <f>_xll.qlCalendarAdvance(Calendar,Y2446,X2447,"f",FALSE)</f>
        <v>56339</v>
      </c>
      <c r="Z2447" s="115">
        <f>_xll.qlCalendarAdvance(Calendar,Y2447,NDays&amp;"D")</f>
        <v>56339</v>
      </c>
      <c r="AA2447" s="116" t="e">
        <v>#N/A</v>
      </c>
      <c r="AB2447" s="113" t="e">
        <v>#N/A</v>
      </c>
    </row>
    <row r="2448" spans="17:28" x14ac:dyDescent="0.2">
      <c r="Q2448" s="72"/>
      <c r="T2448" s="72"/>
      <c r="U2448" s="93"/>
      <c r="X2448" s="114" t="str">
        <f t="shared" si="50"/>
        <v>1w</v>
      </c>
      <c r="Y2448" s="112">
        <f>_xll.qlCalendarAdvance(Calendar,Y2447,X2448,"f",FALSE)</f>
        <v>56346</v>
      </c>
      <c r="Z2448" s="115">
        <f>_xll.qlCalendarAdvance(Calendar,Y2448,NDays&amp;"D")</f>
        <v>56346</v>
      </c>
      <c r="AA2448" s="116" t="e">
        <v>#N/A</v>
      </c>
      <c r="AB2448" s="113" t="e">
        <v>#N/A</v>
      </c>
    </row>
    <row r="2449" spans="17:28" x14ac:dyDescent="0.2">
      <c r="Q2449" s="72"/>
      <c r="T2449" s="72"/>
      <c r="U2449" s="93"/>
      <c r="X2449" s="114" t="str">
        <f t="shared" si="50"/>
        <v>1w</v>
      </c>
      <c r="Y2449" s="112">
        <f>_xll.qlCalendarAdvance(Calendar,Y2448,X2449,"f",FALSE)</f>
        <v>56353</v>
      </c>
      <c r="Z2449" s="115">
        <f>_xll.qlCalendarAdvance(Calendar,Y2449,NDays&amp;"D")</f>
        <v>56353</v>
      </c>
      <c r="AA2449" s="116" t="e">
        <v>#N/A</v>
      </c>
      <c r="AB2449" s="113" t="e">
        <v>#N/A</v>
      </c>
    </row>
    <row r="2450" spans="17:28" x14ac:dyDescent="0.2">
      <c r="Q2450" s="72"/>
      <c r="T2450" s="72"/>
      <c r="U2450" s="93"/>
      <c r="X2450" s="114" t="str">
        <f t="shared" si="50"/>
        <v>1w</v>
      </c>
      <c r="Y2450" s="112">
        <f>_xll.qlCalendarAdvance(Calendar,Y2449,X2450,"f",FALSE)</f>
        <v>56360</v>
      </c>
      <c r="Z2450" s="115">
        <f>_xll.qlCalendarAdvance(Calendar,Y2450,NDays&amp;"D")</f>
        <v>56360</v>
      </c>
      <c r="AA2450" s="116" t="e">
        <v>#N/A</v>
      </c>
      <c r="AB2450" s="113" t="e">
        <v>#N/A</v>
      </c>
    </row>
    <row r="2451" spans="17:28" x14ac:dyDescent="0.2">
      <c r="Q2451" s="72"/>
      <c r="T2451" s="72"/>
      <c r="U2451" s="93"/>
      <c r="X2451" s="114" t="str">
        <f t="shared" si="50"/>
        <v>1w</v>
      </c>
      <c r="Y2451" s="112">
        <f>_xll.qlCalendarAdvance(Calendar,Y2450,X2451,"f",FALSE)</f>
        <v>56367</v>
      </c>
      <c r="Z2451" s="115">
        <f>_xll.qlCalendarAdvance(Calendar,Y2451,NDays&amp;"D")</f>
        <v>56367</v>
      </c>
      <c r="AA2451" s="116" t="e">
        <v>#N/A</v>
      </c>
      <c r="AB2451" s="113" t="e">
        <v>#N/A</v>
      </c>
    </row>
    <row r="2452" spans="17:28" x14ac:dyDescent="0.2">
      <c r="Q2452" s="72"/>
      <c r="T2452" s="72"/>
      <c r="U2452" s="93"/>
      <c r="X2452" s="114" t="str">
        <f t="shared" si="50"/>
        <v>1w</v>
      </c>
      <c r="Y2452" s="112">
        <f>_xll.qlCalendarAdvance(Calendar,Y2451,X2452,"f",FALSE)</f>
        <v>56374</v>
      </c>
      <c r="Z2452" s="115">
        <f>_xll.qlCalendarAdvance(Calendar,Y2452,NDays&amp;"D")</f>
        <v>56374</v>
      </c>
      <c r="AA2452" s="116" t="e">
        <v>#N/A</v>
      </c>
      <c r="AB2452" s="113" t="e">
        <v>#N/A</v>
      </c>
    </row>
    <row r="2453" spans="17:28" x14ac:dyDescent="0.2">
      <c r="Q2453" s="72"/>
      <c r="T2453" s="72"/>
      <c r="U2453" s="93"/>
      <c r="X2453" s="114" t="str">
        <f t="shared" ref="X2453:X2516" si="51">X2452</f>
        <v>1w</v>
      </c>
      <c r="Y2453" s="112">
        <f>_xll.qlCalendarAdvance(Calendar,Y2452,X2453,"f",FALSE)</f>
        <v>56381</v>
      </c>
      <c r="Z2453" s="115">
        <f>_xll.qlCalendarAdvance(Calendar,Y2453,NDays&amp;"D")</f>
        <v>56381</v>
      </c>
      <c r="AA2453" s="116" t="e">
        <v>#N/A</v>
      </c>
      <c r="AB2453" s="113" t="e">
        <v>#N/A</v>
      </c>
    </row>
    <row r="2454" spans="17:28" x14ac:dyDescent="0.2">
      <c r="Q2454" s="72"/>
      <c r="T2454" s="72"/>
      <c r="U2454" s="93"/>
      <c r="X2454" s="114" t="str">
        <f t="shared" si="51"/>
        <v>1w</v>
      </c>
      <c r="Y2454" s="112">
        <f>_xll.qlCalendarAdvance(Calendar,Y2453,X2454,"f",FALSE)</f>
        <v>56388</v>
      </c>
      <c r="Z2454" s="115">
        <f>_xll.qlCalendarAdvance(Calendar,Y2454,NDays&amp;"D")</f>
        <v>56388</v>
      </c>
      <c r="AA2454" s="116" t="e">
        <v>#N/A</v>
      </c>
      <c r="AB2454" s="113" t="e">
        <v>#N/A</v>
      </c>
    </row>
    <row r="2455" spans="17:28" x14ac:dyDescent="0.2">
      <c r="Q2455" s="72"/>
      <c r="T2455" s="72"/>
      <c r="U2455" s="93"/>
      <c r="X2455" s="114" t="str">
        <f t="shared" si="51"/>
        <v>1w</v>
      </c>
      <c r="Y2455" s="112">
        <f>_xll.qlCalendarAdvance(Calendar,Y2454,X2455,"f",FALSE)</f>
        <v>56395</v>
      </c>
      <c r="Z2455" s="115">
        <f>_xll.qlCalendarAdvance(Calendar,Y2455,NDays&amp;"D")</f>
        <v>56395</v>
      </c>
      <c r="AA2455" s="116" t="e">
        <v>#N/A</v>
      </c>
      <c r="AB2455" s="113" t="e">
        <v>#N/A</v>
      </c>
    </row>
    <row r="2456" spans="17:28" x14ac:dyDescent="0.2">
      <c r="Q2456" s="72"/>
      <c r="T2456" s="72"/>
      <c r="U2456" s="93"/>
      <c r="X2456" s="114" t="str">
        <f t="shared" si="51"/>
        <v>1w</v>
      </c>
      <c r="Y2456" s="112">
        <f>_xll.qlCalendarAdvance(Calendar,Y2455,X2456,"f",FALSE)</f>
        <v>56402</v>
      </c>
      <c r="Z2456" s="115">
        <f>_xll.qlCalendarAdvance(Calendar,Y2456,NDays&amp;"D")</f>
        <v>56402</v>
      </c>
      <c r="AA2456" s="116" t="e">
        <v>#N/A</v>
      </c>
      <c r="AB2456" s="113" t="e">
        <v>#N/A</v>
      </c>
    </row>
    <row r="2457" spans="17:28" x14ac:dyDescent="0.2">
      <c r="Q2457" s="72"/>
      <c r="T2457" s="72"/>
      <c r="U2457" s="93"/>
      <c r="X2457" s="114" t="str">
        <f t="shared" si="51"/>
        <v>1w</v>
      </c>
      <c r="Y2457" s="112">
        <f>_xll.qlCalendarAdvance(Calendar,Y2456,X2457,"f",FALSE)</f>
        <v>56409</v>
      </c>
      <c r="Z2457" s="115">
        <f>_xll.qlCalendarAdvance(Calendar,Y2457,NDays&amp;"D")</f>
        <v>56409</v>
      </c>
      <c r="AA2457" s="116" t="e">
        <v>#N/A</v>
      </c>
      <c r="AB2457" s="113" t="e">
        <v>#N/A</v>
      </c>
    </row>
    <row r="2458" spans="17:28" x14ac:dyDescent="0.2">
      <c r="Q2458" s="72"/>
      <c r="T2458" s="72"/>
      <c r="U2458" s="93"/>
      <c r="X2458" s="114" t="str">
        <f t="shared" si="51"/>
        <v>1w</v>
      </c>
      <c r="Y2458" s="112">
        <f>_xll.qlCalendarAdvance(Calendar,Y2457,X2458,"f",FALSE)</f>
        <v>56416</v>
      </c>
      <c r="Z2458" s="115">
        <f>_xll.qlCalendarAdvance(Calendar,Y2458,NDays&amp;"D")</f>
        <v>56416</v>
      </c>
      <c r="AA2458" s="116" t="e">
        <v>#N/A</v>
      </c>
      <c r="AB2458" s="113" t="e">
        <v>#N/A</v>
      </c>
    </row>
    <row r="2459" spans="17:28" x14ac:dyDescent="0.2">
      <c r="Q2459" s="72"/>
      <c r="T2459" s="72"/>
      <c r="U2459" s="93"/>
      <c r="X2459" s="114" t="str">
        <f t="shared" si="51"/>
        <v>1w</v>
      </c>
      <c r="Y2459" s="112">
        <f>_xll.qlCalendarAdvance(Calendar,Y2458,X2459,"f",FALSE)</f>
        <v>56423</v>
      </c>
      <c r="Z2459" s="115">
        <f>_xll.qlCalendarAdvance(Calendar,Y2459,NDays&amp;"D")</f>
        <v>56423</v>
      </c>
      <c r="AA2459" s="116" t="e">
        <v>#N/A</v>
      </c>
      <c r="AB2459" s="113" t="e">
        <v>#N/A</v>
      </c>
    </row>
    <row r="2460" spans="17:28" x14ac:dyDescent="0.2">
      <c r="Q2460" s="72"/>
      <c r="T2460" s="72"/>
      <c r="U2460" s="93"/>
      <c r="X2460" s="114" t="str">
        <f t="shared" si="51"/>
        <v>1w</v>
      </c>
      <c r="Y2460" s="112">
        <f>_xll.qlCalendarAdvance(Calendar,Y2459,X2460,"f",FALSE)</f>
        <v>56430</v>
      </c>
      <c r="Z2460" s="115">
        <f>_xll.qlCalendarAdvance(Calendar,Y2460,NDays&amp;"D")</f>
        <v>56430</v>
      </c>
      <c r="AA2460" s="116" t="e">
        <v>#N/A</v>
      </c>
      <c r="AB2460" s="113" t="e">
        <v>#N/A</v>
      </c>
    </row>
    <row r="2461" spans="17:28" x14ac:dyDescent="0.2">
      <c r="Q2461" s="72"/>
      <c r="T2461" s="72"/>
      <c r="U2461" s="93"/>
      <c r="X2461" s="114" t="str">
        <f t="shared" si="51"/>
        <v>1w</v>
      </c>
      <c r="Y2461" s="112">
        <f>_xll.qlCalendarAdvance(Calendar,Y2460,X2461,"f",FALSE)</f>
        <v>56437</v>
      </c>
      <c r="Z2461" s="115">
        <f>_xll.qlCalendarAdvance(Calendar,Y2461,NDays&amp;"D")</f>
        <v>56437</v>
      </c>
      <c r="AA2461" s="116" t="e">
        <v>#N/A</v>
      </c>
      <c r="AB2461" s="113" t="e">
        <v>#N/A</v>
      </c>
    </row>
    <row r="2462" spans="17:28" x14ac:dyDescent="0.2">
      <c r="Q2462" s="72"/>
      <c r="T2462" s="72"/>
      <c r="U2462" s="93"/>
      <c r="X2462" s="114" t="str">
        <f t="shared" si="51"/>
        <v>1w</v>
      </c>
      <c r="Y2462" s="112">
        <f>_xll.qlCalendarAdvance(Calendar,Y2461,X2462,"f",FALSE)</f>
        <v>56444</v>
      </c>
      <c r="Z2462" s="115">
        <f>_xll.qlCalendarAdvance(Calendar,Y2462,NDays&amp;"D")</f>
        <v>56444</v>
      </c>
      <c r="AA2462" s="116" t="e">
        <v>#N/A</v>
      </c>
      <c r="AB2462" s="113" t="e">
        <v>#N/A</v>
      </c>
    </row>
    <row r="2463" spans="17:28" x14ac:dyDescent="0.2">
      <c r="Q2463" s="72"/>
      <c r="T2463" s="72"/>
      <c r="U2463" s="93"/>
      <c r="X2463" s="114" t="str">
        <f t="shared" si="51"/>
        <v>1w</v>
      </c>
      <c r="Y2463" s="112">
        <f>_xll.qlCalendarAdvance(Calendar,Y2462,X2463,"f",FALSE)</f>
        <v>56451</v>
      </c>
      <c r="Z2463" s="115">
        <f>_xll.qlCalendarAdvance(Calendar,Y2463,NDays&amp;"D")</f>
        <v>56451</v>
      </c>
      <c r="AA2463" s="116" t="e">
        <v>#N/A</v>
      </c>
      <c r="AB2463" s="113" t="e">
        <v>#N/A</v>
      </c>
    </row>
    <row r="2464" spans="17:28" x14ac:dyDescent="0.2">
      <c r="Q2464" s="72"/>
      <c r="T2464" s="72"/>
      <c r="U2464" s="93"/>
      <c r="X2464" s="114" t="str">
        <f t="shared" si="51"/>
        <v>1w</v>
      </c>
      <c r="Y2464" s="112">
        <f>_xll.qlCalendarAdvance(Calendar,Y2463,X2464,"f",FALSE)</f>
        <v>56458</v>
      </c>
      <c r="Z2464" s="115">
        <f>_xll.qlCalendarAdvance(Calendar,Y2464,NDays&amp;"D")</f>
        <v>56458</v>
      </c>
      <c r="AA2464" s="116" t="e">
        <v>#N/A</v>
      </c>
      <c r="AB2464" s="113" t="e">
        <v>#N/A</v>
      </c>
    </row>
    <row r="2465" spans="17:28" x14ac:dyDescent="0.2">
      <c r="Q2465" s="72"/>
      <c r="T2465" s="72"/>
      <c r="U2465" s="93"/>
      <c r="X2465" s="114" t="str">
        <f t="shared" si="51"/>
        <v>1w</v>
      </c>
      <c r="Y2465" s="112">
        <f>_xll.qlCalendarAdvance(Calendar,Y2464,X2465,"f",FALSE)</f>
        <v>56465</v>
      </c>
      <c r="Z2465" s="115">
        <f>_xll.qlCalendarAdvance(Calendar,Y2465,NDays&amp;"D")</f>
        <v>56465</v>
      </c>
      <c r="AA2465" s="116" t="e">
        <v>#N/A</v>
      </c>
      <c r="AB2465" s="113" t="e">
        <v>#N/A</v>
      </c>
    </row>
    <row r="2466" spans="17:28" x14ac:dyDescent="0.2">
      <c r="Q2466" s="72"/>
      <c r="T2466" s="72"/>
      <c r="U2466" s="93"/>
      <c r="X2466" s="114" t="str">
        <f t="shared" si="51"/>
        <v>1w</v>
      </c>
      <c r="Y2466" s="112">
        <f>_xll.qlCalendarAdvance(Calendar,Y2465,X2466,"f",FALSE)</f>
        <v>56472</v>
      </c>
      <c r="Z2466" s="115">
        <f>_xll.qlCalendarAdvance(Calendar,Y2466,NDays&amp;"D")</f>
        <v>56472</v>
      </c>
      <c r="AA2466" s="116" t="e">
        <v>#N/A</v>
      </c>
      <c r="AB2466" s="113" t="e">
        <v>#N/A</v>
      </c>
    </row>
    <row r="2467" spans="17:28" x14ac:dyDescent="0.2">
      <c r="Q2467" s="72"/>
      <c r="T2467" s="72"/>
      <c r="U2467" s="93"/>
      <c r="X2467" s="114" t="str">
        <f t="shared" si="51"/>
        <v>1w</v>
      </c>
      <c r="Y2467" s="112">
        <f>_xll.qlCalendarAdvance(Calendar,Y2466,X2467,"f",FALSE)</f>
        <v>56479</v>
      </c>
      <c r="Z2467" s="115">
        <f>_xll.qlCalendarAdvance(Calendar,Y2467,NDays&amp;"D")</f>
        <v>56479</v>
      </c>
      <c r="AA2467" s="116" t="e">
        <v>#N/A</v>
      </c>
      <c r="AB2467" s="113" t="e">
        <v>#N/A</v>
      </c>
    </row>
    <row r="2468" spans="17:28" x14ac:dyDescent="0.2">
      <c r="Q2468" s="72"/>
      <c r="T2468" s="72"/>
      <c r="U2468" s="93"/>
      <c r="X2468" s="114" t="str">
        <f t="shared" si="51"/>
        <v>1w</v>
      </c>
      <c r="Y2468" s="112">
        <f>_xll.qlCalendarAdvance(Calendar,Y2467,X2468,"f",FALSE)</f>
        <v>56486</v>
      </c>
      <c r="Z2468" s="115">
        <f>_xll.qlCalendarAdvance(Calendar,Y2468,NDays&amp;"D")</f>
        <v>56486</v>
      </c>
      <c r="AA2468" s="116" t="e">
        <v>#N/A</v>
      </c>
      <c r="AB2468" s="113" t="e">
        <v>#N/A</v>
      </c>
    </row>
    <row r="2469" spans="17:28" x14ac:dyDescent="0.2">
      <c r="Q2469" s="72"/>
      <c r="T2469" s="72"/>
      <c r="U2469" s="93"/>
      <c r="X2469" s="114" t="str">
        <f t="shared" si="51"/>
        <v>1w</v>
      </c>
      <c r="Y2469" s="112">
        <f>_xll.qlCalendarAdvance(Calendar,Y2468,X2469,"f",FALSE)</f>
        <v>56493</v>
      </c>
      <c r="Z2469" s="115">
        <f>_xll.qlCalendarAdvance(Calendar,Y2469,NDays&amp;"D")</f>
        <v>56493</v>
      </c>
      <c r="AA2469" s="116" t="e">
        <v>#N/A</v>
      </c>
      <c r="AB2469" s="113" t="e">
        <v>#N/A</v>
      </c>
    </row>
    <row r="2470" spans="17:28" x14ac:dyDescent="0.2">
      <c r="Q2470" s="72"/>
      <c r="T2470" s="72"/>
      <c r="U2470" s="93"/>
      <c r="X2470" s="114" t="str">
        <f t="shared" si="51"/>
        <v>1w</v>
      </c>
      <c r="Y2470" s="112">
        <f>_xll.qlCalendarAdvance(Calendar,Y2469,X2470,"f",FALSE)</f>
        <v>56500</v>
      </c>
      <c r="Z2470" s="115">
        <f>_xll.qlCalendarAdvance(Calendar,Y2470,NDays&amp;"D")</f>
        <v>56500</v>
      </c>
      <c r="AA2470" s="116" t="e">
        <v>#N/A</v>
      </c>
      <c r="AB2470" s="113" t="e">
        <v>#N/A</v>
      </c>
    </row>
    <row r="2471" spans="17:28" x14ac:dyDescent="0.2">
      <c r="Q2471" s="72"/>
      <c r="T2471" s="72"/>
      <c r="U2471" s="93"/>
      <c r="X2471" s="114" t="str">
        <f t="shared" si="51"/>
        <v>1w</v>
      </c>
      <c r="Y2471" s="112">
        <f>_xll.qlCalendarAdvance(Calendar,Y2470,X2471,"f",FALSE)</f>
        <v>56507</v>
      </c>
      <c r="Z2471" s="115">
        <f>_xll.qlCalendarAdvance(Calendar,Y2471,NDays&amp;"D")</f>
        <v>56507</v>
      </c>
      <c r="AA2471" s="116" t="e">
        <v>#N/A</v>
      </c>
      <c r="AB2471" s="113" t="e">
        <v>#N/A</v>
      </c>
    </row>
    <row r="2472" spans="17:28" x14ac:dyDescent="0.2">
      <c r="Q2472" s="72"/>
      <c r="T2472" s="72"/>
      <c r="U2472" s="93"/>
      <c r="X2472" s="114" t="str">
        <f t="shared" si="51"/>
        <v>1w</v>
      </c>
      <c r="Y2472" s="112">
        <f>_xll.qlCalendarAdvance(Calendar,Y2471,X2472,"f",FALSE)</f>
        <v>56514</v>
      </c>
      <c r="Z2472" s="115">
        <f>_xll.qlCalendarAdvance(Calendar,Y2472,NDays&amp;"D")</f>
        <v>56514</v>
      </c>
      <c r="AA2472" s="116" t="e">
        <v>#N/A</v>
      </c>
      <c r="AB2472" s="113" t="e">
        <v>#N/A</v>
      </c>
    </row>
    <row r="2473" spans="17:28" x14ac:dyDescent="0.2">
      <c r="Q2473" s="72"/>
      <c r="T2473" s="72"/>
      <c r="U2473" s="93"/>
      <c r="X2473" s="114" t="str">
        <f t="shared" si="51"/>
        <v>1w</v>
      </c>
      <c r="Y2473" s="112">
        <f>_xll.qlCalendarAdvance(Calendar,Y2472,X2473,"f",FALSE)</f>
        <v>56521</v>
      </c>
      <c r="Z2473" s="115">
        <f>_xll.qlCalendarAdvance(Calendar,Y2473,NDays&amp;"D")</f>
        <v>56521</v>
      </c>
      <c r="AA2473" s="116" t="e">
        <v>#N/A</v>
      </c>
      <c r="AB2473" s="113" t="e">
        <v>#N/A</v>
      </c>
    </row>
    <row r="2474" spans="17:28" x14ac:dyDescent="0.2">
      <c r="Q2474" s="72"/>
      <c r="T2474" s="72"/>
      <c r="U2474" s="93"/>
      <c r="X2474" s="114" t="str">
        <f t="shared" si="51"/>
        <v>1w</v>
      </c>
      <c r="Y2474" s="112">
        <f>_xll.qlCalendarAdvance(Calendar,Y2473,X2474,"f",FALSE)</f>
        <v>56528</v>
      </c>
      <c r="Z2474" s="115">
        <f>_xll.qlCalendarAdvance(Calendar,Y2474,NDays&amp;"D")</f>
        <v>56528</v>
      </c>
      <c r="AA2474" s="116" t="e">
        <v>#N/A</v>
      </c>
      <c r="AB2474" s="113" t="e">
        <v>#N/A</v>
      </c>
    </row>
    <row r="2475" spans="17:28" x14ac:dyDescent="0.2">
      <c r="Q2475" s="72"/>
      <c r="T2475" s="72"/>
      <c r="U2475" s="93"/>
      <c r="X2475" s="114" t="str">
        <f t="shared" si="51"/>
        <v>1w</v>
      </c>
      <c r="Y2475" s="112">
        <f>_xll.qlCalendarAdvance(Calendar,Y2474,X2475,"f",FALSE)</f>
        <v>56535</v>
      </c>
      <c r="Z2475" s="115">
        <f>_xll.qlCalendarAdvance(Calendar,Y2475,NDays&amp;"D")</f>
        <v>56535</v>
      </c>
      <c r="AA2475" s="116" t="e">
        <v>#N/A</v>
      </c>
      <c r="AB2475" s="113" t="e">
        <v>#N/A</v>
      </c>
    </row>
    <row r="2476" spans="17:28" x14ac:dyDescent="0.2">
      <c r="Q2476" s="72"/>
      <c r="T2476" s="72"/>
      <c r="U2476" s="93"/>
      <c r="X2476" s="114" t="str">
        <f t="shared" si="51"/>
        <v>1w</v>
      </c>
      <c r="Y2476" s="112">
        <f>_xll.qlCalendarAdvance(Calendar,Y2475,X2476,"f",FALSE)</f>
        <v>56542</v>
      </c>
      <c r="Z2476" s="115">
        <f>_xll.qlCalendarAdvance(Calendar,Y2476,NDays&amp;"D")</f>
        <v>56542</v>
      </c>
      <c r="AA2476" s="116" t="e">
        <v>#N/A</v>
      </c>
      <c r="AB2476" s="113" t="e">
        <v>#N/A</v>
      </c>
    </row>
    <row r="2477" spans="17:28" x14ac:dyDescent="0.2">
      <c r="Q2477" s="72"/>
      <c r="T2477" s="72"/>
      <c r="U2477" s="93"/>
      <c r="X2477" s="114" t="str">
        <f t="shared" si="51"/>
        <v>1w</v>
      </c>
      <c r="Y2477" s="112">
        <f>_xll.qlCalendarAdvance(Calendar,Y2476,X2477,"f",FALSE)</f>
        <v>56549</v>
      </c>
      <c r="Z2477" s="115">
        <f>_xll.qlCalendarAdvance(Calendar,Y2477,NDays&amp;"D")</f>
        <v>56549</v>
      </c>
      <c r="AA2477" s="116" t="e">
        <v>#N/A</v>
      </c>
      <c r="AB2477" s="113" t="e">
        <v>#N/A</v>
      </c>
    </row>
    <row r="2478" spans="17:28" x14ac:dyDescent="0.2">
      <c r="Q2478" s="72"/>
      <c r="T2478" s="72"/>
      <c r="U2478" s="93"/>
      <c r="X2478" s="114" t="str">
        <f t="shared" si="51"/>
        <v>1w</v>
      </c>
      <c r="Y2478" s="112">
        <f>_xll.qlCalendarAdvance(Calendar,Y2477,X2478,"f",FALSE)</f>
        <v>56556</v>
      </c>
      <c r="Z2478" s="115">
        <f>_xll.qlCalendarAdvance(Calendar,Y2478,NDays&amp;"D")</f>
        <v>56556</v>
      </c>
      <c r="AA2478" s="116" t="e">
        <v>#N/A</v>
      </c>
      <c r="AB2478" s="113" t="e">
        <v>#N/A</v>
      </c>
    </row>
    <row r="2479" spans="17:28" x14ac:dyDescent="0.2">
      <c r="Q2479" s="72"/>
      <c r="T2479" s="72"/>
      <c r="U2479" s="93"/>
      <c r="X2479" s="114" t="str">
        <f t="shared" si="51"/>
        <v>1w</v>
      </c>
      <c r="Y2479" s="112">
        <f>_xll.qlCalendarAdvance(Calendar,Y2478,X2479,"f",FALSE)</f>
        <v>56563</v>
      </c>
      <c r="Z2479" s="115">
        <f>_xll.qlCalendarAdvance(Calendar,Y2479,NDays&amp;"D")</f>
        <v>56563</v>
      </c>
      <c r="AA2479" s="116" t="e">
        <v>#N/A</v>
      </c>
      <c r="AB2479" s="113" t="e">
        <v>#N/A</v>
      </c>
    </row>
    <row r="2480" spans="17:28" x14ac:dyDescent="0.2">
      <c r="Q2480" s="72"/>
      <c r="T2480" s="72"/>
      <c r="U2480" s="93"/>
      <c r="X2480" s="114" t="str">
        <f t="shared" si="51"/>
        <v>1w</v>
      </c>
      <c r="Y2480" s="112">
        <f>_xll.qlCalendarAdvance(Calendar,Y2479,X2480,"f",FALSE)</f>
        <v>56570</v>
      </c>
      <c r="Z2480" s="115">
        <f>_xll.qlCalendarAdvance(Calendar,Y2480,NDays&amp;"D")</f>
        <v>56570</v>
      </c>
      <c r="AA2480" s="116" t="e">
        <v>#N/A</v>
      </c>
      <c r="AB2480" s="113" t="e">
        <v>#N/A</v>
      </c>
    </row>
    <row r="2481" spans="17:28" x14ac:dyDescent="0.2">
      <c r="Q2481" s="72"/>
      <c r="T2481" s="72"/>
      <c r="U2481" s="93"/>
      <c r="X2481" s="114" t="str">
        <f t="shared" si="51"/>
        <v>1w</v>
      </c>
      <c r="Y2481" s="112">
        <f>_xll.qlCalendarAdvance(Calendar,Y2480,X2481,"f",FALSE)</f>
        <v>56577</v>
      </c>
      <c r="Z2481" s="115">
        <f>_xll.qlCalendarAdvance(Calendar,Y2481,NDays&amp;"D")</f>
        <v>56577</v>
      </c>
      <c r="AA2481" s="116" t="e">
        <v>#N/A</v>
      </c>
      <c r="AB2481" s="113" t="e">
        <v>#N/A</v>
      </c>
    </row>
    <row r="2482" spans="17:28" x14ac:dyDescent="0.2">
      <c r="Q2482" s="72"/>
      <c r="T2482" s="72"/>
      <c r="U2482" s="93"/>
      <c r="X2482" s="114" t="str">
        <f t="shared" si="51"/>
        <v>1w</v>
      </c>
      <c r="Y2482" s="112">
        <f>_xll.qlCalendarAdvance(Calendar,Y2481,X2482,"f",FALSE)</f>
        <v>56584</v>
      </c>
      <c r="Z2482" s="115">
        <f>_xll.qlCalendarAdvance(Calendar,Y2482,NDays&amp;"D")</f>
        <v>56584</v>
      </c>
      <c r="AA2482" s="116" t="e">
        <v>#N/A</v>
      </c>
      <c r="AB2482" s="113" t="e">
        <v>#N/A</v>
      </c>
    </row>
    <row r="2483" spans="17:28" x14ac:dyDescent="0.2">
      <c r="Q2483" s="72"/>
      <c r="T2483" s="72"/>
      <c r="U2483" s="93"/>
      <c r="X2483" s="114" t="str">
        <f t="shared" si="51"/>
        <v>1w</v>
      </c>
      <c r="Y2483" s="112">
        <f>_xll.qlCalendarAdvance(Calendar,Y2482,X2483,"f",FALSE)</f>
        <v>56591</v>
      </c>
      <c r="Z2483" s="115">
        <f>_xll.qlCalendarAdvance(Calendar,Y2483,NDays&amp;"D")</f>
        <v>56591</v>
      </c>
      <c r="AA2483" s="116" t="e">
        <v>#N/A</v>
      </c>
      <c r="AB2483" s="113" t="e">
        <v>#N/A</v>
      </c>
    </row>
    <row r="2484" spans="17:28" x14ac:dyDescent="0.2">
      <c r="Q2484" s="72"/>
      <c r="T2484" s="72"/>
      <c r="U2484" s="93"/>
      <c r="X2484" s="114" t="str">
        <f t="shared" si="51"/>
        <v>1w</v>
      </c>
      <c r="Y2484" s="112">
        <f>_xll.qlCalendarAdvance(Calendar,Y2483,X2484,"f",FALSE)</f>
        <v>56598</v>
      </c>
      <c r="Z2484" s="115">
        <f>_xll.qlCalendarAdvance(Calendar,Y2484,NDays&amp;"D")</f>
        <v>56598</v>
      </c>
      <c r="AA2484" s="116" t="e">
        <v>#N/A</v>
      </c>
      <c r="AB2484" s="113" t="e">
        <v>#N/A</v>
      </c>
    </row>
    <row r="2485" spans="17:28" x14ac:dyDescent="0.2">
      <c r="Q2485" s="72"/>
      <c r="T2485" s="72"/>
      <c r="U2485" s="93"/>
      <c r="X2485" s="114" t="str">
        <f t="shared" si="51"/>
        <v>1w</v>
      </c>
      <c r="Y2485" s="112">
        <f>_xll.qlCalendarAdvance(Calendar,Y2484,X2485,"f",FALSE)</f>
        <v>56605</v>
      </c>
      <c r="Z2485" s="115">
        <f>_xll.qlCalendarAdvance(Calendar,Y2485,NDays&amp;"D")</f>
        <v>56605</v>
      </c>
      <c r="AA2485" s="116" t="e">
        <v>#N/A</v>
      </c>
      <c r="AB2485" s="113" t="e">
        <v>#N/A</v>
      </c>
    </row>
    <row r="2486" spans="17:28" x14ac:dyDescent="0.2">
      <c r="Q2486" s="72"/>
      <c r="T2486" s="72"/>
      <c r="U2486" s="93"/>
      <c r="X2486" s="114" t="str">
        <f t="shared" si="51"/>
        <v>1w</v>
      </c>
      <c r="Y2486" s="112">
        <f>_xll.qlCalendarAdvance(Calendar,Y2485,X2486,"f",FALSE)</f>
        <v>56612</v>
      </c>
      <c r="Z2486" s="115">
        <f>_xll.qlCalendarAdvance(Calendar,Y2486,NDays&amp;"D")</f>
        <v>56612</v>
      </c>
      <c r="AA2486" s="116" t="e">
        <v>#N/A</v>
      </c>
      <c r="AB2486" s="113" t="e">
        <v>#N/A</v>
      </c>
    </row>
    <row r="2487" spans="17:28" x14ac:dyDescent="0.2">
      <c r="Q2487" s="72"/>
      <c r="T2487" s="72"/>
      <c r="U2487" s="93"/>
      <c r="X2487" s="114" t="str">
        <f t="shared" si="51"/>
        <v>1w</v>
      </c>
      <c r="Y2487" s="112">
        <f>_xll.qlCalendarAdvance(Calendar,Y2486,X2487,"f",FALSE)</f>
        <v>56619</v>
      </c>
      <c r="Z2487" s="115">
        <f>_xll.qlCalendarAdvance(Calendar,Y2487,NDays&amp;"D")</f>
        <v>56619</v>
      </c>
      <c r="AA2487" s="116" t="e">
        <v>#N/A</v>
      </c>
      <c r="AB2487" s="113" t="e">
        <v>#N/A</v>
      </c>
    </row>
    <row r="2488" spans="17:28" x14ac:dyDescent="0.2">
      <c r="Q2488" s="72"/>
      <c r="T2488" s="72"/>
      <c r="U2488" s="93"/>
      <c r="X2488" s="114" t="str">
        <f t="shared" si="51"/>
        <v>1w</v>
      </c>
      <c r="Y2488" s="112">
        <f>_xll.qlCalendarAdvance(Calendar,Y2487,X2488,"f",FALSE)</f>
        <v>56626</v>
      </c>
      <c r="Z2488" s="115">
        <f>_xll.qlCalendarAdvance(Calendar,Y2488,NDays&amp;"D")</f>
        <v>56626</v>
      </c>
      <c r="AA2488" s="116" t="e">
        <v>#N/A</v>
      </c>
      <c r="AB2488" s="113" t="e">
        <v>#N/A</v>
      </c>
    </row>
    <row r="2489" spans="17:28" x14ac:dyDescent="0.2">
      <c r="Q2489" s="72"/>
      <c r="T2489" s="72"/>
      <c r="U2489" s="93"/>
      <c r="X2489" s="114" t="str">
        <f t="shared" si="51"/>
        <v>1w</v>
      </c>
      <c r="Y2489" s="112">
        <f>_xll.qlCalendarAdvance(Calendar,Y2488,X2489,"f",FALSE)</f>
        <v>56633</v>
      </c>
      <c r="Z2489" s="115">
        <f>_xll.qlCalendarAdvance(Calendar,Y2489,NDays&amp;"D")</f>
        <v>56633</v>
      </c>
      <c r="AA2489" s="116" t="e">
        <v>#N/A</v>
      </c>
      <c r="AB2489" s="113" t="e">
        <v>#N/A</v>
      </c>
    </row>
    <row r="2490" spans="17:28" x14ac:dyDescent="0.2">
      <c r="Q2490" s="72"/>
      <c r="T2490" s="72"/>
      <c r="U2490" s="93"/>
      <c r="X2490" s="114" t="str">
        <f t="shared" si="51"/>
        <v>1w</v>
      </c>
      <c r="Y2490" s="112">
        <f>_xll.qlCalendarAdvance(Calendar,Y2489,X2490,"f",FALSE)</f>
        <v>56641</v>
      </c>
      <c r="Z2490" s="115">
        <f>_xll.qlCalendarAdvance(Calendar,Y2490,NDays&amp;"D")</f>
        <v>56641</v>
      </c>
      <c r="AA2490" s="116" t="e">
        <v>#N/A</v>
      </c>
      <c r="AB2490" s="113" t="e">
        <v>#N/A</v>
      </c>
    </row>
    <row r="2491" spans="17:28" x14ac:dyDescent="0.2">
      <c r="Q2491" s="72"/>
      <c r="T2491" s="72"/>
      <c r="U2491" s="93"/>
      <c r="X2491" s="114" t="str">
        <f t="shared" si="51"/>
        <v>1w</v>
      </c>
      <c r="Y2491" s="112">
        <f>_xll.qlCalendarAdvance(Calendar,Y2490,X2491,"f",FALSE)</f>
        <v>56648</v>
      </c>
      <c r="Z2491" s="115">
        <f>_xll.qlCalendarAdvance(Calendar,Y2491,NDays&amp;"D")</f>
        <v>56648</v>
      </c>
      <c r="AA2491" s="116" t="e">
        <v>#N/A</v>
      </c>
      <c r="AB2491" s="113" t="e">
        <v>#N/A</v>
      </c>
    </row>
    <row r="2492" spans="17:28" x14ac:dyDescent="0.2">
      <c r="Q2492" s="72"/>
      <c r="T2492" s="72"/>
      <c r="U2492" s="93"/>
      <c r="X2492" s="114" t="str">
        <f t="shared" si="51"/>
        <v>1w</v>
      </c>
      <c r="Y2492" s="112">
        <f>_xll.qlCalendarAdvance(Calendar,Y2491,X2492,"f",FALSE)</f>
        <v>56655</v>
      </c>
      <c r="Z2492" s="115">
        <f>_xll.qlCalendarAdvance(Calendar,Y2492,NDays&amp;"D")</f>
        <v>56655</v>
      </c>
      <c r="AA2492" s="116" t="e">
        <v>#N/A</v>
      </c>
      <c r="AB2492" s="113" t="e">
        <v>#N/A</v>
      </c>
    </row>
    <row r="2493" spans="17:28" x14ac:dyDescent="0.2">
      <c r="Q2493" s="72"/>
      <c r="T2493" s="72"/>
      <c r="U2493" s="93"/>
      <c r="X2493" s="114" t="str">
        <f t="shared" si="51"/>
        <v>1w</v>
      </c>
      <c r="Y2493" s="112">
        <f>_xll.qlCalendarAdvance(Calendar,Y2492,X2493,"f",FALSE)</f>
        <v>56662</v>
      </c>
      <c r="Z2493" s="115">
        <f>_xll.qlCalendarAdvance(Calendar,Y2493,NDays&amp;"D")</f>
        <v>56662</v>
      </c>
      <c r="AA2493" s="116" t="e">
        <v>#N/A</v>
      </c>
      <c r="AB2493" s="113" t="e">
        <v>#N/A</v>
      </c>
    </row>
    <row r="2494" spans="17:28" x14ac:dyDescent="0.2">
      <c r="Q2494" s="72"/>
      <c r="T2494" s="72"/>
      <c r="U2494" s="93"/>
      <c r="X2494" s="114" t="str">
        <f t="shared" si="51"/>
        <v>1w</v>
      </c>
      <c r="Y2494" s="112">
        <f>_xll.qlCalendarAdvance(Calendar,Y2493,X2494,"f",FALSE)</f>
        <v>56669</v>
      </c>
      <c r="Z2494" s="115">
        <f>_xll.qlCalendarAdvance(Calendar,Y2494,NDays&amp;"D")</f>
        <v>56669</v>
      </c>
      <c r="AA2494" s="116" t="e">
        <v>#N/A</v>
      </c>
      <c r="AB2494" s="113" t="e">
        <v>#N/A</v>
      </c>
    </row>
    <row r="2495" spans="17:28" x14ac:dyDescent="0.2">
      <c r="Q2495" s="72"/>
      <c r="T2495" s="72"/>
      <c r="U2495" s="93"/>
      <c r="X2495" s="114" t="str">
        <f t="shared" si="51"/>
        <v>1w</v>
      </c>
      <c r="Y2495" s="112">
        <f>_xll.qlCalendarAdvance(Calendar,Y2494,X2495,"f",FALSE)</f>
        <v>56676</v>
      </c>
      <c r="Z2495" s="115">
        <f>_xll.qlCalendarAdvance(Calendar,Y2495,NDays&amp;"D")</f>
        <v>56676</v>
      </c>
      <c r="AA2495" s="116" t="e">
        <v>#N/A</v>
      </c>
      <c r="AB2495" s="113" t="e">
        <v>#N/A</v>
      </c>
    </row>
    <row r="2496" spans="17:28" x14ac:dyDescent="0.2">
      <c r="Q2496" s="72"/>
      <c r="T2496" s="72"/>
      <c r="U2496" s="93"/>
      <c r="X2496" s="114" t="str">
        <f t="shared" si="51"/>
        <v>1w</v>
      </c>
      <c r="Y2496" s="112">
        <f>_xll.qlCalendarAdvance(Calendar,Y2495,X2496,"f",FALSE)</f>
        <v>56683</v>
      </c>
      <c r="Z2496" s="115">
        <f>_xll.qlCalendarAdvance(Calendar,Y2496,NDays&amp;"D")</f>
        <v>56683</v>
      </c>
      <c r="AA2496" s="116" t="e">
        <v>#N/A</v>
      </c>
      <c r="AB2496" s="113" t="e">
        <v>#N/A</v>
      </c>
    </row>
    <row r="2497" spans="17:28" x14ac:dyDescent="0.2">
      <c r="Q2497" s="72"/>
      <c r="T2497" s="72"/>
      <c r="U2497" s="93"/>
      <c r="X2497" s="114" t="str">
        <f t="shared" si="51"/>
        <v>1w</v>
      </c>
      <c r="Y2497" s="112">
        <f>_xll.qlCalendarAdvance(Calendar,Y2496,X2497,"f",FALSE)</f>
        <v>56690</v>
      </c>
      <c r="Z2497" s="115">
        <f>_xll.qlCalendarAdvance(Calendar,Y2497,NDays&amp;"D")</f>
        <v>56690</v>
      </c>
      <c r="AA2497" s="116" t="e">
        <v>#N/A</v>
      </c>
      <c r="AB2497" s="113" t="e">
        <v>#N/A</v>
      </c>
    </row>
    <row r="2498" spans="17:28" x14ac:dyDescent="0.2">
      <c r="Q2498" s="72"/>
      <c r="T2498" s="72"/>
      <c r="U2498" s="93"/>
      <c r="X2498" s="114" t="str">
        <f t="shared" si="51"/>
        <v>1w</v>
      </c>
      <c r="Y2498" s="112">
        <f>_xll.qlCalendarAdvance(Calendar,Y2497,X2498,"f",FALSE)</f>
        <v>56697</v>
      </c>
      <c r="Z2498" s="115">
        <f>_xll.qlCalendarAdvance(Calendar,Y2498,NDays&amp;"D")</f>
        <v>56697</v>
      </c>
      <c r="AA2498" s="116" t="e">
        <v>#N/A</v>
      </c>
      <c r="AB2498" s="113" t="e">
        <v>#N/A</v>
      </c>
    </row>
    <row r="2499" spans="17:28" x14ac:dyDescent="0.2">
      <c r="Q2499" s="72"/>
      <c r="T2499" s="72"/>
      <c r="U2499" s="93"/>
      <c r="X2499" s="114" t="str">
        <f t="shared" si="51"/>
        <v>1w</v>
      </c>
      <c r="Y2499" s="112">
        <f>_xll.qlCalendarAdvance(Calendar,Y2498,X2499,"f",FALSE)</f>
        <v>56704</v>
      </c>
      <c r="Z2499" s="115">
        <f>_xll.qlCalendarAdvance(Calendar,Y2499,NDays&amp;"D")</f>
        <v>56704</v>
      </c>
      <c r="AA2499" s="116" t="e">
        <v>#N/A</v>
      </c>
      <c r="AB2499" s="113" t="e">
        <v>#N/A</v>
      </c>
    </row>
    <row r="2500" spans="17:28" x14ac:dyDescent="0.2">
      <c r="Q2500" s="72"/>
      <c r="T2500" s="72"/>
      <c r="U2500" s="93"/>
      <c r="X2500" s="114" t="str">
        <f t="shared" si="51"/>
        <v>1w</v>
      </c>
      <c r="Y2500" s="112">
        <f>_xll.qlCalendarAdvance(Calendar,Y2499,X2500,"f",FALSE)</f>
        <v>56711</v>
      </c>
      <c r="Z2500" s="115">
        <f>_xll.qlCalendarAdvance(Calendar,Y2500,NDays&amp;"D")</f>
        <v>56711</v>
      </c>
      <c r="AA2500" s="116" t="e">
        <v>#N/A</v>
      </c>
      <c r="AB2500" s="113" t="e">
        <v>#N/A</v>
      </c>
    </row>
    <row r="2501" spans="17:28" x14ac:dyDescent="0.2">
      <c r="Q2501" s="72"/>
      <c r="T2501" s="72"/>
      <c r="U2501" s="93"/>
      <c r="X2501" s="114" t="str">
        <f t="shared" si="51"/>
        <v>1w</v>
      </c>
      <c r="Y2501" s="112">
        <f>_xll.qlCalendarAdvance(Calendar,Y2500,X2501,"f",FALSE)</f>
        <v>56718</v>
      </c>
      <c r="Z2501" s="115">
        <f>_xll.qlCalendarAdvance(Calendar,Y2501,NDays&amp;"D")</f>
        <v>56718</v>
      </c>
      <c r="AA2501" s="116" t="e">
        <v>#N/A</v>
      </c>
      <c r="AB2501" s="113" t="e">
        <v>#N/A</v>
      </c>
    </row>
    <row r="2502" spans="17:28" x14ac:dyDescent="0.2">
      <c r="Q2502" s="72"/>
      <c r="T2502" s="72"/>
      <c r="U2502" s="93"/>
      <c r="X2502" s="114" t="str">
        <f t="shared" si="51"/>
        <v>1w</v>
      </c>
      <c r="Y2502" s="112">
        <f>_xll.qlCalendarAdvance(Calendar,Y2501,X2502,"f",FALSE)</f>
        <v>56725</v>
      </c>
      <c r="Z2502" s="115">
        <f>_xll.qlCalendarAdvance(Calendar,Y2502,NDays&amp;"D")</f>
        <v>56725</v>
      </c>
      <c r="AA2502" s="116" t="e">
        <v>#N/A</v>
      </c>
      <c r="AB2502" s="113" t="e">
        <v>#N/A</v>
      </c>
    </row>
    <row r="2503" spans="17:28" x14ac:dyDescent="0.2">
      <c r="Q2503" s="72"/>
      <c r="T2503" s="72"/>
      <c r="U2503" s="93"/>
      <c r="X2503" s="114" t="str">
        <f t="shared" si="51"/>
        <v>1w</v>
      </c>
      <c r="Y2503" s="112">
        <f>_xll.qlCalendarAdvance(Calendar,Y2502,X2503,"f",FALSE)</f>
        <v>56732</v>
      </c>
      <c r="Z2503" s="115">
        <f>_xll.qlCalendarAdvance(Calendar,Y2503,NDays&amp;"D")</f>
        <v>56732</v>
      </c>
      <c r="AA2503" s="116" t="e">
        <v>#N/A</v>
      </c>
      <c r="AB2503" s="113" t="e">
        <v>#N/A</v>
      </c>
    </row>
    <row r="2504" spans="17:28" x14ac:dyDescent="0.2">
      <c r="Q2504" s="72"/>
      <c r="T2504" s="72"/>
      <c r="U2504" s="93"/>
      <c r="X2504" s="114" t="str">
        <f t="shared" si="51"/>
        <v>1w</v>
      </c>
      <c r="Y2504" s="112">
        <f>_xll.qlCalendarAdvance(Calendar,Y2503,X2504,"f",FALSE)</f>
        <v>56739</v>
      </c>
      <c r="Z2504" s="115">
        <f>_xll.qlCalendarAdvance(Calendar,Y2504,NDays&amp;"D")</f>
        <v>56739</v>
      </c>
      <c r="AA2504" s="116" t="e">
        <v>#N/A</v>
      </c>
      <c r="AB2504" s="113" t="e">
        <v>#N/A</v>
      </c>
    </row>
    <row r="2505" spans="17:28" x14ac:dyDescent="0.2">
      <c r="Q2505" s="72"/>
      <c r="T2505" s="72"/>
      <c r="U2505" s="93"/>
      <c r="X2505" s="114" t="str">
        <f t="shared" si="51"/>
        <v>1w</v>
      </c>
      <c r="Y2505" s="112">
        <f>_xll.qlCalendarAdvance(Calendar,Y2504,X2505,"f",FALSE)</f>
        <v>56746</v>
      </c>
      <c r="Z2505" s="115">
        <f>_xll.qlCalendarAdvance(Calendar,Y2505,NDays&amp;"D")</f>
        <v>56746</v>
      </c>
      <c r="AA2505" s="116" t="e">
        <v>#N/A</v>
      </c>
      <c r="AB2505" s="113" t="e">
        <v>#N/A</v>
      </c>
    </row>
    <row r="2506" spans="17:28" x14ac:dyDescent="0.2">
      <c r="Q2506" s="72"/>
      <c r="T2506" s="72"/>
      <c r="U2506" s="93"/>
      <c r="X2506" s="114" t="str">
        <f t="shared" si="51"/>
        <v>1w</v>
      </c>
      <c r="Y2506" s="112">
        <f>_xll.qlCalendarAdvance(Calendar,Y2505,X2506,"f",FALSE)</f>
        <v>56753</v>
      </c>
      <c r="Z2506" s="115">
        <f>_xll.qlCalendarAdvance(Calendar,Y2506,NDays&amp;"D")</f>
        <v>56753</v>
      </c>
      <c r="AA2506" s="116" t="e">
        <v>#N/A</v>
      </c>
      <c r="AB2506" s="113" t="e">
        <v>#N/A</v>
      </c>
    </row>
    <row r="2507" spans="17:28" x14ac:dyDescent="0.2">
      <c r="Q2507" s="72"/>
      <c r="T2507" s="72"/>
      <c r="U2507" s="93"/>
      <c r="X2507" s="114" t="str">
        <f t="shared" si="51"/>
        <v>1w</v>
      </c>
      <c r="Y2507" s="112">
        <f>_xll.qlCalendarAdvance(Calendar,Y2506,X2507,"f",FALSE)</f>
        <v>56760</v>
      </c>
      <c r="Z2507" s="115">
        <f>_xll.qlCalendarAdvance(Calendar,Y2507,NDays&amp;"D")</f>
        <v>56760</v>
      </c>
      <c r="AA2507" s="116" t="e">
        <v>#N/A</v>
      </c>
      <c r="AB2507" s="113" t="e">
        <v>#N/A</v>
      </c>
    </row>
    <row r="2508" spans="17:28" x14ac:dyDescent="0.2">
      <c r="Q2508" s="72"/>
      <c r="T2508" s="72"/>
      <c r="U2508" s="93"/>
      <c r="X2508" s="114" t="str">
        <f t="shared" si="51"/>
        <v>1w</v>
      </c>
      <c r="Y2508" s="112">
        <f>_xll.qlCalendarAdvance(Calendar,Y2507,X2508,"f",FALSE)</f>
        <v>56767</v>
      </c>
      <c r="Z2508" s="115">
        <f>_xll.qlCalendarAdvance(Calendar,Y2508,NDays&amp;"D")</f>
        <v>56767</v>
      </c>
      <c r="AA2508" s="116" t="e">
        <v>#N/A</v>
      </c>
      <c r="AB2508" s="113" t="e">
        <v>#N/A</v>
      </c>
    </row>
    <row r="2509" spans="17:28" x14ac:dyDescent="0.2">
      <c r="Q2509" s="72"/>
      <c r="T2509" s="72"/>
      <c r="U2509" s="93"/>
      <c r="X2509" s="114" t="str">
        <f t="shared" si="51"/>
        <v>1w</v>
      </c>
      <c r="Y2509" s="112">
        <f>_xll.qlCalendarAdvance(Calendar,Y2508,X2509,"f",FALSE)</f>
        <v>56774</v>
      </c>
      <c r="Z2509" s="115">
        <f>_xll.qlCalendarAdvance(Calendar,Y2509,NDays&amp;"D")</f>
        <v>56774</v>
      </c>
      <c r="AA2509" s="116" t="e">
        <v>#N/A</v>
      </c>
      <c r="AB2509" s="113" t="e">
        <v>#N/A</v>
      </c>
    </row>
    <row r="2510" spans="17:28" x14ac:dyDescent="0.2">
      <c r="Q2510" s="72"/>
      <c r="T2510" s="72"/>
      <c r="U2510" s="93"/>
      <c r="X2510" s="114" t="str">
        <f t="shared" si="51"/>
        <v>1w</v>
      </c>
      <c r="Y2510" s="112">
        <f>_xll.qlCalendarAdvance(Calendar,Y2509,X2510,"f",FALSE)</f>
        <v>56781</v>
      </c>
      <c r="Z2510" s="115">
        <f>_xll.qlCalendarAdvance(Calendar,Y2510,NDays&amp;"D")</f>
        <v>56781</v>
      </c>
      <c r="AA2510" s="116" t="e">
        <v>#N/A</v>
      </c>
      <c r="AB2510" s="113" t="e">
        <v>#N/A</v>
      </c>
    </row>
    <row r="2511" spans="17:28" x14ac:dyDescent="0.2">
      <c r="Q2511" s="72"/>
      <c r="T2511" s="72"/>
      <c r="U2511" s="93"/>
      <c r="X2511" s="114" t="str">
        <f t="shared" si="51"/>
        <v>1w</v>
      </c>
      <c r="Y2511" s="112">
        <f>_xll.qlCalendarAdvance(Calendar,Y2510,X2511,"f",FALSE)</f>
        <v>56788</v>
      </c>
      <c r="Z2511" s="115">
        <f>_xll.qlCalendarAdvance(Calendar,Y2511,NDays&amp;"D")</f>
        <v>56788</v>
      </c>
      <c r="AA2511" s="116" t="e">
        <v>#N/A</v>
      </c>
      <c r="AB2511" s="113" t="e">
        <v>#N/A</v>
      </c>
    </row>
    <row r="2512" spans="17:28" x14ac:dyDescent="0.2">
      <c r="Q2512" s="72"/>
      <c r="T2512" s="72"/>
      <c r="U2512" s="93"/>
      <c r="X2512" s="114" t="str">
        <f t="shared" si="51"/>
        <v>1w</v>
      </c>
      <c r="Y2512" s="112">
        <f>_xll.qlCalendarAdvance(Calendar,Y2511,X2512,"f",FALSE)</f>
        <v>56795</v>
      </c>
      <c r="Z2512" s="115">
        <f>_xll.qlCalendarAdvance(Calendar,Y2512,NDays&amp;"D")</f>
        <v>56795</v>
      </c>
      <c r="AA2512" s="116" t="e">
        <v>#N/A</v>
      </c>
      <c r="AB2512" s="113" t="e">
        <v>#N/A</v>
      </c>
    </row>
    <row r="2513" spans="17:28" x14ac:dyDescent="0.2">
      <c r="Q2513" s="72"/>
      <c r="T2513" s="72"/>
      <c r="U2513" s="93"/>
      <c r="X2513" s="114" t="str">
        <f t="shared" si="51"/>
        <v>1w</v>
      </c>
      <c r="Y2513" s="112">
        <f>_xll.qlCalendarAdvance(Calendar,Y2512,X2513,"f",FALSE)</f>
        <v>56802</v>
      </c>
      <c r="Z2513" s="115">
        <f>_xll.qlCalendarAdvance(Calendar,Y2513,NDays&amp;"D")</f>
        <v>56802</v>
      </c>
      <c r="AA2513" s="116" t="e">
        <v>#N/A</v>
      </c>
      <c r="AB2513" s="113" t="e">
        <v>#N/A</v>
      </c>
    </row>
    <row r="2514" spans="17:28" x14ac:dyDescent="0.2">
      <c r="Q2514" s="72"/>
      <c r="T2514" s="72"/>
      <c r="U2514" s="93"/>
      <c r="X2514" s="114" t="str">
        <f t="shared" si="51"/>
        <v>1w</v>
      </c>
      <c r="Y2514" s="112">
        <f>_xll.qlCalendarAdvance(Calendar,Y2513,X2514,"f",FALSE)</f>
        <v>56809</v>
      </c>
      <c r="Z2514" s="115">
        <f>_xll.qlCalendarAdvance(Calendar,Y2514,NDays&amp;"D")</f>
        <v>56809</v>
      </c>
      <c r="AA2514" s="116" t="e">
        <v>#N/A</v>
      </c>
      <c r="AB2514" s="113" t="e">
        <v>#N/A</v>
      </c>
    </row>
    <row r="2515" spans="17:28" x14ac:dyDescent="0.2">
      <c r="Q2515" s="72"/>
      <c r="T2515" s="72"/>
      <c r="U2515" s="93"/>
      <c r="X2515" s="114" t="str">
        <f t="shared" si="51"/>
        <v>1w</v>
      </c>
      <c r="Y2515" s="112">
        <f>_xll.qlCalendarAdvance(Calendar,Y2514,X2515,"f",FALSE)</f>
        <v>56816</v>
      </c>
      <c r="Z2515" s="115">
        <f>_xll.qlCalendarAdvance(Calendar,Y2515,NDays&amp;"D")</f>
        <v>56816</v>
      </c>
      <c r="AA2515" s="116" t="e">
        <v>#N/A</v>
      </c>
      <c r="AB2515" s="113" t="e">
        <v>#N/A</v>
      </c>
    </row>
    <row r="2516" spans="17:28" x14ac:dyDescent="0.2">
      <c r="Q2516" s="72"/>
      <c r="T2516" s="72"/>
      <c r="U2516" s="93"/>
      <c r="X2516" s="114" t="str">
        <f t="shared" si="51"/>
        <v>1w</v>
      </c>
      <c r="Y2516" s="112">
        <f>_xll.qlCalendarAdvance(Calendar,Y2515,X2516,"f",FALSE)</f>
        <v>56823</v>
      </c>
      <c r="Z2516" s="115">
        <f>_xll.qlCalendarAdvance(Calendar,Y2516,NDays&amp;"D")</f>
        <v>56823</v>
      </c>
      <c r="AA2516" s="116" t="e">
        <v>#N/A</v>
      </c>
      <c r="AB2516" s="113" t="e">
        <v>#N/A</v>
      </c>
    </row>
    <row r="2517" spans="17:28" x14ac:dyDescent="0.2">
      <c r="Q2517" s="72"/>
      <c r="T2517" s="72"/>
      <c r="U2517" s="93"/>
      <c r="X2517" s="114" t="str">
        <f t="shared" ref="X2517:X2580" si="52">X2516</f>
        <v>1w</v>
      </c>
      <c r="Y2517" s="112">
        <f>_xll.qlCalendarAdvance(Calendar,Y2516,X2517,"f",FALSE)</f>
        <v>56830</v>
      </c>
      <c r="Z2517" s="115">
        <f>_xll.qlCalendarAdvance(Calendar,Y2517,NDays&amp;"D")</f>
        <v>56830</v>
      </c>
      <c r="AA2517" s="116" t="e">
        <v>#N/A</v>
      </c>
      <c r="AB2517" s="113" t="e">
        <v>#N/A</v>
      </c>
    </row>
    <row r="2518" spans="17:28" x14ac:dyDescent="0.2">
      <c r="Q2518" s="72"/>
      <c r="T2518" s="72"/>
      <c r="U2518" s="93"/>
      <c r="X2518" s="114" t="str">
        <f t="shared" si="52"/>
        <v>1w</v>
      </c>
      <c r="Y2518" s="112">
        <f>_xll.qlCalendarAdvance(Calendar,Y2517,X2518,"f",FALSE)</f>
        <v>56837</v>
      </c>
      <c r="Z2518" s="115">
        <f>_xll.qlCalendarAdvance(Calendar,Y2518,NDays&amp;"D")</f>
        <v>56837</v>
      </c>
      <c r="AA2518" s="116" t="e">
        <v>#N/A</v>
      </c>
      <c r="AB2518" s="113" t="e">
        <v>#N/A</v>
      </c>
    </row>
    <row r="2519" spans="17:28" x14ac:dyDescent="0.2">
      <c r="Q2519" s="72"/>
      <c r="T2519" s="72"/>
      <c r="U2519" s="93"/>
      <c r="X2519" s="114" t="str">
        <f t="shared" si="52"/>
        <v>1w</v>
      </c>
      <c r="Y2519" s="112">
        <f>_xll.qlCalendarAdvance(Calendar,Y2518,X2519,"f",FALSE)</f>
        <v>56844</v>
      </c>
      <c r="Z2519" s="115">
        <f>_xll.qlCalendarAdvance(Calendar,Y2519,NDays&amp;"D")</f>
        <v>56844</v>
      </c>
      <c r="AA2519" s="116" t="e">
        <v>#N/A</v>
      </c>
      <c r="AB2519" s="113" t="e">
        <v>#N/A</v>
      </c>
    </row>
    <row r="2520" spans="17:28" x14ac:dyDescent="0.2">
      <c r="Q2520" s="72"/>
      <c r="T2520" s="72"/>
      <c r="U2520" s="93"/>
      <c r="X2520" s="114" t="str">
        <f t="shared" si="52"/>
        <v>1w</v>
      </c>
      <c r="Y2520" s="112">
        <f>_xll.qlCalendarAdvance(Calendar,Y2519,X2520,"f",FALSE)</f>
        <v>56851</v>
      </c>
      <c r="Z2520" s="115">
        <f>_xll.qlCalendarAdvance(Calendar,Y2520,NDays&amp;"D")</f>
        <v>56851</v>
      </c>
      <c r="AA2520" s="116" t="e">
        <v>#N/A</v>
      </c>
      <c r="AB2520" s="113" t="e">
        <v>#N/A</v>
      </c>
    </row>
    <row r="2521" spans="17:28" x14ac:dyDescent="0.2">
      <c r="Q2521" s="72"/>
      <c r="T2521" s="72"/>
      <c r="U2521" s="93"/>
      <c r="X2521" s="114" t="str">
        <f t="shared" si="52"/>
        <v>1w</v>
      </c>
      <c r="Y2521" s="112">
        <f>_xll.qlCalendarAdvance(Calendar,Y2520,X2521,"f",FALSE)</f>
        <v>56858</v>
      </c>
      <c r="Z2521" s="115">
        <f>_xll.qlCalendarAdvance(Calendar,Y2521,NDays&amp;"D")</f>
        <v>56858</v>
      </c>
      <c r="AA2521" s="116" t="e">
        <v>#N/A</v>
      </c>
      <c r="AB2521" s="113" t="e">
        <v>#N/A</v>
      </c>
    </row>
    <row r="2522" spans="17:28" x14ac:dyDescent="0.2">
      <c r="Q2522" s="72"/>
      <c r="T2522" s="72"/>
      <c r="U2522" s="93"/>
      <c r="X2522" s="114" t="str">
        <f t="shared" si="52"/>
        <v>1w</v>
      </c>
      <c r="Y2522" s="112">
        <f>_xll.qlCalendarAdvance(Calendar,Y2521,X2522,"f",FALSE)</f>
        <v>56865</v>
      </c>
      <c r="Z2522" s="115">
        <f>_xll.qlCalendarAdvance(Calendar,Y2522,NDays&amp;"D")</f>
        <v>56865</v>
      </c>
      <c r="AA2522" s="116" t="e">
        <v>#N/A</v>
      </c>
      <c r="AB2522" s="113" t="e">
        <v>#N/A</v>
      </c>
    </row>
    <row r="2523" spans="17:28" x14ac:dyDescent="0.2">
      <c r="Q2523" s="72"/>
      <c r="T2523" s="72"/>
      <c r="U2523" s="93"/>
      <c r="X2523" s="114" t="str">
        <f t="shared" si="52"/>
        <v>1w</v>
      </c>
      <c r="Y2523" s="112">
        <f>_xll.qlCalendarAdvance(Calendar,Y2522,X2523,"f",FALSE)</f>
        <v>56872</v>
      </c>
      <c r="Z2523" s="115">
        <f>_xll.qlCalendarAdvance(Calendar,Y2523,NDays&amp;"D")</f>
        <v>56872</v>
      </c>
      <c r="AA2523" s="116" t="e">
        <v>#N/A</v>
      </c>
      <c r="AB2523" s="113" t="e">
        <v>#N/A</v>
      </c>
    </row>
    <row r="2524" spans="17:28" x14ac:dyDescent="0.2">
      <c r="Q2524" s="72"/>
      <c r="T2524" s="72"/>
      <c r="U2524" s="93"/>
      <c r="X2524" s="114" t="str">
        <f t="shared" si="52"/>
        <v>1w</v>
      </c>
      <c r="Y2524" s="112">
        <f>_xll.qlCalendarAdvance(Calendar,Y2523,X2524,"f",FALSE)</f>
        <v>56879</v>
      </c>
      <c r="Z2524" s="115">
        <f>_xll.qlCalendarAdvance(Calendar,Y2524,NDays&amp;"D")</f>
        <v>56879</v>
      </c>
      <c r="AA2524" s="116" t="e">
        <v>#N/A</v>
      </c>
      <c r="AB2524" s="113" t="e">
        <v>#N/A</v>
      </c>
    </row>
    <row r="2525" spans="17:28" x14ac:dyDescent="0.2">
      <c r="Q2525" s="72"/>
      <c r="T2525" s="72"/>
      <c r="U2525" s="93"/>
      <c r="X2525" s="114" t="str">
        <f t="shared" si="52"/>
        <v>1w</v>
      </c>
      <c r="Y2525" s="112">
        <f>_xll.qlCalendarAdvance(Calendar,Y2524,X2525,"f",FALSE)</f>
        <v>56886</v>
      </c>
      <c r="Z2525" s="115">
        <f>_xll.qlCalendarAdvance(Calendar,Y2525,NDays&amp;"D")</f>
        <v>56886</v>
      </c>
      <c r="AA2525" s="116" t="e">
        <v>#N/A</v>
      </c>
      <c r="AB2525" s="113" t="e">
        <v>#N/A</v>
      </c>
    </row>
    <row r="2526" spans="17:28" x14ac:dyDescent="0.2">
      <c r="Q2526" s="72"/>
      <c r="T2526" s="72"/>
      <c r="U2526" s="93"/>
      <c r="X2526" s="114" t="str">
        <f t="shared" si="52"/>
        <v>1w</v>
      </c>
      <c r="Y2526" s="112">
        <f>_xll.qlCalendarAdvance(Calendar,Y2525,X2526,"f",FALSE)</f>
        <v>56893</v>
      </c>
      <c r="Z2526" s="115">
        <f>_xll.qlCalendarAdvance(Calendar,Y2526,NDays&amp;"D")</f>
        <v>56893</v>
      </c>
      <c r="AA2526" s="116" t="e">
        <v>#N/A</v>
      </c>
      <c r="AB2526" s="113" t="e">
        <v>#N/A</v>
      </c>
    </row>
    <row r="2527" spans="17:28" x14ac:dyDescent="0.2">
      <c r="Q2527" s="72"/>
      <c r="T2527" s="72"/>
      <c r="U2527" s="93"/>
      <c r="X2527" s="114" t="str">
        <f t="shared" si="52"/>
        <v>1w</v>
      </c>
      <c r="Y2527" s="112">
        <f>_xll.qlCalendarAdvance(Calendar,Y2526,X2527,"f",FALSE)</f>
        <v>56900</v>
      </c>
      <c r="Z2527" s="115">
        <f>_xll.qlCalendarAdvance(Calendar,Y2527,NDays&amp;"D")</f>
        <v>56900</v>
      </c>
      <c r="AA2527" s="116" t="e">
        <v>#N/A</v>
      </c>
      <c r="AB2527" s="113" t="e">
        <v>#N/A</v>
      </c>
    </row>
    <row r="2528" spans="17:28" x14ac:dyDescent="0.2">
      <c r="Q2528" s="72"/>
      <c r="T2528" s="72"/>
      <c r="U2528" s="93"/>
      <c r="X2528" s="114" t="str">
        <f t="shared" si="52"/>
        <v>1w</v>
      </c>
      <c r="Y2528" s="112">
        <f>_xll.qlCalendarAdvance(Calendar,Y2527,X2528,"f",FALSE)</f>
        <v>56907</v>
      </c>
      <c r="Z2528" s="115">
        <f>_xll.qlCalendarAdvance(Calendar,Y2528,NDays&amp;"D")</f>
        <v>56907</v>
      </c>
      <c r="AA2528" s="116" t="e">
        <v>#N/A</v>
      </c>
      <c r="AB2528" s="113" t="e">
        <v>#N/A</v>
      </c>
    </row>
    <row r="2529" spans="17:28" x14ac:dyDescent="0.2">
      <c r="Q2529" s="72"/>
      <c r="T2529" s="72"/>
      <c r="U2529" s="93"/>
      <c r="X2529" s="114" t="str">
        <f t="shared" si="52"/>
        <v>1w</v>
      </c>
      <c r="Y2529" s="112">
        <f>_xll.qlCalendarAdvance(Calendar,Y2528,X2529,"f",FALSE)</f>
        <v>56914</v>
      </c>
      <c r="Z2529" s="115">
        <f>_xll.qlCalendarAdvance(Calendar,Y2529,NDays&amp;"D")</f>
        <v>56914</v>
      </c>
      <c r="AA2529" s="116" t="e">
        <v>#N/A</v>
      </c>
      <c r="AB2529" s="113" t="e">
        <v>#N/A</v>
      </c>
    </row>
    <row r="2530" spans="17:28" x14ac:dyDescent="0.2">
      <c r="Q2530" s="72"/>
      <c r="T2530" s="72"/>
      <c r="U2530" s="93"/>
      <c r="X2530" s="114" t="str">
        <f t="shared" si="52"/>
        <v>1w</v>
      </c>
      <c r="Y2530" s="112">
        <f>_xll.qlCalendarAdvance(Calendar,Y2529,X2530,"f",FALSE)</f>
        <v>56921</v>
      </c>
      <c r="Z2530" s="115">
        <f>_xll.qlCalendarAdvance(Calendar,Y2530,NDays&amp;"D")</f>
        <v>56921</v>
      </c>
      <c r="AA2530" s="116" t="e">
        <v>#N/A</v>
      </c>
      <c r="AB2530" s="113" t="e">
        <v>#N/A</v>
      </c>
    </row>
    <row r="2531" spans="17:28" x14ac:dyDescent="0.2">
      <c r="Q2531" s="72"/>
      <c r="T2531" s="72"/>
      <c r="U2531" s="93"/>
      <c r="X2531" s="114" t="str">
        <f t="shared" si="52"/>
        <v>1w</v>
      </c>
      <c r="Y2531" s="112">
        <f>_xll.qlCalendarAdvance(Calendar,Y2530,X2531,"f",FALSE)</f>
        <v>56928</v>
      </c>
      <c r="Z2531" s="115">
        <f>_xll.qlCalendarAdvance(Calendar,Y2531,NDays&amp;"D")</f>
        <v>56928</v>
      </c>
      <c r="AA2531" s="116" t="e">
        <v>#N/A</v>
      </c>
      <c r="AB2531" s="113" t="e">
        <v>#N/A</v>
      </c>
    </row>
    <row r="2532" spans="17:28" x14ac:dyDescent="0.2">
      <c r="Q2532" s="72"/>
      <c r="T2532" s="72"/>
      <c r="U2532" s="93"/>
      <c r="X2532" s="114" t="str">
        <f t="shared" si="52"/>
        <v>1w</v>
      </c>
      <c r="Y2532" s="112">
        <f>_xll.qlCalendarAdvance(Calendar,Y2531,X2532,"f",FALSE)</f>
        <v>56935</v>
      </c>
      <c r="Z2532" s="115">
        <f>_xll.qlCalendarAdvance(Calendar,Y2532,NDays&amp;"D")</f>
        <v>56935</v>
      </c>
      <c r="AA2532" s="116" t="e">
        <v>#N/A</v>
      </c>
      <c r="AB2532" s="113" t="e">
        <v>#N/A</v>
      </c>
    </row>
    <row r="2533" spans="17:28" x14ac:dyDescent="0.2">
      <c r="Q2533" s="72"/>
      <c r="T2533" s="72"/>
      <c r="U2533" s="93"/>
      <c r="X2533" s="114" t="str">
        <f t="shared" si="52"/>
        <v>1w</v>
      </c>
      <c r="Y2533" s="112">
        <f>_xll.qlCalendarAdvance(Calendar,Y2532,X2533,"f",FALSE)</f>
        <v>56942</v>
      </c>
      <c r="Z2533" s="115">
        <f>_xll.qlCalendarAdvance(Calendar,Y2533,NDays&amp;"D")</f>
        <v>56942</v>
      </c>
      <c r="AA2533" s="116" t="e">
        <v>#N/A</v>
      </c>
      <c r="AB2533" s="113" t="e">
        <v>#N/A</v>
      </c>
    </row>
    <row r="2534" spans="17:28" x14ac:dyDescent="0.2">
      <c r="Q2534" s="72"/>
      <c r="T2534" s="72"/>
      <c r="U2534" s="93"/>
      <c r="X2534" s="114" t="str">
        <f t="shared" si="52"/>
        <v>1w</v>
      </c>
      <c r="Y2534" s="112">
        <f>_xll.qlCalendarAdvance(Calendar,Y2533,X2534,"f",FALSE)</f>
        <v>56949</v>
      </c>
      <c r="Z2534" s="115">
        <f>_xll.qlCalendarAdvance(Calendar,Y2534,NDays&amp;"D")</f>
        <v>56949</v>
      </c>
      <c r="AA2534" s="116" t="e">
        <v>#N/A</v>
      </c>
      <c r="AB2534" s="113" t="e">
        <v>#N/A</v>
      </c>
    </row>
    <row r="2535" spans="17:28" x14ac:dyDescent="0.2">
      <c r="Q2535" s="72"/>
      <c r="T2535" s="72"/>
      <c r="U2535" s="93"/>
      <c r="X2535" s="114" t="str">
        <f t="shared" si="52"/>
        <v>1w</v>
      </c>
      <c r="Y2535" s="112">
        <f>_xll.qlCalendarAdvance(Calendar,Y2534,X2535,"f",FALSE)</f>
        <v>56956</v>
      </c>
      <c r="Z2535" s="115">
        <f>_xll.qlCalendarAdvance(Calendar,Y2535,NDays&amp;"D")</f>
        <v>56956</v>
      </c>
      <c r="AA2535" s="116" t="e">
        <v>#N/A</v>
      </c>
      <c r="AB2535" s="113" t="e">
        <v>#N/A</v>
      </c>
    </row>
    <row r="2536" spans="17:28" x14ac:dyDescent="0.2">
      <c r="Q2536" s="72"/>
      <c r="T2536" s="72"/>
      <c r="U2536" s="93"/>
      <c r="X2536" s="114" t="str">
        <f t="shared" si="52"/>
        <v>1w</v>
      </c>
      <c r="Y2536" s="112">
        <f>_xll.qlCalendarAdvance(Calendar,Y2535,X2536,"f",FALSE)</f>
        <v>56963</v>
      </c>
      <c r="Z2536" s="115">
        <f>_xll.qlCalendarAdvance(Calendar,Y2536,NDays&amp;"D")</f>
        <v>56963</v>
      </c>
      <c r="AA2536" s="116" t="e">
        <v>#N/A</v>
      </c>
      <c r="AB2536" s="113" t="e">
        <v>#N/A</v>
      </c>
    </row>
    <row r="2537" spans="17:28" x14ac:dyDescent="0.2">
      <c r="Q2537" s="72"/>
      <c r="T2537" s="72"/>
      <c r="U2537" s="93"/>
      <c r="X2537" s="114" t="str">
        <f t="shared" si="52"/>
        <v>1w</v>
      </c>
      <c r="Y2537" s="112">
        <f>_xll.qlCalendarAdvance(Calendar,Y2536,X2537,"f",FALSE)</f>
        <v>56970</v>
      </c>
      <c r="Z2537" s="115">
        <f>_xll.qlCalendarAdvance(Calendar,Y2537,NDays&amp;"D")</f>
        <v>56970</v>
      </c>
      <c r="AA2537" s="116" t="e">
        <v>#N/A</v>
      </c>
      <c r="AB2537" s="113" t="e">
        <v>#N/A</v>
      </c>
    </row>
    <row r="2538" spans="17:28" x14ac:dyDescent="0.2">
      <c r="Q2538" s="72"/>
      <c r="T2538" s="72"/>
      <c r="U2538" s="93"/>
      <c r="X2538" s="114" t="str">
        <f t="shared" si="52"/>
        <v>1w</v>
      </c>
      <c r="Y2538" s="112">
        <f>_xll.qlCalendarAdvance(Calendar,Y2537,X2538,"f",FALSE)</f>
        <v>56977</v>
      </c>
      <c r="Z2538" s="115">
        <f>_xll.qlCalendarAdvance(Calendar,Y2538,NDays&amp;"D")</f>
        <v>56977</v>
      </c>
      <c r="AA2538" s="116" t="e">
        <v>#N/A</v>
      </c>
      <c r="AB2538" s="113" t="e">
        <v>#N/A</v>
      </c>
    </row>
    <row r="2539" spans="17:28" x14ac:dyDescent="0.2">
      <c r="Q2539" s="72"/>
      <c r="T2539" s="72"/>
      <c r="U2539" s="93"/>
      <c r="X2539" s="114" t="str">
        <f t="shared" si="52"/>
        <v>1w</v>
      </c>
      <c r="Y2539" s="112">
        <f>_xll.qlCalendarAdvance(Calendar,Y2538,X2539,"f",FALSE)</f>
        <v>56984</v>
      </c>
      <c r="Z2539" s="115">
        <f>_xll.qlCalendarAdvance(Calendar,Y2539,NDays&amp;"D")</f>
        <v>56984</v>
      </c>
      <c r="AA2539" s="116" t="e">
        <v>#N/A</v>
      </c>
      <c r="AB2539" s="113" t="e">
        <v>#N/A</v>
      </c>
    </row>
    <row r="2540" spans="17:28" x14ac:dyDescent="0.2">
      <c r="Q2540" s="72"/>
      <c r="T2540" s="72"/>
      <c r="U2540" s="93"/>
      <c r="X2540" s="114" t="str">
        <f t="shared" si="52"/>
        <v>1w</v>
      </c>
      <c r="Y2540" s="112">
        <f>_xll.qlCalendarAdvance(Calendar,Y2539,X2540,"f",FALSE)</f>
        <v>56991</v>
      </c>
      <c r="Z2540" s="115">
        <f>_xll.qlCalendarAdvance(Calendar,Y2540,NDays&amp;"D")</f>
        <v>56991</v>
      </c>
      <c r="AA2540" s="116" t="e">
        <v>#N/A</v>
      </c>
      <c r="AB2540" s="113" t="e">
        <v>#N/A</v>
      </c>
    </row>
    <row r="2541" spans="17:28" x14ac:dyDescent="0.2">
      <c r="Q2541" s="72"/>
      <c r="T2541" s="72"/>
      <c r="U2541" s="93"/>
      <c r="X2541" s="114" t="str">
        <f t="shared" si="52"/>
        <v>1w</v>
      </c>
      <c r="Y2541" s="112">
        <f>_xll.qlCalendarAdvance(Calendar,Y2540,X2541,"f",FALSE)</f>
        <v>56998</v>
      </c>
      <c r="Z2541" s="115">
        <f>_xll.qlCalendarAdvance(Calendar,Y2541,NDays&amp;"D")</f>
        <v>56998</v>
      </c>
      <c r="AA2541" s="116" t="e">
        <v>#N/A</v>
      </c>
      <c r="AB2541" s="113" t="e">
        <v>#N/A</v>
      </c>
    </row>
    <row r="2542" spans="17:28" x14ac:dyDescent="0.2">
      <c r="Q2542" s="72"/>
      <c r="T2542" s="72"/>
      <c r="U2542" s="93"/>
      <c r="X2542" s="114" t="str">
        <f t="shared" si="52"/>
        <v>1w</v>
      </c>
      <c r="Y2542" s="112">
        <f>_xll.qlCalendarAdvance(Calendar,Y2541,X2542,"f",FALSE)</f>
        <v>57006</v>
      </c>
      <c r="Z2542" s="115">
        <f>_xll.qlCalendarAdvance(Calendar,Y2542,NDays&amp;"D")</f>
        <v>57006</v>
      </c>
      <c r="AA2542" s="116" t="e">
        <v>#N/A</v>
      </c>
      <c r="AB2542" s="113" t="e">
        <v>#N/A</v>
      </c>
    </row>
    <row r="2543" spans="17:28" x14ac:dyDescent="0.2">
      <c r="Q2543" s="72"/>
      <c r="T2543" s="72"/>
      <c r="U2543" s="93"/>
      <c r="X2543" s="114" t="str">
        <f t="shared" si="52"/>
        <v>1w</v>
      </c>
      <c r="Y2543" s="112">
        <f>_xll.qlCalendarAdvance(Calendar,Y2542,X2543,"f",FALSE)</f>
        <v>57013</v>
      </c>
      <c r="Z2543" s="115">
        <f>_xll.qlCalendarAdvance(Calendar,Y2543,NDays&amp;"D")</f>
        <v>57013</v>
      </c>
      <c r="AA2543" s="116" t="e">
        <v>#N/A</v>
      </c>
      <c r="AB2543" s="113" t="e">
        <v>#N/A</v>
      </c>
    </row>
    <row r="2544" spans="17:28" x14ac:dyDescent="0.2">
      <c r="Q2544" s="72"/>
      <c r="T2544" s="72"/>
      <c r="U2544" s="93"/>
      <c r="X2544" s="114" t="str">
        <f t="shared" si="52"/>
        <v>1w</v>
      </c>
      <c r="Y2544" s="112">
        <f>_xll.qlCalendarAdvance(Calendar,Y2543,X2544,"f",FALSE)</f>
        <v>57020</v>
      </c>
      <c r="Z2544" s="115">
        <f>_xll.qlCalendarAdvance(Calendar,Y2544,NDays&amp;"D")</f>
        <v>57020</v>
      </c>
      <c r="AA2544" s="116" t="e">
        <v>#N/A</v>
      </c>
      <c r="AB2544" s="113" t="e">
        <v>#N/A</v>
      </c>
    </row>
    <row r="2545" spans="17:28" x14ac:dyDescent="0.2">
      <c r="Q2545" s="72"/>
      <c r="T2545" s="72"/>
      <c r="U2545" s="93"/>
      <c r="X2545" s="114" t="str">
        <f t="shared" si="52"/>
        <v>1w</v>
      </c>
      <c r="Y2545" s="112">
        <f>_xll.qlCalendarAdvance(Calendar,Y2544,X2545,"f",FALSE)</f>
        <v>57027</v>
      </c>
      <c r="Z2545" s="115">
        <f>_xll.qlCalendarAdvance(Calendar,Y2545,NDays&amp;"D")</f>
        <v>57027</v>
      </c>
      <c r="AA2545" s="116" t="e">
        <v>#N/A</v>
      </c>
      <c r="AB2545" s="113" t="e">
        <v>#N/A</v>
      </c>
    </row>
    <row r="2546" spans="17:28" x14ac:dyDescent="0.2">
      <c r="Q2546" s="72"/>
      <c r="T2546" s="72"/>
      <c r="U2546" s="93"/>
      <c r="X2546" s="114" t="str">
        <f t="shared" si="52"/>
        <v>1w</v>
      </c>
      <c r="Y2546" s="112">
        <f>_xll.qlCalendarAdvance(Calendar,Y2545,X2546,"f",FALSE)</f>
        <v>57034</v>
      </c>
      <c r="Z2546" s="115">
        <f>_xll.qlCalendarAdvance(Calendar,Y2546,NDays&amp;"D")</f>
        <v>57034</v>
      </c>
      <c r="AA2546" s="116" t="e">
        <v>#N/A</v>
      </c>
      <c r="AB2546" s="113" t="e">
        <v>#N/A</v>
      </c>
    </row>
    <row r="2547" spans="17:28" x14ac:dyDescent="0.2">
      <c r="Q2547" s="72"/>
      <c r="T2547" s="72"/>
      <c r="U2547" s="93"/>
      <c r="X2547" s="114" t="str">
        <f t="shared" si="52"/>
        <v>1w</v>
      </c>
      <c r="Y2547" s="112">
        <f>_xll.qlCalendarAdvance(Calendar,Y2546,X2547,"f",FALSE)</f>
        <v>57041</v>
      </c>
      <c r="Z2547" s="115">
        <f>_xll.qlCalendarAdvance(Calendar,Y2547,NDays&amp;"D")</f>
        <v>57041</v>
      </c>
      <c r="AA2547" s="116" t="e">
        <v>#N/A</v>
      </c>
      <c r="AB2547" s="113" t="e">
        <v>#N/A</v>
      </c>
    </row>
    <row r="2548" spans="17:28" x14ac:dyDescent="0.2">
      <c r="Q2548" s="72"/>
      <c r="T2548" s="72"/>
      <c r="U2548" s="93"/>
      <c r="X2548" s="114" t="str">
        <f t="shared" si="52"/>
        <v>1w</v>
      </c>
      <c r="Y2548" s="112">
        <f>_xll.qlCalendarAdvance(Calendar,Y2547,X2548,"f",FALSE)</f>
        <v>57048</v>
      </c>
      <c r="Z2548" s="115">
        <f>_xll.qlCalendarAdvance(Calendar,Y2548,NDays&amp;"D")</f>
        <v>57048</v>
      </c>
      <c r="AA2548" s="116" t="e">
        <v>#N/A</v>
      </c>
      <c r="AB2548" s="113" t="e">
        <v>#N/A</v>
      </c>
    </row>
    <row r="2549" spans="17:28" x14ac:dyDescent="0.2">
      <c r="Q2549" s="72"/>
      <c r="T2549" s="72"/>
      <c r="U2549" s="93"/>
      <c r="X2549" s="114" t="str">
        <f t="shared" si="52"/>
        <v>1w</v>
      </c>
      <c r="Y2549" s="112">
        <f>_xll.qlCalendarAdvance(Calendar,Y2548,X2549,"f",FALSE)</f>
        <v>57055</v>
      </c>
      <c r="Z2549" s="115">
        <f>_xll.qlCalendarAdvance(Calendar,Y2549,NDays&amp;"D")</f>
        <v>57055</v>
      </c>
      <c r="AA2549" s="116" t="e">
        <v>#N/A</v>
      </c>
      <c r="AB2549" s="113" t="e">
        <v>#N/A</v>
      </c>
    </row>
    <row r="2550" spans="17:28" x14ac:dyDescent="0.2">
      <c r="Q2550" s="72"/>
      <c r="T2550" s="72"/>
      <c r="U2550" s="93"/>
      <c r="X2550" s="114" t="str">
        <f t="shared" si="52"/>
        <v>1w</v>
      </c>
      <c r="Y2550" s="112">
        <f>_xll.qlCalendarAdvance(Calendar,Y2549,X2550,"f",FALSE)</f>
        <v>57062</v>
      </c>
      <c r="Z2550" s="115">
        <f>_xll.qlCalendarAdvance(Calendar,Y2550,NDays&amp;"D")</f>
        <v>57062</v>
      </c>
      <c r="AA2550" s="116" t="e">
        <v>#N/A</v>
      </c>
      <c r="AB2550" s="113" t="e">
        <v>#N/A</v>
      </c>
    </row>
    <row r="2551" spans="17:28" x14ac:dyDescent="0.2">
      <c r="Q2551" s="72"/>
      <c r="T2551" s="72"/>
      <c r="U2551" s="93"/>
      <c r="X2551" s="114" t="str">
        <f t="shared" si="52"/>
        <v>1w</v>
      </c>
      <c r="Y2551" s="112">
        <f>_xll.qlCalendarAdvance(Calendar,Y2550,X2551,"f",FALSE)</f>
        <v>57069</v>
      </c>
      <c r="Z2551" s="115">
        <f>_xll.qlCalendarAdvance(Calendar,Y2551,NDays&amp;"D")</f>
        <v>57069</v>
      </c>
      <c r="AA2551" s="116" t="e">
        <v>#N/A</v>
      </c>
      <c r="AB2551" s="113" t="e">
        <v>#N/A</v>
      </c>
    </row>
    <row r="2552" spans="17:28" x14ac:dyDescent="0.2">
      <c r="Q2552" s="72"/>
      <c r="T2552" s="72"/>
      <c r="U2552" s="93"/>
      <c r="X2552" s="114" t="str">
        <f t="shared" si="52"/>
        <v>1w</v>
      </c>
      <c r="Y2552" s="112">
        <f>_xll.qlCalendarAdvance(Calendar,Y2551,X2552,"f",FALSE)</f>
        <v>57076</v>
      </c>
      <c r="Z2552" s="115">
        <f>_xll.qlCalendarAdvance(Calendar,Y2552,NDays&amp;"D")</f>
        <v>57076</v>
      </c>
      <c r="AA2552" s="116" t="e">
        <v>#N/A</v>
      </c>
      <c r="AB2552" s="113" t="e">
        <v>#N/A</v>
      </c>
    </row>
    <row r="2553" spans="17:28" x14ac:dyDescent="0.2">
      <c r="Q2553" s="72"/>
      <c r="T2553" s="72"/>
      <c r="U2553" s="93"/>
      <c r="X2553" s="114" t="str">
        <f t="shared" si="52"/>
        <v>1w</v>
      </c>
      <c r="Y2553" s="112">
        <f>_xll.qlCalendarAdvance(Calendar,Y2552,X2553,"f",FALSE)</f>
        <v>57083</v>
      </c>
      <c r="Z2553" s="115">
        <f>_xll.qlCalendarAdvance(Calendar,Y2553,NDays&amp;"D")</f>
        <v>57083</v>
      </c>
      <c r="AA2553" s="116" t="e">
        <v>#N/A</v>
      </c>
      <c r="AB2553" s="113" t="e">
        <v>#N/A</v>
      </c>
    </row>
    <row r="2554" spans="17:28" x14ac:dyDescent="0.2">
      <c r="Q2554" s="72"/>
      <c r="T2554" s="72"/>
      <c r="U2554" s="93"/>
      <c r="X2554" s="114" t="str">
        <f t="shared" si="52"/>
        <v>1w</v>
      </c>
      <c r="Y2554" s="112">
        <f>_xll.qlCalendarAdvance(Calendar,Y2553,X2554,"f",FALSE)</f>
        <v>57090</v>
      </c>
      <c r="Z2554" s="115">
        <f>_xll.qlCalendarAdvance(Calendar,Y2554,NDays&amp;"D")</f>
        <v>57090</v>
      </c>
      <c r="AA2554" s="116" t="e">
        <v>#N/A</v>
      </c>
      <c r="AB2554" s="113" t="e">
        <v>#N/A</v>
      </c>
    </row>
    <row r="2555" spans="17:28" x14ac:dyDescent="0.2">
      <c r="Q2555" s="72"/>
      <c r="T2555" s="72"/>
      <c r="U2555" s="93"/>
      <c r="X2555" s="114" t="str">
        <f t="shared" si="52"/>
        <v>1w</v>
      </c>
      <c r="Y2555" s="112">
        <f>_xll.qlCalendarAdvance(Calendar,Y2554,X2555,"f",FALSE)</f>
        <v>57097</v>
      </c>
      <c r="Z2555" s="115">
        <f>_xll.qlCalendarAdvance(Calendar,Y2555,NDays&amp;"D")</f>
        <v>57097</v>
      </c>
      <c r="AA2555" s="116" t="e">
        <v>#N/A</v>
      </c>
      <c r="AB2555" s="113" t="e">
        <v>#N/A</v>
      </c>
    </row>
    <row r="2556" spans="17:28" x14ac:dyDescent="0.2">
      <c r="Q2556" s="72"/>
      <c r="T2556" s="72"/>
      <c r="U2556" s="93"/>
      <c r="X2556" s="114" t="str">
        <f t="shared" si="52"/>
        <v>1w</v>
      </c>
      <c r="Y2556" s="112">
        <f>_xll.qlCalendarAdvance(Calendar,Y2555,X2556,"f",FALSE)</f>
        <v>57104</v>
      </c>
      <c r="Z2556" s="115">
        <f>_xll.qlCalendarAdvance(Calendar,Y2556,NDays&amp;"D")</f>
        <v>57104</v>
      </c>
      <c r="AA2556" s="116" t="e">
        <v>#N/A</v>
      </c>
      <c r="AB2556" s="113" t="e">
        <v>#N/A</v>
      </c>
    </row>
    <row r="2557" spans="17:28" x14ac:dyDescent="0.2">
      <c r="Q2557" s="72"/>
      <c r="T2557" s="72"/>
      <c r="U2557" s="93"/>
      <c r="X2557" s="114" t="str">
        <f t="shared" si="52"/>
        <v>1w</v>
      </c>
      <c r="Y2557" s="112">
        <f>_xll.qlCalendarAdvance(Calendar,Y2556,X2557,"f",FALSE)</f>
        <v>57111</v>
      </c>
      <c r="Z2557" s="115">
        <f>_xll.qlCalendarAdvance(Calendar,Y2557,NDays&amp;"D")</f>
        <v>57111</v>
      </c>
      <c r="AA2557" s="116" t="e">
        <v>#N/A</v>
      </c>
      <c r="AB2557" s="113" t="e">
        <v>#N/A</v>
      </c>
    </row>
    <row r="2558" spans="17:28" x14ac:dyDescent="0.2">
      <c r="Q2558" s="72"/>
      <c r="T2558" s="72"/>
      <c r="U2558" s="93"/>
      <c r="X2558" s="114" t="str">
        <f t="shared" si="52"/>
        <v>1w</v>
      </c>
      <c r="Y2558" s="112">
        <f>_xll.qlCalendarAdvance(Calendar,Y2557,X2558,"f",FALSE)</f>
        <v>57118</v>
      </c>
      <c r="Z2558" s="115">
        <f>_xll.qlCalendarAdvance(Calendar,Y2558,NDays&amp;"D")</f>
        <v>57118</v>
      </c>
      <c r="AA2558" s="116" t="e">
        <v>#N/A</v>
      </c>
      <c r="AB2558" s="113" t="e">
        <v>#N/A</v>
      </c>
    </row>
    <row r="2559" spans="17:28" x14ac:dyDescent="0.2">
      <c r="Q2559" s="72"/>
      <c r="T2559" s="72"/>
      <c r="U2559" s="93"/>
      <c r="X2559" s="114" t="str">
        <f t="shared" si="52"/>
        <v>1w</v>
      </c>
      <c r="Y2559" s="112">
        <f>_xll.qlCalendarAdvance(Calendar,Y2558,X2559,"f",FALSE)</f>
        <v>57125</v>
      </c>
      <c r="Z2559" s="115">
        <f>_xll.qlCalendarAdvance(Calendar,Y2559,NDays&amp;"D")</f>
        <v>57125</v>
      </c>
      <c r="AA2559" s="116" t="e">
        <v>#N/A</v>
      </c>
      <c r="AB2559" s="113" t="e">
        <v>#N/A</v>
      </c>
    </row>
    <row r="2560" spans="17:28" x14ac:dyDescent="0.2">
      <c r="Q2560" s="72"/>
      <c r="T2560" s="72"/>
      <c r="U2560" s="93"/>
      <c r="X2560" s="114" t="str">
        <f t="shared" si="52"/>
        <v>1w</v>
      </c>
      <c r="Y2560" s="112">
        <f>_xll.qlCalendarAdvance(Calendar,Y2559,X2560,"f",FALSE)</f>
        <v>57132</v>
      </c>
      <c r="Z2560" s="115">
        <f>_xll.qlCalendarAdvance(Calendar,Y2560,NDays&amp;"D")</f>
        <v>57132</v>
      </c>
      <c r="AA2560" s="116" t="e">
        <v>#N/A</v>
      </c>
      <c r="AB2560" s="113" t="e">
        <v>#N/A</v>
      </c>
    </row>
    <row r="2561" spans="17:28" x14ac:dyDescent="0.2">
      <c r="Q2561" s="72"/>
      <c r="T2561" s="72"/>
      <c r="U2561" s="93"/>
      <c r="X2561" s="114" t="str">
        <f t="shared" si="52"/>
        <v>1w</v>
      </c>
      <c r="Y2561" s="112">
        <f>_xll.qlCalendarAdvance(Calendar,Y2560,X2561,"f",FALSE)</f>
        <v>57139</v>
      </c>
      <c r="Z2561" s="115">
        <f>_xll.qlCalendarAdvance(Calendar,Y2561,NDays&amp;"D")</f>
        <v>57139</v>
      </c>
      <c r="AA2561" s="116" t="e">
        <v>#N/A</v>
      </c>
      <c r="AB2561" s="113" t="e">
        <v>#N/A</v>
      </c>
    </row>
    <row r="2562" spans="17:28" x14ac:dyDescent="0.2">
      <c r="Q2562" s="72"/>
      <c r="T2562" s="72"/>
      <c r="U2562" s="93"/>
      <c r="X2562" s="114" t="str">
        <f t="shared" si="52"/>
        <v>1w</v>
      </c>
      <c r="Y2562" s="112">
        <f>_xll.qlCalendarAdvance(Calendar,Y2561,X2562,"f",FALSE)</f>
        <v>57146</v>
      </c>
      <c r="Z2562" s="115">
        <f>_xll.qlCalendarAdvance(Calendar,Y2562,NDays&amp;"D")</f>
        <v>57146</v>
      </c>
      <c r="AA2562" s="116" t="e">
        <v>#N/A</v>
      </c>
      <c r="AB2562" s="113" t="e">
        <v>#N/A</v>
      </c>
    </row>
    <row r="2563" spans="17:28" x14ac:dyDescent="0.2">
      <c r="Q2563" s="72"/>
      <c r="T2563" s="72"/>
      <c r="U2563" s="93"/>
      <c r="X2563" s="114" t="str">
        <f t="shared" si="52"/>
        <v>1w</v>
      </c>
      <c r="Y2563" s="112">
        <f>_xll.qlCalendarAdvance(Calendar,Y2562,X2563,"f",FALSE)</f>
        <v>57153</v>
      </c>
      <c r="Z2563" s="115">
        <f>_xll.qlCalendarAdvance(Calendar,Y2563,NDays&amp;"D")</f>
        <v>57153</v>
      </c>
      <c r="AA2563" s="116" t="e">
        <v>#N/A</v>
      </c>
      <c r="AB2563" s="113" t="e">
        <v>#N/A</v>
      </c>
    </row>
    <row r="2564" spans="17:28" x14ac:dyDescent="0.2">
      <c r="Q2564" s="72"/>
      <c r="T2564" s="72"/>
      <c r="U2564" s="93"/>
      <c r="X2564" s="114" t="str">
        <f t="shared" si="52"/>
        <v>1w</v>
      </c>
      <c r="Y2564" s="112">
        <f>_xll.qlCalendarAdvance(Calendar,Y2563,X2564,"f",FALSE)</f>
        <v>57160</v>
      </c>
      <c r="Z2564" s="115">
        <f>_xll.qlCalendarAdvance(Calendar,Y2564,NDays&amp;"D")</f>
        <v>57160</v>
      </c>
      <c r="AA2564" s="116" t="e">
        <v>#N/A</v>
      </c>
      <c r="AB2564" s="113" t="e">
        <v>#N/A</v>
      </c>
    </row>
    <row r="2565" spans="17:28" x14ac:dyDescent="0.2">
      <c r="Q2565" s="72"/>
      <c r="T2565" s="72"/>
      <c r="U2565" s="93"/>
      <c r="X2565" s="114" t="str">
        <f t="shared" si="52"/>
        <v>1w</v>
      </c>
      <c r="Y2565" s="112">
        <f>_xll.qlCalendarAdvance(Calendar,Y2564,X2565,"f",FALSE)</f>
        <v>57167</v>
      </c>
      <c r="Z2565" s="115">
        <f>_xll.qlCalendarAdvance(Calendar,Y2565,NDays&amp;"D")</f>
        <v>57167</v>
      </c>
      <c r="AA2565" s="116" t="e">
        <v>#N/A</v>
      </c>
      <c r="AB2565" s="113" t="e">
        <v>#N/A</v>
      </c>
    </row>
    <row r="2566" spans="17:28" x14ac:dyDescent="0.2">
      <c r="Q2566" s="72"/>
      <c r="T2566" s="72"/>
      <c r="U2566" s="93"/>
      <c r="X2566" s="114" t="str">
        <f t="shared" si="52"/>
        <v>1w</v>
      </c>
      <c r="Y2566" s="112">
        <f>_xll.qlCalendarAdvance(Calendar,Y2565,X2566,"f",FALSE)</f>
        <v>57174</v>
      </c>
      <c r="Z2566" s="115">
        <f>_xll.qlCalendarAdvance(Calendar,Y2566,NDays&amp;"D")</f>
        <v>57174</v>
      </c>
      <c r="AA2566" s="116" t="e">
        <v>#N/A</v>
      </c>
      <c r="AB2566" s="113" t="e">
        <v>#N/A</v>
      </c>
    </row>
    <row r="2567" spans="17:28" x14ac:dyDescent="0.2">
      <c r="Q2567" s="72"/>
      <c r="T2567" s="72"/>
      <c r="U2567" s="93"/>
      <c r="X2567" s="114" t="str">
        <f t="shared" si="52"/>
        <v>1w</v>
      </c>
      <c r="Y2567" s="112">
        <f>_xll.qlCalendarAdvance(Calendar,Y2566,X2567,"f",FALSE)</f>
        <v>57181</v>
      </c>
      <c r="Z2567" s="115">
        <f>_xll.qlCalendarAdvance(Calendar,Y2567,NDays&amp;"D")</f>
        <v>57181</v>
      </c>
      <c r="AA2567" s="116" t="e">
        <v>#N/A</v>
      </c>
      <c r="AB2567" s="113" t="e">
        <v>#N/A</v>
      </c>
    </row>
    <row r="2568" spans="17:28" x14ac:dyDescent="0.2">
      <c r="Q2568" s="72"/>
      <c r="T2568" s="72"/>
      <c r="U2568" s="93"/>
      <c r="X2568" s="114" t="str">
        <f t="shared" si="52"/>
        <v>1w</v>
      </c>
      <c r="Y2568" s="112">
        <f>_xll.qlCalendarAdvance(Calendar,Y2567,X2568,"f",FALSE)</f>
        <v>57188</v>
      </c>
      <c r="Z2568" s="115">
        <f>_xll.qlCalendarAdvance(Calendar,Y2568,NDays&amp;"D")</f>
        <v>57188</v>
      </c>
      <c r="AA2568" s="116" t="e">
        <v>#N/A</v>
      </c>
      <c r="AB2568" s="113" t="e">
        <v>#N/A</v>
      </c>
    </row>
    <row r="2569" spans="17:28" x14ac:dyDescent="0.2">
      <c r="Q2569" s="72"/>
      <c r="T2569" s="72"/>
      <c r="U2569" s="93"/>
      <c r="X2569" s="114" t="str">
        <f t="shared" si="52"/>
        <v>1w</v>
      </c>
      <c r="Y2569" s="112">
        <f>_xll.qlCalendarAdvance(Calendar,Y2568,X2569,"f",FALSE)</f>
        <v>57195</v>
      </c>
      <c r="Z2569" s="115">
        <f>_xll.qlCalendarAdvance(Calendar,Y2569,NDays&amp;"D")</f>
        <v>57195</v>
      </c>
      <c r="AA2569" s="116" t="e">
        <v>#N/A</v>
      </c>
      <c r="AB2569" s="113" t="e">
        <v>#N/A</v>
      </c>
    </row>
    <row r="2570" spans="17:28" x14ac:dyDescent="0.2">
      <c r="Q2570" s="72"/>
      <c r="T2570" s="72"/>
      <c r="U2570" s="93"/>
      <c r="X2570" s="114" t="str">
        <f t="shared" si="52"/>
        <v>1w</v>
      </c>
      <c r="Y2570" s="112">
        <f>_xll.qlCalendarAdvance(Calendar,Y2569,X2570,"f",FALSE)</f>
        <v>57202</v>
      </c>
      <c r="Z2570" s="115">
        <f>_xll.qlCalendarAdvance(Calendar,Y2570,NDays&amp;"D")</f>
        <v>57202</v>
      </c>
      <c r="AA2570" s="116" t="e">
        <v>#N/A</v>
      </c>
      <c r="AB2570" s="113" t="e">
        <v>#N/A</v>
      </c>
    </row>
    <row r="2571" spans="17:28" x14ac:dyDescent="0.2">
      <c r="Q2571" s="72"/>
      <c r="T2571" s="72"/>
      <c r="U2571" s="93"/>
      <c r="X2571" s="114" t="str">
        <f t="shared" si="52"/>
        <v>1w</v>
      </c>
      <c r="Y2571" s="112">
        <f>_xll.qlCalendarAdvance(Calendar,Y2570,X2571,"f",FALSE)</f>
        <v>57209</v>
      </c>
      <c r="Z2571" s="115">
        <f>_xll.qlCalendarAdvance(Calendar,Y2571,NDays&amp;"D")</f>
        <v>57209</v>
      </c>
      <c r="AA2571" s="116" t="e">
        <v>#N/A</v>
      </c>
      <c r="AB2571" s="113" t="e">
        <v>#N/A</v>
      </c>
    </row>
    <row r="2572" spans="17:28" x14ac:dyDescent="0.2">
      <c r="Q2572" s="72"/>
      <c r="T2572" s="72"/>
      <c r="U2572" s="93"/>
      <c r="X2572" s="114" t="str">
        <f t="shared" si="52"/>
        <v>1w</v>
      </c>
      <c r="Y2572" s="112">
        <f>_xll.qlCalendarAdvance(Calendar,Y2571,X2572,"f",FALSE)</f>
        <v>57216</v>
      </c>
      <c r="Z2572" s="115">
        <f>_xll.qlCalendarAdvance(Calendar,Y2572,NDays&amp;"D")</f>
        <v>57216</v>
      </c>
      <c r="AA2572" s="116" t="e">
        <v>#N/A</v>
      </c>
      <c r="AB2572" s="113" t="e">
        <v>#N/A</v>
      </c>
    </row>
    <row r="2573" spans="17:28" x14ac:dyDescent="0.2">
      <c r="Q2573" s="72"/>
      <c r="T2573" s="72"/>
      <c r="U2573" s="93"/>
      <c r="X2573" s="114" t="str">
        <f t="shared" si="52"/>
        <v>1w</v>
      </c>
      <c r="Y2573" s="112">
        <f>_xll.qlCalendarAdvance(Calendar,Y2572,X2573,"f",FALSE)</f>
        <v>57223</v>
      </c>
      <c r="Z2573" s="115">
        <f>_xll.qlCalendarAdvance(Calendar,Y2573,NDays&amp;"D")</f>
        <v>57223</v>
      </c>
      <c r="AA2573" s="116" t="e">
        <v>#N/A</v>
      </c>
      <c r="AB2573" s="113" t="e">
        <v>#N/A</v>
      </c>
    </row>
    <row r="2574" spans="17:28" x14ac:dyDescent="0.2">
      <c r="Q2574" s="72"/>
      <c r="T2574" s="72"/>
      <c r="U2574" s="93"/>
      <c r="X2574" s="114" t="str">
        <f t="shared" si="52"/>
        <v>1w</v>
      </c>
      <c r="Y2574" s="112">
        <f>_xll.qlCalendarAdvance(Calendar,Y2573,X2574,"f",FALSE)</f>
        <v>57230</v>
      </c>
      <c r="Z2574" s="115">
        <f>_xll.qlCalendarAdvance(Calendar,Y2574,NDays&amp;"D")</f>
        <v>57230</v>
      </c>
      <c r="AA2574" s="116" t="e">
        <v>#N/A</v>
      </c>
      <c r="AB2574" s="113" t="e">
        <v>#N/A</v>
      </c>
    </row>
    <row r="2575" spans="17:28" x14ac:dyDescent="0.2">
      <c r="Q2575" s="72"/>
      <c r="T2575" s="72"/>
      <c r="U2575" s="93"/>
      <c r="X2575" s="114" t="str">
        <f t="shared" si="52"/>
        <v>1w</v>
      </c>
      <c r="Y2575" s="112">
        <f>_xll.qlCalendarAdvance(Calendar,Y2574,X2575,"f",FALSE)</f>
        <v>57237</v>
      </c>
      <c r="Z2575" s="115">
        <f>_xll.qlCalendarAdvance(Calendar,Y2575,NDays&amp;"D")</f>
        <v>57237</v>
      </c>
      <c r="AA2575" s="116" t="e">
        <v>#N/A</v>
      </c>
      <c r="AB2575" s="113" t="e">
        <v>#N/A</v>
      </c>
    </row>
    <row r="2576" spans="17:28" x14ac:dyDescent="0.2">
      <c r="Q2576" s="72"/>
      <c r="T2576" s="72"/>
      <c r="U2576" s="93"/>
      <c r="X2576" s="114" t="str">
        <f t="shared" si="52"/>
        <v>1w</v>
      </c>
      <c r="Y2576" s="112">
        <f>_xll.qlCalendarAdvance(Calendar,Y2575,X2576,"f",FALSE)</f>
        <v>57244</v>
      </c>
      <c r="Z2576" s="115">
        <f>_xll.qlCalendarAdvance(Calendar,Y2576,NDays&amp;"D")</f>
        <v>57244</v>
      </c>
      <c r="AA2576" s="116" t="e">
        <v>#N/A</v>
      </c>
      <c r="AB2576" s="113" t="e">
        <v>#N/A</v>
      </c>
    </row>
    <row r="2577" spans="17:28" x14ac:dyDescent="0.2">
      <c r="Q2577" s="72"/>
      <c r="T2577" s="72"/>
      <c r="U2577" s="93"/>
      <c r="X2577" s="114" t="str">
        <f t="shared" si="52"/>
        <v>1w</v>
      </c>
      <c r="Y2577" s="112">
        <f>_xll.qlCalendarAdvance(Calendar,Y2576,X2577,"f",FALSE)</f>
        <v>57251</v>
      </c>
      <c r="Z2577" s="115">
        <f>_xll.qlCalendarAdvance(Calendar,Y2577,NDays&amp;"D")</f>
        <v>57251</v>
      </c>
      <c r="AA2577" s="116" t="e">
        <v>#N/A</v>
      </c>
      <c r="AB2577" s="113" t="e">
        <v>#N/A</v>
      </c>
    </row>
    <row r="2578" spans="17:28" x14ac:dyDescent="0.2">
      <c r="Q2578" s="72"/>
      <c r="T2578" s="72"/>
      <c r="U2578" s="93"/>
      <c r="X2578" s="114" t="str">
        <f t="shared" si="52"/>
        <v>1w</v>
      </c>
      <c r="Y2578" s="112">
        <f>_xll.qlCalendarAdvance(Calendar,Y2577,X2578,"f",FALSE)</f>
        <v>57258</v>
      </c>
      <c r="Z2578" s="115">
        <f>_xll.qlCalendarAdvance(Calendar,Y2578,NDays&amp;"D")</f>
        <v>57258</v>
      </c>
      <c r="AA2578" s="116" t="e">
        <v>#N/A</v>
      </c>
      <c r="AB2578" s="113" t="e">
        <v>#N/A</v>
      </c>
    </row>
    <row r="2579" spans="17:28" x14ac:dyDescent="0.2">
      <c r="Q2579" s="72"/>
      <c r="T2579" s="72"/>
      <c r="U2579" s="93"/>
      <c r="X2579" s="114" t="str">
        <f t="shared" si="52"/>
        <v>1w</v>
      </c>
      <c r="Y2579" s="112">
        <f>_xll.qlCalendarAdvance(Calendar,Y2578,X2579,"f",FALSE)</f>
        <v>57265</v>
      </c>
      <c r="Z2579" s="115">
        <f>_xll.qlCalendarAdvance(Calendar,Y2579,NDays&amp;"D")</f>
        <v>57265</v>
      </c>
      <c r="AA2579" s="116" t="e">
        <v>#N/A</v>
      </c>
      <c r="AB2579" s="113" t="e">
        <v>#N/A</v>
      </c>
    </row>
    <row r="2580" spans="17:28" x14ac:dyDescent="0.2">
      <c r="Q2580" s="72"/>
      <c r="T2580" s="72"/>
      <c r="U2580" s="93"/>
      <c r="X2580" s="114" t="str">
        <f t="shared" si="52"/>
        <v>1w</v>
      </c>
      <c r="Y2580" s="112">
        <f>_xll.qlCalendarAdvance(Calendar,Y2579,X2580,"f",FALSE)</f>
        <v>57272</v>
      </c>
      <c r="Z2580" s="115">
        <f>_xll.qlCalendarAdvance(Calendar,Y2580,NDays&amp;"D")</f>
        <v>57272</v>
      </c>
      <c r="AA2580" s="116" t="e">
        <v>#N/A</v>
      </c>
      <c r="AB2580" s="113" t="e">
        <v>#N/A</v>
      </c>
    </row>
    <row r="2581" spans="17:28" x14ac:dyDescent="0.2">
      <c r="Q2581" s="72"/>
      <c r="T2581" s="72"/>
      <c r="U2581" s="93"/>
      <c r="X2581" s="114" t="str">
        <f t="shared" ref="X2581:X2644" si="53">X2580</f>
        <v>1w</v>
      </c>
      <c r="Y2581" s="112">
        <f>_xll.qlCalendarAdvance(Calendar,Y2580,X2581,"f",FALSE)</f>
        <v>57279</v>
      </c>
      <c r="Z2581" s="115">
        <f>_xll.qlCalendarAdvance(Calendar,Y2581,NDays&amp;"D")</f>
        <v>57279</v>
      </c>
      <c r="AA2581" s="116" t="e">
        <v>#N/A</v>
      </c>
      <c r="AB2581" s="113" t="e">
        <v>#N/A</v>
      </c>
    </row>
    <row r="2582" spans="17:28" x14ac:dyDescent="0.2">
      <c r="Q2582" s="72"/>
      <c r="T2582" s="72"/>
      <c r="U2582" s="93"/>
      <c r="X2582" s="114" t="str">
        <f t="shared" si="53"/>
        <v>1w</v>
      </c>
      <c r="Y2582" s="112">
        <f>_xll.qlCalendarAdvance(Calendar,Y2581,X2582,"f",FALSE)</f>
        <v>57286</v>
      </c>
      <c r="Z2582" s="115">
        <f>_xll.qlCalendarAdvance(Calendar,Y2582,NDays&amp;"D")</f>
        <v>57286</v>
      </c>
      <c r="AA2582" s="116" t="e">
        <v>#N/A</v>
      </c>
      <c r="AB2582" s="113" t="e">
        <v>#N/A</v>
      </c>
    </row>
    <row r="2583" spans="17:28" x14ac:dyDescent="0.2">
      <c r="Q2583" s="72"/>
      <c r="T2583" s="72"/>
      <c r="U2583" s="93"/>
      <c r="X2583" s="114" t="str">
        <f t="shared" si="53"/>
        <v>1w</v>
      </c>
      <c r="Y2583" s="112">
        <f>_xll.qlCalendarAdvance(Calendar,Y2582,X2583,"f",FALSE)</f>
        <v>57293</v>
      </c>
      <c r="Z2583" s="115">
        <f>_xll.qlCalendarAdvance(Calendar,Y2583,NDays&amp;"D")</f>
        <v>57293</v>
      </c>
      <c r="AA2583" s="116" t="e">
        <v>#N/A</v>
      </c>
      <c r="AB2583" s="113" t="e">
        <v>#N/A</v>
      </c>
    </row>
    <row r="2584" spans="17:28" x14ac:dyDescent="0.2">
      <c r="Q2584" s="72"/>
      <c r="T2584" s="72"/>
      <c r="U2584" s="93"/>
      <c r="X2584" s="114" t="str">
        <f t="shared" si="53"/>
        <v>1w</v>
      </c>
      <c r="Y2584" s="112">
        <f>_xll.qlCalendarAdvance(Calendar,Y2583,X2584,"f",FALSE)</f>
        <v>57300</v>
      </c>
      <c r="Z2584" s="115">
        <f>_xll.qlCalendarAdvance(Calendar,Y2584,NDays&amp;"D")</f>
        <v>57300</v>
      </c>
      <c r="AA2584" s="116" t="e">
        <v>#N/A</v>
      </c>
      <c r="AB2584" s="113" t="e">
        <v>#N/A</v>
      </c>
    </row>
    <row r="2585" spans="17:28" x14ac:dyDescent="0.2">
      <c r="Q2585" s="72"/>
      <c r="T2585" s="72"/>
      <c r="U2585" s="93"/>
      <c r="X2585" s="114" t="str">
        <f t="shared" si="53"/>
        <v>1w</v>
      </c>
      <c r="Y2585" s="112">
        <f>_xll.qlCalendarAdvance(Calendar,Y2584,X2585,"f",FALSE)</f>
        <v>57307</v>
      </c>
      <c r="Z2585" s="115">
        <f>_xll.qlCalendarAdvance(Calendar,Y2585,NDays&amp;"D")</f>
        <v>57307</v>
      </c>
      <c r="AA2585" s="116" t="e">
        <v>#N/A</v>
      </c>
      <c r="AB2585" s="113" t="e">
        <v>#N/A</v>
      </c>
    </row>
    <row r="2586" spans="17:28" x14ac:dyDescent="0.2">
      <c r="Q2586" s="72"/>
      <c r="T2586" s="72"/>
      <c r="U2586" s="93"/>
      <c r="X2586" s="114" t="str">
        <f t="shared" si="53"/>
        <v>1w</v>
      </c>
      <c r="Y2586" s="112">
        <f>_xll.qlCalendarAdvance(Calendar,Y2585,X2586,"f",FALSE)</f>
        <v>57314</v>
      </c>
      <c r="Z2586" s="115">
        <f>_xll.qlCalendarAdvance(Calendar,Y2586,NDays&amp;"D")</f>
        <v>57314</v>
      </c>
      <c r="AA2586" s="116" t="e">
        <v>#N/A</v>
      </c>
      <c r="AB2586" s="113" t="e">
        <v>#N/A</v>
      </c>
    </row>
    <row r="2587" spans="17:28" x14ac:dyDescent="0.2">
      <c r="Q2587" s="72"/>
      <c r="T2587" s="72"/>
      <c r="U2587" s="93"/>
      <c r="X2587" s="114" t="str">
        <f t="shared" si="53"/>
        <v>1w</v>
      </c>
      <c r="Y2587" s="112">
        <f>_xll.qlCalendarAdvance(Calendar,Y2586,X2587,"f",FALSE)</f>
        <v>57321</v>
      </c>
      <c r="Z2587" s="115">
        <f>_xll.qlCalendarAdvance(Calendar,Y2587,NDays&amp;"D")</f>
        <v>57321</v>
      </c>
      <c r="AA2587" s="116" t="e">
        <v>#N/A</v>
      </c>
      <c r="AB2587" s="113" t="e">
        <v>#N/A</v>
      </c>
    </row>
    <row r="2588" spans="17:28" x14ac:dyDescent="0.2">
      <c r="Q2588" s="72"/>
      <c r="T2588" s="72"/>
      <c r="U2588" s="93"/>
      <c r="X2588" s="114" t="str">
        <f t="shared" si="53"/>
        <v>1w</v>
      </c>
      <c r="Y2588" s="112">
        <f>_xll.qlCalendarAdvance(Calendar,Y2587,X2588,"f",FALSE)</f>
        <v>57328</v>
      </c>
      <c r="Z2588" s="115">
        <f>_xll.qlCalendarAdvance(Calendar,Y2588,NDays&amp;"D")</f>
        <v>57328</v>
      </c>
      <c r="AA2588" s="116" t="e">
        <v>#N/A</v>
      </c>
      <c r="AB2588" s="113" t="e">
        <v>#N/A</v>
      </c>
    </row>
    <row r="2589" spans="17:28" x14ac:dyDescent="0.2">
      <c r="Q2589" s="72"/>
      <c r="T2589" s="72"/>
      <c r="U2589" s="93"/>
      <c r="X2589" s="114" t="str">
        <f t="shared" si="53"/>
        <v>1w</v>
      </c>
      <c r="Y2589" s="112">
        <f>_xll.qlCalendarAdvance(Calendar,Y2588,X2589,"f",FALSE)</f>
        <v>57335</v>
      </c>
      <c r="Z2589" s="115">
        <f>_xll.qlCalendarAdvance(Calendar,Y2589,NDays&amp;"D")</f>
        <v>57335</v>
      </c>
      <c r="AA2589" s="116" t="e">
        <v>#N/A</v>
      </c>
      <c r="AB2589" s="113" t="e">
        <v>#N/A</v>
      </c>
    </row>
    <row r="2590" spans="17:28" x14ac:dyDescent="0.2">
      <c r="Q2590" s="72"/>
      <c r="T2590" s="72"/>
      <c r="U2590" s="93"/>
      <c r="X2590" s="114" t="str">
        <f t="shared" si="53"/>
        <v>1w</v>
      </c>
      <c r="Y2590" s="112">
        <f>_xll.qlCalendarAdvance(Calendar,Y2589,X2590,"f",FALSE)</f>
        <v>57342</v>
      </c>
      <c r="Z2590" s="115">
        <f>_xll.qlCalendarAdvance(Calendar,Y2590,NDays&amp;"D")</f>
        <v>57342</v>
      </c>
      <c r="AA2590" s="116" t="e">
        <v>#N/A</v>
      </c>
      <c r="AB2590" s="113" t="e">
        <v>#N/A</v>
      </c>
    </row>
    <row r="2591" spans="17:28" x14ac:dyDescent="0.2">
      <c r="Q2591" s="72"/>
      <c r="T2591" s="72"/>
      <c r="U2591" s="93"/>
      <c r="X2591" s="114" t="str">
        <f t="shared" si="53"/>
        <v>1w</v>
      </c>
      <c r="Y2591" s="112">
        <f>_xll.qlCalendarAdvance(Calendar,Y2590,X2591,"f",FALSE)</f>
        <v>57349</v>
      </c>
      <c r="Z2591" s="115">
        <f>_xll.qlCalendarAdvance(Calendar,Y2591,NDays&amp;"D")</f>
        <v>57349</v>
      </c>
      <c r="AA2591" s="116" t="e">
        <v>#N/A</v>
      </c>
      <c r="AB2591" s="113" t="e">
        <v>#N/A</v>
      </c>
    </row>
    <row r="2592" spans="17:28" x14ac:dyDescent="0.2">
      <c r="Q2592" s="72"/>
      <c r="T2592" s="72"/>
      <c r="U2592" s="93"/>
      <c r="X2592" s="114" t="str">
        <f t="shared" si="53"/>
        <v>1w</v>
      </c>
      <c r="Y2592" s="112">
        <f>_xll.qlCalendarAdvance(Calendar,Y2591,X2592,"f",FALSE)</f>
        <v>57356</v>
      </c>
      <c r="Z2592" s="115">
        <f>_xll.qlCalendarAdvance(Calendar,Y2592,NDays&amp;"D")</f>
        <v>57356</v>
      </c>
      <c r="AA2592" s="116" t="e">
        <v>#N/A</v>
      </c>
      <c r="AB2592" s="113" t="e">
        <v>#N/A</v>
      </c>
    </row>
    <row r="2593" spans="17:28" x14ac:dyDescent="0.2">
      <c r="Q2593" s="72"/>
      <c r="T2593" s="72"/>
      <c r="U2593" s="93"/>
      <c r="X2593" s="114" t="str">
        <f t="shared" si="53"/>
        <v>1w</v>
      </c>
      <c r="Y2593" s="112">
        <f>_xll.qlCalendarAdvance(Calendar,Y2592,X2593,"f",FALSE)</f>
        <v>57363</v>
      </c>
      <c r="Z2593" s="115">
        <f>_xll.qlCalendarAdvance(Calendar,Y2593,NDays&amp;"D")</f>
        <v>57363</v>
      </c>
      <c r="AA2593" s="116" t="e">
        <v>#N/A</v>
      </c>
      <c r="AB2593" s="113" t="e">
        <v>#N/A</v>
      </c>
    </row>
    <row r="2594" spans="17:28" x14ac:dyDescent="0.2">
      <c r="Q2594" s="72"/>
      <c r="T2594" s="72"/>
      <c r="U2594" s="93"/>
      <c r="X2594" s="114" t="str">
        <f t="shared" si="53"/>
        <v>1w</v>
      </c>
      <c r="Y2594" s="112">
        <f>_xll.qlCalendarAdvance(Calendar,Y2593,X2594,"f",FALSE)</f>
        <v>57370</v>
      </c>
      <c r="Z2594" s="115">
        <f>_xll.qlCalendarAdvance(Calendar,Y2594,NDays&amp;"D")</f>
        <v>57370</v>
      </c>
      <c r="AA2594" s="116" t="e">
        <v>#N/A</v>
      </c>
      <c r="AB2594" s="113" t="e">
        <v>#N/A</v>
      </c>
    </row>
    <row r="2595" spans="17:28" x14ac:dyDescent="0.2">
      <c r="Q2595" s="72"/>
      <c r="T2595" s="72"/>
      <c r="U2595" s="93"/>
      <c r="X2595" s="114" t="str">
        <f t="shared" si="53"/>
        <v>1w</v>
      </c>
      <c r="Y2595" s="112">
        <f>_xll.qlCalendarAdvance(Calendar,Y2594,X2595,"f",FALSE)</f>
        <v>57377</v>
      </c>
      <c r="Z2595" s="115">
        <f>_xll.qlCalendarAdvance(Calendar,Y2595,NDays&amp;"D")</f>
        <v>57377</v>
      </c>
      <c r="AA2595" s="116" t="e">
        <v>#N/A</v>
      </c>
      <c r="AB2595" s="113" t="e">
        <v>#N/A</v>
      </c>
    </row>
    <row r="2596" spans="17:28" x14ac:dyDescent="0.2">
      <c r="Q2596" s="72"/>
      <c r="T2596" s="72"/>
      <c r="U2596" s="93"/>
      <c r="X2596" s="114" t="str">
        <f t="shared" si="53"/>
        <v>1w</v>
      </c>
      <c r="Y2596" s="112">
        <f>_xll.qlCalendarAdvance(Calendar,Y2595,X2596,"f",FALSE)</f>
        <v>57384</v>
      </c>
      <c r="Z2596" s="115">
        <f>_xll.qlCalendarAdvance(Calendar,Y2596,NDays&amp;"D")</f>
        <v>57384</v>
      </c>
      <c r="AA2596" s="116" t="e">
        <v>#N/A</v>
      </c>
      <c r="AB2596" s="113" t="e">
        <v>#N/A</v>
      </c>
    </row>
    <row r="2597" spans="17:28" x14ac:dyDescent="0.2">
      <c r="Q2597" s="72"/>
      <c r="T2597" s="72"/>
      <c r="U2597" s="93"/>
      <c r="X2597" s="114" t="str">
        <f t="shared" si="53"/>
        <v>1w</v>
      </c>
      <c r="Y2597" s="112">
        <f>_xll.qlCalendarAdvance(Calendar,Y2596,X2597,"f",FALSE)</f>
        <v>57391</v>
      </c>
      <c r="Z2597" s="115">
        <f>_xll.qlCalendarAdvance(Calendar,Y2597,NDays&amp;"D")</f>
        <v>57391</v>
      </c>
      <c r="AA2597" s="116" t="e">
        <v>#N/A</v>
      </c>
      <c r="AB2597" s="113" t="e">
        <v>#N/A</v>
      </c>
    </row>
    <row r="2598" spans="17:28" x14ac:dyDescent="0.2">
      <c r="Q2598" s="72"/>
      <c r="T2598" s="72"/>
      <c r="U2598" s="93"/>
      <c r="X2598" s="114" t="str">
        <f t="shared" si="53"/>
        <v>1w</v>
      </c>
      <c r="Y2598" s="112">
        <f>_xll.qlCalendarAdvance(Calendar,Y2597,X2598,"f",FALSE)</f>
        <v>57398</v>
      </c>
      <c r="Z2598" s="115">
        <f>_xll.qlCalendarAdvance(Calendar,Y2598,NDays&amp;"D")</f>
        <v>57398</v>
      </c>
      <c r="AA2598" s="116" t="e">
        <v>#N/A</v>
      </c>
      <c r="AB2598" s="113" t="e">
        <v>#N/A</v>
      </c>
    </row>
    <row r="2599" spans="17:28" x14ac:dyDescent="0.2">
      <c r="Q2599" s="72"/>
      <c r="T2599" s="72"/>
      <c r="U2599" s="93"/>
      <c r="X2599" s="114" t="str">
        <f t="shared" si="53"/>
        <v>1w</v>
      </c>
      <c r="Y2599" s="112">
        <f>_xll.qlCalendarAdvance(Calendar,Y2598,X2599,"f",FALSE)</f>
        <v>57405</v>
      </c>
      <c r="Z2599" s="115">
        <f>_xll.qlCalendarAdvance(Calendar,Y2599,NDays&amp;"D")</f>
        <v>57405</v>
      </c>
      <c r="AA2599" s="116" t="e">
        <v>#N/A</v>
      </c>
      <c r="AB2599" s="113" t="e">
        <v>#N/A</v>
      </c>
    </row>
    <row r="2600" spans="17:28" x14ac:dyDescent="0.2">
      <c r="Q2600" s="72"/>
      <c r="T2600" s="72"/>
      <c r="U2600" s="93"/>
      <c r="X2600" s="114" t="str">
        <f t="shared" si="53"/>
        <v>1w</v>
      </c>
      <c r="Y2600" s="112">
        <f>_xll.qlCalendarAdvance(Calendar,Y2599,X2600,"f",FALSE)</f>
        <v>57412</v>
      </c>
      <c r="Z2600" s="115">
        <f>_xll.qlCalendarAdvance(Calendar,Y2600,NDays&amp;"D")</f>
        <v>57412</v>
      </c>
      <c r="AA2600" s="116" t="e">
        <v>#N/A</v>
      </c>
      <c r="AB2600" s="113" t="e">
        <v>#N/A</v>
      </c>
    </row>
    <row r="2601" spans="17:28" x14ac:dyDescent="0.2">
      <c r="Q2601" s="72"/>
      <c r="T2601" s="72"/>
      <c r="U2601" s="93"/>
      <c r="X2601" s="114" t="str">
        <f t="shared" si="53"/>
        <v>1w</v>
      </c>
      <c r="Y2601" s="112">
        <f>_xll.qlCalendarAdvance(Calendar,Y2600,X2601,"f",FALSE)</f>
        <v>57419</v>
      </c>
      <c r="Z2601" s="115">
        <f>_xll.qlCalendarAdvance(Calendar,Y2601,NDays&amp;"D")</f>
        <v>57419</v>
      </c>
      <c r="AA2601" s="116" t="e">
        <v>#N/A</v>
      </c>
      <c r="AB2601" s="113" t="e">
        <v>#N/A</v>
      </c>
    </row>
    <row r="2602" spans="17:28" x14ac:dyDescent="0.2">
      <c r="Q2602" s="72"/>
      <c r="T2602" s="72"/>
      <c r="U2602" s="93"/>
      <c r="X2602" s="114" t="str">
        <f t="shared" si="53"/>
        <v>1w</v>
      </c>
      <c r="Y2602" s="112">
        <f>_xll.qlCalendarAdvance(Calendar,Y2601,X2602,"f",FALSE)</f>
        <v>57426</v>
      </c>
      <c r="Z2602" s="115">
        <f>_xll.qlCalendarAdvance(Calendar,Y2602,NDays&amp;"D")</f>
        <v>57426</v>
      </c>
      <c r="AA2602" s="116" t="e">
        <v>#N/A</v>
      </c>
      <c r="AB2602" s="113" t="e">
        <v>#N/A</v>
      </c>
    </row>
    <row r="2603" spans="17:28" x14ac:dyDescent="0.2">
      <c r="Q2603" s="72"/>
      <c r="T2603" s="72"/>
      <c r="U2603" s="93"/>
      <c r="X2603" s="114" t="str">
        <f t="shared" si="53"/>
        <v>1w</v>
      </c>
      <c r="Y2603" s="112">
        <f>_xll.qlCalendarAdvance(Calendar,Y2602,X2603,"f",FALSE)</f>
        <v>57433</v>
      </c>
      <c r="Z2603" s="115">
        <f>_xll.qlCalendarAdvance(Calendar,Y2603,NDays&amp;"D")</f>
        <v>57433</v>
      </c>
      <c r="AA2603" s="116" t="e">
        <v>#N/A</v>
      </c>
      <c r="AB2603" s="113" t="e">
        <v>#N/A</v>
      </c>
    </row>
    <row r="2604" spans="17:28" x14ac:dyDescent="0.2">
      <c r="Q2604" s="72"/>
      <c r="T2604" s="72"/>
      <c r="U2604" s="93"/>
      <c r="X2604" s="114" t="str">
        <f t="shared" si="53"/>
        <v>1w</v>
      </c>
      <c r="Y2604" s="112">
        <f>_xll.qlCalendarAdvance(Calendar,Y2603,X2604,"f",FALSE)</f>
        <v>57440</v>
      </c>
      <c r="Z2604" s="115">
        <f>_xll.qlCalendarAdvance(Calendar,Y2604,NDays&amp;"D")</f>
        <v>57440</v>
      </c>
      <c r="AA2604" s="116" t="e">
        <v>#N/A</v>
      </c>
      <c r="AB2604" s="113" t="e">
        <v>#N/A</v>
      </c>
    </row>
    <row r="2605" spans="17:28" x14ac:dyDescent="0.2">
      <c r="Q2605" s="72"/>
      <c r="T2605" s="72"/>
      <c r="U2605" s="93"/>
      <c r="X2605" s="114" t="str">
        <f t="shared" si="53"/>
        <v>1w</v>
      </c>
      <c r="Y2605" s="112">
        <f>_xll.qlCalendarAdvance(Calendar,Y2604,X2605,"f",FALSE)</f>
        <v>57447</v>
      </c>
      <c r="Z2605" s="115">
        <f>_xll.qlCalendarAdvance(Calendar,Y2605,NDays&amp;"D")</f>
        <v>57447</v>
      </c>
      <c r="AA2605" s="116" t="e">
        <v>#N/A</v>
      </c>
      <c r="AB2605" s="113" t="e">
        <v>#N/A</v>
      </c>
    </row>
    <row r="2606" spans="17:28" x14ac:dyDescent="0.2">
      <c r="Q2606" s="72"/>
      <c r="T2606" s="72"/>
      <c r="U2606" s="93"/>
      <c r="X2606" s="114" t="str">
        <f t="shared" si="53"/>
        <v>1w</v>
      </c>
      <c r="Y2606" s="112">
        <f>_xll.qlCalendarAdvance(Calendar,Y2605,X2606,"f",FALSE)</f>
        <v>57454</v>
      </c>
      <c r="Z2606" s="115">
        <f>_xll.qlCalendarAdvance(Calendar,Y2606,NDays&amp;"D")</f>
        <v>57454</v>
      </c>
      <c r="AA2606" s="116" t="e">
        <v>#N/A</v>
      </c>
      <c r="AB2606" s="113" t="e">
        <v>#N/A</v>
      </c>
    </row>
    <row r="2607" spans="17:28" x14ac:dyDescent="0.2">
      <c r="Q2607" s="72"/>
      <c r="T2607" s="72"/>
      <c r="U2607" s="93"/>
      <c r="X2607" s="114" t="str">
        <f t="shared" si="53"/>
        <v>1w</v>
      </c>
      <c r="Y2607" s="112">
        <f>_xll.qlCalendarAdvance(Calendar,Y2606,X2607,"f",FALSE)</f>
        <v>57461</v>
      </c>
      <c r="Z2607" s="115">
        <f>_xll.qlCalendarAdvance(Calendar,Y2607,NDays&amp;"D")</f>
        <v>57461</v>
      </c>
      <c r="AA2607" s="116" t="e">
        <v>#N/A</v>
      </c>
      <c r="AB2607" s="113" t="e">
        <v>#N/A</v>
      </c>
    </row>
    <row r="2608" spans="17:28" x14ac:dyDescent="0.2">
      <c r="Q2608" s="72"/>
      <c r="T2608" s="72"/>
      <c r="U2608" s="93"/>
      <c r="X2608" s="114" t="str">
        <f t="shared" si="53"/>
        <v>1w</v>
      </c>
      <c r="Y2608" s="112">
        <f>_xll.qlCalendarAdvance(Calendar,Y2607,X2608,"f",FALSE)</f>
        <v>57468</v>
      </c>
      <c r="Z2608" s="115">
        <f>_xll.qlCalendarAdvance(Calendar,Y2608,NDays&amp;"D")</f>
        <v>57468</v>
      </c>
      <c r="AA2608" s="116" t="e">
        <v>#N/A</v>
      </c>
      <c r="AB2608" s="113" t="e">
        <v>#N/A</v>
      </c>
    </row>
    <row r="2609" spans="17:28" x14ac:dyDescent="0.2">
      <c r="Q2609" s="72"/>
      <c r="T2609" s="72"/>
      <c r="U2609" s="93"/>
      <c r="X2609" s="114" t="str">
        <f t="shared" si="53"/>
        <v>1w</v>
      </c>
      <c r="Y2609" s="112">
        <f>_xll.qlCalendarAdvance(Calendar,Y2608,X2609,"f",FALSE)</f>
        <v>57475</v>
      </c>
      <c r="Z2609" s="115">
        <f>_xll.qlCalendarAdvance(Calendar,Y2609,NDays&amp;"D")</f>
        <v>57475</v>
      </c>
      <c r="AA2609" s="116" t="e">
        <v>#N/A</v>
      </c>
      <c r="AB2609" s="113" t="e">
        <v>#N/A</v>
      </c>
    </row>
    <row r="2610" spans="17:28" x14ac:dyDescent="0.2">
      <c r="Q2610" s="72"/>
      <c r="T2610" s="72"/>
      <c r="U2610" s="93"/>
      <c r="X2610" s="114" t="str">
        <f t="shared" si="53"/>
        <v>1w</v>
      </c>
      <c r="Y2610" s="112">
        <f>_xll.qlCalendarAdvance(Calendar,Y2609,X2610,"f",FALSE)</f>
        <v>57482</v>
      </c>
      <c r="Z2610" s="115">
        <f>_xll.qlCalendarAdvance(Calendar,Y2610,NDays&amp;"D")</f>
        <v>57482</v>
      </c>
      <c r="AA2610" s="116" t="e">
        <v>#N/A</v>
      </c>
      <c r="AB2610" s="113" t="e">
        <v>#N/A</v>
      </c>
    </row>
    <row r="2611" spans="17:28" x14ac:dyDescent="0.2">
      <c r="Q2611" s="72"/>
      <c r="T2611" s="72"/>
      <c r="U2611" s="93"/>
      <c r="X2611" s="114" t="str">
        <f t="shared" si="53"/>
        <v>1w</v>
      </c>
      <c r="Y2611" s="112">
        <f>_xll.qlCalendarAdvance(Calendar,Y2610,X2611,"f",FALSE)</f>
        <v>57489</v>
      </c>
      <c r="Z2611" s="115">
        <f>_xll.qlCalendarAdvance(Calendar,Y2611,NDays&amp;"D")</f>
        <v>57489</v>
      </c>
      <c r="AA2611" s="116" t="e">
        <v>#N/A</v>
      </c>
      <c r="AB2611" s="113" t="e">
        <v>#N/A</v>
      </c>
    </row>
    <row r="2612" spans="17:28" x14ac:dyDescent="0.2">
      <c r="Q2612" s="72"/>
      <c r="T2612" s="72"/>
      <c r="U2612" s="93"/>
      <c r="X2612" s="114" t="str">
        <f t="shared" si="53"/>
        <v>1w</v>
      </c>
      <c r="Y2612" s="112">
        <f>_xll.qlCalendarAdvance(Calendar,Y2611,X2612,"f",FALSE)</f>
        <v>57496</v>
      </c>
      <c r="Z2612" s="115">
        <f>_xll.qlCalendarAdvance(Calendar,Y2612,NDays&amp;"D")</f>
        <v>57496</v>
      </c>
      <c r="AA2612" s="116" t="e">
        <v>#N/A</v>
      </c>
      <c r="AB2612" s="113" t="e">
        <v>#N/A</v>
      </c>
    </row>
    <row r="2613" spans="17:28" x14ac:dyDescent="0.2">
      <c r="Q2613" s="72"/>
      <c r="T2613" s="72"/>
      <c r="U2613" s="93"/>
      <c r="X2613" s="114" t="str">
        <f t="shared" si="53"/>
        <v>1w</v>
      </c>
      <c r="Y2613" s="112">
        <f>_xll.qlCalendarAdvance(Calendar,Y2612,X2613,"f",FALSE)</f>
        <v>57503</v>
      </c>
      <c r="Z2613" s="115">
        <f>_xll.qlCalendarAdvance(Calendar,Y2613,NDays&amp;"D")</f>
        <v>57503</v>
      </c>
      <c r="AA2613" s="116" t="e">
        <v>#N/A</v>
      </c>
      <c r="AB2613" s="113" t="e">
        <v>#N/A</v>
      </c>
    </row>
    <row r="2614" spans="17:28" x14ac:dyDescent="0.2">
      <c r="Q2614" s="72"/>
      <c r="T2614" s="72"/>
      <c r="U2614" s="93"/>
      <c r="X2614" s="114" t="str">
        <f t="shared" si="53"/>
        <v>1w</v>
      </c>
      <c r="Y2614" s="112">
        <f>_xll.qlCalendarAdvance(Calendar,Y2613,X2614,"f",FALSE)</f>
        <v>57510</v>
      </c>
      <c r="Z2614" s="115">
        <f>_xll.qlCalendarAdvance(Calendar,Y2614,NDays&amp;"D")</f>
        <v>57510</v>
      </c>
      <c r="AA2614" s="116" t="e">
        <v>#N/A</v>
      </c>
      <c r="AB2614" s="113" t="e">
        <v>#N/A</v>
      </c>
    </row>
    <row r="2615" spans="17:28" x14ac:dyDescent="0.2">
      <c r="Q2615" s="72"/>
      <c r="T2615" s="72"/>
      <c r="U2615" s="93"/>
      <c r="X2615" s="114" t="str">
        <f t="shared" si="53"/>
        <v>1w</v>
      </c>
      <c r="Y2615" s="112">
        <f>_xll.qlCalendarAdvance(Calendar,Y2614,X2615,"f",FALSE)</f>
        <v>57517</v>
      </c>
      <c r="Z2615" s="115">
        <f>_xll.qlCalendarAdvance(Calendar,Y2615,NDays&amp;"D")</f>
        <v>57517</v>
      </c>
      <c r="AA2615" s="116" t="e">
        <v>#N/A</v>
      </c>
      <c r="AB2615" s="113" t="e">
        <v>#N/A</v>
      </c>
    </row>
    <row r="2616" spans="17:28" x14ac:dyDescent="0.2">
      <c r="Q2616" s="72"/>
      <c r="T2616" s="72"/>
      <c r="U2616" s="93"/>
      <c r="X2616" s="114" t="str">
        <f t="shared" si="53"/>
        <v>1w</v>
      </c>
      <c r="Y2616" s="112">
        <f>_xll.qlCalendarAdvance(Calendar,Y2615,X2616,"f",FALSE)</f>
        <v>57524</v>
      </c>
      <c r="Z2616" s="115">
        <f>_xll.qlCalendarAdvance(Calendar,Y2616,NDays&amp;"D")</f>
        <v>57524</v>
      </c>
      <c r="AA2616" s="116" t="e">
        <v>#N/A</v>
      </c>
      <c r="AB2616" s="113" t="e">
        <v>#N/A</v>
      </c>
    </row>
    <row r="2617" spans="17:28" x14ac:dyDescent="0.2">
      <c r="Q2617" s="72"/>
      <c r="T2617" s="72"/>
      <c r="U2617" s="93"/>
      <c r="X2617" s="114" t="str">
        <f t="shared" si="53"/>
        <v>1w</v>
      </c>
      <c r="Y2617" s="112">
        <f>_xll.qlCalendarAdvance(Calendar,Y2616,X2617,"f",FALSE)</f>
        <v>57531</v>
      </c>
      <c r="Z2617" s="115">
        <f>_xll.qlCalendarAdvance(Calendar,Y2617,NDays&amp;"D")</f>
        <v>57531</v>
      </c>
      <c r="AA2617" s="116" t="e">
        <v>#N/A</v>
      </c>
      <c r="AB2617" s="113" t="e">
        <v>#N/A</v>
      </c>
    </row>
    <row r="2618" spans="17:28" x14ac:dyDescent="0.2">
      <c r="Q2618" s="72"/>
      <c r="T2618" s="72"/>
      <c r="U2618" s="93"/>
      <c r="X2618" s="114" t="str">
        <f t="shared" si="53"/>
        <v>1w</v>
      </c>
      <c r="Y2618" s="112">
        <f>_xll.qlCalendarAdvance(Calendar,Y2617,X2618,"f",FALSE)</f>
        <v>57538</v>
      </c>
      <c r="Z2618" s="115">
        <f>_xll.qlCalendarAdvance(Calendar,Y2618,NDays&amp;"D")</f>
        <v>57538</v>
      </c>
      <c r="AA2618" s="116" t="e">
        <v>#N/A</v>
      </c>
      <c r="AB2618" s="113" t="e">
        <v>#N/A</v>
      </c>
    </row>
    <row r="2619" spans="17:28" x14ac:dyDescent="0.2">
      <c r="Q2619" s="72"/>
      <c r="T2619" s="72"/>
      <c r="U2619" s="93"/>
      <c r="X2619" s="114" t="str">
        <f t="shared" si="53"/>
        <v>1w</v>
      </c>
      <c r="Y2619" s="112">
        <f>_xll.qlCalendarAdvance(Calendar,Y2618,X2619,"f",FALSE)</f>
        <v>57545</v>
      </c>
      <c r="Z2619" s="115">
        <f>_xll.qlCalendarAdvance(Calendar,Y2619,NDays&amp;"D")</f>
        <v>57545</v>
      </c>
      <c r="AA2619" s="116" t="e">
        <v>#N/A</v>
      </c>
      <c r="AB2619" s="113" t="e">
        <v>#N/A</v>
      </c>
    </row>
    <row r="2620" spans="17:28" x14ac:dyDescent="0.2">
      <c r="Q2620" s="72"/>
      <c r="T2620" s="72"/>
      <c r="U2620" s="93"/>
      <c r="X2620" s="114" t="str">
        <f t="shared" si="53"/>
        <v>1w</v>
      </c>
      <c r="Y2620" s="112">
        <f>_xll.qlCalendarAdvance(Calendar,Y2619,X2620,"f",FALSE)</f>
        <v>57552</v>
      </c>
      <c r="Z2620" s="115">
        <f>_xll.qlCalendarAdvance(Calendar,Y2620,NDays&amp;"D")</f>
        <v>57552</v>
      </c>
      <c r="AA2620" s="116" t="e">
        <v>#N/A</v>
      </c>
      <c r="AB2620" s="113" t="e">
        <v>#N/A</v>
      </c>
    </row>
    <row r="2621" spans="17:28" x14ac:dyDescent="0.2">
      <c r="Q2621" s="72"/>
      <c r="T2621" s="72"/>
      <c r="U2621" s="93"/>
      <c r="X2621" s="114" t="str">
        <f t="shared" si="53"/>
        <v>1w</v>
      </c>
      <c r="Y2621" s="112">
        <f>_xll.qlCalendarAdvance(Calendar,Y2620,X2621,"f",FALSE)</f>
        <v>57559</v>
      </c>
      <c r="Z2621" s="115">
        <f>_xll.qlCalendarAdvance(Calendar,Y2621,NDays&amp;"D")</f>
        <v>57559</v>
      </c>
      <c r="AA2621" s="116" t="e">
        <v>#N/A</v>
      </c>
      <c r="AB2621" s="113" t="e">
        <v>#N/A</v>
      </c>
    </row>
    <row r="2622" spans="17:28" x14ac:dyDescent="0.2">
      <c r="Q2622" s="72"/>
      <c r="T2622" s="72"/>
      <c r="U2622" s="93"/>
      <c r="X2622" s="114" t="str">
        <f t="shared" si="53"/>
        <v>1w</v>
      </c>
      <c r="Y2622" s="112">
        <f>_xll.qlCalendarAdvance(Calendar,Y2621,X2622,"f",FALSE)</f>
        <v>57566</v>
      </c>
      <c r="Z2622" s="115">
        <f>_xll.qlCalendarAdvance(Calendar,Y2622,NDays&amp;"D")</f>
        <v>57566</v>
      </c>
      <c r="AA2622" s="116" t="e">
        <v>#N/A</v>
      </c>
      <c r="AB2622" s="113" t="e">
        <v>#N/A</v>
      </c>
    </row>
    <row r="2623" spans="17:28" x14ac:dyDescent="0.2">
      <c r="Q2623" s="72"/>
      <c r="T2623" s="72"/>
      <c r="U2623" s="93"/>
      <c r="X2623" s="114" t="str">
        <f t="shared" si="53"/>
        <v>1w</v>
      </c>
      <c r="Y2623" s="112">
        <f>_xll.qlCalendarAdvance(Calendar,Y2622,X2623,"f",FALSE)</f>
        <v>57573</v>
      </c>
      <c r="Z2623" s="115">
        <f>_xll.qlCalendarAdvance(Calendar,Y2623,NDays&amp;"D")</f>
        <v>57573</v>
      </c>
      <c r="AA2623" s="116" t="e">
        <v>#N/A</v>
      </c>
      <c r="AB2623" s="113" t="e">
        <v>#N/A</v>
      </c>
    </row>
    <row r="2624" spans="17:28" x14ac:dyDescent="0.2">
      <c r="Q2624" s="72"/>
      <c r="T2624" s="72"/>
      <c r="U2624" s="93"/>
      <c r="X2624" s="114" t="str">
        <f t="shared" si="53"/>
        <v>1w</v>
      </c>
      <c r="Y2624" s="112">
        <f>_xll.qlCalendarAdvance(Calendar,Y2623,X2624,"f",FALSE)</f>
        <v>57580</v>
      </c>
      <c r="Z2624" s="115">
        <f>_xll.qlCalendarAdvance(Calendar,Y2624,NDays&amp;"D")</f>
        <v>57580</v>
      </c>
      <c r="AA2624" s="116" t="e">
        <v>#N/A</v>
      </c>
      <c r="AB2624" s="113" t="e">
        <v>#N/A</v>
      </c>
    </row>
    <row r="2625" spans="17:28" x14ac:dyDescent="0.2">
      <c r="Q2625" s="72"/>
      <c r="T2625" s="72"/>
      <c r="U2625" s="93"/>
      <c r="X2625" s="114" t="str">
        <f t="shared" si="53"/>
        <v>1w</v>
      </c>
      <c r="Y2625" s="112">
        <f>_xll.qlCalendarAdvance(Calendar,Y2624,X2625,"f",FALSE)</f>
        <v>57587</v>
      </c>
      <c r="Z2625" s="115">
        <f>_xll.qlCalendarAdvance(Calendar,Y2625,NDays&amp;"D")</f>
        <v>57587</v>
      </c>
      <c r="AA2625" s="116" t="e">
        <v>#N/A</v>
      </c>
      <c r="AB2625" s="113" t="e">
        <v>#N/A</v>
      </c>
    </row>
    <row r="2626" spans="17:28" x14ac:dyDescent="0.2">
      <c r="Q2626" s="72"/>
      <c r="T2626" s="72"/>
      <c r="U2626" s="93"/>
      <c r="X2626" s="114" t="str">
        <f t="shared" si="53"/>
        <v>1w</v>
      </c>
      <c r="Y2626" s="112">
        <f>_xll.qlCalendarAdvance(Calendar,Y2625,X2626,"f",FALSE)</f>
        <v>57594</v>
      </c>
      <c r="Z2626" s="115">
        <f>_xll.qlCalendarAdvance(Calendar,Y2626,NDays&amp;"D")</f>
        <v>57594</v>
      </c>
      <c r="AA2626" s="116" t="e">
        <v>#N/A</v>
      </c>
      <c r="AB2626" s="113" t="e">
        <v>#N/A</v>
      </c>
    </row>
    <row r="2627" spans="17:28" x14ac:dyDescent="0.2">
      <c r="Q2627" s="72"/>
      <c r="T2627" s="72"/>
      <c r="U2627" s="93"/>
      <c r="X2627" s="114" t="str">
        <f t="shared" si="53"/>
        <v>1w</v>
      </c>
      <c r="Y2627" s="112">
        <f>_xll.qlCalendarAdvance(Calendar,Y2626,X2627,"f",FALSE)</f>
        <v>57601</v>
      </c>
      <c r="Z2627" s="115">
        <f>_xll.qlCalendarAdvance(Calendar,Y2627,NDays&amp;"D")</f>
        <v>57601</v>
      </c>
      <c r="AA2627" s="116" t="e">
        <v>#N/A</v>
      </c>
      <c r="AB2627" s="113" t="e">
        <v>#N/A</v>
      </c>
    </row>
    <row r="2628" spans="17:28" x14ac:dyDescent="0.2">
      <c r="Q2628" s="72"/>
      <c r="T2628" s="72"/>
      <c r="U2628" s="93"/>
      <c r="X2628" s="114" t="str">
        <f t="shared" si="53"/>
        <v>1w</v>
      </c>
      <c r="Y2628" s="112">
        <f>_xll.qlCalendarAdvance(Calendar,Y2627,X2628,"f",FALSE)</f>
        <v>57608</v>
      </c>
      <c r="Z2628" s="115">
        <f>_xll.qlCalendarAdvance(Calendar,Y2628,NDays&amp;"D")</f>
        <v>57608</v>
      </c>
      <c r="AA2628" s="116" t="e">
        <v>#N/A</v>
      </c>
      <c r="AB2628" s="113" t="e">
        <v>#N/A</v>
      </c>
    </row>
    <row r="2629" spans="17:28" x14ac:dyDescent="0.2">
      <c r="Q2629" s="72"/>
      <c r="T2629" s="72"/>
      <c r="U2629" s="93"/>
      <c r="X2629" s="114" t="str">
        <f t="shared" si="53"/>
        <v>1w</v>
      </c>
      <c r="Y2629" s="112">
        <f>_xll.qlCalendarAdvance(Calendar,Y2628,X2629,"f",FALSE)</f>
        <v>57615</v>
      </c>
      <c r="Z2629" s="115">
        <f>_xll.qlCalendarAdvance(Calendar,Y2629,NDays&amp;"D")</f>
        <v>57615</v>
      </c>
      <c r="AA2629" s="116" t="e">
        <v>#N/A</v>
      </c>
      <c r="AB2629" s="113" t="e">
        <v>#N/A</v>
      </c>
    </row>
    <row r="2630" spans="17:28" x14ac:dyDescent="0.2">
      <c r="Q2630" s="72"/>
      <c r="T2630" s="72"/>
      <c r="U2630" s="93"/>
      <c r="X2630" s="114" t="str">
        <f t="shared" si="53"/>
        <v>1w</v>
      </c>
      <c r="Y2630" s="112">
        <f>_xll.qlCalendarAdvance(Calendar,Y2629,X2630,"f",FALSE)</f>
        <v>57622</v>
      </c>
      <c r="Z2630" s="115">
        <f>_xll.qlCalendarAdvance(Calendar,Y2630,NDays&amp;"D")</f>
        <v>57622</v>
      </c>
      <c r="AA2630" s="116" t="e">
        <v>#N/A</v>
      </c>
      <c r="AB2630" s="113" t="e">
        <v>#N/A</v>
      </c>
    </row>
    <row r="2631" spans="17:28" x14ac:dyDescent="0.2">
      <c r="Q2631" s="72"/>
      <c r="T2631" s="72"/>
      <c r="U2631" s="93"/>
      <c r="X2631" s="114" t="str">
        <f t="shared" si="53"/>
        <v>1w</v>
      </c>
      <c r="Y2631" s="112">
        <f>_xll.qlCalendarAdvance(Calendar,Y2630,X2631,"f",FALSE)</f>
        <v>57629</v>
      </c>
      <c r="Z2631" s="115">
        <f>_xll.qlCalendarAdvance(Calendar,Y2631,NDays&amp;"D")</f>
        <v>57629</v>
      </c>
      <c r="AA2631" s="116" t="e">
        <v>#N/A</v>
      </c>
      <c r="AB2631" s="113" t="e">
        <v>#N/A</v>
      </c>
    </row>
    <row r="2632" spans="17:28" x14ac:dyDescent="0.2">
      <c r="Q2632" s="72"/>
      <c r="T2632" s="72"/>
      <c r="U2632" s="93"/>
      <c r="X2632" s="114" t="str">
        <f t="shared" si="53"/>
        <v>1w</v>
      </c>
      <c r="Y2632" s="112">
        <f>_xll.qlCalendarAdvance(Calendar,Y2631,X2632,"f",FALSE)</f>
        <v>57636</v>
      </c>
      <c r="Z2632" s="115">
        <f>_xll.qlCalendarAdvance(Calendar,Y2632,NDays&amp;"D")</f>
        <v>57636</v>
      </c>
      <c r="AA2632" s="116" t="e">
        <v>#N/A</v>
      </c>
      <c r="AB2632" s="113" t="e">
        <v>#N/A</v>
      </c>
    </row>
    <row r="2633" spans="17:28" x14ac:dyDescent="0.2">
      <c r="Q2633" s="72"/>
      <c r="T2633" s="72"/>
      <c r="U2633" s="93"/>
      <c r="X2633" s="114" t="str">
        <f t="shared" si="53"/>
        <v>1w</v>
      </c>
      <c r="Y2633" s="112">
        <f>_xll.qlCalendarAdvance(Calendar,Y2632,X2633,"f",FALSE)</f>
        <v>57643</v>
      </c>
      <c r="Z2633" s="115">
        <f>_xll.qlCalendarAdvance(Calendar,Y2633,NDays&amp;"D")</f>
        <v>57643</v>
      </c>
      <c r="AA2633" s="116" t="e">
        <v>#N/A</v>
      </c>
      <c r="AB2633" s="113" t="e">
        <v>#N/A</v>
      </c>
    </row>
    <row r="2634" spans="17:28" x14ac:dyDescent="0.2">
      <c r="Q2634" s="72"/>
      <c r="T2634" s="72"/>
      <c r="U2634" s="93"/>
      <c r="X2634" s="114" t="str">
        <f t="shared" si="53"/>
        <v>1w</v>
      </c>
      <c r="Y2634" s="112">
        <f>_xll.qlCalendarAdvance(Calendar,Y2633,X2634,"f",FALSE)</f>
        <v>57650</v>
      </c>
      <c r="Z2634" s="115">
        <f>_xll.qlCalendarAdvance(Calendar,Y2634,NDays&amp;"D")</f>
        <v>57650</v>
      </c>
      <c r="AA2634" s="116" t="e">
        <v>#N/A</v>
      </c>
      <c r="AB2634" s="113" t="e">
        <v>#N/A</v>
      </c>
    </row>
    <row r="2635" spans="17:28" x14ac:dyDescent="0.2">
      <c r="Q2635" s="72"/>
      <c r="T2635" s="72"/>
      <c r="U2635" s="93"/>
      <c r="X2635" s="114" t="str">
        <f t="shared" si="53"/>
        <v>1w</v>
      </c>
      <c r="Y2635" s="112">
        <f>_xll.qlCalendarAdvance(Calendar,Y2634,X2635,"f",FALSE)</f>
        <v>57657</v>
      </c>
      <c r="Z2635" s="115">
        <f>_xll.qlCalendarAdvance(Calendar,Y2635,NDays&amp;"D")</f>
        <v>57657</v>
      </c>
      <c r="AA2635" s="116" t="e">
        <v>#N/A</v>
      </c>
      <c r="AB2635" s="113" t="e">
        <v>#N/A</v>
      </c>
    </row>
    <row r="2636" spans="17:28" x14ac:dyDescent="0.2">
      <c r="Q2636" s="72"/>
      <c r="T2636" s="72"/>
      <c r="U2636" s="93"/>
      <c r="X2636" s="114" t="str">
        <f t="shared" si="53"/>
        <v>1w</v>
      </c>
      <c r="Y2636" s="112">
        <f>_xll.qlCalendarAdvance(Calendar,Y2635,X2636,"f",FALSE)</f>
        <v>57664</v>
      </c>
      <c r="Z2636" s="115">
        <f>_xll.qlCalendarAdvance(Calendar,Y2636,NDays&amp;"D")</f>
        <v>57664</v>
      </c>
      <c r="AA2636" s="116" t="e">
        <v>#N/A</v>
      </c>
      <c r="AB2636" s="113" t="e">
        <v>#N/A</v>
      </c>
    </row>
    <row r="2637" spans="17:28" x14ac:dyDescent="0.2">
      <c r="Q2637" s="72"/>
      <c r="T2637" s="72"/>
      <c r="U2637" s="93"/>
      <c r="X2637" s="114" t="str">
        <f t="shared" si="53"/>
        <v>1w</v>
      </c>
      <c r="Y2637" s="112">
        <f>_xll.qlCalendarAdvance(Calendar,Y2636,X2637,"f",FALSE)</f>
        <v>57671</v>
      </c>
      <c r="Z2637" s="115">
        <f>_xll.qlCalendarAdvance(Calendar,Y2637,NDays&amp;"D")</f>
        <v>57671</v>
      </c>
      <c r="AA2637" s="116" t="e">
        <v>#N/A</v>
      </c>
      <c r="AB2637" s="113" t="e">
        <v>#N/A</v>
      </c>
    </row>
    <row r="2638" spans="17:28" x14ac:dyDescent="0.2">
      <c r="Q2638" s="72"/>
      <c r="T2638" s="72"/>
      <c r="U2638" s="93"/>
      <c r="X2638" s="114" t="str">
        <f t="shared" si="53"/>
        <v>1w</v>
      </c>
      <c r="Y2638" s="112">
        <f>_xll.qlCalendarAdvance(Calendar,Y2637,X2638,"f",FALSE)</f>
        <v>57678</v>
      </c>
      <c r="Z2638" s="115">
        <f>_xll.qlCalendarAdvance(Calendar,Y2638,NDays&amp;"D")</f>
        <v>57678</v>
      </c>
      <c r="AA2638" s="116" t="e">
        <v>#N/A</v>
      </c>
      <c r="AB2638" s="113" t="e">
        <v>#N/A</v>
      </c>
    </row>
    <row r="2639" spans="17:28" x14ac:dyDescent="0.2">
      <c r="Q2639" s="72"/>
      <c r="T2639" s="72"/>
      <c r="U2639" s="93"/>
      <c r="X2639" s="114" t="str">
        <f t="shared" si="53"/>
        <v>1w</v>
      </c>
      <c r="Y2639" s="112">
        <f>_xll.qlCalendarAdvance(Calendar,Y2638,X2639,"f",FALSE)</f>
        <v>57685</v>
      </c>
      <c r="Z2639" s="115">
        <f>_xll.qlCalendarAdvance(Calendar,Y2639,NDays&amp;"D")</f>
        <v>57685</v>
      </c>
      <c r="AA2639" s="116" t="e">
        <v>#N/A</v>
      </c>
      <c r="AB2639" s="113" t="e">
        <v>#N/A</v>
      </c>
    </row>
    <row r="2640" spans="17:28" x14ac:dyDescent="0.2">
      <c r="Q2640" s="72"/>
      <c r="T2640" s="72"/>
      <c r="U2640" s="93"/>
      <c r="X2640" s="114" t="str">
        <f t="shared" si="53"/>
        <v>1w</v>
      </c>
      <c r="Y2640" s="112">
        <f>_xll.qlCalendarAdvance(Calendar,Y2639,X2640,"f",FALSE)</f>
        <v>57692</v>
      </c>
      <c r="Z2640" s="115">
        <f>_xll.qlCalendarAdvance(Calendar,Y2640,NDays&amp;"D")</f>
        <v>57692</v>
      </c>
      <c r="AA2640" s="116" t="e">
        <v>#N/A</v>
      </c>
      <c r="AB2640" s="113" t="e">
        <v>#N/A</v>
      </c>
    </row>
    <row r="2641" spans="17:28" x14ac:dyDescent="0.2">
      <c r="Q2641" s="72"/>
      <c r="T2641" s="72"/>
      <c r="U2641" s="93"/>
      <c r="X2641" s="114" t="str">
        <f t="shared" si="53"/>
        <v>1w</v>
      </c>
      <c r="Y2641" s="112">
        <f>_xll.qlCalendarAdvance(Calendar,Y2640,X2641,"f",FALSE)</f>
        <v>57699</v>
      </c>
      <c r="Z2641" s="115">
        <f>_xll.qlCalendarAdvance(Calendar,Y2641,NDays&amp;"D")</f>
        <v>57699</v>
      </c>
      <c r="AA2641" s="116" t="e">
        <v>#N/A</v>
      </c>
      <c r="AB2641" s="113" t="e">
        <v>#N/A</v>
      </c>
    </row>
    <row r="2642" spans="17:28" x14ac:dyDescent="0.2">
      <c r="Q2642" s="72"/>
      <c r="T2642" s="72"/>
      <c r="U2642" s="93"/>
      <c r="X2642" s="114" t="str">
        <f t="shared" si="53"/>
        <v>1w</v>
      </c>
      <c r="Y2642" s="112">
        <f>_xll.qlCalendarAdvance(Calendar,Y2641,X2642,"f",FALSE)</f>
        <v>57706</v>
      </c>
      <c r="Z2642" s="115">
        <f>_xll.qlCalendarAdvance(Calendar,Y2642,NDays&amp;"D")</f>
        <v>57706</v>
      </c>
      <c r="AA2642" s="116" t="e">
        <v>#N/A</v>
      </c>
      <c r="AB2642" s="113" t="e">
        <v>#N/A</v>
      </c>
    </row>
    <row r="2643" spans="17:28" x14ac:dyDescent="0.2">
      <c r="Q2643" s="72"/>
      <c r="T2643" s="72"/>
      <c r="U2643" s="93"/>
      <c r="X2643" s="114" t="str">
        <f t="shared" si="53"/>
        <v>1w</v>
      </c>
      <c r="Y2643" s="112">
        <f>_xll.qlCalendarAdvance(Calendar,Y2642,X2643,"f",FALSE)</f>
        <v>57713</v>
      </c>
      <c r="Z2643" s="115">
        <f>_xll.qlCalendarAdvance(Calendar,Y2643,NDays&amp;"D")</f>
        <v>57713</v>
      </c>
      <c r="AA2643" s="116" t="e">
        <v>#N/A</v>
      </c>
      <c r="AB2643" s="113" t="e">
        <v>#N/A</v>
      </c>
    </row>
    <row r="2644" spans="17:28" x14ac:dyDescent="0.2">
      <c r="Q2644" s="72"/>
      <c r="T2644" s="72"/>
      <c r="U2644" s="93"/>
      <c r="X2644" s="114" t="str">
        <f t="shared" si="53"/>
        <v>1w</v>
      </c>
      <c r="Y2644" s="112">
        <f>_xll.qlCalendarAdvance(Calendar,Y2643,X2644,"f",FALSE)</f>
        <v>57720</v>
      </c>
      <c r="Z2644" s="115">
        <f>_xll.qlCalendarAdvance(Calendar,Y2644,NDays&amp;"D")</f>
        <v>57720</v>
      </c>
      <c r="AA2644" s="116" t="e">
        <v>#N/A</v>
      </c>
      <c r="AB2644" s="113" t="e">
        <v>#N/A</v>
      </c>
    </row>
    <row r="2645" spans="17:28" x14ac:dyDescent="0.2">
      <c r="Q2645" s="72"/>
      <c r="T2645" s="72"/>
      <c r="U2645" s="93"/>
      <c r="X2645" s="114" t="str">
        <f t="shared" ref="X2645:X2708" si="54">X2644</f>
        <v>1w</v>
      </c>
      <c r="Y2645" s="112">
        <f>_xll.qlCalendarAdvance(Calendar,Y2644,X2645,"f",FALSE)</f>
        <v>57727</v>
      </c>
      <c r="Z2645" s="115">
        <f>_xll.qlCalendarAdvance(Calendar,Y2645,NDays&amp;"D")</f>
        <v>57727</v>
      </c>
      <c r="AA2645" s="116" t="e">
        <v>#N/A</v>
      </c>
      <c r="AB2645" s="113" t="e">
        <v>#N/A</v>
      </c>
    </row>
    <row r="2646" spans="17:28" x14ac:dyDescent="0.2">
      <c r="Q2646" s="72"/>
      <c r="T2646" s="72"/>
      <c r="U2646" s="93"/>
      <c r="X2646" s="114" t="str">
        <f t="shared" si="54"/>
        <v>1w</v>
      </c>
      <c r="Y2646" s="112">
        <f>_xll.qlCalendarAdvance(Calendar,Y2645,X2646,"f",FALSE)</f>
        <v>57734</v>
      </c>
      <c r="Z2646" s="115">
        <f>_xll.qlCalendarAdvance(Calendar,Y2646,NDays&amp;"D")</f>
        <v>57734</v>
      </c>
      <c r="AA2646" s="116" t="e">
        <v>#N/A</v>
      </c>
      <c r="AB2646" s="113" t="e">
        <v>#N/A</v>
      </c>
    </row>
    <row r="2647" spans="17:28" x14ac:dyDescent="0.2">
      <c r="Q2647" s="72"/>
      <c r="T2647" s="72"/>
      <c r="U2647" s="93"/>
      <c r="X2647" s="114" t="str">
        <f t="shared" si="54"/>
        <v>1w</v>
      </c>
      <c r="Y2647" s="112">
        <f>_xll.qlCalendarAdvance(Calendar,Y2646,X2647,"f",FALSE)</f>
        <v>57741</v>
      </c>
      <c r="Z2647" s="115">
        <f>_xll.qlCalendarAdvance(Calendar,Y2647,NDays&amp;"D")</f>
        <v>57741</v>
      </c>
      <c r="AA2647" s="116" t="e">
        <v>#N/A</v>
      </c>
      <c r="AB2647" s="113" t="e">
        <v>#N/A</v>
      </c>
    </row>
    <row r="2648" spans="17:28" x14ac:dyDescent="0.2">
      <c r="Q2648" s="72"/>
      <c r="T2648" s="72"/>
      <c r="U2648" s="93"/>
      <c r="X2648" s="114" t="str">
        <f t="shared" si="54"/>
        <v>1w</v>
      </c>
      <c r="Y2648" s="112">
        <f>_xll.qlCalendarAdvance(Calendar,Y2647,X2648,"f",FALSE)</f>
        <v>57748</v>
      </c>
      <c r="Z2648" s="115">
        <f>_xll.qlCalendarAdvance(Calendar,Y2648,NDays&amp;"D")</f>
        <v>57748</v>
      </c>
      <c r="AA2648" s="116" t="e">
        <v>#N/A</v>
      </c>
      <c r="AB2648" s="113" t="e">
        <v>#N/A</v>
      </c>
    </row>
    <row r="2649" spans="17:28" x14ac:dyDescent="0.2">
      <c r="Q2649" s="72"/>
      <c r="T2649" s="72"/>
      <c r="U2649" s="93"/>
      <c r="X2649" s="114" t="str">
        <f t="shared" si="54"/>
        <v>1w</v>
      </c>
      <c r="Y2649" s="112">
        <f>_xll.qlCalendarAdvance(Calendar,Y2648,X2649,"f",FALSE)</f>
        <v>57755</v>
      </c>
      <c r="Z2649" s="115">
        <f>_xll.qlCalendarAdvance(Calendar,Y2649,NDays&amp;"D")</f>
        <v>57755</v>
      </c>
      <c r="AA2649" s="116" t="e">
        <v>#N/A</v>
      </c>
      <c r="AB2649" s="113" t="e">
        <v>#N/A</v>
      </c>
    </row>
    <row r="2650" spans="17:28" x14ac:dyDescent="0.2">
      <c r="Q2650" s="72"/>
      <c r="T2650" s="72"/>
      <c r="U2650" s="93"/>
      <c r="X2650" s="114" t="str">
        <f t="shared" si="54"/>
        <v>1w</v>
      </c>
      <c r="Y2650" s="112">
        <f>_xll.qlCalendarAdvance(Calendar,Y2649,X2650,"f",FALSE)</f>
        <v>57762</v>
      </c>
      <c r="Z2650" s="115">
        <f>_xll.qlCalendarAdvance(Calendar,Y2650,NDays&amp;"D")</f>
        <v>57762</v>
      </c>
      <c r="AA2650" s="116" t="e">
        <v>#N/A</v>
      </c>
      <c r="AB2650" s="113" t="e">
        <v>#N/A</v>
      </c>
    </row>
    <row r="2651" spans="17:28" x14ac:dyDescent="0.2">
      <c r="Q2651" s="72"/>
      <c r="T2651" s="72"/>
      <c r="U2651" s="93"/>
      <c r="X2651" s="114" t="str">
        <f t="shared" si="54"/>
        <v>1w</v>
      </c>
      <c r="Y2651" s="112">
        <f>_xll.qlCalendarAdvance(Calendar,Y2650,X2651,"f",FALSE)</f>
        <v>57769</v>
      </c>
      <c r="Z2651" s="115">
        <f>_xll.qlCalendarAdvance(Calendar,Y2651,NDays&amp;"D")</f>
        <v>57769</v>
      </c>
      <c r="AA2651" s="116" t="e">
        <v>#N/A</v>
      </c>
      <c r="AB2651" s="113" t="e">
        <v>#N/A</v>
      </c>
    </row>
    <row r="2652" spans="17:28" x14ac:dyDescent="0.2">
      <c r="Q2652" s="72"/>
      <c r="T2652" s="72"/>
      <c r="U2652" s="93"/>
      <c r="X2652" s="114" t="str">
        <f t="shared" si="54"/>
        <v>1w</v>
      </c>
      <c r="Y2652" s="112">
        <f>_xll.qlCalendarAdvance(Calendar,Y2651,X2652,"f",FALSE)</f>
        <v>57776</v>
      </c>
      <c r="Z2652" s="115">
        <f>_xll.qlCalendarAdvance(Calendar,Y2652,NDays&amp;"D")</f>
        <v>57776</v>
      </c>
      <c r="AA2652" s="116" t="e">
        <v>#N/A</v>
      </c>
      <c r="AB2652" s="113" t="e">
        <v>#N/A</v>
      </c>
    </row>
    <row r="2653" spans="17:28" x14ac:dyDescent="0.2">
      <c r="Q2653" s="72"/>
      <c r="T2653" s="72"/>
      <c r="U2653" s="93"/>
      <c r="X2653" s="114" t="str">
        <f t="shared" si="54"/>
        <v>1w</v>
      </c>
      <c r="Y2653" s="112">
        <f>_xll.qlCalendarAdvance(Calendar,Y2652,X2653,"f",FALSE)</f>
        <v>57783</v>
      </c>
      <c r="Z2653" s="115">
        <f>_xll.qlCalendarAdvance(Calendar,Y2653,NDays&amp;"D")</f>
        <v>57783</v>
      </c>
      <c r="AA2653" s="116" t="e">
        <v>#N/A</v>
      </c>
      <c r="AB2653" s="113" t="e">
        <v>#N/A</v>
      </c>
    </row>
    <row r="2654" spans="17:28" x14ac:dyDescent="0.2">
      <c r="Q2654" s="72"/>
      <c r="T2654" s="72"/>
      <c r="U2654" s="93"/>
      <c r="X2654" s="114" t="str">
        <f t="shared" si="54"/>
        <v>1w</v>
      </c>
      <c r="Y2654" s="112">
        <f>_xll.qlCalendarAdvance(Calendar,Y2653,X2654,"f",FALSE)</f>
        <v>57790</v>
      </c>
      <c r="Z2654" s="115">
        <f>_xll.qlCalendarAdvance(Calendar,Y2654,NDays&amp;"D")</f>
        <v>57790</v>
      </c>
      <c r="AA2654" s="116" t="e">
        <v>#N/A</v>
      </c>
      <c r="AB2654" s="113" t="e">
        <v>#N/A</v>
      </c>
    </row>
    <row r="2655" spans="17:28" x14ac:dyDescent="0.2">
      <c r="Q2655" s="72"/>
      <c r="T2655" s="72"/>
      <c r="U2655" s="93"/>
      <c r="X2655" s="114" t="str">
        <f t="shared" si="54"/>
        <v>1w</v>
      </c>
      <c r="Y2655" s="112">
        <f>_xll.qlCalendarAdvance(Calendar,Y2654,X2655,"f",FALSE)</f>
        <v>57797</v>
      </c>
      <c r="Z2655" s="115">
        <f>_xll.qlCalendarAdvance(Calendar,Y2655,NDays&amp;"D")</f>
        <v>57797</v>
      </c>
      <c r="AA2655" s="116" t="e">
        <v>#N/A</v>
      </c>
      <c r="AB2655" s="113" t="e">
        <v>#N/A</v>
      </c>
    </row>
    <row r="2656" spans="17:28" x14ac:dyDescent="0.2">
      <c r="Q2656" s="72"/>
      <c r="T2656" s="72"/>
      <c r="U2656" s="93"/>
      <c r="X2656" s="114" t="str">
        <f t="shared" si="54"/>
        <v>1w</v>
      </c>
      <c r="Y2656" s="112">
        <f>_xll.qlCalendarAdvance(Calendar,Y2655,X2656,"f",FALSE)</f>
        <v>57804</v>
      </c>
      <c r="Z2656" s="115">
        <f>_xll.qlCalendarAdvance(Calendar,Y2656,NDays&amp;"D")</f>
        <v>57804</v>
      </c>
      <c r="AA2656" s="116" t="e">
        <v>#N/A</v>
      </c>
      <c r="AB2656" s="113" t="e">
        <v>#N/A</v>
      </c>
    </row>
    <row r="2657" spans="17:28" x14ac:dyDescent="0.2">
      <c r="Q2657" s="72"/>
      <c r="T2657" s="72"/>
      <c r="U2657" s="93"/>
      <c r="X2657" s="114" t="str">
        <f t="shared" si="54"/>
        <v>1w</v>
      </c>
      <c r="Y2657" s="112">
        <f>_xll.qlCalendarAdvance(Calendar,Y2656,X2657,"f",FALSE)</f>
        <v>57811</v>
      </c>
      <c r="Z2657" s="115">
        <f>_xll.qlCalendarAdvance(Calendar,Y2657,NDays&amp;"D")</f>
        <v>57811</v>
      </c>
      <c r="AA2657" s="116" t="e">
        <v>#N/A</v>
      </c>
      <c r="AB2657" s="113" t="e">
        <v>#N/A</v>
      </c>
    </row>
    <row r="2658" spans="17:28" x14ac:dyDescent="0.2">
      <c r="Q2658" s="72"/>
      <c r="T2658" s="72"/>
      <c r="U2658" s="93"/>
      <c r="X2658" s="114" t="str">
        <f t="shared" si="54"/>
        <v>1w</v>
      </c>
      <c r="Y2658" s="112">
        <f>_xll.qlCalendarAdvance(Calendar,Y2657,X2658,"f",FALSE)</f>
        <v>57818</v>
      </c>
      <c r="Z2658" s="115">
        <f>_xll.qlCalendarAdvance(Calendar,Y2658,NDays&amp;"D")</f>
        <v>57818</v>
      </c>
      <c r="AA2658" s="116" t="e">
        <v>#N/A</v>
      </c>
      <c r="AB2658" s="113" t="e">
        <v>#N/A</v>
      </c>
    </row>
    <row r="2659" spans="17:28" x14ac:dyDescent="0.2">
      <c r="Q2659" s="72"/>
      <c r="T2659" s="72"/>
      <c r="U2659" s="93"/>
      <c r="X2659" s="114" t="str">
        <f t="shared" si="54"/>
        <v>1w</v>
      </c>
      <c r="Y2659" s="112">
        <f>_xll.qlCalendarAdvance(Calendar,Y2658,X2659,"f",FALSE)</f>
        <v>57826</v>
      </c>
      <c r="Z2659" s="115">
        <f>_xll.qlCalendarAdvance(Calendar,Y2659,NDays&amp;"D")</f>
        <v>57826</v>
      </c>
      <c r="AA2659" s="116" t="e">
        <v>#N/A</v>
      </c>
      <c r="AB2659" s="113" t="e">
        <v>#N/A</v>
      </c>
    </row>
    <row r="2660" spans="17:28" x14ac:dyDescent="0.2">
      <c r="Q2660" s="72"/>
      <c r="T2660" s="72"/>
      <c r="U2660" s="93"/>
      <c r="X2660" s="114" t="str">
        <f t="shared" si="54"/>
        <v>1w</v>
      </c>
      <c r="Y2660" s="112">
        <f>_xll.qlCalendarAdvance(Calendar,Y2659,X2660,"f",FALSE)</f>
        <v>57833</v>
      </c>
      <c r="Z2660" s="115">
        <f>_xll.qlCalendarAdvance(Calendar,Y2660,NDays&amp;"D")</f>
        <v>57833</v>
      </c>
      <c r="AA2660" s="116" t="e">
        <v>#N/A</v>
      </c>
      <c r="AB2660" s="113" t="e">
        <v>#N/A</v>
      </c>
    </row>
    <row r="2661" spans="17:28" x14ac:dyDescent="0.2">
      <c r="Q2661" s="72"/>
      <c r="T2661" s="72"/>
      <c r="U2661" s="93"/>
      <c r="X2661" s="114" t="str">
        <f t="shared" si="54"/>
        <v>1w</v>
      </c>
      <c r="Y2661" s="112">
        <f>_xll.qlCalendarAdvance(Calendar,Y2660,X2661,"f",FALSE)</f>
        <v>57840</v>
      </c>
      <c r="Z2661" s="115">
        <f>_xll.qlCalendarAdvance(Calendar,Y2661,NDays&amp;"D")</f>
        <v>57840</v>
      </c>
      <c r="AA2661" s="116" t="e">
        <v>#N/A</v>
      </c>
      <c r="AB2661" s="113" t="e">
        <v>#N/A</v>
      </c>
    </row>
    <row r="2662" spans="17:28" x14ac:dyDescent="0.2">
      <c r="Q2662" s="72"/>
      <c r="T2662" s="72"/>
      <c r="U2662" s="93"/>
      <c r="X2662" s="114" t="str">
        <f t="shared" si="54"/>
        <v>1w</v>
      </c>
      <c r="Y2662" s="112">
        <f>_xll.qlCalendarAdvance(Calendar,Y2661,X2662,"f",FALSE)</f>
        <v>57847</v>
      </c>
      <c r="Z2662" s="115">
        <f>_xll.qlCalendarAdvance(Calendar,Y2662,NDays&amp;"D")</f>
        <v>57847</v>
      </c>
      <c r="AA2662" s="116" t="e">
        <v>#N/A</v>
      </c>
      <c r="AB2662" s="113" t="e">
        <v>#N/A</v>
      </c>
    </row>
    <row r="2663" spans="17:28" x14ac:dyDescent="0.2">
      <c r="Q2663" s="72"/>
      <c r="T2663" s="72"/>
      <c r="U2663" s="93"/>
      <c r="X2663" s="114" t="str">
        <f t="shared" si="54"/>
        <v>1w</v>
      </c>
      <c r="Y2663" s="112">
        <f>_xll.qlCalendarAdvance(Calendar,Y2662,X2663,"f",FALSE)</f>
        <v>57854</v>
      </c>
      <c r="Z2663" s="115">
        <f>_xll.qlCalendarAdvance(Calendar,Y2663,NDays&amp;"D")</f>
        <v>57854</v>
      </c>
      <c r="AA2663" s="116" t="e">
        <v>#N/A</v>
      </c>
      <c r="AB2663" s="113" t="e">
        <v>#N/A</v>
      </c>
    </row>
    <row r="2664" spans="17:28" x14ac:dyDescent="0.2">
      <c r="Q2664" s="72"/>
      <c r="T2664" s="72"/>
      <c r="U2664" s="93"/>
      <c r="X2664" s="114" t="str">
        <f t="shared" si="54"/>
        <v>1w</v>
      </c>
      <c r="Y2664" s="112">
        <f>_xll.qlCalendarAdvance(Calendar,Y2663,X2664,"f",FALSE)</f>
        <v>57861</v>
      </c>
      <c r="Z2664" s="115">
        <f>_xll.qlCalendarAdvance(Calendar,Y2664,NDays&amp;"D")</f>
        <v>57861</v>
      </c>
      <c r="AA2664" s="116" t="e">
        <v>#N/A</v>
      </c>
      <c r="AB2664" s="113" t="e">
        <v>#N/A</v>
      </c>
    </row>
    <row r="2665" spans="17:28" x14ac:dyDescent="0.2">
      <c r="Q2665" s="72"/>
      <c r="T2665" s="72"/>
      <c r="U2665" s="93"/>
      <c r="X2665" s="114" t="str">
        <f t="shared" si="54"/>
        <v>1w</v>
      </c>
      <c r="Y2665" s="112">
        <f>_xll.qlCalendarAdvance(Calendar,Y2664,X2665,"f",FALSE)</f>
        <v>57868</v>
      </c>
      <c r="Z2665" s="115">
        <f>_xll.qlCalendarAdvance(Calendar,Y2665,NDays&amp;"D")</f>
        <v>57868</v>
      </c>
      <c r="AA2665" s="116" t="e">
        <v>#N/A</v>
      </c>
      <c r="AB2665" s="113" t="e">
        <v>#N/A</v>
      </c>
    </row>
    <row r="2666" spans="17:28" x14ac:dyDescent="0.2">
      <c r="Q2666" s="72"/>
      <c r="T2666" s="72"/>
      <c r="U2666" s="93"/>
      <c r="X2666" s="114" t="str">
        <f t="shared" si="54"/>
        <v>1w</v>
      </c>
      <c r="Y2666" s="112">
        <f>_xll.qlCalendarAdvance(Calendar,Y2665,X2666,"f",FALSE)</f>
        <v>57875</v>
      </c>
      <c r="Z2666" s="115">
        <f>_xll.qlCalendarAdvance(Calendar,Y2666,NDays&amp;"D")</f>
        <v>57875</v>
      </c>
      <c r="AA2666" s="116" t="e">
        <v>#N/A</v>
      </c>
      <c r="AB2666" s="113" t="e">
        <v>#N/A</v>
      </c>
    </row>
    <row r="2667" spans="17:28" x14ac:dyDescent="0.2">
      <c r="Q2667" s="72"/>
      <c r="T2667" s="72"/>
      <c r="U2667" s="93"/>
      <c r="X2667" s="114" t="str">
        <f t="shared" si="54"/>
        <v>1w</v>
      </c>
      <c r="Y2667" s="112">
        <f>_xll.qlCalendarAdvance(Calendar,Y2666,X2667,"f",FALSE)</f>
        <v>57882</v>
      </c>
      <c r="Z2667" s="115">
        <f>_xll.qlCalendarAdvance(Calendar,Y2667,NDays&amp;"D")</f>
        <v>57882</v>
      </c>
      <c r="AA2667" s="116" t="e">
        <v>#N/A</v>
      </c>
      <c r="AB2667" s="113" t="e">
        <v>#N/A</v>
      </c>
    </row>
    <row r="2668" spans="17:28" x14ac:dyDescent="0.2">
      <c r="Q2668" s="72"/>
      <c r="T2668" s="72"/>
      <c r="U2668" s="93"/>
      <c r="X2668" s="114" t="str">
        <f t="shared" si="54"/>
        <v>1w</v>
      </c>
      <c r="Y2668" s="112">
        <f>_xll.qlCalendarAdvance(Calendar,Y2667,X2668,"f",FALSE)</f>
        <v>57889</v>
      </c>
      <c r="Z2668" s="115">
        <f>_xll.qlCalendarAdvance(Calendar,Y2668,NDays&amp;"D")</f>
        <v>57889</v>
      </c>
      <c r="AA2668" s="116" t="e">
        <v>#N/A</v>
      </c>
      <c r="AB2668" s="113" t="e">
        <v>#N/A</v>
      </c>
    </row>
    <row r="2669" spans="17:28" x14ac:dyDescent="0.2">
      <c r="Q2669" s="72"/>
      <c r="T2669" s="72"/>
      <c r="U2669" s="93"/>
      <c r="X2669" s="114" t="str">
        <f t="shared" si="54"/>
        <v>1w</v>
      </c>
      <c r="Y2669" s="112">
        <f>_xll.qlCalendarAdvance(Calendar,Y2668,X2669,"f",FALSE)</f>
        <v>57896</v>
      </c>
      <c r="Z2669" s="115">
        <f>_xll.qlCalendarAdvance(Calendar,Y2669,NDays&amp;"D")</f>
        <v>57896</v>
      </c>
      <c r="AA2669" s="116" t="e">
        <v>#N/A</v>
      </c>
      <c r="AB2669" s="113" t="e">
        <v>#N/A</v>
      </c>
    </row>
    <row r="2670" spans="17:28" x14ac:dyDescent="0.2">
      <c r="Q2670" s="72"/>
      <c r="T2670" s="72"/>
      <c r="U2670" s="93"/>
      <c r="X2670" s="114" t="str">
        <f t="shared" si="54"/>
        <v>1w</v>
      </c>
      <c r="Y2670" s="112">
        <f>_xll.qlCalendarAdvance(Calendar,Y2669,X2670,"f",FALSE)</f>
        <v>57903</v>
      </c>
      <c r="Z2670" s="115">
        <f>_xll.qlCalendarAdvance(Calendar,Y2670,NDays&amp;"D")</f>
        <v>57903</v>
      </c>
      <c r="AA2670" s="116" t="e">
        <v>#N/A</v>
      </c>
      <c r="AB2670" s="113" t="e">
        <v>#N/A</v>
      </c>
    </row>
    <row r="2671" spans="17:28" x14ac:dyDescent="0.2">
      <c r="Q2671" s="72"/>
      <c r="T2671" s="72"/>
      <c r="U2671" s="93"/>
      <c r="X2671" s="114" t="str">
        <f t="shared" si="54"/>
        <v>1w</v>
      </c>
      <c r="Y2671" s="112">
        <f>_xll.qlCalendarAdvance(Calendar,Y2670,X2671,"f",FALSE)</f>
        <v>57910</v>
      </c>
      <c r="Z2671" s="115">
        <f>_xll.qlCalendarAdvance(Calendar,Y2671,NDays&amp;"D")</f>
        <v>57910</v>
      </c>
      <c r="AA2671" s="116" t="e">
        <v>#N/A</v>
      </c>
      <c r="AB2671" s="113" t="e">
        <v>#N/A</v>
      </c>
    </row>
    <row r="2672" spans="17:28" x14ac:dyDescent="0.2">
      <c r="Q2672" s="72"/>
      <c r="T2672" s="72"/>
      <c r="U2672" s="93"/>
      <c r="X2672" s="114" t="str">
        <f t="shared" si="54"/>
        <v>1w</v>
      </c>
      <c r="Y2672" s="112">
        <f>_xll.qlCalendarAdvance(Calendar,Y2671,X2672,"f",FALSE)</f>
        <v>57917</v>
      </c>
      <c r="Z2672" s="115">
        <f>_xll.qlCalendarAdvance(Calendar,Y2672,NDays&amp;"D")</f>
        <v>57917</v>
      </c>
      <c r="AA2672" s="116" t="e">
        <v>#N/A</v>
      </c>
      <c r="AB2672" s="113" t="e">
        <v>#N/A</v>
      </c>
    </row>
    <row r="2673" spans="17:28" x14ac:dyDescent="0.2">
      <c r="Q2673" s="72"/>
      <c r="T2673" s="72"/>
      <c r="U2673" s="93"/>
      <c r="X2673" s="114" t="str">
        <f t="shared" si="54"/>
        <v>1w</v>
      </c>
      <c r="Y2673" s="112">
        <f>_xll.qlCalendarAdvance(Calendar,Y2672,X2673,"f",FALSE)</f>
        <v>57924</v>
      </c>
      <c r="Z2673" s="115">
        <f>_xll.qlCalendarAdvance(Calendar,Y2673,NDays&amp;"D")</f>
        <v>57924</v>
      </c>
      <c r="AA2673" s="116" t="e">
        <v>#N/A</v>
      </c>
      <c r="AB2673" s="113" t="e">
        <v>#N/A</v>
      </c>
    </row>
    <row r="2674" spans="17:28" x14ac:dyDescent="0.2">
      <c r="Q2674" s="72"/>
      <c r="T2674" s="72"/>
      <c r="U2674" s="93"/>
      <c r="X2674" s="114" t="str">
        <f t="shared" si="54"/>
        <v>1w</v>
      </c>
      <c r="Y2674" s="112">
        <f>_xll.qlCalendarAdvance(Calendar,Y2673,X2674,"f",FALSE)</f>
        <v>57931</v>
      </c>
      <c r="Z2674" s="115">
        <f>_xll.qlCalendarAdvance(Calendar,Y2674,NDays&amp;"D")</f>
        <v>57931</v>
      </c>
      <c r="AA2674" s="116" t="e">
        <v>#N/A</v>
      </c>
      <c r="AB2674" s="113" t="e">
        <v>#N/A</v>
      </c>
    </row>
    <row r="2675" spans="17:28" x14ac:dyDescent="0.2">
      <c r="Q2675" s="72"/>
      <c r="T2675" s="72"/>
      <c r="U2675" s="93"/>
      <c r="X2675" s="114" t="str">
        <f t="shared" si="54"/>
        <v>1w</v>
      </c>
      <c r="Y2675" s="112">
        <f>_xll.qlCalendarAdvance(Calendar,Y2674,X2675,"f",FALSE)</f>
        <v>57938</v>
      </c>
      <c r="Z2675" s="115">
        <f>_xll.qlCalendarAdvance(Calendar,Y2675,NDays&amp;"D")</f>
        <v>57938</v>
      </c>
      <c r="AA2675" s="116" t="e">
        <v>#N/A</v>
      </c>
      <c r="AB2675" s="113" t="e">
        <v>#N/A</v>
      </c>
    </row>
    <row r="2676" spans="17:28" x14ac:dyDescent="0.2">
      <c r="Q2676" s="72"/>
      <c r="T2676" s="72"/>
      <c r="U2676" s="93"/>
      <c r="X2676" s="114" t="str">
        <f t="shared" si="54"/>
        <v>1w</v>
      </c>
      <c r="Y2676" s="112">
        <f>_xll.qlCalendarAdvance(Calendar,Y2675,X2676,"f",FALSE)</f>
        <v>57945</v>
      </c>
      <c r="Z2676" s="115">
        <f>_xll.qlCalendarAdvance(Calendar,Y2676,NDays&amp;"D")</f>
        <v>57945</v>
      </c>
      <c r="AA2676" s="116" t="e">
        <v>#N/A</v>
      </c>
      <c r="AB2676" s="113" t="e">
        <v>#N/A</v>
      </c>
    </row>
    <row r="2677" spans="17:28" x14ac:dyDescent="0.2">
      <c r="Q2677" s="72"/>
      <c r="T2677" s="72"/>
      <c r="U2677" s="93"/>
      <c r="X2677" s="114" t="str">
        <f t="shared" si="54"/>
        <v>1w</v>
      </c>
      <c r="Y2677" s="112">
        <f>_xll.qlCalendarAdvance(Calendar,Y2676,X2677,"f",FALSE)</f>
        <v>57952</v>
      </c>
      <c r="Z2677" s="115">
        <f>_xll.qlCalendarAdvance(Calendar,Y2677,NDays&amp;"D")</f>
        <v>57952</v>
      </c>
      <c r="AA2677" s="116" t="e">
        <v>#N/A</v>
      </c>
      <c r="AB2677" s="113" t="e">
        <v>#N/A</v>
      </c>
    </row>
    <row r="2678" spans="17:28" x14ac:dyDescent="0.2">
      <c r="Q2678" s="72"/>
      <c r="T2678" s="72"/>
      <c r="U2678" s="93"/>
      <c r="X2678" s="114" t="str">
        <f t="shared" si="54"/>
        <v>1w</v>
      </c>
      <c r="Y2678" s="112">
        <f>_xll.qlCalendarAdvance(Calendar,Y2677,X2678,"f",FALSE)</f>
        <v>57959</v>
      </c>
      <c r="Z2678" s="115">
        <f>_xll.qlCalendarAdvance(Calendar,Y2678,NDays&amp;"D")</f>
        <v>57959</v>
      </c>
      <c r="AA2678" s="116" t="e">
        <v>#N/A</v>
      </c>
      <c r="AB2678" s="113" t="e">
        <v>#N/A</v>
      </c>
    </row>
    <row r="2679" spans="17:28" x14ac:dyDescent="0.2">
      <c r="Q2679" s="72"/>
      <c r="T2679" s="72"/>
      <c r="U2679" s="93"/>
      <c r="X2679" s="114" t="str">
        <f t="shared" si="54"/>
        <v>1w</v>
      </c>
      <c r="Y2679" s="112">
        <f>_xll.qlCalendarAdvance(Calendar,Y2678,X2679,"f",FALSE)</f>
        <v>57966</v>
      </c>
      <c r="Z2679" s="115">
        <f>_xll.qlCalendarAdvance(Calendar,Y2679,NDays&amp;"D")</f>
        <v>57966</v>
      </c>
      <c r="AA2679" s="116" t="e">
        <v>#N/A</v>
      </c>
      <c r="AB2679" s="113" t="e">
        <v>#N/A</v>
      </c>
    </row>
    <row r="2680" spans="17:28" x14ac:dyDescent="0.2">
      <c r="Q2680" s="72"/>
      <c r="T2680" s="72"/>
      <c r="U2680" s="93"/>
      <c r="X2680" s="114" t="str">
        <f t="shared" si="54"/>
        <v>1w</v>
      </c>
      <c r="Y2680" s="112">
        <f>_xll.qlCalendarAdvance(Calendar,Y2679,X2680,"f",FALSE)</f>
        <v>57973</v>
      </c>
      <c r="Z2680" s="115">
        <f>_xll.qlCalendarAdvance(Calendar,Y2680,NDays&amp;"D")</f>
        <v>57973</v>
      </c>
      <c r="AA2680" s="116" t="e">
        <v>#N/A</v>
      </c>
      <c r="AB2680" s="113" t="e">
        <v>#N/A</v>
      </c>
    </row>
    <row r="2681" spans="17:28" x14ac:dyDescent="0.2">
      <c r="Q2681" s="72"/>
      <c r="T2681" s="72"/>
      <c r="U2681" s="93"/>
      <c r="X2681" s="114" t="str">
        <f t="shared" si="54"/>
        <v>1w</v>
      </c>
      <c r="Y2681" s="112">
        <f>_xll.qlCalendarAdvance(Calendar,Y2680,X2681,"f",FALSE)</f>
        <v>57980</v>
      </c>
      <c r="Z2681" s="115">
        <f>_xll.qlCalendarAdvance(Calendar,Y2681,NDays&amp;"D")</f>
        <v>57980</v>
      </c>
      <c r="AA2681" s="116" t="e">
        <v>#N/A</v>
      </c>
      <c r="AB2681" s="113" t="e">
        <v>#N/A</v>
      </c>
    </row>
    <row r="2682" spans="17:28" x14ac:dyDescent="0.2">
      <c r="Q2682" s="72"/>
      <c r="T2682" s="72"/>
      <c r="U2682" s="93"/>
      <c r="X2682" s="114" t="str">
        <f t="shared" si="54"/>
        <v>1w</v>
      </c>
      <c r="Y2682" s="112">
        <f>_xll.qlCalendarAdvance(Calendar,Y2681,X2682,"f",FALSE)</f>
        <v>57987</v>
      </c>
      <c r="Z2682" s="115">
        <f>_xll.qlCalendarAdvance(Calendar,Y2682,NDays&amp;"D")</f>
        <v>57987</v>
      </c>
      <c r="AA2682" s="116" t="e">
        <v>#N/A</v>
      </c>
      <c r="AB2682" s="113" t="e">
        <v>#N/A</v>
      </c>
    </row>
    <row r="2683" spans="17:28" x14ac:dyDescent="0.2">
      <c r="Q2683" s="72"/>
      <c r="T2683" s="72"/>
      <c r="U2683" s="93"/>
      <c r="X2683" s="114" t="str">
        <f t="shared" si="54"/>
        <v>1w</v>
      </c>
      <c r="Y2683" s="112">
        <f>_xll.qlCalendarAdvance(Calendar,Y2682,X2683,"f",FALSE)</f>
        <v>57994</v>
      </c>
      <c r="Z2683" s="115">
        <f>_xll.qlCalendarAdvance(Calendar,Y2683,NDays&amp;"D")</f>
        <v>57994</v>
      </c>
      <c r="AA2683" s="116" t="e">
        <v>#N/A</v>
      </c>
      <c r="AB2683" s="113" t="e">
        <v>#N/A</v>
      </c>
    </row>
    <row r="2684" spans="17:28" x14ac:dyDescent="0.2">
      <c r="Q2684" s="72"/>
      <c r="T2684" s="72"/>
      <c r="U2684" s="93"/>
      <c r="X2684" s="114" t="str">
        <f t="shared" si="54"/>
        <v>1w</v>
      </c>
      <c r="Y2684" s="112">
        <f>_xll.qlCalendarAdvance(Calendar,Y2683,X2684,"f",FALSE)</f>
        <v>58001</v>
      </c>
      <c r="Z2684" s="115">
        <f>_xll.qlCalendarAdvance(Calendar,Y2684,NDays&amp;"D")</f>
        <v>58001</v>
      </c>
      <c r="AA2684" s="116" t="e">
        <v>#N/A</v>
      </c>
      <c r="AB2684" s="113" t="e">
        <v>#N/A</v>
      </c>
    </row>
    <row r="2685" spans="17:28" x14ac:dyDescent="0.2">
      <c r="Q2685" s="72"/>
      <c r="T2685" s="72"/>
      <c r="U2685" s="93"/>
      <c r="X2685" s="114" t="str">
        <f t="shared" si="54"/>
        <v>1w</v>
      </c>
      <c r="Y2685" s="112">
        <f>_xll.qlCalendarAdvance(Calendar,Y2684,X2685,"f",FALSE)</f>
        <v>58008</v>
      </c>
      <c r="Z2685" s="115">
        <f>_xll.qlCalendarAdvance(Calendar,Y2685,NDays&amp;"D")</f>
        <v>58008</v>
      </c>
      <c r="AA2685" s="116" t="e">
        <v>#N/A</v>
      </c>
      <c r="AB2685" s="113" t="e">
        <v>#N/A</v>
      </c>
    </row>
    <row r="2686" spans="17:28" x14ac:dyDescent="0.2">
      <c r="Q2686" s="72"/>
      <c r="T2686" s="72"/>
      <c r="U2686" s="93"/>
      <c r="X2686" s="114" t="str">
        <f t="shared" si="54"/>
        <v>1w</v>
      </c>
      <c r="Y2686" s="112">
        <f>_xll.qlCalendarAdvance(Calendar,Y2685,X2686,"f",FALSE)</f>
        <v>58015</v>
      </c>
      <c r="Z2686" s="115">
        <f>_xll.qlCalendarAdvance(Calendar,Y2686,NDays&amp;"D")</f>
        <v>58015</v>
      </c>
      <c r="AA2686" s="116" t="e">
        <v>#N/A</v>
      </c>
      <c r="AB2686" s="113" t="e">
        <v>#N/A</v>
      </c>
    </row>
    <row r="2687" spans="17:28" x14ac:dyDescent="0.2">
      <c r="Q2687" s="72"/>
      <c r="T2687" s="72"/>
      <c r="U2687" s="93"/>
      <c r="X2687" s="114" t="str">
        <f t="shared" si="54"/>
        <v>1w</v>
      </c>
      <c r="Y2687" s="112">
        <f>_xll.qlCalendarAdvance(Calendar,Y2686,X2687,"f",FALSE)</f>
        <v>58022</v>
      </c>
      <c r="Z2687" s="115">
        <f>_xll.qlCalendarAdvance(Calendar,Y2687,NDays&amp;"D")</f>
        <v>58022</v>
      </c>
      <c r="AA2687" s="116" t="e">
        <v>#N/A</v>
      </c>
      <c r="AB2687" s="113" t="e">
        <v>#N/A</v>
      </c>
    </row>
    <row r="2688" spans="17:28" x14ac:dyDescent="0.2">
      <c r="Q2688" s="72"/>
      <c r="T2688" s="72"/>
      <c r="U2688" s="93"/>
      <c r="X2688" s="114" t="str">
        <f t="shared" si="54"/>
        <v>1w</v>
      </c>
      <c r="Y2688" s="112">
        <f>_xll.qlCalendarAdvance(Calendar,Y2687,X2688,"f",FALSE)</f>
        <v>58029</v>
      </c>
      <c r="Z2688" s="115">
        <f>_xll.qlCalendarAdvance(Calendar,Y2688,NDays&amp;"D")</f>
        <v>58029</v>
      </c>
      <c r="AA2688" s="116" t="e">
        <v>#N/A</v>
      </c>
      <c r="AB2688" s="113" t="e">
        <v>#N/A</v>
      </c>
    </row>
    <row r="2689" spans="17:28" x14ac:dyDescent="0.2">
      <c r="Q2689" s="72"/>
      <c r="T2689" s="72"/>
      <c r="U2689" s="93"/>
      <c r="X2689" s="114" t="str">
        <f t="shared" si="54"/>
        <v>1w</v>
      </c>
      <c r="Y2689" s="112">
        <f>_xll.qlCalendarAdvance(Calendar,Y2688,X2689,"f",FALSE)</f>
        <v>58036</v>
      </c>
      <c r="Z2689" s="115">
        <f>_xll.qlCalendarAdvance(Calendar,Y2689,NDays&amp;"D")</f>
        <v>58036</v>
      </c>
      <c r="AA2689" s="116" t="e">
        <v>#N/A</v>
      </c>
      <c r="AB2689" s="113" t="e">
        <v>#N/A</v>
      </c>
    </row>
    <row r="2690" spans="17:28" x14ac:dyDescent="0.2">
      <c r="Q2690" s="72"/>
      <c r="T2690" s="72"/>
      <c r="U2690" s="93"/>
      <c r="X2690" s="114" t="str">
        <f t="shared" si="54"/>
        <v>1w</v>
      </c>
      <c r="Y2690" s="112">
        <f>_xll.qlCalendarAdvance(Calendar,Y2689,X2690,"f",FALSE)</f>
        <v>58043</v>
      </c>
      <c r="Z2690" s="115">
        <f>_xll.qlCalendarAdvance(Calendar,Y2690,NDays&amp;"D")</f>
        <v>58043</v>
      </c>
      <c r="AA2690" s="116" t="e">
        <v>#N/A</v>
      </c>
      <c r="AB2690" s="113" t="e">
        <v>#N/A</v>
      </c>
    </row>
    <row r="2691" spans="17:28" x14ac:dyDescent="0.2">
      <c r="Q2691" s="72"/>
      <c r="T2691" s="72"/>
      <c r="U2691" s="93"/>
      <c r="X2691" s="114" t="str">
        <f t="shared" si="54"/>
        <v>1w</v>
      </c>
      <c r="Y2691" s="112">
        <f>_xll.qlCalendarAdvance(Calendar,Y2690,X2691,"f",FALSE)</f>
        <v>58050</v>
      </c>
      <c r="Z2691" s="115">
        <f>_xll.qlCalendarAdvance(Calendar,Y2691,NDays&amp;"D")</f>
        <v>58050</v>
      </c>
      <c r="AA2691" s="116" t="e">
        <v>#N/A</v>
      </c>
      <c r="AB2691" s="113" t="e">
        <v>#N/A</v>
      </c>
    </row>
    <row r="2692" spans="17:28" x14ac:dyDescent="0.2">
      <c r="Q2692" s="72"/>
      <c r="T2692" s="72"/>
      <c r="U2692" s="93"/>
      <c r="X2692" s="114" t="str">
        <f t="shared" si="54"/>
        <v>1w</v>
      </c>
      <c r="Y2692" s="112">
        <f>_xll.qlCalendarAdvance(Calendar,Y2691,X2692,"f",FALSE)</f>
        <v>58057</v>
      </c>
      <c r="Z2692" s="115">
        <f>_xll.qlCalendarAdvance(Calendar,Y2692,NDays&amp;"D")</f>
        <v>58057</v>
      </c>
      <c r="AA2692" s="116" t="e">
        <v>#N/A</v>
      </c>
      <c r="AB2692" s="113" t="e">
        <v>#N/A</v>
      </c>
    </row>
    <row r="2693" spans="17:28" x14ac:dyDescent="0.2">
      <c r="Q2693" s="72"/>
      <c r="T2693" s="72"/>
      <c r="U2693" s="93"/>
      <c r="X2693" s="114" t="str">
        <f t="shared" si="54"/>
        <v>1w</v>
      </c>
      <c r="Y2693" s="112">
        <f>_xll.qlCalendarAdvance(Calendar,Y2692,X2693,"f",FALSE)</f>
        <v>58064</v>
      </c>
      <c r="Z2693" s="115">
        <f>_xll.qlCalendarAdvance(Calendar,Y2693,NDays&amp;"D")</f>
        <v>58064</v>
      </c>
      <c r="AA2693" s="116" t="e">
        <v>#N/A</v>
      </c>
      <c r="AB2693" s="113" t="e">
        <v>#N/A</v>
      </c>
    </row>
    <row r="2694" spans="17:28" x14ac:dyDescent="0.2">
      <c r="Q2694" s="72"/>
      <c r="T2694" s="72"/>
      <c r="U2694" s="93"/>
      <c r="X2694" s="114" t="str">
        <f t="shared" si="54"/>
        <v>1w</v>
      </c>
      <c r="Y2694" s="112">
        <f>_xll.qlCalendarAdvance(Calendar,Y2693,X2694,"f",FALSE)</f>
        <v>58071</v>
      </c>
      <c r="Z2694" s="115">
        <f>_xll.qlCalendarAdvance(Calendar,Y2694,NDays&amp;"D")</f>
        <v>58071</v>
      </c>
      <c r="AA2694" s="116" t="e">
        <v>#N/A</v>
      </c>
      <c r="AB2694" s="113" t="e">
        <v>#N/A</v>
      </c>
    </row>
    <row r="2695" spans="17:28" x14ac:dyDescent="0.2">
      <c r="Q2695" s="72"/>
      <c r="T2695" s="72"/>
      <c r="U2695" s="93"/>
      <c r="X2695" s="114" t="str">
        <f t="shared" si="54"/>
        <v>1w</v>
      </c>
      <c r="Y2695" s="112">
        <f>_xll.qlCalendarAdvance(Calendar,Y2694,X2695,"f",FALSE)</f>
        <v>58078</v>
      </c>
      <c r="Z2695" s="115">
        <f>_xll.qlCalendarAdvance(Calendar,Y2695,NDays&amp;"D")</f>
        <v>58078</v>
      </c>
      <c r="AA2695" s="116" t="e">
        <v>#N/A</v>
      </c>
      <c r="AB2695" s="113" t="e">
        <v>#N/A</v>
      </c>
    </row>
    <row r="2696" spans="17:28" x14ac:dyDescent="0.2">
      <c r="Q2696" s="72"/>
      <c r="T2696" s="72"/>
      <c r="U2696" s="93"/>
      <c r="X2696" s="114" t="str">
        <f t="shared" si="54"/>
        <v>1w</v>
      </c>
      <c r="Y2696" s="112">
        <f>_xll.qlCalendarAdvance(Calendar,Y2695,X2696,"f",FALSE)</f>
        <v>58085</v>
      </c>
      <c r="Z2696" s="115">
        <f>_xll.qlCalendarAdvance(Calendar,Y2696,NDays&amp;"D")</f>
        <v>58085</v>
      </c>
      <c r="AA2696" s="116" t="e">
        <v>#N/A</v>
      </c>
      <c r="AB2696" s="113" t="e">
        <v>#N/A</v>
      </c>
    </row>
    <row r="2697" spans="17:28" x14ac:dyDescent="0.2">
      <c r="Q2697" s="72"/>
      <c r="T2697" s="72"/>
      <c r="U2697" s="93"/>
      <c r="X2697" s="114" t="str">
        <f t="shared" si="54"/>
        <v>1w</v>
      </c>
      <c r="Y2697" s="112">
        <f>_xll.qlCalendarAdvance(Calendar,Y2696,X2697,"f",FALSE)</f>
        <v>58092</v>
      </c>
      <c r="Z2697" s="115">
        <f>_xll.qlCalendarAdvance(Calendar,Y2697,NDays&amp;"D")</f>
        <v>58092</v>
      </c>
      <c r="AA2697" s="116" t="e">
        <v>#N/A</v>
      </c>
      <c r="AB2697" s="113" t="e">
        <v>#N/A</v>
      </c>
    </row>
    <row r="2698" spans="17:28" x14ac:dyDescent="0.2">
      <c r="Q2698" s="72"/>
      <c r="T2698" s="72"/>
      <c r="U2698" s="93"/>
      <c r="X2698" s="114" t="str">
        <f t="shared" si="54"/>
        <v>1w</v>
      </c>
      <c r="Y2698" s="112">
        <f>_xll.qlCalendarAdvance(Calendar,Y2697,X2698,"f",FALSE)</f>
        <v>58099</v>
      </c>
      <c r="Z2698" s="115">
        <f>_xll.qlCalendarAdvance(Calendar,Y2698,NDays&amp;"D")</f>
        <v>58099</v>
      </c>
      <c r="AA2698" s="116" t="e">
        <v>#N/A</v>
      </c>
      <c r="AB2698" s="113" t="e">
        <v>#N/A</v>
      </c>
    </row>
    <row r="2699" spans="17:28" x14ac:dyDescent="0.2">
      <c r="Q2699" s="72"/>
      <c r="T2699" s="72"/>
      <c r="U2699" s="93"/>
      <c r="X2699" s="114" t="str">
        <f t="shared" si="54"/>
        <v>1w</v>
      </c>
      <c r="Y2699" s="112">
        <f>_xll.qlCalendarAdvance(Calendar,Y2698,X2699,"f",FALSE)</f>
        <v>58106</v>
      </c>
      <c r="Z2699" s="115">
        <f>_xll.qlCalendarAdvance(Calendar,Y2699,NDays&amp;"D")</f>
        <v>58106</v>
      </c>
      <c r="AA2699" s="116" t="e">
        <v>#N/A</v>
      </c>
      <c r="AB2699" s="113" t="e">
        <v>#N/A</v>
      </c>
    </row>
    <row r="2700" spans="17:28" x14ac:dyDescent="0.2">
      <c r="Q2700" s="72"/>
      <c r="T2700" s="72"/>
      <c r="U2700" s="93"/>
      <c r="X2700" s="114" t="str">
        <f t="shared" si="54"/>
        <v>1w</v>
      </c>
      <c r="Y2700" s="112">
        <f>_xll.qlCalendarAdvance(Calendar,Y2699,X2700,"f",FALSE)</f>
        <v>58113</v>
      </c>
      <c r="Z2700" s="115">
        <f>_xll.qlCalendarAdvance(Calendar,Y2700,NDays&amp;"D")</f>
        <v>58113</v>
      </c>
      <c r="AA2700" s="116" t="e">
        <v>#N/A</v>
      </c>
      <c r="AB2700" s="113" t="e">
        <v>#N/A</v>
      </c>
    </row>
    <row r="2701" spans="17:28" x14ac:dyDescent="0.2">
      <c r="Q2701" s="72"/>
      <c r="T2701" s="72"/>
      <c r="U2701" s="93"/>
      <c r="X2701" s="114" t="str">
        <f t="shared" si="54"/>
        <v>1w</v>
      </c>
      <c r="Y2701" s="112">
        <f>_xll.qlCalendarAdvance(Calendar,Y2700,X2701,"f",FALSE)</f>
        <v>58120</v>
      </c>
      <c r="Z2701" s="115">
        <f>_xll.qlCalendarAdvance(Calendar,Y2701,NDays&amp;"D")</f>
        <v>58120</v>
      </c>
      <c r="AA2701" s="116" t="e">
        <v>#N/A</v>
      </c>
      <c r="AB2701" s="113" t="e">
        <v>#N/A</v>
      </c>
    </row>
    <row r="2702" spans="17:28" x14ac:dyDescent="0.2">
      <c r="Q2702" s="72"/>
      <c r="T2702" s="72"/>
      <c r="U2702" s="93"/>
      <c r="X2702" s="114" t="str">
        <f t="shared" si="54"/>
        <v>1w</v>
      </c>
      <c r="Y2702" s="112">
        <f>_xll.qlCalendarAdvance(Calendar,Y2701,X2702,"f",FALSE)</f>
        <v>58127</v>
      </c>
      <c r="Z2702" s="115">
        <f>_xll.qlCalendarAdvance(Calendar,Y2702,NDays&amp;"D")</f>
        <v>58127</v>
      </c>
      <c r="AA2702" s="116" t="e">
        <v>#N/A</v>
      </c>
      <c r="AB2702" s="113" t="e">
        <v>#N/A</v>
      </c>
    </row>
    <row r="2703" spans="17:28" x14ac:dyDescent="0.2">
      <c r="Q2703" s="72"/>
      <c r="T2703" s="72"/>
      <c r="U2703" s="93"/>
      <c r="X2703" s="114" t="str">
        <f t="shared" si="54"/>
        <v>1w</v>
      </c>
      <c r="Y2703" s="112">
        <f>_xll.qlCalendarAdvance(Calendar,Y2702,X2703,"f",FALSE)</f>
        <v>58134</v>
      </c>
      <c r="Z2703" s="115">
        <f>_xll.qlCalendarAdvance(Calendar,Y2703,NDays&amp;"D")</f>
        <v>58134</v>
      </c>
      <c r="AA2703" s="116" t="e">
        <v>#N/A</v>
      </c>
      <c r="AB2703" s="113" t="e">
        <v>#N/A</v>
      </c>
    </row>
    <row r="2704" spans="17:28" x14ac:dyDescent="0.2">
      <c r="Q2704" s="72"/>
      <c r="T2704" s="72"/>
      <c r="U2704" s="93"/>
      <c r="X2704" s="114" t="str">
        <f t="shared" si="54"/>
        <v>1w</v>
      </c>
      <c r="Y2704" s="112">
        <f>_xll.qlCalendarAdvance(Calendar,Y2703,X2704,"f",FALSE)</f>
        <v>58141</v>
      </c>
      <c r="Z2704" s="115">
        <f>_xll.qlCalendarAdvance(Calendar,Y2704,NDays&amp;"D")</f>
        <v>58141</v>
      </c>
      <c r="AA2704" s="116" t="e">
        <v>#N/A</v>
      </c>
      <c r="AB2704" s="113" t="e">
        <v>#N/A</v>
      </c>
    </row>
    <row r="2705" spans="17:28" x14ac:dyDescent="0.2">
      <c r="Q2705" s="72"/>
      <c r="T2705" s="72"/>
      <c r="U2705" s="93"/>
      <c r="X2705" s="114" t="str">
        <f t="shared" si="54"/>
        <v>1w</v>
      </c>
      <c r="Y2705" s="112">
        <f>_xll.qlCalendarAdvance(Calendar,Y2704,X2705,"f",FALSE)</f>
        <v>58148</v>
      </c>
      <c r="Z2705" s="115">
        <f>_xll.qlCalendarAdvance(Calendar,Y2705,NDays&amp;"D")</f>
        <v>58148</v>
      </c>
      <c r="AA2705" s="116" t="e">
        <v>#N/A</v>
      </c>
      <c r="AB2705" s="113" t="e">
        <v>#N/A</v>
      </c>
    </row>
    <row r="2706" spans="17:28" x14ac:dyDescent="0.2">
      <c r="Q2706" s="72"/>
      <c r="T2706" s="72"/>
      <c r="U2706" s="93"/>
      <c r="X2706" s="114" t="str">
        <f t="shared" si="54"/>
        <v>1w</v>
      </c>
      <c r="Y2706" s="112">
        <f>_xll.qlCalendarAdvance(Calendar,Y2705,X2706,"f",FALSE)</f>
        <v>58155</v>
      </c>
      <c r="Z2706" s="115">
        <f>_xll.qlCalendarAdvance(Calendar,Y2706,NDays&amp;"D")</f>
        <v>58155</v>
      </c>
      <c r="AA2706" s="116" t="e">
        <v>#N/A</v>
      </c>
      <c r="AB2706" s="113" t="e">
        <v>#N/A</v>
      </c>
    </row>
    <row r="2707" spans="17:28" x14ac:dyDescent="0.2">
      <c r="Q2707" s="72"/>
      <c r="T2707" s="72"/>
      <c r="U2707" s="93"/>
      <c r="X2707" s="114" t="str">
        <f t="shared" si="54"/>
        <v>1w</v>
      </c>
      <c r="Y2707" s="112">
        <f>_xll.qlCalendarAdvance(Calendar,Y2706,X2707,"f",FALSE)</f>
        <v>58166</v>
      </c>
      <c r="Z2707" s="115">
        <f>_xll.qlCalendarAdvance(Calendar,Y2707,NDays&amp;"D")</f>
        <v>58166</v>
      </c>
      <c r="AA2707" s="116" t="e">
        <v>#N/A</v>
      </c>
      <c r="AB2707" s="113" t="e">
        <v>#N/A</v>
      </c>
    </row>
    <row r="2708" spans="17:28" x14ac:dyDescent="0.2">
      <c r="Q2708" s="72"/>
      <c r="T2708" s="72"/>
      <c r="U2708" s="93"/>
      <c r="X2708" s="114" t="str">
        <f t="shared" si="54"/>
        <v>1w</v>
      </c>
      <c r="Y2708" s="112">
        <f>_xll.qlCalendarAdvance(Calendar,Y2707,X2708,"f",FALSE)</f>
        <v>58173</v>
      </c>
      <c r="Z2708" s="115">
        <f>_xll.qlCalendarAdvance(Calendar,Y2708,NDays&amp;"D")</f>
        <v>58173</v>
      </c>
      <c r="AA2708" s="116" t="e">
        <v>#N/A</v>
      </c>
      <c r="AB2708" s="113" t="e">
        <v>#N/A</v>
      </c>
    </row>
    <row r="2709" spans="17:28" x14ac:dyDescent="0.2">
      <c r="Q2709" s="72"/>
      <c r="T2709" s="72"/>
      <c r="U2709" s="93"/>
      <c r="X2709" s="114" t="str">
        <f t="shared" ref="X2709:X2772" si="55">X2708</f>
        <v>1w</v>
      </c>
      <c r="Y2709" s="112">
        <f>_xll.qlCalendarAdvance(Calendar,Y2708,X2709,"f",FALSE)</f>
        <v>58180</v>
      </c>
      <c r="Z2709" s="115">
        <f>_xll.qlCalendarAdvance(Calendar,Y2709,NDays&amp;"D")</f>
        <v>58180</v>
      </c>
      <c r="AA2709" s="116" t="e">
        <v>#N/A</v>
      </c>
      <c r="AB2709" s="113" t="e">
        <v>#N/A</v>
      </c>
    </row>
    <row r="2710" spans="17:28" x14ac:dyDescent="0.2">
      <c r="Q2710" s="72"/>
      <c r="T2710" s="72"/>
      <c r="U2710" s="93"/>
      <c r="X2710" s="114" t="str">
        <f t="shared" si="55"/>
        <v>1w</v>
      </c>
      <c r="Y2710" s="112">
        <f>_xll.qlCalendarAdvance(Calendar,Y2709,X2710,"f",FALSE)</f>
        <v>58187</v>
      </c>
      <c r="Z2710" s="115">
        <f>_xll.qlCalendarAdvance(Calendar,Y2710,NDays&amp;"D")</f>
        <v>58187</v>
      </c>
      <c r="AA2710" s="116" t="e">
        <v>#N/A</v>
      </c>
      <c r="AB2710" s="113" t="e">
        <v>#N/A</v>
      </c>
    </row>
    <row r="2711" spans="17:28" x14ac:dyDescent="0.2">
      <c r="Q2711" s="72"/>
      <c r="T2711" s="72"/>
      <c r="U2711" s="93"/>
      <c r="X2711" s="114" t="str">
        <f t="shared" si="55"/>
        <v>1w</v>
      </c>
      <c r="Y2711" s="112">
        <f>_xll.qlCalendarAdvance(Calendar,Y2710,X2711,"f",FALSE)</f>
        <v>58194</v>
      </c>
      <c r="Z2711" s="115">
        <f>_xll.qlCalendarAdvance(Calendar,Y2711,NDays&amp;"D")</f>
        <v>58194</v>
      </c>
      <c r="AA2711" s="116" t="e">
        <v>#N/A</v>
      </c>
      <c r="AB2711" s="113" t="e">
        <v>#N/A</v>
      </c>
    </row>
    <row r="2712" spans="17:28" x14ac:dyDescent="0.2">
      <c r="Q2712" s="72"/>
      <c r="T2712" s="72"/>
      <c r="U2712" s="93"/>
      <c r="X2712" s="114" t="str">
        <f t="shared" si="55"/>
        <v>1w</v>
      </c>
      <c r="Y2712" s="112">
        <f>_xll.qlCalendarAdvance(Calendar,Y2711,X2712,"f",FALSE)</f>
        <v>58201</v>
      </c>
      <c r="Z2712" s="115">
        <f>_xll.qlCalendarAdvance(Calendar,Y2712,NDays&amp;"D")</f>
        <v>58201</v>
      </c>
      <c r="AA2712" s="116" t="e">
        <v>#N/A</v>
      </c>
      <c r="AB2712" s="113" t="e">
        <v>#N/A</v>
      </c>
    </row>
    <row r="2713" spans="17:28" x14ac:dyDescent="0.2">
      <c r="Q2713" s="72"/>
      <c r="T2713" s="72"/>
      <c r="U2713" s="93"/>
      <c r="X2713" s="114" t="str">
        <f t="shared" si="55"/>
        <v>1w</v>
      </c>
      <c r="Y2713" s="112">
        <f>_xll.qlCalendarAdvance(Calendar,Y2712,X2713,"f",FALSE)</f>
        <v>58208</v>
      </c>
      <c r="Z2713" s="115">
        <f>_xll.qlCalendarAdvance(Calendar,Y2713,NDays&amp;"D")</f>
        <v>58208</v>
      </c>
      <c r="AA2713" s="116" t="e">
        <v>#N/A</v>
      </c>
      <c r="AB2713" s="113" t="e">
        <v>#N/A</v>
      </c>
    </row>
    <row r="2714" spans="17:28" x14ac:dyDescent="0.2">
      <c r="Q2714" s="72"/>
      <c r="T2714" s="72"/>
      <c r="U2714" s="93"/>
      <c r="X2714" s="114" t="str">
        <f t="shared" si="55"/>
        <v>1w</v>
      </c>
      <c r="Y2714" s="112">
        <f>_xll.qlCalendarAdvance(Calendar,Y2713,X2714,"f",FALSE)</f>
        <v>58215</v>
      </c>
      <c r="Z2714" s="115">
        <f>_xll.qlCalendarAdvance(Calendar,Y2714,NDays&amp;"D")</f>
        <v>58215</v>
      </c>
      <c r="AA2714" s="116" t="e">
        <v>#N/A</v>
      </c>
      <c r="AB2714" s="113" t="e">
        <v>#N/A</v>
      </c>
    </row>
    <row r="2715" spans="17:28" x14ac:dyDescent="0.2">
      <c r="Q2715" s="72"/>
      <c r="T2715" s="72"/>
      <c r="U2715" s="93"/>
      <c r="X2715" s="114" t="str">
        <f t="shared" si="55"/>
        <v>1w</v>
      </c>
      <c r="Y2715" s="112">
        <f>_xll.qlCalendarAdvance(Calendar,Y2714,X2715,"f",FALSE)</f>
        <v>58222</v>
      </c>
      <c r="Z2715" s="115">
        <f>_xll.qlCalendarAdvance(Calendar,Y2715,NDays&amp;"D")</f>
        <v>58222</v>
      </c>
      <c r="AA2715" s="116" t="e">
        <v>#N/A</v>
      </c>
      <c r="AB2715" s="113" t="e">
        <v>#N/A</v>
      </c>
    </row>
    <row r="2716" spans="17:28" x14ac:dyDescent="0.2">
      <c r="Q2716" s="72"/>
      <c r="T2716" s="72"/>
      <c r="U2716" s="93"/>
      <c r="X2716" s="114" t="str">
        <f t="shared" si="55"/>
        <v>1w</v>
      </c>
      <c r="Y2716" s="112">
        <f>_xll.qlCalendarAdvance(Calendar,Y2715,X2716,"f",FALSE)</f>
        <v>58229</v>
      </c>
      <c r="Z2716" s="115">
        <f>_xll.qlCalendarAdvance(Calendar,Y2716,NDays&amp;"D")</f>
        <v>58229</v>
      </c>
      <c r="AA2716" s="116" t="e">
        <v>#N/A</v>
      </c>
      <c r="AB2716" s="113" t="e">
        <v>#N/A</v>
      </c>
    </row>
    <row r="2717" spans="17:28" x14ac:dyDescent="0.2">
      <c r="Q2717" s="72"/>
      <c r="T2717" s="72"/>
      <c r="U2717" s="93"/>
      <c r="X2717" s="114" t="str">
        <f t="shared" si="55"/>
        <v>1w</v>
      </c>
      <c r="Y2717" s="112">
        <f>_xll.qlCalendarAdvance(Calendar,Y2716,X2717,"f",FALSE)</f>
        <v>58236</v>
      </c>
      <c r="Z2717" s="115">
        <f>_xll.qlCalendarAdvance(Calendar,Y2717,NDays&amp;"D")</f>
        <v>58236</v>
      </c>
      <c r="AA2717" s="116" t="e">
        <v>#N/A</v>
      </c>
      <c r="AB2717" s="113" t="e">
        <v>#N/A</v>
      </c>
    </row>
    <row r="2718" spans="17:28" x14ac:dyDescent="0.2">
      <c r="Q2718" s="72"/>
      <c r="T2718" s="72"/>
      <c r="U2718" s="93"/>
      <c r="X2718" s="114" t="str">
        <f t="shared" si="55"/>
        <v>1w</v>
      </c>
      <c r="Y2718" s="112">
        <f>_xll.qlCalendarAdvance(Calendar,Y2717,X2718,"f",FALSE)</f>
        <v>58243</v>
      </c>
      <c r="Z2718" s="115">
        <f>_xll.qlCalendarAdvance(Calendar,Y2718,NDays&amp;"D")</f>
        <v>58243</v>
      </c>
      <c r="AA2718" s="116" t="e">
        <v>#N/A</v>
      </c>
      <c r="AB2718" s="113" t="e">
        <v>#N/A</v>
      </c>
    </row>
    <row r="2719" spans="17:28" x14ac:dyDescent="0.2">
      <c r="Q2719" s="72"/>
      <c r="T2719" s="72"/>
      <c r="U2719" s="93"/>
      <c r="X2719" s="114" t="str">
        <f t="shared" si="55"/>
        <v>1w</v>
      </c>
      <c r="Y2719" s="112">
        <f>_xll.qlCalendarAdvance(Calendar,Y2718,X2719,"f",FALSE)</f>
        <v>58250</v>
      </c>
      <c r="Z2719" s="115">
        <f>_xll.qlCalendarAdvance(Calendar,Y2719,NDays&amp;"D")</f>
        <v>58250</v>
      </c>
      <c r="AA2719" s="116" t="e">
        <v>#N/A</v>
      </c>
      <c r="AB2719" s="113" t="e">
        <v>#N/A</v>
      </c>
    </row>
    <row r="2720" spans="17:28" x14ac:dyDescent="0.2">
      <c r="Q2720" s="72"/>
      <c r="T2720" s="72"/>
      <c r="U2720" s="93"/>
      <c r="X2720" s="114" t="str">
        <f t="shared" si="55"/>
        <v>1w</v>
      </c>
      <c r="Y2720" s="112">
        <f>_xll.qlCalendarAdvance(Calendar,Y2719,X2720,"f",FALSE)</f>
        <v>58257</v>
      </c>
      <c r="Z2720" s="115">
        <f>_xll.qlCalendarAdvance(Calendar,Y2720,NDays&amp;"D")</f>
        <v>58257</v>
      </c>
      <c r="AA2720" s="116" t="e">
        <v>#N/A</v>
      </c>
      <c r="AB2720" s="113" t="e">
        <v>#N/A</v>
      </c>
    </row>
    <row r="2721" spans="17:28" x14ac:dyDescent="0.2">
      <c r="Q2721" s="72"/>
      <c r="T2721" s="72"/>
      <c r="U2721" s="93"/>
      <c r="X2721" s="114" t="str">
        <f t="shared" si="55"/>
        <v>1w</v>
      </c>
      <c r="Y2721" s="112">
        <f>_xll.qlCalendarAdvance(Calendar,Y2720,X2721,"f",FALSE)</f>
        <v>58264</v>
      </c>
      <c r="Z2721" s="115">
        <f>_xll.qlCalendarAdvance(Calendar,Y2721,NDays&amp;"D")</f>
        <v>58264</v>
      </c>
      <c r="AA2721" s="116" t="e">
        <v>#N/A</v>
      </c>
      <c r="AB2721" s="113" t="e">
        <v>#N/A</v>
      </c>
    </row>
    <row r="2722" spans="17:28" x14ac:dyDescent="0.2">
      <c r="Q2722" s="72"/>
      <c r="T2722" s="72"/>
      <c r="U2722" s="93"/>
      <c r="X2722" s="114" t="str">
        <f t="shared" si="55"/>
        <v>1w</v>
      </c>
      <c r="Y2722" s="112">
        <f>_xll.qlCalendarAdvance(Calendar,Y2721,X2722,"f",FALSE)</f>
        <v>58271</v>
      </c>
      <c r="Z2722" s="115">
        <f>_xll.qlCalendarAdvance(Calendar,Y2722,NDays&amp;"D")</f>
        <v>58271</v>
      </c>
      <c r="AA2722" s="116" t="e">
        <v>#N/A</v>
      </c>
      <c r="AB2722" s="113" t="e">
        <v>#N/A</v>
      </c>
    </row>
    <row r="2723" spans="17:28" x14ac:dyDescent="0.2">
      <c r="Q2723" s="72"/>
      <c r="T2723" s="72"/>
      <c r="U2723" s="93"/>
      <c r="X2723" s="114" t="str">
        <f t="shared" si="55"/>
        <v>1w</v>
      </c>
      <c r="Y2723" s="112">
        <f>_xll.qlCalendarAdvance(Calendar,Y2722,X2723,"f",FALSE)</f>
        <v>58278</v>
      </c>
      <c r="Z2723" s="115">
        <f>_xll.qlCalendarAdvance(Calendar,Y2723,NDays&amp;"D")</f>
        <v>58278</v>
      </c>
      <c r="AA2723" s="116" t="e">
        <v>#N/A</v>
      </c>
      <c r="AB2723" s="113" t="e">
        <v>#N/A</v>
      </c>
    </row>
    <row r="2724" spans="17:28" x14ac:dyDescent="0.2">
      <c r="Q2724" s="72"/>
      <c r="T2724" s="72"/>
      <c r="U2724" s="93"/>
      <c r="X2724" s="114" t="str">
        <f t="shared" si="55"/>
        <v>1w</v>
      </c>
      <c r="Y2724" s="112">
        <f>_xll.qlCalendarAdvance(Calendar,Y2723,X2724,"f",FALSE)</f>
        <v>58285</v>
      </c>
      <c r="Z2724" s="115">
        <f>_xll.qlCalendarAdvance(Calendar,Y2724,NDays&amp;"D")</f>
        <v>58285</v>
      </c>
      <c r="AA2724" s="116" t="e">
        <v>#N/A</v>
      </c>
      <c r="AB2724" s="113" t="e">
        <v>#N/A</v>
      </c>
    </row>
    <row r="2725" spans="17:28" x14ac:dyDescent="0.2">
      <c r="Q2725" s="72"/>
      <c r="T2725" s="72"/>
      <c r="U2725" s="93"/>
      <c r="X2725" s="114" t="str">
        <f t="shared" si="55"/>
        <v>1w</v>
      </c>
      <c r="Y2725" s="112">
        <f>_xll.qlCalendarAdvance(Calendar,Y2724,X2725,"f",FALSE)</f>
        <v>58292</v>
      </c>
      <c r="Z2725" s="115">
        <f>_xll.qlCalendarAdvance(Calendar,Y2725,NDays&amp;"D")</f>
        <v>58292</v>
      </c>
      <c r="AA2725" s="116" t="e">
        <v>#N/A</v>
      </c>
      <c r="AB2725" s="113" t="e">
        <v>#N/A</v>
      </c>
    </row>
    <row r="2726" spans="17:28" x14ac:dyDescent="0.2">
      <c r="Q2726" s="72"/>
      <c r="T2726" s="72"/>
      <c r="U2726" s="93"/>
      <c r="X2726" s="114" t="str">
        <f t="shared" si="55"/>
        <v>1w</v>
      </c>
      <c r="Y2726" s="112">
        <f>_xll.qlCalendarAdvance(Calendar,Y2725,X2726,"f",FALSE)</f>
        <v>58299</v>
      </c>
      <c r="Z2726" s="115">
        <f>_xll.qlCalendarAdvance(Calendar,Y2726,NDays&amp;"D")</f>
        <v>58299</v>
      </c>
      <c r="AA2726" s="116" t="e">
        <v>#N/A</v>
      </c>
      <c r="AB2726" s="113" t="e">
        <v>#N/A</v>
      </c>
    </row>
    <row r="2727" spans="17:28" x14ac:dyDescent="0.2">
      <c r="Q2727" s="72"/>
      <c r="T2727" s="72"/>
      <c r="U2727" s="93"/>
      <c r="X2727" s="114" t="str">
        <f t="shared" si="55"/>
        <v>1w</v>
      </c>
      <c r="Y2727" s="112">
        <f>_xll.qlCalendarAdvance(Calendar,Y2726,X2727,"f",FALSE)</f>
        <v>58306</v>
      </c>
      <c r="Z2727" s="115">
        <f>_xll.qlCalendarAdvance(Calendar,Y2727,NDays&amp;"D")</f>
        <v>58306</v>
      </c>
      <c r="AA2727" s="116" t="e">
        <v>#N/A</v>
      </c>
      <c r="AB2727" s="113" t="e">
        <v>#N/A</v>
      </c>
    </row>
    <row r="2728" spans="17:28" x14ac:dyDescent="0.2">
      <c r="Q2728" s="72"/>
      <c r="T2728" s="72"/>
      <c r="U2728" s="93"/>
      <c r="X2728" s="114" t="str">
        <f t="shared" si="55"/>
        <v>1w</v>
      </c>
      <c r="Y2728" s="112">
        <f>_xll.qlCalendarAdvance(Calendar,Y2727,X2728,"f",FALSE)</f>
        <v>58313</v>
      </c>
      <c r="Z2728" s="115">
        <f>_xll.qlCalendarAdvance(Calendar,Y2728,NDays&amp;"D")</f>
        <v>58313</v>
      </c>
      <c r="AA2728" s="116" t="e">
        <v>#N/A</v>
      </c>
      <c r="AB2728" s="113" t="e">
        <v>#N/A</v>
      </c>
    </row>
    <row r="2729" spans="17:28" x14ac:dyDescent="0.2">
      <c r="Q2729" s="72"/>
      <c r="T2729" s="72"/>
      <c r="U2729" s="93"/>
      <c r="X2729" s="114" t="str">
        <f t="shared" si="55"/>
        <v>1w</v>
      </c>
      <c r="Y2729" s="112">
        <f>_xll.qlCalendarAdvance(Calendar,Y2728,X2729,"f",FALSE)</f>
        <v>58320</v>
      </c>
      <c r="Z2729" s="115">
        <f>_xll.qlCalendarAdvance(Calendar,Y2729,NDays&amp;"D")</f>
        <v>58320</v>
      </c>
      <c r="AA2729" s="116" t="e">
        <v>#N/A</v>
      </c>
      <c r="AB2729" s="113" t="e">
        <v>#N/A</v>
      </c>
    </row>
    <row r="2730" spans="17:28" x14ac:dyDescent="0.2">
      <c r="Q2730" s="72"/>
      <c r="T2730" s="72"/>
      <c r="U2730" s="93"/>
      <c r="X2730" s="114" t="str">
        <f t="shared" si="55"/>
        <v>1w</v>
      </c>
      <c r="Y2730" s="112">
        <f>_xll.qlCalendarAdvance(Calendar,Y2729,X2730,"f",FALSE)</f>
        <v>58327</v>
      </c>
      <c r="Z2730" s="115">
        <f>_xll.qlCalendarAdvance(Calendar,Y2730,NDays&amp;"D")</f>
        <v>58327</v>
      </c>
      <c r="AA2730" s="116" t="e">
        <v>#N/A</v>
      </c>
      <c r="AB2730" s="113" t="e">
        <v>#N/A</v>
      </c>
    </row>
    <row r="2731" spans="17:28" x14ac:dyDescent="0.2">
      <c r="Q2731" s="72"/>
      <c r="T2731" s="72"/>
      <c r="U2731" s="93"/>
      <c r="X2731" s="114" t="str">
        <f t="shared" si="55"/>
        <v>1w</v>
      </c>
      <c r="Y2731" s="112">
        <f>_xll.qlCalendarAdvance(Calendar,Y2730,X2731,"f",FALSE)</f>
        <v>58334</v>
      </c>
      <c r="Z2731" s="115">
        <f>_xll.qlCalendarAdvance(Calendar,Y2731,NDays&amp;"D")</f>
        <v>58334</v>
      </c>
      <c r="AA2731" s="116" t="e">
        <v>#N/A</v>
      </c>
      <c r="AB2731" s="113" t="e">
        <v>#N/A</v>
      </c>
    </row>
    <row r="2732" spans="17:28" x14ac:dyDescent="0.2">
      <c r="Q2732" s="72"/>
      <c r="T2732" s="72"/>
      <c r="U2732" s="93"/>
      <c r="X2732" s="114" t="str">
        <f t="shared" si="55"/>
        <v>1w</v>
      </c>
      <c r="Y2732" s="112">
        <f>_xll.qlCalendarAdvance(Calendar,Y2731,X2732,"f",FALSE)</f>
        <v>58341</v>
      </c>
      <c r="Z2732" s="115">
        <f>_xll.qlCalendarAdvance(Calendar,Y2732,NDays&amp;"D")</f>
        <v>58341</v>
      </c>
      <c r="AA2732" s="116" t="e">
        <v>#N/A</v>
      </c>
      <c r="AB2732" s="113" t="e">
        <v>#N/A</v>
      </c>
    </row>
    <row r="2733" spans="17:28" x14ac:dyDescent="0.2">
      <c r="Q2733" s="72"/>
      <c r="T2733" s="72"/>
      <c r="U2733" s="93"/>
      <c r="X2733" s="114" t="str">
        <f t="shared" si="55"/>
        <v>1w</v>
      </c>
      <c r="Y2733" s="112">
        <f>_xll.qlCalendarAdvance(Calendar,Y2732,X2733,"f",FALSE)</f>
        <v>58348</v>
      </c>
      <c r="Z2733" s="115">
        <f>_xll.qlCalendarAdvance(Calendar,Y2733,NDays&amp;"D")</f>
        <v>58348</v>
      </c>
      <c r="AA2733" s="116" t="e">
        <v>#N/A</v>
      </c>
      <c r="AB2733" s="113" t="e">
        <v>#N/A</v>
      </c>
    </row>
    <row r="2734" spans="17:28" x14ac:dyDescent="0.2">
      <c r="Q2734" s="72"/>
      <c r="T2734" s="72"/>
      <c r="U2734" s="93"/>
      <c r="X2734" s="114" t="str">
        <f t="shared" si="55"/>
        <v>1w</v>
      </c>
      <c r="Y2734" s="112">
        <f>_xll.qlCalendarAdvance(Calendar,Y2733,X2734,"f",FALSE)</f>
        <v>58355</v>
      </c>
      <c r="Z2734" s="115">
        <f>_xll.qlCalendarAdvance(Calendar,Y2734,NDays&amp;"D")</f>
        <v>58355</v>
      </c>
      <c r="AA2734" s="116" t="e">
        <v>#N/A</v>
      </c>
      <c r="AB2734" s="113" t="e">
        <v>#N/A</v>
      </c>
    </row>
    <row r="2735" spans="17:28" x14ac:dyDescent="0.2">
      <c r="Q2735" s="72"/>
      <c r="T2735" s="72"/>
      <c r="U2735" s="93"/>
      <c r="X2735" s="114" t="str">
        <f t="shared" si="55"/>
        <v>1w</v>
      </c>
      <c r="Y2735" s="112">
        <f>_xll.qlCalendarAdvance(Calendar,Y2734,X2735,"f",FALSE)</f>
        <v>58362</v>
      </c>
      <c r="Z2735" s="115">
        <f>_xll.qlCalendarAdvance(Calendar,Y2735,NDays&amp;"D")</f>
        <v>58362</v>
      </c>
      <c r="AA2735" s="116" t="e">
        <v>#N/A</v>
      </c>
      <c r="AB2735" s="113" t="e">
        <v>#N/A</v>
      </c>
    </row>
    <row r="2736" spans="17:28" x14ac:dyDescent="0.2">
      <c r="Q2736" s="72"/>
      <c r="T2736" s="72"/>
      <c r="U2736" s="93"/>
      <c r="X2736" s="114" t="str">
        <f t="shared" si="55"/>
        <v>1w</v>
      </c>
      <c r="Y2736" s="112">
        <f>_xll.qlCalendarAdvance(Calendar,Y2735,X2736,"f",FALSE)</f>
        <v>58369</v>
      </c>
      <c r="Z2736" s="115">
        <f>_xll.qlCalendarAdvance(Calendar,Y2736,NDays&amp;"D")</f>
        <v>58369</v>
      </c>
      <c r="AA2736" s="116" t="e">
        <v>#N/A</v>
      </c>
      <c r="AB2736" s="113" t="e">
        <v>#N/A</v>
      </c>
    </row>
    <row r="2737" spans="17:28" x14ac:dyDescent="0.2">
      <c r="Q2737" s="72"/>
      <c r="T2737" s="72"/>
      <c r="U2737" s="93"/>
      <c r="X2737" s="114" t="str">
        <f t="shared" si="55"/>
        <v>1w</v>
      </c>
      <c r="Y2737" s="112">
        <f>_xll.qlCalendarAdvance(Calendar,Y2736,X2737,"f",FALSE)</f>
        <v>58376</v>
      </c>
      <c r="Z2737" s="115">
        <f>_xll.qlCalendarAdvance(Calendar,Y2737,NDays&amp;"D")</f>
        <v>58376</v>
      </c>
      <c r="AA2737" s="116" t="e">
        <v>#N/A</v>
      </c>
      <c r="AB2737" s="113" t="e">
        <v>#N/A</v>
      </c>
    </row>
    <row r="2738" spans="17:28" x14ac:dyDescent="0.2">
      <c r="Q2738" s="72"/>
      <c r="T2738" s="72"/>
      <c r="U2738" s="93"/>
      <c r="X2738" s="114" t="str">
        <f t="shared" si="55"/>
        <v>1w</v>
      </c>
      <c r="Y2738" s="112">
        <f>_xll.qlCalendarAdvance(Calendar,Y2737,X2738,"f",FALSE)</f>
        <v>58383</v>
      </c>
      <c r="Z2738" s="115">
        <f>_xll.qlCalendarAdvance(Calendar,Y2738,NDays&amp;"D")</f>
        <v>58383</v>
      </c>
      <c r="AA2738" s="116" t="e">
        <v>#N/A</v>
      </c>
      <c r="AB2738" s="113" t="e">
        <v>#N/A</v>
      </c>
    </row>
    <row r="2739" spans="17:28" x14ac:dyDescent="0.2">
      <c r="Q2739" s="72"/>
      <c r="T2739" s="72"/>
      <c r="U2739" s="93"/>
      <c r="X2739" s="114" t="str">
        <f t="shared" si="55"/>
        <v>1w</v>
      </c>
      <c r="Y2739" s="112">
        <f>_xll.qlCalendarAdvance(Calendar,Y2738,X2739,"f",FALSE)</f>
        <v>58390</v>
      </c>
      <c r="Z2739" s="115">
        <f>_xll.qlCalendarAdvance(Calendar,Y2739,NDays&amp;"D")</f>
        <v>58390</v>
      </c>
      <c r="AA2739" s="116" t="e">
        <v>#N/A</v>
      </c>
      <c r="AB2739" s="113" t="e">
        <v>#N/A</v>
      </c>
    </row>
    <row r="2740" spans="17:28" x14ac:dyDescent="0.2">
      <c r="Q2740" s="72"/>
      <c r="T2740" s="72"/>
      <c r="U2740" s="93"/>
      <c r="X2740" s="114" t="str">
        <f t="shared" si="55"/>
        <v>1w</v>
      </c>
      <c r="Y2740" s="112">
        <f>_xll.qlCalendarAdvance(Calendar,Y2739,X2740,"f",FALSE)</f>
        <v>58397</v>
      </c>
      <c r="Z2740" s="115">
        <f>_xll.qlCalendarAdvance(Calendar,Y2740,NDays&amp;"D")</f>
        <v>58397</v>
      </c>
      <c r="AA2740" s="116" t="e">
        <v>#N/A</v>
      </c>
      <c r="AB2740" s="113" t="e">
        <v>#N/A</v>
      </c>
    </row>
    <row r="2741" spans="17:28" x14ac:dyDescent="0.2">
      <c r="Q2741" s="72"/>
      <c r="T2741" s="72"/>
      <c r="U2741" s="93"/>
      <c r="X2741" s="114" t="str">
        <f t="shared" si="55"/>
        <v>1w</v>
      </c>
      <c r="Y2741" s="112">
        <f>_xll.qlCalendarAdvance(Calendar,Y2740,X2741,"f",FALSE)</f>
        <v>58404</v>
      </c>
      <c r="Z2741" s="115">
        <f>_xll.qlCalendarAdvance(Calendar,Y2741,NDays&amp;"D")</f>
        <v>58404</v>
      </c>
      <c r="AA2741" s="116" t="e">
        <v>#N/A</v>
      </c>
      <c r="AB2741" s="113" t="e">
        <v>#N/A</v>
      </c>
    </row>
    <row r="2742" spans="17:28" x14ac:dyDescent="0.2">
      <c r="Q2742" s="72"/>
      <c r="T2742" s="72"/>
      <c r="U2742" s="93"/>
      <c r="X2742" s="114" t="str">
        <f t="shared" si="55"/>
        <v>1w</v>
      </c>
      <c r="Y2742" s="112">
        <f>_xll.qlCalendarAdvance(Calendar,Y2741,X2742,"f",FALSE)</f>
        <v>58411</v>
      </c>
      <c r="Z2742" s="115">
        <f>_xll.qlCalendarAdvance(Calendar,Y2742,NDays&amp;"D")</f>
        <v>58411</v>
      </c>
      <c r="AA2742" s="116" t="e">
        <v>#N/A</v>
      </c>
      <c r="AB2742" s="113" t="e">
        <v>#N/A</v>
      </c>
    </row>
    <row r="2743" spans="17:28" x14ac:dyDescent="0.2">
      <c r="Q2743" s="72"/>
      <c r="T2743" s="72"/>
      <c r="U2743" s="93"/>
      <c r="X2743" s="114" t="str">
        <f t="shared" si="55"/>
        <v>1w</v>
      </c>
      <c r="Y2743" s="112">
        <f>_xll.qlCalendarAdvance(Calendar,Y2742,X2743,"f",FALSE)</f>
        <v>58418</v>
      </c>
      <c r="Z2743" s="115">
        <f>_xll.qlCalendarAdvance(Calendar,Y2743,NDays&amp;"D")</f>
        <v>58418</v>
      </c>
      <c r="AA2743" s="116" t="e">
        <v>#N/A</v>
      </c>
      <c r="AB2743" s="113" t="e">
        <v>#N/A</v>
      </c>
    </row>
    <row r="2744" spans="17:28" x14ac:dyDescent="0.2">
      <c r="Q2744" s="72"/>
      <c r="T2744" s="72"/>
      <c r="U2744" s="93"/>
      <c r="X2744" s="114" t="str">
        <f t="shared" si="55"/>
        <v>1w</v>
      </c>
      <c r="Y2744" s="112">
        <f>_xll.qlCalendarAdvance(Calendar,Y2743,X2744,"f",FALSE)</f>
        <v>58425</v>
      </c>
      <c r="Z2744" s="115">
        <f>_xll.qlCalendarAdvance(Calendar,Y2744,NDays&amp;"D")</f>
        <v>58425</v>
      </c>
      <c r="AA2744" s="116" t="e">
        <v>#N/A</v>
      </c>
      <c r="AB2744" s="113" t="e">
        <v>#N/A</v>
      </c>
    </row>
    <row r="2745" spans="17:28" x14ac:dyDescent="0.2">
      <c r="Q2745" s="72"/>
      <c r="T2745" s="72"/>
      <c r="U2745" s="93"/>
      <c r="X2745" s="114" t="str">
        <f t="shared" si="55"/>
        <v>1w</v>
      </c>
      <c r="Y2745" s="112">
        <f>_xll.qlCalendarAdvance(Calendar,Y2744,X2745,"f",FALSE)</f>
        <v>58432</v>
      </c>
      <c r="Z2745" s="115">
        <f>_xll.qlCalendarAdvance(Calendar,Y2745,NDays&amp;"D")</f>
        <v>58432</v>
      </c>
      <c r="AA2745" s="116" t="e">
        <v>#N/A</v>
      </c>
      <c r="AB2745" s="113" t="e">
        <v>#N/A</v>
      </c>
    </row>
    <row r="2746" spans="17:28" x14ac:dyDescent="0.2">
      <c r="Q2746" s="72"/>
      <c r="T2746" s="72"/>
      <c r="U2746" s="93"/>
      <c r="X2746" s="114" t="str">
        <f t="shared" si="55"/>
        <v>1w</v>
      </c>
      <c r="Y2746" s="112">
        <f>_xll.qlCalendarAdvance(Calendar,Y2745,X2746,"f",FALSE)</f>
        <v>58439</v>
      </c>
      <c r="Z2746" s="115">
        <f>_xll.qlCalendarAdvance(Calendar,Y2746,NDays&amp;"D")</f>
        <v>58439</v>
      </c>
      <c r="AA2746" s="116" t="e">
        <v>#N/A</v>
      </c>
      <c r="AB2746" s="113" t="e">
        <v>#N/A</v>
      </c>
    </row>
    <row r="2747" spans="17:28" x14ac:dyDescent="0.2">
      <c r="Q2747" s="72"/>
      <c r="T2747" s="72"/>
      <c r="U2747" s="93"/>
      <c r="X2747" s="114" t="str">
        <f t="shared" si="55"/>
        <v>1w</v>
      </c>
      <c r="Y2747" s="112">
        <f>_xll.qlCalendarAdvance(Calendar,Y2746,X2747,"f",FALSE)</f>
        <v>58446</v>
      </c>
      <c r="Z2747" s="115">
        <f>_xll.qlCalendarAdvance(Calendar,Y2747,NDays&amp;"D")</f>
        <v>58446</v>
      </c>
      <c r="AA2747" s="116" t="e">
        <v>#N/A</v>
      </c>
      <c r="AB2747" s="113" t="e">
        <v>#N/A</v>
      </c>
    </row>
    <row r="2748" spans="17:28" x14ac:dyDescent="0.2">
      <c r="Q2748" s="72"/>
      <c r="T2748" s="72"/>
      <c r="U2748" s="93"/>
      <c r="X2748" s="114" t="str">
        <f t="shared" si="55"/>
        <v>1w</v>
      </c>
      <c r="Y2748" s="112">
        <f>_xll.qlCalendarAdvance(Calendar,Y2747,X2748,"f",FALSE)</f>
        <v>58453</v>
      </c>
      <c r="Z2748" s="115">
        <f>_xll.qlCalendarAdvance(Calendar,Y2748,NDays&amp;"D")</f>
        <v>58453</v>
      </c>
      <c r="AA2748" s="116" t="e">
        <v>#N/A</v>
      </c>
      <c r="AB2748" s="113" t="e">
        <v>#N/A</v>
      </c>
    </row>
    <row r="2749" spans="17:28" x14ac:dyDescent="0.2">
      <c r="Q2749" s="72"/>
      <c r="T2749" s="72"/>
      <c r="U2749" s="93"/>
      <c r="X2749" s="114" t="str">
        <f t="shared" si="55"/>
        <v>1w</v>
      </c>
      <c r="Y2749" s="112">
        <f>_xll.qlCalendarAdvance(Calendar,Y2748,X2749,"f",FALSE)</f>
        <v>58460</v>
      </c>
      <c r="Z2749" s="115">
        <f>_xll.qlCalendarAdvance(Calendar,Y2749,NDays&amp;"D")</f>
        <v>58460</v>
      </c>
      <c r="AA2749" s="116" t="e">
        <v>#N/A</v>
      </c>
      <c r="AB2749" s="113" t="e">
        <v>#N/A</v>
      </c>
    </row>
    <row r="2750" spans="17:28" x14ac:dyDescent="0.2">
      <c r="Q2750" s="72"/>
      <c r="T2750" s="72"/>
      <c r="U2750" s="93"/>
      <c r="X2750" s="114" t="str">
        <f t="shared" si="55"/>
        <v>1w</v>
      </c>
      <c r="Y2750" s="112">
        <f>_xll.qlCalendarAdvance(Calendar,Y2749,X2750,"f",FALSE)</f>
        <v>58467</v>
      </c>
      <c r="Z2750" s="115">
        <f>_xll.qlCalendarAdvance(Calendar,Y2750,NDays&amp;"D")</f>
        <v>58467</v>
      </c>
      <c r="AA2750" s="116" t="e">
        <v>#N/A</v>
      </c>
      <c r="AB2750" s="113" t="e">
        <v>#N/A</v>
      </c>
    </row>
    <row r="2751" spans="17:28" x14ac:dyDescent="0.2">
      <c r="Q2751" s="72"/>
      <c r="T2751" s="72"/>
      <c r="U2751" s="93"/>
      <c r="X2751" s="114" t="str">
        <f t="shared" si="55"/>
        <v>1w</v>
      </c>
      <c r="Y2751" s="112">
        <f>_xll.qlCalendarAdvance(Calendar,Y2750,X2751,"f",FALSE)</f>
        <v>58474</v>
      </c>
      <c r="Z2751" s="115">
        <f>_xll.qlCalendarAdvance(Calendar,Y2751,NDays&amp;"D")</f>
        <v>58474</v>
      </c>
      <c r="AA2751" s="116" t="e">
        <v>#N/A</v>
      </c>
      <c r="AB2751" s="113" t="e">
        <v>#N/A</v>
      </c>
    </row>
    <row r="2752" spans="17:28" x14ac:dyDescent="0.2">
      <c r="Q2752" s="72"/>
      <c r="T2752" s="72"/>
      <c r="U2752" s="93"/>
      <c r="X2752" s="114" t="str">
        <f t="shared" si="55"/>
        <v>1w</v>
      </c>
      <c r="Y2752" s="112">
        <f>_xll.qlCalendarAdvance(Calendar,Y2751,X2752,"f",FALSE)</f>
        <v>58481</v>
      </c>
      <c r="Z2752" s="115">
        <f>_xll.qlCalendarAdvance(Calendar,Y2752,NDays&amp;"D")</f>
        <v>58481</v>
      </c>
      <c r="AA2752" s="116" t="e">
        <v>#N/A</v>
      </c>
      <c r="AB2752" s="113" t="e">
        <v>#N/A</v>
      </c>
    </row>
    <row r="2753" spans="17:28" x14ac:dyDescent="0.2">
      <c r="Q2753" s="72"/>
      <c r="T2753" s="72"/>
      <c r="U2753" s="93"/>
      <c r="X2753" s="114" t="str">
        <f t="shared" si="55"/>
        <v>1w</v>
      </c>
      <c r="Y2753" s="112">
        <f>_xll.qlCalendarAdvance(Calendar,Y2752,X2753,"f",FALSE)</f>
        <v>58488</v>
      </c>
      <c r="Z2753" s="115">
        <f>_xll.qlCalendarAdvance(Calendar,Y2753,NDays&amp;"D")</f>
        <v>58488</v>
      </c>
      <c r="AA2753" s="116" t="e">
        <v>#N/A</v>
      </c>
      <c r="AB2753" s="113" t="e">
        <v>#N/A</v>
      </c>
    </row>
    <row r="2754" spans="17:28" x14ac:dyDescent="0.2">
      <c r="Q2754" s="72"/>
      <c r="T2754" s="72"/>
      <c r="U2754" s="93"/>
      <c r="X2754" s="114" t="str">
        <f t="shared" si="55"/>
        <v>1w</v>
      </c>
      <c r="Y2754" s="112">
        <f>_xll.qlCalendarAdvance(Calendar,Y2753,X2754,"f",FALSE)</f>
        <v>58495</v>
      </c>
      <c r="Z2754" s="115">
        <f>_xll.qlCalendarAdvance(Calendar,Y2754,NDays&amp;"D")</f>
        <v>58495</v>
      </c>
      <c r="AA2754" s="116" t="e">
        <v>#N/A</v>
      </c>
      <c r="AB2754" s="113" t="e">
        <v>#N/A</v>
      </c>
    </row>
    <row r="2755" spans="17:28" x14ac:dyDescent="0.2">
      <c r="Q2755" s="72"/>
      <c r="T2755" s="72"/>
      <c r="U2755" s="93"/>
      <c r="X2755" s="114" t="str">
        <f t="shared" si="55"/>
        <v>1w</v>
      </c>
      <c r="Y2755" s="112">
        <f>_xll.qlCalendarAdvance(Calendar,Y2754,X2755,"f",FALSE)</f>
        <v>58502</v>
      </c>
      <c r="Z2755" s="115">
        <f>_xll.qlCalendarAdvance(Calendar,Y2755,NDays&amp;"D")</f>
        <v>58502</v>
      </c>
      <c r="AA2755" s="116" t="e">
        <v>#N/A</v>
      </c>
      <c r="AB2755" s="113" t="e">
        <v>#N/A</v>
      </c>
    </row>
    <row r="2756" spans="17:28" x14ac:dyDescent="0.2">
      <c r="Q2756" s="72"/>
      <c r="T2756" s="72"/>
      <c r="U2756" s="93"/>
      <c r="X2756" s="114" t="str">
        <f t="shared" si="55"/>
        <v>1w</v>
      </c>
      <c r="Y2756" s="112">
        <f>_xll.qlCalendarAdvance(Calendar,Y2755,X2756,"f",FALSE)</f>
        <v>58509</v>
      </c>
      <c r="Z2756" s="115">
        <f>_xll.qlCalendarAdvance(Calendar,Y2756,NDays&amp;"D")</f>
        <v>58509</v>
      </c>
      <c r="AA2756" s="116" t="e">
        <v>#N/A</v>
      </c>
      <c r="AB2756" s="113" t="e">
        <v>#N/A</v>
      </c>
    </row>
    <row r="2757" spans="17:28" x14ac:dyDescent="0.2">
      <c r="Q2757" s="72"/>
      <c r="T2757" s="72"/>
      <c r="U2757" s="93"/>
      <c r="X2757" s="114" t="str">
        <f t="shared" si="55"/>
        <v>1w</v>
      </c>
      <c r="Y2757" s="112">
        <f>_xll.qlCalendarAdvance(Calendar,Y2756,X2757,"f",FALSE)</f>
        <v>58516</v>
      </c>
      <c r="Z2757" s="115">
        <f>_xll.qlCalendarAdvance(Calendar,Y2757,NDays&amp;"D")</f>
        <v>58516</v>
      </c>
      <c r="AA2757" s="116" t="e">
        <v>#N/A</v>
      </c>
      <c r="AB2757" s="113" t="e">
        <v>#N/A</v>
      </c>
    </row>
    <row r="2758" spans="17:28" x14ac:dyDescent="0.2">
      <c r="Q2758" s="72"/>
      <c r="T2758" s="72"/>
      <c r="U2758" s="93"/>
      <c r="X2758" s="114" t="str">
        <f t="shared" si="55"/>
        <v>1w</v>
      </c>
      <c r="Y2758" s="112">
        <f>_xll.qlCalendarAdvance(Calendar,Y2757,X2758,"f",FALSE)</f>
        <v>58523</v>
      </c>
      <c r="Z2758" s="115">
        <f>_xll.qlCalendarAdvance(Calendar,Y2758,NDays&amp;"D")</f>
        <v>58523</v>
      </c>
      <c r="AA2758" s="116" t="e">
        <v>#N/A</v>
      </c>
      <c r="AB2758" s="113" t="e">
        <v>#N/A</v>
      </c>
    </row>
    <row r="2759" spans="17:28" x14ac:dyDescent="0.2">
      <c r="Q2759" s="72"/>
      <c r="T2759" s="72"/>
      <c r="U2759" s="93"/>
      <c r="X2759" s="114" t="str">
        <f t="shared" si="55"/>
        <v>1w</v>
      </c>
      <c r="Y2759" s="112">
        <f>_xll.qlCalendarAdvance(Calendar,Y2758,X2759,"f",FALSE)</f>
        <v>58530</v>
      </c>
      <c r="Z2759" s="115">
        <f>_xll.qlCalendarAdvance(Calendar,Y2759,NDays&amp;"D")</f>
        <v>58530</v>
      </c>
      <c r="AA2759" s="116" t="e">
        <v>#N/A</v>
      </c>
      <c r="AB2759" s="113" t="e">
        <v>#N/A</v>
      </c>
    </row>
    <row r="2760" spans="17:28" x14ac:dyDescent="0.2">
      <c r="Q2760" s="72"/>
      <c r="T2760" s="72"/>
      <c r="U2760" s="93"/>
      <c r="X2760" s="114" t="str">
        <f t="shared" si="55"/>
        <v>1w</v>
      </c>
      <c r="Y2760" s="112">
        <f>_xll.qlCalendarAdvance(Calendar,Y2759,X2760,"f",FALSE)</f>
        <v>58537</v>
      </c>
      <c r="Z2760" s="115">
        <f>_xll.qlCalendarAdvance(Calendar,Y2760,NDays&amp;"D")</f>
        <v>58537</v>
      </c>
      <c r="AA2760" s="116" t="e">
        <v>#N/A</v>
      </c>
      <c r="AB2760" s="113" t="e">
        <v>#N/A</v>
      </c>
    </row>
    <row r="2761" spans="17:28" x14ac:dyDescent="0.2">
      <c r="Q2761" s="72"/>
      <c r="T2761" s="72"/>
      <c r="U2761" s="93"/>
      <c r="X2761" s="114" t="str">
        <f t="shared" si="55"/>
        <v>1w</v>
      </c>
      <c r="Y2761" s="112">
        <f>_xll.qlCalendarAdvance(Calendar,Y2760,X2761,"f",FALSE)</f>
        <v>58544</v>
      </c>
      <c r="Z2761" s="115">
        <f>_xll.qlCalendarAdvance(Calendar,Y2761,NDays&amp;"D")</f>
        <v>58544</v>
      </c>
      <c r="AA2761" s="116" t="e">
        <v>#N/A</v>
      </c>
      <c r="AB2761" s="113" t="e">
        <v>#N/A</v>
      </c>
    </row>
    <row r="2762" spans="17:28" x14ac:dyDescent="0.2">
      <c r="Q2762" s="72"/>
      <c r="T2762" s="72"/>
      <c r="U2762" s="93"/>
      <c r="X2762" s="114" t="str">
        <f t="shared" si="55"/>
        <v>1w</v>
      </c>
      <c r="Y2762" s="112">
        <f>_xll.qlCalendarAdvance(Calendar,Y2761,X2762,"f",FALSE)</f>
        <v>58551</v>
      </c>
      <c r="Z2762" s="115">
        <f>_xll.qlCalendarAdvance(Calendar,Y2762,NDays&amp;"D")</f>
        <v>58551</v>
      </c>
      <c r="AA2762" s="116" t="e">
        <v>#N/A</v>
      </c>
      <c r="AB2762" s="113" t="e">
        <v>#N/A</v>
      </c>
    </row>
    <row r="2763" spans="17:28" x14ac:dyDescent="0.2">
      <c r="Q2763" s="72"/>
      <c r="T2763" s="72"/>
      <c r="U2763" s="93"/>
      <c r="X2763" s="114" t="str">
        <f t="shared" si="55"/>
        <v>1w</v>
      </c>
      <c r="Y2763" s="112">
        <f>_xll.qlCalendarAdvance(Calendar,Y2762,X2763,"f",FALSE)</f>
        <v>58558</v>
      </c>
      <c r="Z2763" s="115">
        <f>_xll.qlCalendarAdvance(Calendar,Y2763,NDays&amp;"D")</f>
        <v>58558</v>
      </c>
      <c r="AA2763" s="116" t="e">
        <v>#N/A</v>
      </c>
      <c r="AB2763" s="113" t="e">
        <v>#N/A</v>
      </c>
    </row>
    <row r="2764" spans="17:28" x14ac:dyDescent="0.2">
      <c r="Q2764" s="72"/>
      <c r="T2764" s="72"/>
      <c r="U2764" s="93"/>
      <c r="X2764" s="114" t="str">
        <f t="shared" si="55"/>
        <v>1w</v>
      </c>
      <c r="Y2764" s="112">
        <f>_xll.qlCalendarAdvance(Calendar,Y2763,X2764,"f",FALSE)</f>
        <v>58565</v>
      </c>
      <c r="Z2764" s="115">
        <f>_xll.qlCalendarAdvance(Calendar,Y2764,NDays&amp;"D")</f>
        <v>58565</v>
      </c>
      <c r="AA2764" s="116" t="e">
        <v>#N/A</v>
      </c>
      <c r="AB2764" s="113" t="e">
        <v>#N/A</v>
      </c>
    </row>
    <row r="2765" spans="17:28" x14ac:dyDescent="0.2">
      <c r="Q2765" s="72"/>
      <c r="T2765" s="72"/>
      <c r="U2765" s="93"/>
      <c r="X2765" s="114" t="str">
        <f t="shared" si="55"/>
        <v>1w</v>
      </c>
      <c r="Y2765" s="112">
        <f>_xll.qlCalendarAdvance(Calendar,Y2764,X2765,"f",FALSE)</f>
        <v>58572</v>
      </c>
      <c r="Z2765" s="115">
        <f>_xll.qlCalendarAdvance(Calendar,Y2765,NDays&amp;"D")</f>
        <v>58572</v>
      </c>
      <c r="AA2765" s="116" t="e">
        <v>#N/A</v>
      </c>
      <c r="AB2765" s="113" t="e">
        <v>#N/A</v>
      </c>
    </row>
    <row r="2766" spans="17:28" x14ac:dyDescent="0.2">
      <c r="Q2766" s="72"/>
      <c r="T2766" s="72"/>
      <c r="U2766" s="93"/>
      <c r="X2766" s="114" t="str">
        <f t="shared" si="55"/>
        <v>1w</v>
      </c>
      <c r="Y2766" s="112">
        <f>_xll.qlCalendarAdvance(Calendar,Y2765,X2766,"f",FALSE)</f>
        <v>58579</v>
      </c>
      <c r="Z2766" s="115">
        <f>_xll.qlCalendarAdvance(Calendar,Y2766,NDays&amp;"D")</f>
        <v>58579</v>
      </c>
      <c r="AA2766" s="116" t="e">
        <v>#N/A</v>
      </c>
      <c r="AB2766" s="113" t="e">
        <v>#N/A</v>
      </c>
    </row>
    <row r="2767" spans="17:28" x14ac:dyDescent="0.2">
      <c r="Q2767" s="72"/>
      <c r="T2767" s="72"/>
      <c r="U2767" s="93"/>
      <c r="X2767" s="114" t="str">
        <f t="shared" si="55"/>
        <v>1w</v>
      </c>
      <c r="Y2767" s="112">
        <f>_xll.qlCalendarAdvance(Calendar,Y2766,X2767,"f",FALSE)</f>
        <v>58586</v>
      </c>
      <c r="Z2767" s="115">
        <f>_xll.qlCalendarAdvance(Calendar,Y2767,NDays&amp;"D")</f>
        <v>58586</v>
      </c>
      <c r="AA2767" s="116" t="e">
        <v>#N/A</v>
      </c>
      <c r="AB2767" s="113" t="e">
        <v>#N/A</v>
      </c>
    </row>
    <row r="2768" spans="17:28" x14ac:dyDescent="0.2">
      <c r="Q2768" s="72"/>
      <c r="T2768" s="72"/>
      <c r="U2768" s="93"/>
      <c r="X2768" s="114" t="str">
        <f t="shared" si="55"/>
        <v>1w</v>
      </c>
      <c r="Y2768" s="112">
        <f>_xll.qlCalendarAdvance(Calendar,Y2767,X2768,"f",FALSE)</f>
        <v>58593</v>
      </c>
      <c r="Z2768" s="115">
        <f>_xll.qlCalendarAdvance(Calendar,Y2768,NDays&amp;"D")</f>
        <v>58593</v>
      </c>
      <c r="AA2768" s="116" t="e">
        <v>#N/A</v>
      </c>
      <c r="AB2768" s="113" t="e">
        <v>#N/A</v>
      </c>
    </row>
    <row r="2769" spans="17:28" x14ac:dyDescent="0.2">
      <c r="Q2769" s="72"/>
      <c r="T2769" s="72"/>
      <c r="U2769" s="93"/>
      <c r="X2769" s="114" t="str">
        <f t="shared" si="55"/>
        <v>1w</v>
      </c>
      <c r="Y2769" s="112">
        <f>_xll.qlCalendarAdvance(Calendar,Y2768,X2769,"f",FALSE)</f>
        <v>58600</v>
      </c>
      <c r="Z2769" s="115">
        <f>_xll.qlCalendarAdvance(Calendar,Y2769,NDays&amp;"D")</f>
        <v>58600</v>
      </c>
      <c r="AA2769" s="116" t="e">
        <v>#N/A</v>
      </c>
      <c r="AB2769" s="113" t="e">
        <v>#N/A</v>
      </c>
    </row>
    <row r="2770" spans="17:28" x14ac:dyDescent="0.2">
      <c r="Q2770" s="72"/>
      <c r="T2770" s="72"/>
      <c r="U2770" s="93"/>
      <c r="X2770" s="114" t="str">
        <f t="shared" si="55"/>
        <v>1w</v>
      </c>
      <c r="Y2770" s="112">
        <f>_xll.qlCalendarAdvance(Calendar,Y2769,X2770,"f",FALSE)</f>
        <v>58607</v>
      </c>
      <c r="Z2770" s="115">
        <f>_xll.qlCalendarAdvance(Calendar,Y2770,NDays&amp;"D")</f>
        <v>58607</v>
      </c>
      <c r="AA2770" s="116" t="e">
        <v>#N/A</v>
      </c>
      <c r="AB2770" s="113" t="e">
        <v>#N/A</v>
      </c>
    </row>
    <row r="2771" spans="17:28" x14ac:dyDescent="0.2">
      <c r="Q2771" s="72"/>
      <c r="T2771" s="72"/>
      <c r="U2771" s="93"/>
      <c r="X2771" s="114" t="str">
        <f t="shared" si="55"/>
        <v>1w</v>
      </c>
      <c r="Y2771" s="112">
        <f>_xll.qlCalendarAdvance(Calendar,Y2770,X2771,"f",FALSE)</f>
        <v>58614</v>
      </c>
      <c r="Z2771" s="115">
        <f>_xll.qlCalendarAdvance(Calendar,Y2771,NDays&amp;"D")</f>
        <v>58614</v>
      </c>
      <c r="AA2771" s="116" t="e">
        <v>#N/A</v>
      </c>
      <c r="AB2771" s="113" t="e">
        <v>#N/A</v>
      </c>
    </row>
    <row r="2772" spans="17:28" x14ac:dyDescent="0.2">
      <c r="Q2772" s="72"/>
      <c r="T2772" s="72"/>
      <c r="U2772" s="93"/>
      <c r="X2772" s="114" t="str">
        <f t="shared" si="55"/>
        <v>1w</v>
      </c>
      <c r="Y2772" s="112">
        <f>_xll.qlCalendarAdvance(Calendar,Y2771,X2772,"f",FALSE)</f>
        <v>58621</v>
      </c>
      <c r="Z2772" s="115">
        <f>_xll.qlCalendarAdvance(Calendar,Y2772,NDays&amp;"D")</f>
        <v>58621</v>
      </c>
      <c r="AA2772" s="116" t="e">
        <v>#N/A</v>
      </c>
      <c r="AB2772" s="113" t="e">
        <v>#N/A</v>
      </c>
    </row>
    <row r="2773" spans="17:28" x14ac:dyDescent="0.2">
      <c r="Q2773" s="72"/>
      <c r="T2773" s="72"/>
      <c r="U2773" s="93"/>
      <c r="X2773" s="114" t="str">
        <f t="shared" ref="X2773:X2836" si="56">X2772</f>
        <v>1w</v>
      </c>
      <c r="Y2773" s="112">
        <f>_xll.qlCalendarAdvance(Calendar,Y2772,X2773,"f",FALSE)</f>
        <v>58628</v>
      </c>
      <c r="Z2773" s="115">
        <f>_xll.qlCalendarAdvance(Calendar,Y2773,NDays&amp;"D")</f>
        <v>58628</v>
      </c>
      <c r="AA2773" s="116" t="e">
        <v>#N/A</v>
      </c>
      <c r="AB2773" s="113" t="e">
        <v>#N/A</v>
      </c>
    </row>
    <row r="2774" spans="17:28" x14ac:dyDescent="0.2">
      <c r="Q2774" s="72"/>
      <c r="T2774" s="72"/>
      <c r="U2774" s="93"/>
      <c r="X2774" s="114" t="str">
        <f t="shared" si="56"/>
        <v>1w</v>
      </c>
      <c r="Y2774" s="112">
        <f>_xll.qlCalendarAdvance(Calendar,Y2773,X2774,"f",FALSE)</f>
        <v>58635</v>
      </c>
      <c r="Z2774" s="115">
        <f>_xll.qlCalendarAdvance(Calendar,Y2774,NDays&amp;"D")</f>
        <v>58635</v>
      </c>
      <c r="AA2774" s="116" t="e">
        <v>#N/A</v>
      </c>
      <c r="AB2774" s="113" t="e">
        <v>#N/A</v>
      </c>
    </row>
    <row r="2775" spans="17:28" x14ac:dyDescent="0.2">
      <c r="Q2775" s="72"/>
      <c r="T2775" s="72"/>
      <c r="U2775" s="93"/>
      <c r="X2775" s="114" t="str">
        <f t="shared" si="56"/>
        <v>1w</v>
      </c>
      <c r="Y2775" s="112">
        <f>_xll.qlCalendarAdvance(Calendar,Y2774,X2775,"f",FALSE)</f>
        <v>58642</v>
      </c>
      <c r="Z2775" s="115">
        <f>_xll.qlCalendarAdvance(Calendar,Y2775,NDays&amp;"D")</f>
        <v>58642</v>
      </c>
      <c r="AA2775" s="116" t="e">
        <v>#N/A</v>
      </c>
      <c r="AB2775" s="113" t="e">
        <v>#N/A</v>
      </c>
    </row>
    <row r="2776" spans="17:28" x14ac:dyDescent="0.2">
      <c r="Q2776" s="72"/>
      <c r="T2776" s="72"/>
      <c r="U2776" s="93"/>
      <c r="X2776" s="114" t="str">
        <f t="shared" si="56"/>
        <v>1w</v>
      </c>
      <c r="Y2776" s="112">
        <f>_xll.qlCalendarAdvance(Calendar,Y2775,X2776,"f",FALSE)</f>
        <v>58649</v>
      </c>
      <c r="Z2776" s="115">
        <f>_xll.qlCalendarAdvance(Calendar,Y2776,NDays&amp;"D")</f>
        <v>58649</v>
      </c>
      <c r="AA2776" s="116" t="e">
        <v>#N/A</v>
      </c>
      <c r="AB2776" s="113" t="e">
        <v>#N/A</v>
      </c>
    </row>
    <row r="2777" spans="17:28" x14ac:dyDescent="0.2">
      <c r="Q2777" s="72"/>
      <c r="T2777" s="72"/>
      <c r="U2777" s="93"/>
      <c r="X2777" s="114" t="str">
        <f t="shared" si="56"/>
        <v>1w</v>
      </c>
      <c r="Y2777" s="112">
        <f>_xll.qlCalendarAdvance(Calendar,Y2776,X2777,"f",FALSE)</f>
        <v>58656</v>
      </c>
      <c r="Z2777" s="115">
        <f>_xll.qlCalendarAdvance(Calendar,Y2777,NDays&amp;"D")</f>
        <v>58656</v>
      </c>
      <c r="AA2777" s="116" t="e">
        <v>#N/A</v>
      </c>
      <c r="AB2777" s="113" t="e">
        <v>#N/A</v>
      </c>
    </row>
    <row r="2778" spans="17:28" x14ac:dyDescent="0.2">
      <c r="Q2778" s="72"/>
      <c r="T2778" s="72"/>
      <c r="U2778" s="93"/>
      <c r="X2778" s="114" t="str">
        <f t="shared" si="56"/>
        <v>1w</v>
      </c>
      <c r="Y2778" s="112">
        <f>_xll.qlCalendarAdvance(Calendar,Y2777,X2778,"f",FALSE)</f>
        <v>58663</v>
      </c>
      <c r="Z2778" s="115">
        <f>_xll.qlCalendarAdvance(Calendar,Y2778,NDays&amp;"D")</f>
        <v>58663</v>
      </c>
      <c r="AA2778" s="116" t="e">
        <v>#N/A</v>
      </c>
      <c r="AB2778" s="113" t="e">
        <v>#N/A</v>
      </c>
    </row>
    <row r="2779" spans="17:28" x14ac:dyDescent="0.2">
      <c r="Q2779" s="72"/>
      <c r="T2779" s="72"/>
      <c r="U2779" s="93"/>
      <c r="X2779" s="114" t="str">
        <f t="shared" si="56"/>
        <v>1w</v>
      </c>
      <c r="Y2779" s="112">
        <f>_xll.qlCalendarAdvance(Calendar,Y2778,X2779,"f",FALSE)</f>
        <v>58670</v>
      </c>
      <c r="Z2779" s="115">
        <f>_xll.qlCalendarAdvance(Calendar,Y2779,NDays&amp;"D")</f>
        <v>58670</v>
      </c>
      <c r="AA2779" s="116" t="e">
        <v>#N/A</v>
      </c>
      <c r="AB2779" s="113" t="e">
        <v>#N/A</v>
      </c>
    </row>
    <row r="2780" spans="17:28" x14ac:dyDescent="0.2">
      <c r="Q2780" s="72"/>
      <c r="T2780" s="72"/>
      <c r="U2780" s="93"/>
      <c r="X2780" s="114" t="str">
        <f t="shared" si="56"/>
        <v>1w</v>
      </c>
      <c r="Y2780" s="112">
        <f>_xll.qlCalendarAdvance(Calendar,Y2779,X2780,"f",FALSE)</f>
        <v>58677</v>
      </c>
      <c r="Z2780" s="115">
        <f>_xll.qlCalendarAdvance(Calendar,Y2780,NDays&amp;"D")</f>
        <v>58677</v>
      </c>
      <c r="AA2780" s="116" t="e">
        <v>#N/A</v>
      </c>
      <c r="AB2780" s="113" t="e">
        <v>#N/A</v>
      </c>
    </row>
    <row r="2781" spans="17:28" x14ac:dyDescent="0.2">
      <c r="Q2781" s="72"/>
      <c r="T2781" s="72"/>
      <c r="U2781" s="93"/>
      <c r="X2781" s="114" t="str">
        <f t="shared" si="56"/>
        <v>1w</v>
      </c>
      <c r="Y2781" s="112">
        <f>_xll.qlCalendarAdvance(Calendar,Y2780,X2781,"f",FALSE)</f>
        <v>58684</v>
      </c>
      <c r="Z2781" s="115">
        <f>_xll.qlCalendarAdvance(Calendar,Y2781,NDays&amp;"D")</f>
        <v>58684</v>
      </c>
      <c r="AA2781" s="116" t="e">
        <v>#N/A</v>
      </c>
      <c r="AB2781" s="113" t="e">
        <v>#N/A</v>
      </c>
    </row>
    <row r="2782" spans="17:28" x14ac:dyDescent="0.2">
      <c r="Q2782" s="72"/>
      <c r="T2782" s="72"/>
      <c r="U2782" s="93"/>
      <c r="X2782" s="114" t="str">
        <f t="shared" si="56"/>
        <v>1w</v>
      </c>
      <c r="Y2782" s="112">
        <f>_xll.qlCalendarAdvance(Calendar,Y2781,X2782,"f",FALSE)</f>
        <v>58691</v>
      </c>
      <c r="Z2782" s="115">
        <f>_xll.qlCalendarAdvance(Calendar,Y2782,NDays&amp;"D")</f>
        <v>58691</v>
      </c>
      <c r="AA2782" s="116" t="e">
        <v>#N/A</v>
      </c>
      <c r="AB2782" s="113" t="e">
        <v>#N/A</v>
      </c>
    </row>
    <row r="2783" spans="17:28" x14ac:dyDescent="0.2">
      <c r="Q2783" s="72"/>
      <c r="T2783" s="72"/>
      <c r="U2783" s="93"/>
      <c r="X2783" s="114" t="str">
        <f t="shared" si="56"/>
        <v>1w</v>
      </c>
      <c r="Y2783" s="112">
        <f>_xll.qlCalendarAdvance(Calendar,Y2782,X2783,"f",FALSE)</f>
        <v>58698</v>
      </c>
      <c r="Z2783" s="115">
        <f>_xll.qlCalendarAdvance(Calendar,Y2783,NDays&amp;"D")</f>
        <v>58698</v>
      </c>
      <c r="AA2783" s="116" t="e">
        <v>#N/A</v>
      </c>
      <c r="AB2783" s="113" t="e">
        <v>#N/A</v>
      </c>
    </row>
    <row r="2784" spans="17:28" x14ac:dyDescent="0.2">
      <c r="Q2784" s="72"/>
      <c r="T2784" s="72"/>
      <c r="U2784" s="93"/>
      <c r="X2784" s="114" t="str">
        <f t="shared" si="56"/>
        <v>1w</v>
      </c>
      <c r="Y2784" s="112">
        <f>_xll.qlCalendarAdvance(Calendar,Y2783,X2784,"f",FALSE)</f>
        <v>58705</v>
      </c>
      <c r="Z2784" s="115">
        <f>_xll.qlCalendarAdvance(Calendar,Y2784,NDays&amp;"D")</f>
        <v>58705</v>
      </c>
      <c r="AA2784" s="116" t="e">
        <v>#N/A</v>
      </c>
      <c r="AB2784" s="113" t="e">
        <v>#N/A</v>
      </c>
    </row>
    <row r="2785" spans="17:28" x14ac:dyDescent="0.2">
      <c r="Q2785" s="72"/>
      <c r="T2785" s="72"/>
      <c r="U2785" s="93"/>
      <c r="X2785" s="114" t="str">
        <f t="shared" si="56"/>
        <v>1w</v>
      </c>
      <c r="Y2785" s="112">
        <f>_xll.qlCalendarAdvance(Calendar,Y2784,X2785,"f",FALSE)</f>
        <v>58712</v>
      </c>
      <c r="Z2785" s="115">
        <f>_xll.qlCalendarAdvance(Calendar,Y2785,NDays&amp;"D")</f>
        <v>58712</v>
      </c>
      <c r="AA2785" s="116" t="e">
        <v>#N/A</v>
      </c>
      <c r="AB2785" s="113" t="e">
        <v>#N/A</v>
      </c>
    </row>
    <row r="2786" spans="17:28" x14ac:dyDescent="0.2">
      <c r="Q2786" s="72"/>
      <c r="T2786" s="72"/>
      <c r="U2786" s="93"/>
      <c r="X2786" s="114" t="str">
        <f t="shared" si="56"/>
        <v>1w</v>
      </c>
      <c r="Y2786" s="112">
        <f>_xll.qlCalendarAdvance(Calendar,Y2785,X2786,"f",FALSE)</f>
        <v>58719</v>
      </c>
      <c r="Z2786" s="115">
        <f>_xll.qlCalendarAdvance(Calendar,Y2786,NDays&amp;"D")</f>
        <v>58719</v>
      </c>
      <c r="AA2786" s="116" t="e">
        <v>#N/A</v>
      </c>
      <c r="AB2786" s="113" t="e">
        <v>#N/A</v>
      </c>
    </row>
    <row r="2787" spans="17:28" x14ac:dyDescent="0.2">
      <c r="Q2787" s="72"/>
      <c r="T2787" s="72"/>
      <c r="U2787" s="93"/>
      <c r="X2787" s="114" t="str">
        <f t="shared" si="56"/>
        <v>1w</v>
      </c>
      <c r="Y2787" s="112">
        <f>_xll.qlCalendarAdvance(Calendar,Y2786,X2787,"f",FALSE)</f>
        <v>58726</v>
      </c>
      <c r="Z2787" s="115">
        <f>_xll.qlCalendarAdvance(Calendar,Y2787,NDays&amp;"D")</f>
        <v>58726</v>
      </c>
      <c r="AA2787" s="116" t="e">
        <v>#N/A</v>
      </c>
      <c r="AB2787" s="113" t="e">
        <v>#N/A</v>
      </c>
    </row>
    <row r="2788" spans="17:28" x14ac:dyDescent="0.2">
      <c r="Q2788" s="72"/>
      <c r="T2788" s="72"/>
      <c r="U2788" s="93"/>
      <c r="X2788" s="114" t="str">
        <f t="shared" si="56"/>
        <v>1w</v>
      </c>
      <c r="Y2788" s="112">
        <f>_xll.qlCalendarAdvance(Calendar,Y2787,X2788,"f",FALSE)</f>
        <v>58733</v>
      </c>
      <c r="Z2788" s="115">
        <f>_xll.qlCalendarAdvance(Calendar,Y2788,NDays&amp;"D")</f>
        <v>58733</v>
      </c>
      <c r="AA2788" s="116" t="e">
        <v>#N/A</v>
      </c>
      <c r="AB2788" s="113" t="e">
        <v>#N/A</v>
      </c>
    </row>
    <row r="2789" spans="17:28" x14ac:dyDescent="0.2">
      <c r="Q2789" s="72"/>
      <c r="T2789" s="72"/>
      <c r="U2789" s="93"/>
      <c r="X2789" s="114" t="str">
        <f t="shared" si="56"/>
        <v>1w</v>
      </c>
      <c r="Y2789" s="112">
        <f>_xll.qlCalendarAdvance(Calendar,Y2788,X2789,"f",FALSE)</f>
        <v>58740</v>
      </c>
      <c r="Z2789" s="115">
        <f>_xll.qlCalendarAdvance(Calendar,Y2789,NDays&amp;"D")</f>
        <v>58740</v>
      </c>
      <c r="AA2789" s="116" t="e">
        <v>#N/A</v>
      </c>
      <c r="AB2789" s="113" t="e">
        <v>#N/A</v>
      </c>
    </row>
    <row r="2790" spans="17:28" x14ac:dyDescent="0.2">
      <c r="Q2790" s="72"/>
      <c r="T2790" s="72"/>
      <c r="U2790" s="93"/>
      <c r="X2790" s="114" t="str">
        <f t="shared" si="56"/>
        <v>1w</v>
      </c>
      <c r="Y2790" s="112">
        <f>_xll.qlCalendarAdvance(Calendar,Y2789,X2790,"f",FALSE)</f>
        <v>58747</v>
      </c>
      <c r="Z2790" s="115">
        <f>_xll.qlCalendarAdvance(Calendar,Y2790,NDays&amp;"D")</f>
        <v>58747</v>
      </c>
      <c r="AA2790" s="116" t="e">
        <v>#N/A</v>
      </c>
      <c r="AB2790" s="113" t="e">
        <v>#N/A</v>
      </c>
    </row>
    <row r="2791" spans="17:28" x14ac:dyDescent="0.2">
      <c r="Q2791" s="72"/>
      <c r="T2791" s="72"/>
      <c r="U2791" s="93"/>
      <c r="X2791" s="114" t="str">
        <f t="shared" si="56"/>
        <v>1w</v>
      </c>
      <c r="Y2791" s="112">
        <f>_xll.qlCalendarAdvance(Calendar,Y2790,X2791,"f",FALSE)</f>
        <v>58754</v>
      </c>
      <c r="Z2791" s="115">
        <f>_xll.qlCalendarAdvance(Calendar,Y2791,NDays&amp;"D")</f>
        <v>58754</v>
      </c>
      <c r="AA2791" s="116" t="e">
        <v>#N/A</v>
      </c>
      <c r="AB2791" s="113" t="e">
        <v>#N/A</v>
      </c>
    </row>
    <row r="2792" spans="17:28" x14ac:dyDescent="0.2">
      <c r="Q2792" s="72"/>
      <c r="T2792" s="72"/>
      <c r="U2792" s="93"/>
      <c r="X2792" s="114" t="str">
        <f t="shared" si="56"/>
        <v>1w</v>
      </c>
      <c r="Y2792" s="112">
        <f>_xll.qlCalendarAdvance(Calendar,Y2791,X2792,"f",FALSE)</f>
        <v>58761</v>
      </c>
      <c r="Z2792" s="115">
        <f>_xll.qlCalendarAdvance(Calendar,Y2792,NDays&amp;"D")</f>
        <v>58761</v>
      </c>
      <c r="AA2792" s="116" t="e">
        <v>#N/A</v>
      </c>
      <c r="AB2792" s="113" t="e">
        <v>#N/A</v>
      </c>
    </row>
    <row r="2793" spans="17:28" x14ac:dyDescent="0.2">
      <c r="Q2793" s="72"/>
      <c r="T2793" s="72"/>
      <c r="U2793" s="93"/>
      <c r="X2793" s="114" t="str">
        <f t="shared" si="56"/>
        <v>1w</v>
      </c>
      <c r="Y2793" s="112">
        <f>_xll.qlCalendarAdvance(Calendar,Y2792,X2793,"f",FALSE)</f>
        <v>58768</v>
      </c>
      <c r="Z2793" s="115">
        <f>_xll.qlCalendarAdvance(Calendar,Y2793,NDays&amp;"D")</f>
        <v>58768</v>
      </c>
      <c r="AA2793" s="116" t="e">
        <v>#N/A</v>
      </c>
      <c r="AB2793" s="113" t="e">
        <v>#N/A</v>
      </c>
    </row>
    <row r="2794" spans="17:28" x14ac:dyDescent="0.2">
      <c r="Q2794" s="72"/>
      <c r="T2794" s="72"/>
      <c r="U2794" s="93"/>
      <c r="X2794" s="114" t="str">
        <f t="shared" si="56"/>
        <v>1w</v>
      </c>
      <c r="Y2794" s="112">
        <f>_xll.qlCalendarAdvance(Calendar,Y2793,X2794,"f",FALSE)</f>
        <v>58775</v>
      </c>
      <c r="Z2794" s="115">
        <f>_xll.qlCalendarAdvance(Calendar,Y2794,NDays&amp;"D")</f>
        <v>58775</v>
      </c>
      <c r="AA2794" s="116" t="e">
        <v>#N/A</v>
      </c>
      <c r="AB2794" s="113" t="e">
        <v>#N/A</v>
      </c>
    </row>
    <row r="2795" spans="17:28" x14ac:dyDescent="0.2">
      <c r="Q2795" s="72"/>
      <c r="T2795" s="72"/>
      <c r="U2795" s="93"/>
      <c r="X2795" s="114" t="str">
        <f t="shared" si="56"/>
        <v>1w</v>
      </c>
      <c r="Y2795" s="112">
        <f>_xll.qlCalendarAdvance(Calendar,Y2794,X2795,"f",FALSE)</f>
        <v>58782</v>
      </c>
      <c r="Z2795" s="115">
        <f>_xll.qlCalendarAdvance(Calendar,Y2795,NDays&amp;"D")</f>
        <v>58782</v>
      </c>
      <c r="AA2795" s="116" t="e">
        <v>#N/A</v>
      </c>
      <c r="AB2795" s="113" t="e">
        <v>#N/A</v>
      </c>
    </row>
    <row r="2796" spans="17:28" x14ac:dyDescent="0.2">
      <c r="Q2796" s="72"/>
      <c r="T2796" s="72"/>
      <c r="U2796" s="93"/>
      <c r="X2796" s="114" t="str">
        <f t="shared" si="56"/>
        <v>1w</v>
      </c>
      <c r="Y2796" s="112">
        <f>_xll.qlCalendarAdvance(Calendar,Y2795,X2796,"f",FALSE)</f>
        <v>58789</v>
      </c>
      <c r="Z2796" s="115">
        <f>_xll.qlCalendarAdvance(Calendar,Y2796,NDays&amp;"D")</f>
        <v>58789</v>
      </c>
      <c r="AA2796" s="116" t="e">
        <v>#N/A</v>
      </c>
      <c r="AB2796" s="113" t="e">
        <v>#N/A</v>
      </c>
    </row>
    <row r="2797" spans="17:28" x14ac:dyDescent="0.2">
      <c r="Q2797" s="72"/>
      <c r="T2797" s="72"/>
      <c r="U2797" s="93"/>
      <c r="X2797" s="114" t="str">
        <f t="shared" si="56"/>
        <v>1w</v>
      </c>
      <c r="Y2797" s="112">
        <f>_xll.qlCalendarAdvance(Calendar,Y2796,X2797,"f",FALSE)</f>
        <v>58796</v>
      </c>
      <c r="Z2797" s="115">
        <f>_xll.qlCalendarAdvance(Calendar,Y2797,NDays&amp;"D")</f>
        <v>58796</v>
      </c>
      <c r="AA2797" s="116" t="e">
        <v>#N/A</v>
      </c>
      <c r="AB2797" s="113" t="e">
        <v>#N/A</v>
      </c>
    </row>
    <row r="2798" spans="17:28" x14ac:dyDescent="0.2">
      <c r="Q2798" s="72"/>
      <c r="T2798" s="72"/>
      <c r="U2798" s="93"/>
      <c r="X2798" s="114" t="str">
        <f t="shared" si="56"/>
        <v>1w</v>
      </c>
      <c r="Y2798" s="112">
        <f>_xll.qlCalendarAdvance(Calendar,Y2797,X2798,"f",FALSE)</f>
        <v>58804</v>
      </c>
      <c r="Z2798" s="115">
        <f>_xll.qlCalendarAdvance(Calendar,Y2798,NDays&amp;"D")</f>
        <v>58804</v>
      </c>
      <c r="AA2798" s="116" t="e">
        <v>#N/A</v>
      </c>
      <c r="AB2798" s="113" t="e">
        <v>#N/A</v>
      </c>
    </row>
    <row r="2799" spans="17:28" x14ac:dyDescent="0.2">
      <c r="Q2799" s="72"/>
      <c r="T2799" s="72"/>
      <c r="U2799" s="93"/>
      <c r="X2799" s="114" t="str">
        <f t="shared" si="56"/>
        <v>1w</v>
      </c>
      <c r="Y2799" s="112">
        <f>_xll.qlCalendarAdvance(Calendar,Y2798,X2799,"f",FALSE)</f>
        <v>58811</v>
      </c>
      <c r="Z2799" s="115">
        <f>_xll.qlCalendarAdvance(Calendar,Y2799,NDays&amp;"D")</f>
        <v>58811</v>
      </c>
      <c r="AA2799" s="116" t="e">
        <v>#N/A</v>
      </c>
      <c r="AB2799" s="113" t="e">
        <v>#N/A</v>
      </c>
    </row>
    <row r="2800" spans="17:28" x14ac:dyDescent="0.2">
      <c r="Q2800" s="72"/>
      <c r="T2800" s="72"/>
      <c r="U2800" s="93"/>
      <c r="X2800" s="114" t="str">
        <f t="shared" si="56"/>
        <v>1w</v>
      </c>
      <c r="Y2800" s="112">
        <f>_xll.qlCalendarAdvance(Calendar,Y2799,X2800,"f",FALSE)</f>
        <v>58818</v>
      </c>
      <c r="Z2800" s="115">
        <f>_xll.qlCalendarAdvance(Calendar,Y2800,NDays&amp;"D")</f>
        <v>58818</v>
      </c>
      <c r="AA2800" s="116" t="e">
        <v>#N/A</v>
      </c>
      <c r="AB2800" s="113" t="e">
        <v>#N/A</v>
      </c>
    </row>
    <row r="2801" spans="17:28" x14ac:dyDescent="0.2">
      <c r="Q2801" s="72"/>
      <c r="T2801" s="72"/>
      <c r="U2801" s="93"/>
      <c r="X2801" s="114" t="str">
        <f t="shared" si="56"/>
        <v>1w</v>
      </c>
      <c r="Y2801" s="112">
        <f>_xll.qlCalendarAdvance(Calendar,Y2800,X2801,"f",FALSE)</f>
        <v>58825</v>
      </c>
      <c r="Z2801" s="115">
        <f>_xll.qlCalendarAdvance(Calendar,Y2801,NDays&amp;"D")</f>
        <v>58825</v>
      </c>
      <c r="AA2801" s="116" t="e">
        <v>#N/A</v>
      </c>
      <c r="AB2801" s="113" t="e">
        <v>#N/A</v>
      </c>
    </row>
    <row r="2802" spans="17:28" x14ac:dyDescent="0.2">
      <c r="Q2802" s="72"/>
      <c r="T2802" s="72"/>
      <c r="U2802" s="93"/>
      <c r="X2802" s="114" t="str">
        <f t="shared" si="56"/>
        <v>1w</v>
      </c>
      <c r="Y2802" s="112">
        <f>_xll.qlCalendarAdvance(Calendar,Y2801,X2802,"f",FALSE)</f>
        <v>58833</v>
      </c>
      <c r="Z2802" s="115">
        <f>_xll.qlCalendarAdvance(Calendar,Y2802,NDays&amp;"D")</f>
        <v>58833</v>
      </c>
      <c r="AA2802" s="116" t="e">
        <v>#N/A</v>
      </c>
      <c r="AB2802" s="113" t="e">
        <v>#N/A</v>
      </c>
    </row>
    <row r="2803" spans="17:28" x14ac:dyDescent="0.2">
      <c r="Q2803" s="72"/>
      <c r="T2803" s="72"/>
      <c r="U2803" s="93"/>
      <c r="X2803" s="114" t="str">
        <f t="shared" si="56"/>
        <v>1w</v>
      </c>
      <c r="Y2803" s="112">
        <f>_xll.qlCalendarAdvance(Calendar,Y2802,X2803,"f",FALSE)</f>
        <v>58840</v>
      </c>
      <c r="Z2803" s="115">
        <f>_xll.qlCalendarAdvance(Calendar,Y2803,NDays&amp;"D")</f>
        <v>58840</v>
      </c>
      <c r="AA2803" s="116" t="e">
        <v>#N/A</v>
      </c>
      <c r="AB2803" s="113" t="e">
        <v>#N/A</v>
      </c>
    </row>
    <row r="2804" spans="17:28" x14ac:dyDescent="0.2">
      <c r="Q2804" s="72"/>
      <c r="T2804" s="72"/>
      <c r="U2804" s="93"/>
      <c r="X2804" s="114" t="str">
        <f t="shared" si="56"/>
        <v>1w</v>
      </c>
      <c r="Y2804" s="112">
        <f>_xll.qlCalendarAdvance(Calendar,Y2803,X2804,"f",FALSE)</f>
        <v>58847</v>
      </c>
      <c r="Z2804" s="115">
        <f>_xll.qlCalendarAdvance(Calendar,Y2804,NDays&amp;"D")</f>
        <v>58847</v>
      </c>
      <c r="AA2804" s="116" t="e">
        <v>#N/A</v>
      </c>
      <c r="AB2804" s="113" t="e">
        <v>#N/A</v>
      </c>
    </row>
    <row r="2805" spans="17:28" x14ac:dyDescent="0.2">
      <c r="Q2805" s="72"/>
      <c r="T2805" s="72"/>
      <c r="U2805" s="93"/>
      <c r="X2805" s="114" t="str">
        <f t="shared" si="56"/>
        <v>1w</v>
      </c>
      <c r="Y2805" s="112">
        <f>_xll.qlCalendarAdvance(Calendar,Y2804,X2805,"f",FALSE)</f>
        <v>58854</v>
      </c>
      <c r="Z2805" s="115">
        <f>_xll.qlCalendarAdvance(Calendar,Y2805,NDays&amp;"D")</f>
        <v>58854</v>
      </c>
      <c r="AA2805" s="116" t="e">
        <v>#N/A</v>
      </c>
      <c r="AB2805" s="113" t="e">
        <v>#N/A</v>
      </c>
    </row>
    <row r="2806" spans="17:28" x14ac:dyDescent="0.2">
      <c r="Q2806" s="72"/>
      <c r="T2806" s="72"/>
      <c r="U2806" s="93"/>
      <c r="X2806" s="114" t="str">
        <f t="shared" si="56"/>
        <v>1w</v>
      </c>
      <c r="Y2806" s="112">
        <f>_xll.qlCalendarAdvance(Calendar,Y2805,X2806,"f",FALSE)</f>
        <v>58861</v>
      </c>
      <c r="Z2806" s="115">
        <f>_xll.qlCalendarAdvance(Calendar,Y2806,NDays&amp;"D")</f>
        <v>58861</v>
      </c>
      <c r="AA2806" s="116" t="e">
        <v>#N/A</v>
      </c>
      <c r="AB2806" s="113" t="e">
        <v>#N/A</v>
      </c>
    </row>
    <row r="2807" spans="17:28" x14ac:dyDescent="0.2">
      <c r="Q2807" s="72"/>
      <c r="T2807" s="72"/>
      <c r="U2807" s="93"/>
      <c r="X2807" s="114" t="str">
        <f t="shared" si="56"/>
        <v>1w</v>
      </c>
      <c r="Y2807" s="112">
        <f>_xll.qlCalendarAdvance(Calendar,Y2806,X2807,"f",FALSE)</f>
        <v>58868</v>
      </c>
      <c r="Z2807" s="115">
        <f>_xll.qlCalendarAdvance(Calendar,Y2807,NDays&amp;"D")</f>
        <v>58868</v>
      </c>
      <c r="AA2807" s="116" t="e">
        <v>#N/A</v>
      </c>
      <c r="AB2807" s="113" t="e">
        <v>#N/A</v>
      </c>
    </row>
    <row r="2808" spans="17:28" x14ac:dyDescent="0.2">
      <c r="Q2808" s="72"/>
      <c r="T2808" s="72"/>
      <c r="U2808" s="93"/>
      <c r="X2808" s="114" t="str">
        <f t="shared" si="56"/>
        <v>1w</v>
      </c>
      <c r="Y2808" s="112">
        <f>_xll.qlCalendarAdvance(Calendar,Y2807,X2808,"f",FALSE)</f>
        <v>58875</v>
      </c>
      <c r="Z2808" s="115">
        <f>_xll.qlCalendarAdvance(Calendar,Y2808,NDays&amp;"D")</f>
        <v>58875</v>
      </c>
      <c r="AA2808" s="116" t="e">
        <v>#N/A</v>
      </c>
      <c r="AB2808" s="113" t="e">
        <v>#N/A</v>
      </c>
    </row>
    <row r="2809" spans="17:28" x14ac:dyDescent="0.2">
      <c r="Q2809" s="72"/>
      <c r="T2809" s="72"/>
      <c r="U2809" s="93"/>
      <c r="X2809" s="114" t="str">
        <f t="shared" si="56"/>
        <v>1w</v>
      </c>
      <c r="Y2809" s="112">
        <f>_xll.qlCalendarAdvance(Calendar,Y2808,X2809,"f",FALSE)</f>
        <v>58882</v>
      </c>
      <c r="Z2809" s="115">
        <f>_xll.qlCalendarAdvance(Calendar,Y2809,NDays&amp;"D")</f>
        <v>58882</v>
      </c>
      <c r="AA2809" s="116" t="e">
        <v>#N/A</v>
      </c>
      <c r="AB2809" s="113" t="e">
        <v>#N/A</v>
      </c>
    </row>
    <row r="2810" spans="17:28" x14ac:dyDescent="0.2">
      <c r="Q2810" s="72"/>
      <c r="T2810" s="72"/>
      <c r="U2810" s="93"/>
      <c r="X2810" s="114" t="str">
        <f t="shared" si="56"/>
        <v>1w</v>
      </c>
      <c r="Y2810" s="112">
        <f>_xll.qlCalendarAdvance(Calendar,Y2809,X2810,"f",FALSE)</f>
        <v>58889</v>
      </c>
      <c r="Z2810" s="115">
        <f>_xll.qlCalendarAdvance(Calendar,Y2810,NDays&amp;"D")</f>
        <v>58889</v>
      </c>
      <c r="AA2810" s="116" t="e">
        <v>#N/A</v>
      </c>
      <c r="AB2810" s="113" t="e">
        <v>#N/A</v>
      </c>
    </row>
    <row r="2811" spans="17:28" x14ac:dyDescent="0.2">
      <c r="Q2811" s="72"/>
      <c r="T2811" s="72"/>
      <c r="U2811" s="93"/>
      <c r="X2811" s="114" t="str">
        <f t="shared" si="56"/>
        <v>1w</v>
      </c>
      <c r="Y2811" s="112">
        <f>_xll.qlCalendarAdvance(Calendar,Y2810,X2811,"f",FALSE)</f>
        <v>58896</v>
      </c>
      <c r="Z2811" s="115">
        <f>_xll.qlCalendarAdvance(Calendar,Y2811,NDays&amp;"D")</f>
        <v>58896</v>
      </c>
      <c r="AA2811" s="116" t="e">
        <v>#N/A</v>
      </c>
      <c r="AB2811" s="113" t="e">
        <v>#N/A</v>
      </c>
    </row>
    <row r="2812" spans="17:28" x14ac:dyDescent="0.2">
      <c r="Q2812" s="72"/>
      <c r="T2812" s="72"/>
      <c r="U2812" s="93"/>
      <c r="X2812" s="114" t="str">
        <f t="shared" si="56"/>
        <v>1w</v>
      </c>
      <c r="Y2812" s="112">
        <f>_xll.qlCalendarAdvance(Calendar,Y2811,X2812,"f",FALSE)</f>
        <v>58903</v>
      </c>
      <c r="Z2812" s="115">
        <f>_xll.qlCalendarAdvance(Calendar,Y2812,NDays&amp;"D")</f>
        <v>58903</v>
      </c>
      <c r="AA2812" s="116" t="e">
        <v>#N/A</v>
      </c>
      <c r="AB2812" s="113" t="e">
        <v>#N/A</v>
      </c>
    </row>
    <row r="2813" spans="17:28" x14ac:dyDescent="0.2">
      <c r="Q2813" s="72"/>
      <c r="T2813" s="72"/>
      <c r="U2813" s="93"/>
      <c r="X2813" s="114" t="str">
        <f t="shared" si="56"/>
        <v>1w</v>
      </c>
      <c r="Y2813" s="112">
        <f>_xll.qlCalendarAdvance(Calendar,Y2812,X2813,"f",FALSE)</f>
        <v>58910</v>
      </c>
      <c r="Z2813" s="115">
        <f>_xll.qlCalendarAdvance(Calendar,Y2813,NDays&amp;"D")</f>
        <v>58910</v>
      </c>
      <c r="AA2813" s="116" t="e">
        <v>#N/A</v>
      </c>
      <c r="AB2813" s="113" t="e">
        <v>#N/A</v>
      </c>
    </row>
    <row r="2814" spans="17:28" x14ac:dyDescent="0.2">
      <c r="Q2814" s="72"/>
      <c r="T2814" s="72"/>
      <c r="U2814" s="93"/>
      <c r="X2814" s="114" t="str">
        <f t="shared" si="56"/>
        <v>1w</v>
      </c>
      <c r="Y2814" s="112">
        <f>_xll.qlCalendarAdvance(Calendar,Y2813,X2814,"f",FALSE)</f>
        <v>58917</v>
      </c>
      <c r="Z2814" s="115">
        <f>_xll.qlCalendarAdvance(Calendar,Y2814,NDays&amp;"D")</f>
        <v>58917</v>
      </c>
      <c r="AA2814" s="116" t="e">
        <v>#N/A</v>
      </c>
      <c r="AB2814" s="113" t="e">
        <v>#N/A</v>
      </c>
    </row>
    <row r="2815" spans="17:28" x14ac:dyDescent="0.2">
      <c r="Q2815" s="72"/>
      <c r="T2815" s="72"/>
      <c r="U2815" s="93"/>
      <c r="X2815" s="114" t="str">
        <f t="shared" si="56"/>
        <v>1w</v>
      </c>
      <c r="Y2815" s="112">
        <f>_xll.qlCalendarAdvance(Calendar,Y2814,X2815,"f",FALSE)</f>
        <v>58924</v>
      </c>
      <c r="Z2815" s="115">
        <f>_xll.qlCalendarAdvance(Calendar,Y2815,NDays&amp;"D")</f>
        <v>58924</v>
      </c>
      <c r="AA2815" s="116" t="e">
        <v>#N/A</v>
      </c>
      <c r="AB2815" s="113" t="e">
        <v>#N/A</v>
      </c>
    </row>
    <row r="2816" spans="17:28" x14ac:dyDescent="0.2">
      <c r="Q2816" s="72"/>
      <c r="T2816" s="72"/>
      <c r="U2816" s="93"/>
      <c r="X2816" s="114" t="str">
        <f t="shared" si="56"/>
        <v>1w</v>
      </c>
      <c r="Y2816" s="112">
        <f>_xll.qlCalendarAdvance(Calendar,Y2815,X2816,"f",FALSE)</f>
        <v>58931</v>
      </c>
      <c r="Z2816" s="115">
        <f>_xll.qlCalendarAdvance(Calendar,Y2816,NDays&amp;"D")</f>
        <v>58931</v>
      </c>
      <c r="AA2816" s="116" t="e">
        <v>#N/A</v>
      </c>
      <c r="AB2816" s="113" t="e">
        <v>#N/A</v>
      </c>
    </row>
    <row r="2817" spans="17:28" x14ac:dyDescent="0.2">
      <c r="Q2817" s="72"/>
      <c r="T2817" s="72"/>
      <c r="U2817" s="93"/>
      <c r="X2817" s="114" t="str">
        <f t="shared" si="56"/>
        <v>1w</v>
      </c>
      <c r="Y2817" s="112">
        <f>_xll.qlCalendarAdvance(Calendar,Y2816,X2817,"f",FALSE)</f>
        <v>58938</v>
      </c>
      <c r="Z2817" s="115">
        <f>_xll.qlCalendarAdvance(Calendar,Y2817,NDays&amp;"D")</f>
        <v>58938</v>
      </c>
      <c r="AA2817" s="116" t="e">
        <v>#N/A</v>
      </c>
      <c r="AB2817" s="113" t="e">
        <v>#N/A</v>
      </c>
    </row>
    <row r="2818" spans="17:28" x14ac:dyDescent="0.2">
      <c r="Q2818" s="72"/>
      <c r="T2818" s="72"/>
      <c r="U2818" s="93"/>
      <c r="X2818" s="114" t="str">
        <f t="shared" si="56"/>
        <v>1w</v>
      </c>
      <c r="Y2818" s="112">
        <f>_xll.qlCalendarAdvance(Calendar,Y2817,X2818,"f",FALSE)</f>
        <v>58945</v>
      </c>
      <c r="Z2818" s="115">
        <f>_xll.qlCalendarAdvance(Calendar,Y2818,NDays&amp;"D")</f>
        <v>58945</v>
      </c>
      <c r="AA2818" s="116" t="e">
        <v>#N/A</v>
      </c>
      <c r="AB2818" s="113" t="e">
        <v>#N/A</v>
      </c>
    </row>
    <row r="2819" spans="17:28" x14ac:dyDescent="0.2">
      <c r="Q2819" s="72"/>
      <c r="T2819" s="72"/>
      <c r="U2819" s="93"/>
      <c r="X2819" s="114" t="str">
        <f t="shared" si="56"/>
        <v>1w</v>
      </c>
      <c r="Y2819" s="112">
        <f>_xll.qlCalendarAdvance(Calendar,Y2818,X2819,"f",FALSE)</f>
        <v>58952</v>
      </c>
      <c r="Z2819" s="115">
        <f>_xll.qlCalendarAdvance(Calendar,Y2819,NDays&amp;"D")</f>
        <v>58952</v>
      </c>
      <c r="AA2819" s="116" t="e">
        <v>#N/A</v>
      </c>
      <c r="AB2819" s="113" t="e">
        <v>#N/A</v>
      </c>
    </row>
    <row r="2820" spans="17:28" x14ac:dyDescent="0.2">
      <c r="Q2820" s="72"/>
      <c r="T2820" s="72"/>
      <c r="U2820" s="93"/>
      <c r="X2820" s="114" t="str">
        <f t="shared" si="56"/>
        <v>1w</v>
      </c>
      <c r="Y2820" s="112">
        <f>_xll.qlCalendarAdvance(Calendar,Y2819,X2820,"f",FALSE)</f>
        <v>58959</v>
      </c>
      <c r="Z2820" s="115">
        <f>_xll.qlCalendarAdvance(Calendar,Y2820,NDays&amp;"D")</f>
        <v>58959</v>
      </c>
      <c r="AA2820" s="116" t="e">
        <v>#N/A</v>
      </c>
      <c r="AB2820" s="113" t="e">
        <v>#N/A</v>
      </c>
    </row>
    <row r="2821" spans="17:28" x14ac:dyDescent="0.2">
      <c r="Q2821" s="72"/>
      <c r="T2821" s="72"/>
      <c r="U2821" s="93"/>
      <c r="X2821" s="114" t="str">
        <f t="shared" si="56"/>
        <v>1w</v>
      </c>
      <c r="Y2821" s="112">
        <f>_xll.qlCalendarAdvance(Calendar,Y2820,X2821,"f",FALSE)</f>
        <v>58966</v>
      </c>
      <c r="Z2821" s="115">
        <f>_xll.qlCalendarAdvance(Calendar,Y2821,NDays&amp;"D")</f>
        <v>58966</v>
      </c>
      <c r="AA2821" s="116" t="e">
        <v>#N/A</v>
      </c>
      <c r="AB2821" s="113" t="e">
        <v>#N/A</v>
      </c>
    </row>
    <row r="2822" spans="17:28" x14ac:dyDescent="0.2">
      <c r="Q2822" s="72"/>
      <c r="T2822" s="72"/>
      <c r="U2822" s="93"/>
      <c r="X2822" s="114" t="str">
        <f t="shared" si="56"/>
        <v>1w</v>
      </c>
      <c r="Y2822" s="112">
        <f>_xll.qlCalendarAdvance(Calendar,Y2821,X2822,"f",FALSE)</f>
        <v>58973</v>
      </c>
      <c r="Z2822" s="115">
        <f>_xll.qlCalendarAdvance(Calendar,Y2822,NDays&amp;"D")</f>
        <v>58973</v>
      </c>
      <c r="AA2822" s="116" t="e">
        <v>#N/A</v>
      </c>
      <c r="AB2822" s="113" t="e">
        <v>#N/A</v>
      </c>
    </row>
    <row r="2823" spans="17:28" x14ac:dyDescent="0.2">
      <c r="Q2823" s="72"/>
      <c r="T2823" s="72"/>
      <c r="U2823" s="93"/>
      <c r="X2823" s="114" t="str">
        <f t="shared" si="56"/>
        <v>1w</v>
      </c>
      <c r="Y2823" s="112">
        <f>_xll.qlCalendarAdvance(Calendar,Y2822,X2823,"f",FALSE)</f>
        <v>58980</v>
      </c>
      <c r="Z2823" s="115">
        <f>_xll.qlCalendarAdvance(Calendar,Y2823,NDays&amp;"D")</f>
        <v>58980</v>
      </c>
      <c r="AA2823" s="116" t="e">
        <v>#N/A</v>
      </c>
      <c r="AB2823" s="113" t="e">
        <v>#N/A</v>
      </c>
    </row>
    <row r="2824" spans="17:28" x14ac:dyDescent="0.2">
      <c r="Q2824" s="72"/>
      <c r="T2824" s="72"/>
      <c r="U2824" s="93"/>
      <c r="X2824" s="114" t="str">
        <f t="shared" si="56"/>
        <v>1w</v>
      </c>
      <c r="Y2824" s="112">
        <f>_xll.qlCalendarAdvance(Calendar,Y2823,X2824,"f",FALSE)</f>
        <v>58987</v>
      </c>
      <c r="Z2824" s="115">
        <f>_xll.qlCalendarAdvance(Calendar,Y2824,NDays&amp;"D")</f>
        <v>58987</v>
      </c>
      <c r="AA2824" s="116" t="e">
        <v>#N/A</v>
      </c>
      <c r="AB2824" s="113" t="e">
        <v>#N/A</v>
      </c>
    </row>
    <row r="2825" spans="17:28" x14ac:dyDescent="0.2">
      <c r="Q2825" s="72"/>
      <c r="T2825" s="72"/>
      <c r="U2825" s="93"/>
      <c r="X2825" s="114" t="str">
        <f t="shared" si="56"/>
        <v>1w</v>
      </c>
      <c r="Y2825" s="112">
        <f>_xll.qlCalendarAdvance(Calendar,Y2824,X2825,"f",FALSE)</f>
        <v>58994</v>
      </c>
      <c r="Z2825" s="115">
        <f>_xll.qlCalendarAdvance(Calendar,Y2825,NDays&amp;"D")</f>
        <v>58994</v>
      </c>
      <c r="AA2825" s="116" t="e">
        <v>#N/A</v>
      </c>
      <c r="AB2825" s="113" t="e">
        <v>#N/A</v>
      </c>
    </row>
    <row r="2826" spans="17:28" x14ac:dyDescent="0.2">
      <c r="Q2826" s="72"/>
      <c r="T2826" s="72"/>
      <c r="U2826" s="93"/>
      <c r="X2826" s="114" t="str">
        <f t="shared" si="56"/>
        <v>1w</v>
      </c>
      <c r="Y2826" s="112">
        <f>_xll.qlCalendarAdvance(Calendar,Y2825,X2826,"f",FALSE)</f>
        <v>59001</v>
      </c>
      <c r="Z2826" s="115">
        <f>_xll.qlCalendarAdvance(Calendar,Y2826,NDays&amp;"D")</f>
        <v>59001</v>
      </c>
      <c r="AA2826" s="116" t="e">
        <v>#N/A</v>
      </c>
      <c r="AB2826" s="113" t="e">
        <v>#N/A</v>
      </c>
    </row>
    <row r="2827" spans="17:28" x14ac:dyDescent="0.2">
      <c r="Q2827" s="72"/>
      <c r="T2827" s="72"/>
      <c r="U2827" s="93"/>
      <c r="X2827" s="114" t="str">
        <f t="shared" si="56"/>
        <v>1w</v>
      </c>
      <c r="Y2827" s="112">
        <f>_xll.qlCalendarAdvance(Calendar,Y2826,X2827,"f",FALSE)</f>
        <v>59008</v>
      </c>
      <c r="Z2827" s="115">
        <f>_xll.qlCalendarAdvance(Calendar,Y2827,NDays&amp;"D")</f>
        <v>59008</v>
      </c>
      <c r="AA2827" s="116" t="e">
        <v>#N/A</v>
      </c>
      <c r="AB2827" s="113" t="e">
        <v>#N/A</v>
      </c>
    </row>
    <row r="2828" spans="17:28" x14ac:dyDescent="0.2">
      <c r="Q2828" s="72"/>
      <c r="T2828" s="72"/>
      <c r="U2828" s="93"/>
      <c r="X2828" s="114" t="str">
        <f t="shared" si="56"/>
        <v>1w</v>
      </c>
      <c r="Y2828" s="112">
        <f>_xll.qlCalendarAdvance(Calendar,Y2827,X2828,"f",FALSE)</f>
        <v>59015</v>
      </c>
      <c r="Z2828" s="115">
        <f>_xll.qlCalendarAdvance(Calendar,Y2828,NDays&amp;"D")</f>
        <v>59015</v>
      </c>
      <c r="AA2828" s="116" t="e">
        <v>#N/A</v>
      </c>
      <c r="AB2828" s="113" t="e">
        <v>#N/A</v>
      </c>
    </row>
    <row r="2829" spans="17:28" x14ac:dyDescent="0.2">
      <c r="Q2829" s="72"/>
      <c r="T2829" s="72"/>
      <c r="U2829" s="93"/>
      <c r="X2829" s="114" t="str">
        <f t="shared" si="56"/>
        <v>1w</v>
      </c>
      <c r="Y2829" s="112">
        <f>_xll.qlCalendarAdvance(Calendar,Y2828,X2829,"f",FALSE)</f>
        <v>59022</v>
      </c>
      <c r="Z2829" s="115">
        <f>_xll.qlCalendarAdvance(Calendar,Y2829,NDays&amp;"D")</f>
        <v>59022</v>
      </c>
      <c r="AA2829" s="116" t="e">
        <v>#N/A</v>
      </c>
      <c r="AB2829" s="113" t="e">
        <v>#N/A</v>
      </c>
    </row>
    <row r="2830" spans="17:28" x14ac:dyDescent="0.2">
      <c r="Q2830" s="72"/>
      <c r="T2830" s="72"/>
      <c r="U2830" s="93"/>
      <c r="X2830" s="114" t="str">
        <f t="shared" si="56"/>
        <v>1w</v>
      </c>
      <c r="Y2830" s="112">
        <f>_xll.qlCalendarAdvance(Calendar,Y2829,X2830,"f",FALSE)</f>
        <v>59029</v>
      </c>
      <c r="Z2830" s="115">
        <f>_xll.qlCalendarAdvance(Calendar,Y2830,NDays&amp;"D")</f>
        <v>59029</v>
      </c>
      <c r="AA2830" s="116" t="e">
        <v>#N/A</v>
      </c>
      <c r="AB2830" s="113" t="e">
        <v>#N/A</v>
      </c>
    </row>
    <row r="2831" spans="17:28" x14ac:dyDescent="0.2">
      <c r="Q2831" s="72"/>
      <c r="T2831" s="72"/>
      <c r="U2831" s="93"/>
      <c r="X2831" s="114" t="str">
        <f t="shared" si="56"/>
        <v>1w</v>
      </c>
      <c r="Y2831" s="112">
        <f>_xll.qlCalendarAdvance(Calendar,Y2830,X2831,"f",FALSE)</f>
        <v>59036</v>
      </c>
      <c r="Z2831" s="115">
        <f>_xll.qlCalendarAdvance(Calendar,Y2831,NDays&amp;"D")</f>
        <v>59036</v>
      </c>
      <c r="AA2831" s="116" t="e">
        <v>#N/A</v>
      </c>
      <c r="AB2831" s="113" t="e">
        <v>#N/A</v>
      </c>
    </row>
    <row r="2832" spans="17:28" x14ac:dyDescent="0.2">
      <c r="Q2832" s="72"/>
      <c r="T2832" s="72"/>
      <c r="U2832" s="93"/>
      <c r="X2832" s="114" t="str">
        <f t="shared" si="56"/>
        <v>1w</v>
      </c>
      <c r="Y2832" s="112">
        <f>_xll.qlCalendarAdvance(Calendar,Y2831,X2832,"f",FALSE)</f>
        <v>59043</v>
      </c>
      <c r="Z2832" s="115">
        <f>_xll.qlCalendarAdvance(Calendar,Y2832,NDays&amp;"D")</f>
        <v>59043</v>
      </c>
      <c r="AA2832" s="116" t="e">
        <v>#N/A</v>
      </c>
      <c r="AB2832" s="113" t="e">
        <v>#N/A</v>
      </c>
    </row>
    <row r="2833" spans="17:28" x14ac:dyDescent="0.2">
      <c r="Q2833" s="72"/>
      <c r="T2833" s="72"/>
      <c r="U2833" s="93"/>
      <c r="X2833" s="114" t="str">
        <f t="shared" si="56"/>
        <v>1w</v>
      </c>
      <c r="Y2833" s="112">
        <f>_xll.qlCalendarAdvance(Calendar,Y2832,X2833,"f",FALSE)</f>
        <v>59050</v>
      </c>
      <c r="Z2833" s="115">
        <f>_xll.qlCalendarAdvance(Calendar,Y2833,NDays&amp;"D")</f>
        <v>59050</v>
      </c>
      <c r="AA2833" s="116" t="e">
        <v>#N/A</v>
      </c>
      <c r="AB2833" s="113" t="e">
        <v>#N/A</v>
      </c>
    </row>
    <row r="2834" spans="17:28" x14ac:dyDescent="0.2">
      <c r="Q2834" s="72"/>
      <c r="T2834" s="72"/>
      <c r="U2834" s="93"/>
      <c r="X2834" s="114" t="str">
        <f t="shared" si="56"/>
        <v>1w</v>
      </c>
      <c r="Y2834" s="112">
        <f>_xll.qlCalendarAdvance(Calendar,Y2833,X2834,"f",FALSE)</f>
        <v>59057</v>
      </c>
      <c r="Z2834" s="115">
        <f>_xll.qlCalendarAdvance(Calendar,Y2834,NDays&amp;"D")</f>
        <v>59057</v>
      </c>
      <c r="AA2834" s="116" t="e">
        <v>#N/A</v>
      </c>
      <c r="AB2834" s="113" t="e">
        <v>#N/A</v>
      </c>
    </row>
    <row r="2835" spans="17:28" x14ac:dyDescent="0.2">
      <c r="Q2835" s="72"/>
      <c r="T2835" s="72"/>
      <c r="U2835" s="93"/>
      <c r="X2835" s="114" t="str">
        <f t="shared" si="56"/>
        <v>1w</v>
      </c>
      <c r="Y2835" s="112">
        <f>_xll.qlCalendarAdvance(Calendar,Y2834,X2835,"f",FALSE)</f>
        <v>59064</v>
      </c>
      <c r="Z2835" s="115">
        <f>_xll.qlCalendarAdvance(Calendar,Y2835,NDays&amp;"D")</f>
        <v>59064</v>
      </c>
      <c r="AA2835" s="116" t="e">
        <v>#N/A</v>
      </c>
      <c r="AB2835" s="113" t="e">
        <v>#N/A</v>
      </c>
    </row>
    <row r="2836" spans="17:28" x14ac:dyDescent="0.2">
      <c r="Q2836" s="72"/>
      <c r="T2836" s="72"/>
      <c r="U2836" s="93"/>
      <c r="X2836" s="114" t="str">
        <f t="shared" si="56"/>
        <v>1w</v>
      </c>
      <c r="Y2836" s="112">
        <f>_xll.qlCalendarAdvance(Calendar,Y2835,X2836,"f",FALSE)</f>
        <v>59071</v>
      </c>
      <c r="Z2836" s="115">
        <f>_xll.qlCalendarAdvance(Calendar,Y2836,NDays&amp;"D")</f>
        <v>59071</v>
      </c>
      <c r="AA2836" s="116" t="e">
        <v>#N/A</v>
      </c>
      <c r="AB2836" s="113" t="e">
        <v>#N/A</v>
      </c>
    </row>
    <row r="2837" spans="17:28" x14ac:dyDescent="0.2">
      <c r="Q2837" s="72"/>
      <c r="T2837" s="72"/>
      <c r="U2837" s="93"/>
      <c r="X2837" s="114" t="str">
        <f t="shared" ref="X2837:X2900" si="57">X2836</f>
        <v>1w</v>
      </c>
      <c r="Y2837" s="112">
        <f>_xll.qlCalendarAdvance(Calendar,Y2836,X2837,"f",FALSE)</f>
        <v>59078</v>
      </c>
      <c r="Z2837" s="115">
        <f>_xll.qlCalendarAdvance(Calendar,Y2837,NDays&amp;"D")</f>
        <v>59078</v>
      </c>
      <c r="AA2837" s="116" t="e">
        <v>#N/A</v>
      </c>
      <c r="AB2837" s="113" t="e">
        <v>#N/A</v>
      </c>
    </row>
    <row r="2838" spans="17:28" x14ac:dyDescent="0.2">
      <c r="Q2838" s="72"/>
      <c r="T2838" s="72"/>
      <c r="U2838" s="93"/>
      <c r="X2838" s="114" t="str">
        <f t="shared" si="57"/>
        <v>1w</v>
      </c>
      <c r="Y2838" s="112">
        <f>_xll.qlCalendarAdvance(Calendar,Y2837,X2838,"f",FALSE)</f>
        <v>59085</v>
      </c>
      <c r="Z2838" s="115">
        <f>_xll.qlCalendarAdvance(Calendar,Y2838,NDays&amp;"D")</f>
        <v>59085</v>
      </c>
      <c r="AA2838" s="116" t="e">
        <v>#N/A</v>
      </c>
      <c r="AB2838" s="113" t="e">
        <v>#N/A</v>
      </c>
    </row>
    <row r="2839" spans="17:28" x14ac:dyDescent="0.2">
      <c r="Q2839" s="72"/>
      <c r="T2839" s="72"/>
      <c r="U2839" s="93"/>
      <c r="X2839" s="114" t="str">
        <f t="shared" si="57"/>
        <v>1w</v>
      </c>
      <c r="Y2839" s="112">
        <f>_xll.qlCalendarAdvance(Calendar,Y2838,X2839,"f",FALSE)</f>
        <v>59092</v>
      </c>
      <c r="Z2839" s="115">
        <f>_xll.qlCalendarAdvance(Calendar,Y2839,NDays&amp;"D")</f>
        <v>59092</v>
      </c>
      <c r="AA2839" s="116" t="e">
        <v>#N/A</v>
      </c>
      <c r="AB2839" s="113" t="e">
        <v>#N/A</v>
      </c>
    </row>
    <row r="2840" spans="17:28" x14ac:dyDescent="0.2">
      <c r="Q2840" s="72"/>
      <c r="T2840" s="72"/>
      <c r="U2840" s="93"/>
      <c r="X2840" s="114" t="str">
        <f t="shared" si="57"/>
        <v>1w</v>
      </c>
      <c r="Y2840" s="112">
        <f>_xll.qlCalendarAdvance(Calendar,Y2839,X2840,"f",FALSE)</f>
        <v>59099</v>
      </c>
      <c r="Z2840" s="115">
        <f>_xll.qlCalendarAdvance(Calendar,Y2840,NDays&amp;"D")</f>
        <v>59099</v>
      </c>
      <c r="AA2840" s="116" t="e">
        <v>#N/A</v>
      </c>
      <c r="AB2840" s="113" t="e">
        <v>#N/A</v>
      </c>
    </row>
    <row r="2841" spans="17:28" x14ac:dyDescent="0.2">
      <c r="Q2841" s="72"/>
      <c r="T2841" s="72"/>
      <c r="U2841" s="93"/>
      <c r="X2841" s="114" t="str">
        <f t="shared" si="57"/>
        <v>1w</v>
      </c>
      <c r="Y2841" s="112">
        <f>_xll.qlCalendarAdvance(Calendar,Y2840,X2841,"f",FALSE)</f>
        <v>59106</v>
      </c>
      <c r="Z2841" s="115">
        <f>_xll.qlCalendarAdvance(Calendar,Y2841,NDays&amp;"D")</f>
        <v>59106</v>
      </c>
      <c r="AA2841" s="116" t="e">
        <v>#N/A</v>
      </c>
      <c r="AB2841" s="113" t="e">
        <v>#N/A</v>
      </c>
    </row>
    <row r="2842" spans="17:28" x14ac:dyDescent="0.2">
      <c r="Q2842" s="72"/>
      <c r="T2842" s="72"/>
      <c r="U2842" s="93"/>
      <c r="X2842" s="114" t="str">
        <f t="shared" si="57"/>
        <v>1w</v>
      </c>
      <c r="Y2842" s="112">
        <f>_xll.qlCalendarAdvance(Calendar,Y2841,X2842,"f",FALSE)</f>
        <v>59113</v>
      </c>
      <c r="Z2842" s="115">
        <f>_xll.qlCalendarAdvance(Calendar,Y2842,NDays&amp;"D")</f>
        <v>59113</v>
      </c>
      <c r="AA2842" s="116" t="e">
        <v>#N/A</v>
      </c>
      <c r="AB2842" s="113" t="e">
        <v>#N/A</v>
      </c>
    </row>
    <row r="2843" spans="17:28" x14ac:dyDescent="0.2">
      <c r="Q2843" s="72"/>
      <c r="T2843" s="72"/>
      <c r="U2843" s="93"/>
      <c r="X2843" s="114" t="str">
        <f t="shared" si="57"/>
        <v>1w</v>
      </c>
      <c r="Y2843" s="112">
        <f>_xll.qlCalendarAdvance(Calendar,Y2842,X2843,"f",FALSE)</f>
        <v>59120</v>
      </c>
      <c r="Z2843" s="115">
        <f>_xll.qlCalendarAdvance(Calendar,Y2843,NDays&amp;"D")</f>
        <v>59120</v>
      </c>
      <c r="AA2843" s="116" t="e">
        <v>#N/A</v>
      </c>
      <c r="AB2843" s="113" t="e">
        <v>#N/A</v>
      </c>
    </row>
    <row r="2844" spans="17:28" x14ac:dyDescent="0.2">
      <c r="Q2844" s="72"/>
      <c r="T2844" s="72"/>
      <c r="U2844" s="93"/>
      <c r="X2844" s="114" t="str">
        <f t="shared" si="57"/>
        <v>1w</v>
      </c>
      <c r="Y2844" s="112">
        <f>_xll.qlCalendarAdvance(Calendar,Y2843,X2844,"f",FALSE)</f>
        <v>59127</v>
      </c>
      <c r="Z2844" s="115">
        <f>_xll.qlCalendarAdvance(Calendar,Y2844,NDays&amp;"D")</f>
        <v>59127</v>
      </c>
      <c r="AA2844" s="116" t="e">
        <v>#N/A</v>
      </c>
      <c r="AB2844" s="113" t="e">
        <v>#N/A</v>
      </c>
    </row>
    <row r="2845" spans="17:28" x14ac:dyDescent="0.2">
      <c r="Q2845" s="72"/>
      <c r="T2845" s="72"/>
      <c r="U2845" s="93"/>
      <c r="X2845" s="114" t="str">
        <f t="shared" si="57"/>
        <v>1w</v>
      </c>
      <c r="Y2845" s="112">
        <f>_xll.qlCalendarAdvance(Calendar,Y2844,X2845,"f",FALSE)</f>
        <v>59134</v>
      </c>
      <c r="Z2845" s="115">
        <f>_xll.qlCalendarAdvance(Calendar,Y2845,NDays&amp;"D")</f>
        <v>59134</v>
      </c>
      <c r="AA2845" s="116" t="e">
        <v>#N/A</v>
      </c>
      <c r="AB2845" s="113" t="e">
        <v>#N/A</v>
      </c>
    </row>
    <row r="2846" spans="17:28" x14ac:dyDescent="0.2">
      <c r="Q2846" s="72"/>
      <c r="T2846" s="72"/>
      <c r="U2846" s="93"/>
      <c r="X2846" s="114" t="str">
        <f t="shared" si="57"/>
        <v>1w</v>
      </c>
      <c r="Y2846" s="112">
        <f>_xll.qlCalendarAdvance(Calendar,Y2845,X2846,"f",FALSE)</f>
        <v>59141</v>
      </c>
      <c r="Z2846" s="115">
        <f>_xll.qlCalendarAdvance(Calendar,Y2846,NDays&amp;"D")</f>
        <v>59141</v>
      </c>
      <c r="AA2846" s="116" t="e">
        <v>#N/A</v>
      </c>
      <c r="AB2846" s="113" t="e">
        <v>#N/A</v>
      </c>
    </row>
    <row r="2847" spans="17:28" x14ac:dyDescent="0.2">
      <c r="Q2847" s="72"/>
      <c r="T2847" s="72"/>
      <c r="U2847" s="93"/>
      <c r="X2847" s="114" t="str">
        <f t="shared" si="57"/>
        <v>1w</v>
      </c>
      <c r="Y2847" s="112">
        <f>_xll.qlCalendarAdvance(Calendar,Y2846,X2847,"f",FALSE)</f>
        <v>59148</v>
      </c>
      <c r="Z2847" s="115">
        <f>_xll.qlCalendarAdvance(Calendar,Y2847,NDays&amp;"D")</f>
        <v>59148</v>
      </c>
      <c r="AA2847" s="116" t="e">
        <v>#N/A</v>
      </c>
      <c r="AB2847" s="113" t="e">
        <v>#N/A</v>
      </c>
    </row>
    <row r="2848" spans="17:28" x14ac:dyDescent="0.2">
      <c r="Q2848" s="72"/>
      <c r="T2848" s="72"/>
      <c r="U2848" s="93"/>
      <c r="X2848" s="114" t="str">
        <f t="shared" si="57"/>
        <v>1w</v>
      </c>
      <c r="Y2848" s="112">
        <f>_xll.qlCalendarAdvance(Calendar,Y2847,X2848,"f",FALSE)</f>
        <v>59155</v>
      </c>
      <c r="Z2848" s="115">
        <f>_xll.qlCalendarAdvance(Calendar,Y2848,NDays&amp;"D")</f>
        <v>59155</v>
      </c>
      <c r="AA2848" s="116" t="e">
        <v>#N/A</v>
      </c>
      <c r="AB2848" s="113" t="e">
        <v>#N/A</v>
      </c>
    </row>
    <row r="2849" spans="17:28" x14ac:dyDescent="0.2">
      <c r="Q2849" s="72"/>
      <c r="T2849" s="72"/>
      <c r="U2849" s="93"/>
      <c r="X2849" s="114" t="str">
        <f t="shared" si="57"/>
        <v>1w</v>
      </c>
      <c r="Y2849" s="112">
        <f>_xll.qlCalendarAdvance(Calendar,Y2848,X2849,"f",FALSE)</f>
        <v>59162</v>
      </c>
      <c r="Z2849" s="115">
        <f>_xll.qlCalendarAdvance(Calendar,Y2849,NDays&amp;"D")</f>
        <v>59162</v>
      </c>
      <c r="AA2849" s="116" t="e">
        <v>#N/A</v>
      </c>
      <c r="AB2849" s="113" t="e">
        <v>#N/A</v>
      </c>
    </row>
    <row r="2850" spans="17:28" x14ac:dyDescent="0.2">
      <c r="Q2850" s="72"/>
      <c r="T2850" s="72"/>
      <c r="U2850" s="93"/>
      <c r="X2850" s="114" t="str">
        <f t="shared" si="57"/>
        <v>1w</v>
      </c>
      <c r="Y2850" s="112">
        <f>_xll.qlCalendarAdvance(Calendar,Y2849,X2850,"f",FALSE)</f>
        <v>59169</v>
      </c>
      <c r="Z2850" s="115">
        <f>_xll.qlCalendarAdvance(Calendar,Y2850,NDays&amp;"D")</f>
        <v>59169</v>
      </c>
      <c r="AA2850" s="116" t="e">
        <v>#N/A</v>
      </c>
      <c r="AB2850" s="113" t="e">
        <v>#N/A</v>
      </c>
    </row>
    <row r="2851" spans="17:28" x14ac:dyDescent="0.2">
      <c r="Q2851" s="72"/>
      <c r="T2851" s="72"/>
      <c r="U2851" s="93"/>
      <c r="X2851" s="114" t="str">
        <f t="shared" si="57"/>
        <v>1w</v>
      </c>
      <c r="Y2851" s="112">
        <f>_xll.qlCalendarAdvance(Calendar,Y2850,X2851,"f",FALSE)</f>
        <v>59176</v>
      </c>
      <c r="Z2851" s="115">
        <f>_xll.qlCalendarAdvance(Calendar,Y2851,NDays&amp;"D")</f>
        <v>59176</v>
      </c>
      <c r="AA2851" s="116" t="e">
        <v>#N/A</v>
      </c>
      <c r="AB2851" s="113" t="e">
        <v>#N/A</v>
      </c>
    </row>
    <row r="2852" spans="17:28" x14ac:dyDescent="0.2">
      <c r="Q2852" s="72"/>
      <c r="T2852" s="72"/>
      <c r="U2852" s="93"/>
      <c r="X2852" s="114" t="str">
        <f t="shared" si="57"/>
        <v>1w</v>
      </c>
      <c r="Y2852" s="112">
        <f>_xll.qlCalendarAdvance(Calendar,Y2851,X2852,"f",FALSE)</f>
        <v>59183</v>
      </c>
      <c r="Z2852" s="115">
        <f>_xll.qlCalendarAdvance(Calendar,Y2852,NDays&amp;"D")</f>
        <v>59183</v>
      </c>
      <c r="AA2852" s="116" t="e">
        <v>#N/A</v>
      </c>
      <c r="AB2852" s="113" t="e">
        <v>#N/A</v>
      </c>
    </row>
    <row r="2853" spans="17:28" x14ac:dyDescent="0.2">
      <c r="Q2853" s="72"/>
      <c r="T2853" s="72"/>
      <c r="U2853" s="93"/>
      <c r="X2853" s="114" t="str">
        <f t="shared" si="57"/>
        <v>1w</v>
      </c>
      <c r="Y2853" s="112">
        <f>_xll.qlCalendarAdvance(Calendar,Y2852,X2853,"f",FALSE)</f>
        <v>59190</v>
      </c>
      <c r="Z2853" s="115">
        <f>_xll.qlCalendarAdvance(Calendar,Y2853,NDays&amp;"D")</f>
        <v>59190</v>
      </c>
      <c r="AA2853" s="116" t="e">
        <v>#N/A</v>
      </c>
      <c r="AB2853" s="113" t="e">
        <v>#N/A</v>
      </c>
    </row>
    <row r="2854" spans="17:28" x14ac:dyDescent="0.2">
      <c r="Q2854" s="72"/>
      <c r="T2854" s="72"/>
      <c r="U2854" s="93"/>
      <c r="X2854" s="114" t="str">
        <f t="shared" si="57"/>
        <v>1w</v>
      </c>
      <c r="Y2854" s="112">
        <f>_xll.qlCalendarAdvance(Calendar,Y2853,X2854,"f",FALSE)</f>
        <v>59198</v>
      </c>
      <c r="Z2854" s="115">
        <f>_xll.qlCalendarAdvance(Calendar,Y2854,NDays&amp;"D")</f>
        <v>59198</v>
      </c>
      <c r="AA2854" s="116" t="e">
        <v>#N/A</v>
      </c>
      <c r="AB2854" s="113" t="e">
        <v>#N/A</v>
      </c>
    </row>
    <row r="2855" spans="17:28" x14ac:dyDescent="0.2">
      <c r="Q2855" s="72"/>
      <c r="T2855" s="72"/>
      <c r="U2855" s="93"/>
      <c r="X2855" s="114" t="str">
        <f t="shared" si="57"/>
        <v>1w</v>
      </c>
      <c r="Y2855" s="112">
        <f>_xll.qlCalendarAdvance(Calendar,Y2854,X2855,"f",FALSE)</f>
        <v>59205</v>
      </c>
      <c r="Z2855" s="115">
        <f>_xll.qlCalendarAdvance(Calendar,Y2855,NDays&amp;"D")</f>
        <v>59205</v>
      </c>
      <c r="AA2855" s="116" t="e">
        <v>#N/A</v>
      </c>
      <c r="AB2855" s="113" t="e">
        <v>#N/A</v>
      </c>
    </row>
    <row r="2856" spans="17:28" x14ac:dyDescent="0.2">
      <c r="Q2856" s="72"/>
      <c r="T2856" s="72"/>
      <c r="U2856" s="93"/>
      <c r="X2856" s="114" t="str">
        <f t="shared" si="57"/>
        <v>1w</v>
      </c>
      <c r="Y2856" s="112">
        <f>_xll.qlCalendarAdvance(Calendar,Y2855,X2856,"f",FALSE)</f>
        <v>59212</v>
      </c>
      <c r="Z2856" s="115">
        <f>_xll.qlCalendarAdvance(Calendar,Y2856,NDays&amp;"D")</f>
        <v>59212</v>
      </c>
      <c r="AA2856" s="116" t="e">
        <v>#N/A</v>
      </c>
      <c r="AB2856" s="113" t="e">
        <v>#N/A</v>
      </c>
    </row>
    <row r="2857" spans="17:28" x14ac:dyDescent="0.2">
      <c r="Q2857" s="72"/>
      <c r="T2857" s="72"/>
      <c r="U2857" s="93"/>
      <c r="X2857" s="114" t="str">
        <f t="shared" si="57"/>
        <v>1w</v>
      </c>
      <c r="Y2857" s="112">
        <f>_xll.qlCalendarAdvance(Calendar,Y2856,X2857,"f",FALSE)</f>
        <v>59219</v>
      </c>
      <c r="Z2857" s="115">
        <f>_xll.qlCalendarAdvance(Calendar,Y2857,NDays&amp;"D")</f>
        <v>59219</v>
      </c>
      <c r="AA2857" s="116" t="e">
        <v>#N/A</v>
      </c>
      <c r="AB2857" s="113" t="e">
        <v>#N/A</v>
      </c>
    </row>
    <row r="2858" spans="17:28" x14ac:dyDescent="0.2">
      <c r="Q2858" s="72"/>
      <c r="T2858" s="72"/>
      <c r="U2858" s="93"/>
      <c r="X2858" s="114" t="str">
        <f t="shared" si="57"/>
        <v>1w</v>
      </c>
      <c r="Y2858" s="112">
        <f>_xll.qlCalendarAdvance(Calendar,Y2857,X2858,"f",FALSE)</f>
        <v>59226</v>
      </c>
      <c r="Z2858" s="115">
        <f>_xll.qlCalendarAdvance(Calendar,Y2858,NDays&amp;"D")</f>
        <v>59226</v>
      </c>
      <c r="AA2858" s="116" t="e">
        <v>#N/A</v>
      </c>
      <c r="AB2858" s="113" t="e">
        <v>#N/A</v>
      </c>
    </row>
    <row r="2859" spans="17:28" x14ac:dyDescent="0.2">
      <c r="Q2859" s="72"/>
      <c r="T2859" s="72"/>
      <c r="U2859" s="93"/>
      <c r="X2859" s="114" t="str">
        <f t="shared" si="57"/>
        <v>1w</v>
      </c>
      <c r="Y2859" s="112">
        <f>_xll.qlCalendarAdvance(Calendar,Y2858,X2859,"f",FALSE)</f>
        <v>59233</v>
      </c>
      <c r="Z2859" s="115">
        <f>_xll.qlCalendarAdvance(Calendar,Y2859,NDays&amp;"D")</f>
        <v>59233</v>
      </c>
      <c r="AA2859" s="116" t="e">
        <v>#N/A</v>
      </c>
      <c r="AB2859" s="113" t="e">
        <v>#N/A</v>
      </c>
    </row>
    <row r="2860" spans="17:28" x14ac:dyDescent="0.2">
      <c r="Q2860" s="72"/>
      <c r="T2860" s="72"/>
      <c r="U2860" s="93"/>
      <c r="X2860" s="114" t="str">
        <f t="shared" si="57"/>
        <v>1w</v>
      </c>
      <c r="Y2860" s="112">
        <f>_xll.qlCalendarAdvance(Calendar,Y2859,X2860,"f",FALSE)</f>
        <v>59240</v>
      </c>
      <c r="Z2860" s="115">
        <f>_xll.qlCalendarAdvance(Calendar,Y2860,NDays&amp;"D")</f>
        <v>59240</v>
      </c>
      <c r="AA2860" s="116" t="e">
        <v>#N/A</v>
      </c>
      <c r="AB2860" s="113" t="e">
        <v>#N/A</v>
      </c>
    </row>
    <row r="2861" spans="17:28" x14ac:dyDescent="0.2">
      <c r="Q2861" s="72"/>
      <c r="T2861" s="72"/>
      <c r="U2861" s="93"/>
      <c r="X2861" s="114" t="str">
        <f t="shared" si="57"/>
        <v>1w</v>
      </c>
      <c r="Y2861" s="112">
        <f>_xll.qlCalendarAdvance(Calendar,Y2860,X2861,"f",FALSE)</f>
        <v>59247</v>
      </c>
      <c r="Z2861" s="115">
        <f>_xll.qlCalendarAdvance(Calendar,Y2861,NDays&amp;"D")</f>
        <v>59247</v>
      </c>
      <c r="AA2861" s="116" t="e">
        <v>#N/A</v>
      </c>
      <c r="AB2861" s="113" t="e">
        <v>#N/A</v>
      </c>
    </row>
    <row r="2862" spans="17:28" x14ac:dyDescent="0.2">
      <c r="Q2862" s="72"/>
      <c r="T2862" s="72"/>
      <c r="U2862" s="93"/>
      <c r="X2862" s="114" t="str">
        <f t="shared" si="57"/>
        <v>1w</v>
      </c>
      <c r="Y2862" s="112">
        <f>_xll.qlCalendarAdvance(Calendar,Y2861,X2862,"f",FALSE)</f>
        <v>59258</v>
      </c>
      <c r="Z2862" s="115">
        <f>_xll.qlCalendarAdvance(Calendar,Y2862,NDays&amp;"D")</f>
        <v>59258</v>
      </c>
      <c r="AA2862" s="116" t="e">
        <v>#N/A</v>
      </c>
      <c r="AB2862" s="113" t="e">
        <v>#N/A</v>
      </c>
    </row>
    <row r="2863" spans="17:28" x14ac:dyDescent="0.2">
      <c r="Q2863" s="72"/>
      <c r="T2863" s="72"/>
      <c r="U2863" s="93"/>
      <c r="X2863" s="114" t="str">
        <f t="shared" si="57"/>
        <v>1w</v>
      </c>
      <c r="Y2863" s="112">
        <f>_xll.qlCalendarAdvance(Calendar,Y2862,X2863,"f",FALSE)</f>
        <v>59265</v>
      </c>
      <c r="Z2863" s="115">
        <f>_xll.qlCalendarAdvance(Calendar,Y2863,NDays&amp;"D")</f>
        <v>59265</v>
      </c>
      <c r="AA2863" s="116" t="e">
        <v>#N/A</v>
      </c>
      <c r="AB2863" s="113" t="e">
        <v>#N/A</v>
      </c>
    </row>
    <row r="2864" spans="17:28" x14ac:dyDescent="0.2">
      <c r="Q2864" s="72"/>
      <c r="T2864" s="72"/>
      <c r="U2864" s="93"/>
      <c r="X2864" s="114" t="str">
        <f t="shared" si="57"/>
        <v>1w</v>
      </c>
      <c r="Y2864" s="112">
        <f>_xll.qlCalendarAdvance(Calendar,Y2863,X2864,"f",FALSE)</f>
        <v>59272</v>
      </c>
      <c r="Z2864" s="115">
        <f>_xll.qlCalendarAdvance(Calendar,Y2864,NDays&amp;"D")</f>
        <v>59272</v>
      </c>
      <c r="AA2864" s="116" t="e">
        <v>#N/A</v>
      </c>
      <c r="AB2864" s="113" t="e">
        <v>#N/A</v>
      </c>
    </row>
    <row r="2865" spans="17:28" x14ac:dyDescent="0.2">
      <c r="Q2865" s="72"/>
      <c r="T2865" s="72"/>
      <c r="U2865" s="93"/>
      <c r="X2865" s="114" t="str">
        <f t="shared" si="57"/>
        <v>1w</v>
      </c>
      <c r="Y2865" s="112">
        <f>_xll.qlCalendarAdvance(Calendar,Y2864,X2865,"f",FALSE)</f>
        <v>59279</v>
      </c>
      <c r="Z2865" s="115">
        <f>_xll.qlCalendarAdvance(Calendar,Y2865,NDays&amp;"D")</f>
        <v>59279</v>
      </c>
      <c r="AA2865" s="116" t="e">
        <v>#N/A</v>
      </c>
      <c r="AB2865" s="113" t="e">
        <v>#N/A</v>
      </c>
    </row>
    <row r="2866" spans="17:28" x14ac:dyDescent="0.2">
      <c r="Q2866" s="72"/>
      <c r="T2866" s="72"/>
      <c r="U2866" s="93"/>
      <c r="X2866" s="114" t="str">
        <f t="shared" si="57"/>
        <v>1w</v>
      </c>
      <c r="Y2866" s="112">
        <f>_xll.qlCalendarAdvance(Calendar,Y2865,X2866,"f",FALSE)</f>
        <v>59287</v>
      </c>
      <c r="Z2866" s="115">
        <f>_xll.qlCalendarAdvance(Calendar,Y2866,NDays&amp;"D")</f>
        <v>59287</v>
      </c>
      <c r="AA2866" s="116" t="e">
        <v>#N/A</v>
      </c>
      <c r="AB2866" s="113" t="e">
        <v>#N/A</v>
      </c>
    </row>
    <row r="2867" spans="17:28" x14ac:dyDescent="0.2">
      <c r="Q2867" s="72"/>
      <c r="T2867" s="72"/>
      <c r="U2867" s="93"/>
      <c r="X2867" s="114" t="str">
        <f t="shared" si="57"/>
        <v>1w</v>
      </c>
      <c r="Y2867" s="112">
        <f>_xll.qlCalendarAdvance(Calendar,Y2866,X2867,"f",FALSE)</f>
        <v>59294</v>
      </c>
      <c r="Z2867" s="115">
        <f>_xll.qlCalendarAdvance(Calendar,Y2867,NDays&amp;"D")</f>
        <v>59294</v>
      </c>
      <c r="AA2867" s="116" t="e">
        <v>#N/A</v>
      </c>
      <c r="AB2867" s="113" t="e">
        <v>#N/A</v>
      </c>
    </row>
    <row r="2868" spans="17:28" x14ac:dyDescent="0.2">
      <c r="Q2868" s="72"/>
      <c r="T2868" s="72"/>
      <c r="U2868" s="93"/>
      <c r="X2868" s="114" t="str">
        <f t="shared" si="57"/>
        <v>1w</v>
      </c>
      <c r="Y2868" s="112">
        <f>_xll.qlCalendarAdvance(Calendar,Y2867,X2868,"f",FALSE)</f>
        <v>59301</v>
      </c>
      <c r="Z2868" s="115">
        <f>_xll.qlCalendarAdvance(Calendar,Y2868,NDays&amp;"D")</f>
        <v>59301</v>
      </c>
      <c r="AA2868" s="116" t="e">
        <v>#N/A</v>
      </c>
      <c r="AB2868" s="113" t="e">
        <v>#N/A</v>
      </c>
    </row>
    <row r="2869" spans="17:28" x14ac:dyDescent="0.2">
      <c r="Q2869" s="72"/>
      <c r="T2869" s="72"/>
      <c r="U2869" s="93"/>
      <c r="X2869" s="114" t="str">
        <f t="shared" si="57"/>
        <v>1w</v>
      </c>
      <c r="Y2869" s="112">
        <f>_xll.qlCalendarAdvance(Calendar,Y2868,X2869,"f",FALSE)</f>
        <v>59308</v>
      </c>
      <c r="Z2869" s="115">
        <f>_xll.qlCalendarAdvance(Calendar,Y2869,NDays&amp;"D")</f>
        <v>59308</v>
      </c>
      <c r="AA2869" s="116" t="e">
        <v>#N/A</v>
      </c>
      <c r="AB2869" s="113" t="e">
        <v>#N/A</v>
      </c>
    </row>
    <row r="2870" spans="17:28" x14ac:dyDescent="0.2">
      <c r="Q2870" s="72"/>
      <c r="T2870" s="72"/>
      <c r="U2870" s="93"/>
      <c r="X2870" s="114" t="str">
        <f t="shared" si="57"/>
        <v>1w</v>
      </c>
      <c r="Y2870" s="112">
        <f>_xll.qlCalendarAdvance(Calendar,Y2869,X2870,"f",FALSE)</f>
        <v>59315</v>
      </c>
      <c r="Z2870" s="115">
        <f>_xll.qlCalendarAdvance(Calendar,Y2870,NDays&amp;"D")</f>
        <v>59315</v>
      </c>
      <c r="AA2870" s="116" t="e">
        <v>#N/A</v>
      </c>
      <c r="AB2870" s="113" t="e">
        <v>#N/A</v>
      </c>
    </row>
    <row r="2871" spans="17:28" x14ac:dyDescent="0.2">
      <c r="Q2871" s="72"/>
      <c r="T2871" s="72"/>
      <c r="U2871" s="93"/>
      <c r="X2871" s="114" t="str">
        <f t="shared" si="57"/>
        <v>1w</v>
      </c>
      <c r="Y2871" s="112">
        <f>_xll.qlCalendarAdvance(Calendar,Y2870,X2871,"f",FALSE)</f>
        <v>59322</v>
      </c>
      <c r="Z2871" s="115">
        <f>_xll.qlCalendarAdvance(Calendar,Y2871,NDays&amp;"D")</f>
        <v>59322</v>
      </c>
      <c r="AA2871" s="116" t="e">
        <v>#N/A</v>
      </c>
      <c r="AB2871" s="113" t="e">
        <v>#N/A</v>
      </c>
    </row>
    <row r="2872" spans="17:28" x14ac:dyDescent="0.2">
      <c r="Q2872" s="72"/>
      <c r="T2872" s="72"/>
      <c r="U2872" s="93"/>
      <c r="X2872" s="114" t="str">
        <f t="shared" si="57"/>
        <v>1w</v>
      </c>
      <c r="Y2872" s="112">
        <f>_xll.qlCalendarAdvance(Calendar,Y2871,X2872,"f",FALSE)</f>
        <v>59329</v>
      </c>
      <c r="Z2872" s="115">
        <f>_xll.qlCalendarAdvance(Calendar,Y2872,NDays&amp;"D")</f>
        <v>59329</v>
      </c>
      <c r="AA2872" s="116" t="e">
        <v>#N/A</v>
      </c>
      <c r="AB2872" s="113" t="e">
        <v>#N/A</v>
      </c>
    </row>
    <row r="2873" spans="17:28" x14ac:dyDescent="0.2">
      <c r="Q2873" s="72"/>
      <c r="T2873" s="72"/>
      <c r="U2873" s="93"/>
      <c r="X2873" s="114" t="str">
        <f t="shared" si="57"/>
        <v>1w</v>
      </c>
      <c r="Y2873" s="112">
        <f>_xll.qlCalendarAdvance(Calendar,Y2872,X2873,"f",FALSE)</f>
        <v>59336</v>
      </c>
      <c r="Z2873" s="115">
        <f>_xll.qlCalendarAdvance(Calendar,Y2873,NDays&amp;"D")</f>
        <v>59336</v>
      </c>
      <c r="AA2873" s="116" t="e">
        <v>#N/A</v>
      </c>
      <c r="AB2873" s="113" t="e">
        <v>#N/A</v>
      </c>
    </row>
    <row r="2874" spans="17:28" x14ac:dyDescent="0.2">
      <c r="Q2874" s="72"/>
      <c r="T2874" s="72"/>
      <c r="U2874" s="93"/>
      <c r="X2874" s="114" t="str">
        <f t="shared" si="57"/>
        <v>1w</v>
      </c>
      <c r="Y2874" s="112">
        <f>_xll.qlCalendarAdvance(Calendar,Y2873,X2874,"f",FALSE)</f>
        <v>59343</v>
      </c>
      <c r="Z2874" s="115">
        <f>_xll.qlCalendarAdvance(Calendar,Y2874,NDays&amp;"D")</f>
        <v>59343</v>
      </c>
      <c r="AA2874" s="116" t="e">
        <v>#N/A</v>
      </c>
      <c r="AB2874" s="113" t="e">
        <v>#N/A</v>
      </c>
    </row>
    <row r="2875" spans="17:28" x14ac:dyDescent="0.2">
      <c r="Q2875" s="72"/>
      <c r="T2875" s="72"/>
      <c r="U2875" s="93"/>
      <c r="X2875" s="114" t="str">
        <f t="shared" si="57"/>
        <v>1w</v>
      </c>
      <c r="Y2875" s="112">
        <f>_xll.qlCalendarAdvance(Calendar,Y2874,X2875,"f",FALSE)</f>
        <v>59350</v>
      </c>
      <c r="Z2875" s="115">
        <f>_xll.qlCalendarAdvance(Calendar,Y2875,NDays&amp;"D")</f>
        <v>59350</v>
      </c>
      <c r="AA2875" s="116" t="e">
        <v>#N/A</v>
      </c>
      <c r="AB2875" s="113" t="e">
        <v>#N/A</v>
      </c>
    </row>
    <row r="2876" spans="17:28" x14ac:dyDescent="0.2">
      <c r="Q2876" s="72"/>
      <c r="T2876" s="72"/>
      <c r="U2876" s="93"/>
      <c r="X2876" s="114" t="str">
        <f t="shared" si="57"/>
        <v>1w</v>
      </c>
      <c r="Y2876" s="112">
        <f>_xll.qlCalendarAdvance(Calendar,Y2875,X2876,"f",FALSE)</f>
        <v>59357</v>
      </c>
      <c r="Z2876" s="115">
        <f>_xll.qlCalendarAdvance(Calendar,Y2876,NDays&amp;"D")</f>
        <v>59357</v>
      </c>
      <c r="AA2876" s="116" t="e">
        <v>#N/A</v>
      </c>
      <c r="AB2876" s="113" t="e">
        <v>#N/A</v>
      </c>
    </row>
    <row r="2877" spans="17:28" x14ac:dyDescent="0.2">
      <c r="Q2877" s="72"/>
      <c r="T2877" s="72"/>
      <c r="U2877" s="93"/>
      <c r="X2877" s="114" t="str">
        <f t="shared" si="57"/>
        <v>1w</v>
      </c>
      <c r="Y2877" s="112">
        <f>_xll.qlCalendarAdvance(Calendar,Y2876,X2877,"f",FALSE)</f>
        <v>59364</v>
      </c>
      <c r="Z2877" s="115">
        <f>_xll.qlCalendarAdvance(Calendar,Y2877,NDays&amp;"D")</f>
        <v>59364</v>
      </c>
      <c r="AA2877" s="116" t="e">
        <v>#N/A</v>
      </c>
      <c r="AB2877" s="113" t="e">
        <v>#N/A</v>
      </c>
    </row>
    <row r="2878" spans="17:28" x14ac:dyDescent="0.2">
      <c r="Q2878" s="72"/>
      <c r="T2878" s="72"/>
      <c r="U2878" s="93"/>
      <c r="X2878" s="114" t="str">
        <f t="shared" si="57"/>
        <v>1w</v>
      </c>
      <c r="Y2878" s="112">
        <f>_xll.qlCalendarAdvance(Calendar,Y2877,X2878,"f",FALSE)</f>
        <v>59371</v>
      </c>
      <c r="Z2878" s="115">
        <f>_xll.qlCalendarAdvance(Calendar,Y2878,NDays&amp;"D")</f>
        <v>59371</v>
      </c>
      <c r="AA2878" s="116" t="e">
        <v>#N/A</v>
      </c>
      <c r="AB2878" s="113" t="e">
        <v>#N/A</v>
      </c>
    </row>
    <row r="2879" spans="17:28" x14ac:dyDescent="0.2">
      <c r="Q2879" s="72"/>
      <c r="T2879" s="72"/>
      <c r="U2879" s="93"/>
      <c r="X2879" s="114" t="str">
        <f t="shared" si="57"/>
        <v>1w</v>
      </c>
      <c r="Y2879" s="112">
        <f>_xll.qlCalendarAdvance(Calendar,Y2878,X2879,"f",FALSE)</f>
        <v>59378</v>
      </c>
      <c r="Z2879" s="115">
        <f>_xll.qlCalendarAdvance(Calendar,Y2879,NDays&amp;"D")</f>
        <v>59378</v>
      </c>
      <c r="AA2879" s="116" t="e">
        <v>#N/A</v>
      </c>
      <c r="AB2879" s="113" t="e">
        <v>#N/A</v>
      </c>
    </row>
    <row r="2880" spans="17:28" x14ac:dyDescent="0.2">
      <c r="Q2880" s="72"/>
      <c r="T2880" s="72"/>
      <c r="U2880" s="93"/>
      <c r="X2880" s="114" t="str">
        <f t="shared" si="57"/>
        <v>1w</v>
      </c>
      <c r="Y2880" s="112">
        <f>_xll.qlCalendarAdvance(Calendar,Y2879,X2880,"f",FALSE)</f>
        <v>59385</v>
      </c>
      <c r="Z2880" s="115">
        <f>_xll.qlCalendarAdvance(Calendar,Y2880,NDays&amp;"D")</f>
        <v>59385</v>
      </c>
      <c r="AA2880" s="116" t="e">
        <v>#N/A</v>
      </c>
      <c r="AB2880" s="113" t="e">
        <v>#N/A</v>
      </c>
    </row>
    <row r="2881" spans="17:28" x14ac:dyDescent="0.2">
      <c r="Q2881" s="72"/>
      <c r="T2881" s="72"/>
      <c r="U2881" s="93"/>
      <c r="X2881" s="114" t="str">
        <f t="shared" si="57"/>
        <v>1w</v>
      </c>
      <c r="Y2881" s="112">
        <f>_xll.qlCalendarAdvance(Calendar,Y2880,X2881,"f",FALSE)</f>
        <v>59392</v>
      </c>
      <c r="Z2881" s="115">
        <f>_xll.qlCalendarAdvance(Calendar,Y2881,NDays&amp;"D")</f>
        <v>59392</v>
      </c>
      <c r="AA2881" s="116" t="e">
        <v>#N/A</v>
      </c>
      <c r="AB2881" s="113" t="e">
        <v>#N/A</v>
      </c>
    </row>
    <row r="2882" spans="17:28" x14ac:dyDescent="0.2">
      <c r="Q2882" s="72"/>
      <c r="T2882" s="72"/>
      <c r="U2882" s="93"/>
      <c r="X2882" s="114" t="str">
        <f t="shared" si="57"/>
        <v>1w</v>
      </c>
      <c r="Y2882" s="112">
        <f>_xll.qlCalendarAdvance(Calendar,Y2881,X2882,"f",FALSE)</f>
        <v>59399</v>
      </c>
      <c r="Z2882" s="115">
        <f>_xll.qlCalendarAdvance(Calendar,Y2882,NDays&amp;"D")</f>
        <v>59399</v>
      </c>
      <c r="AA2882" s="116" t="e">
        <v>#N/A</v>
      </c>
      <c r="AB2882" s="113" t="e">
        <v>#N/A</v>
      </c>
    </row>
    <row r="2883" spans="17:28" x14ac:dyDescent="0.2">
      <c r="Q2883" s="72"/>
      <c r="T2883" s="72"/>
      <c r="U2883" s="93"/>
      <c r="X2883" s="114" t="str">
        <f t="shared" si="57"/>
        <v>1w</v>
      </c>
      <c r="Y2883" s="112">
        <f>_xll.qlCalendarAdvance(Calendar,Y2882,X2883,"f",FALSE)</f>
        <v>59406</v>
      </c>
      <c r="Z2883" s="115">
        <f>_xll.qlCalendarAdvance(Calendar,Y2883,NDays&amp;"D")</f>
        <v>59406</v>
      </c>
      <c r="AA2883" s="116" t="e">
        <v>#N/A</v>
      </c>
      <c r="AB2883" s="113" t="e">
        <v>#N/A</v>
      </c>
    </row>
    <row r="2884" spans="17:28" x14ac:dyDescent="0.2">
      <c r="Q2884" s="72"/>
      <c r="T2884" s="72"/>
      <c r="U2884" s="93"/>
      <c r="X2884" s="114" t="str">
        <f t="shared" si="57"/>
        <v>1w</v>
      </c>
      <c r="Y2884" s="112">
        <f>_xll.qlCalendarAdvance(Calendar,Y2883,X2884,"f",FALSE)</f>
        <v>59413</v>
      </c>
      <c r="Z2884" s="115">
        <f>_xll.qlCalendarAdvance(Calendar,Y2884,NDays&amp;"D")</f>
        <v>59413</v>
      </c>
      <c r="AA2884" s="116" t="e">
        <v>#N/A</v>
      </c>
      <c r="AB2884" s="113" t="e">
        <v>#N/A</v>
      </c>
    </row>
    <row r="2885" spans="17:28" x14ac:dyDescent="0.2">
      <c r="Q2885" s="72"/>
      <c r="T2885" s="72"/>
      <c r="U2885" s="93"/>
      <c r="X2885" s="114" t="str">
        <f t="shared" si="57"/>
        <v>1w</v>
      </c>
      <c r="Y2885" s="112">
        <f>_xll.qlCalendarAdvance(Calendar,Y2884,X2885,"f",FALSE)</f>
        <v>59420</v>
      </c>
      <c r="Z2885" s="115">
        <f>_xll.qlCalendarAdvance(Calendar,Y2885,NDays&amp;"D")</f>
        <v>59420</v>
      </c>
      <c r="AA2885" s="116" t="e">
        <v>#N/A</v>
      </c>
      <c r="AB2885" s="113" t="e">
        <v>#N/A</v>
      </c>
    </row>
    <row r="2886" spans="17:28" x14ac:dyDescent="0.2">
      <c r="Q2886" s="72"/>
      <c r="T2886" s="72"/>
      <c r="U2886" s="93"/>
      <c r="X2886" s="114" t="str">
        <f t="shared" si="57"/>
        <v>1w</v>
      </c>
      <c r="Y2886" s="112">
        <f>_xll.qlCalendarAdvance(Calendar,Y2885,X2886,"f",FALSE)</f>
        <v>59427</v>
      </c>
      <c r="Z2886" s="115">
        <f>_xll.qlCalendarAdvance(Calendar,Y2886,NDays&amp;"D")</f>
        <v>59427</v>
      </c>
      <c r="AA2886" s="116" t="e">
        <v>#N/A</v>
      </c>
      <c r="AB2886" s="113" t="e">
        <v>#N/A</v>
      </c>
    </row>
    <row r="2887" spans="17:28" x14ac:dyDescent="0.2">
      <c r="Q2887" s="72"/>
      <c r="T2887" s="72"/>
      <c r="U2887" s="93"/>
      <c r="X2887" s="114" t="str">
        <f t="shared" si="57"/>
        <v>1w</v>
      </c>
      <c r="Y2887" s="112">
        <f>_xll.qlCalendarAdvance(Calendar,Y2886,X2887,"f",FALSE)</f>
        <v>59434</v>
      </c>
      <c r="Z2887" s="115">
        <f>_xll.qlCalendarAdvance(Calendar,Y2887,NDays&amp;"D")</f>
        <v>59434</v>
      </c>
      <c r="AA2887" s="116" t="e">
        <v>#N/A</v>
      </c>
      <c r="AB2887" s="113" t="e">
        <v>#N/A</v>
      </c>
    </row>
    <row r="2888" spans="17:28" x14ac:dyDescent="0.2">
      <c r="Q2888" s="72"/>
      <c r="T2888" s="72"/>
      <c r="U2888" s="93"/>
      <c r="X2888" s="114" t="str">
        <f t="shared" si="57"/>
        <v>1w</v>
      </c>
      <c r="Y2888" s="112">
        <f>_xll.qlCalendarAdvance(Calendar,Y2887,X2888,"f",FALSE)</f>
        <v>59441</v>
      </c>
      <c r="Z2888" s="115">
        <f>_xll.qlCalendarAdvance(Calendar,Y2888,NDays&amp;"D")</f>
        <v>59441</v>
      </c>
      <c r="AA2888" s="116" t="e">
        <v>#N/A</v>
      </c>
      <c r="AB2888" s="113" t="e">
        <v>#N/A</v>
      </c>
    </row>
    <row r="2889" spans="17:28" x14ac:dyDescent="0.2">
      <c r="Q2889" s="72"/>
      <c r="T2889" s="72"/>
      <c r="U2889" s="93"/>
      <c r="X2889" s="114" t="str">
        <f t="shared" si="57"/>
        <v>1w</v>
      </c>
      <c r="Y2889" s="112">
        <f>_xll.qlCalendarAdvance(Calendar,Y2888,X2889,"f",FALSE)</f>
        <v>59448</v>
      </c>
      <c r="Z2889" s="115">
        <f>_xll.qlCalendarAdvance(Calendar,Y2889,NDays&amp;"D")</f>
        <v>59448</v>
      </c>
      <c r="AA2889" s="116" t="e">
        <v>#N/A</v>
      </c>
      <c r="AB2889" s="113" t="e">
        <v>#N/A</v>
      </c>
    </row>
    <row r="2890" spans="17:28" x14ac:dyDescent="0.2">
      <c r="Q2890" s="72"/>
      <c r="T2890" s="72"/>
      <c r="U2890" s="93"/>
      <c r="X2890" s="114" t="str">
        <f t="shared" si="57"/>
        <v>1w</v>
      </c>
      <c r="Y2890" s="112">
        <f>_xll.qlCalendarAdvance(Calendar,Y2889,X2890,"f",FALSE)</f>
        <v>59455</v>
      </c>
      <c r="Z2890" s="115">
        <f>_xll.qlCalendarAdvance(Calendar,Y2890,NDays&amp;"D")</f>
        <v>59455</v>
      </c>
      <c r="AA2890" s="116" t="e">
        <v>#N/A</v>
      </c>
      <c r="AB2890" s="113" t="e">
        <v>#N/A</v>
      </c>
    </row>
    <row r="2891" spans="17:28" x14ac:dyDescent="0.2">
      <c r="Q2891" s="72"/>
      <c r="T2891" s="72"/>
      <c r="U2891" s="93"/>
      <c r="X2891" s="114" t="str">
        <f t="shared" si="57"/>
        <v>1w</v>
      </c>
      <c r="Y2891" s="112">
        <f>_xll.qlCalendarAdvance(Calendar,Y2890,X2891,"f",FALSE)</f>
        <v>59462</v>
      </c>
      <c r="Z2891" s="115">
        <f>_xll.qlCalendarAdvance(Calendar,Y2891,NDays&amp;"D")</f>
        <v>59462</v>
      </c>
      <c r="AA2891" s="116" t="e">
        <v>#N/A</v>
      </c>
      <c r="AB2891" s="113" t="e">
        <v>#N/A</v>
      </c>
    </row>
    <row r="2892" spans="17:28" x14ac:dyDescent="0.2">
      <c r="Q2892" s="72"/>
      <c r="T2892" s="72"/>
      <c r="U2892" s="93"/>
      <c r="X2892" s="114" t="str">
        <f t="shared" si="57"/>
        <v>1w</v>
      </c>
      <c r="Y2892" s="112">
        <f>_xll.qlCalendarAdvance(Calendar,Y2891,X2892,"f",FALSE)</f>
        <v>59469</v>
      </c>
      <c r="Z2892" s="115">
        <f>_xll.qlCalendarAdvance(Calendar,Y2892,NDays&amp;"D")</f>
        <v>59469</v>
      </c>
      <c r="AA2892" s="116" t="e">
        <v>#N/A</v>
      </c>
      <c r="AB2892" s="113" t="e">
        <v>#N/A</v>
      </c>
    </row>
    <row r="2893" spans="17:28" x14ac:dyDescent="0.2">
      <c r="Q2893" s="72"/>
      <c r="T2893" s="72"/>
      <c r="U2893" s="93"/>
      <c r="X2893" s="114" t="str">
        <f t="shared" si="57"/>
        <v>1w</v>
      </c>
      <c r="Y2893" s="112">
        <f>_xll.qlCalendarAdvance(Calendar,Y2892,X2893,"f",FALSE)</f>
        <v>59476</v>
      </c>
      <c r="Z2893" s="115">
        <f>_xll.qlCalendarAdvance(Calendar,Y2893,NDays&amp;"D")</f>
        <v>59476</v>
      </c>
      <c r="AA2893" s="116" t="e">
        <v>#N/A</v>
      </c>
      <c r="AB2893" s="113" t="e">
        <v>#N/A</v>
      </c>
    </row>
    <row r="2894" spans="17:28" x14ac:dyDescent="0.2">
      <c r="Q2894" s="72"/>
      <c r="T2894" s="72"/>
      <c r="U2894" s="93"/>
      <c r="X2894" s="114" t="str">
        <f t="shared" si="57"/>
        <v>1w</v>
      </c>
      <c r="Y2894" s="112">
        <f>_xll.qlCalendarAdvance(Calendar,Y2893,X2894,"f",FALSE)</f>
        <v>59483</v>
      </c>
      <c r="Z2894" s="115">
        <f>_xll.qlCalendarAdvance(Calendar,Y2894,NDays&amp;"D")</f>
        <v>59483</v>
      </c>
      <c r="AA2894" s="116" t="e">
        <v>#N/A</v>
      </c>
      <c r="AB2894" s="113" t="e">
        <v>#N/A</v>
      </c>
    </row>
    <row r="2895" spans="17:28" x14ac:dyDescent="0.2">
      <c r="Q2895" s="72"/>
      <c r="T2895" s="72"/>
      <c r="U2895" s="93"/>
      <c r="X2895" s="114" t="str">
        <f t="shared" si="57"/>
        <v>1w</v>
      </c>
      <c r="Y2895" s="112">
        <f>_xll.qlCalendarAdvance(Calendar,Y2894,X2895,"f",FALSE)</f>
        <v>59490</v>
      </c>
      <c r="Z2895" s="115">
        <f>_xll.qlCalendarAdvance(Calendar,Y2895,NDays&amp;"D")</f>
        <v>59490</v>
      </c>
      <c r="AA2895" s="116" t="e">
        <v>#N/A</v>
      </c>
      <c r="AB2895" s="113" t="e">
        <v>#N/A</v>
      </c>
    </row>
    <row r="2896" spans="17:28" x14ac:dyDescent="0.2">
      <c r="Q2896" s="72"/>
      <c r="T2896" s="72"/>
      <c r="U2896" s="93"/>
      <c r="X2896" s="114" t="str">
        <f t="shared" si="57"/>
        <v>1w</v>
      </c>
      <c r="Y2896" s="112">
        <f>_xll.qlCalendarAdvance(Calendar,Y2895,X2896,"f",FALSE)</f>
        <v>59497</v>
      </c>
      <c r="Z2896" s="115">
        <f>_xll.qlCalendarAdvance(Calendar,Y2896,NDays&amp;"D")</f>
        <v>59497</v>
      </c>
      <c r="AA2896" s="116" t="e">
        <v>#N/A</v>
      </c>
      <c r="AB2896" s="113" t="e">
        <v>#N/A</v>
      </c>
    </row>
    <row r="2897" spans="17:28" x14ac:dyDescent="0.2">
      <c r="Q2897" s="72"/>
      <c r="T2897" s="72"/>
      <c r="U2897" s="93"/>
      <c r="X2897" s="114" t="str">
        <f t="shared" si="57"/>
        <v>1w</v>
      </c>
      <c r="Y2897" s="112">
        <f>_xll.qlCalendarAdvance(Calendar,Y2896,X2897,"f",FALSE)</f>
        <v>59504</v>
      </c>
      <c r="Z2897" s="115">
        <f>_xll.qlCalendarAdvance(Calendar,Y2897,NDays&amp;"D")</f>
        <v>59504</v>
      </c>
      <c r="AA2897" s="116" t="e">
        <v>#N/A</v>
      </c>
      <c r="AB2897" s="113" t="e">
        <v>#N/A</v>
      </c>
    </row>
    <row r="2898" spans="17:28" x14ac:dyDescent="0.2">
      <c r="Q2898" s="72"/>
      <c r="T2898" s="72"/>
      <c r="U2898" s="93"/>
      <c r="X2898" s="114" t="str">
        <f t="shared" si="57"/>
        <v>1w</v>
      </c>
      <c r="Y2898" s="112">
        <f>_xll.qlCalendarAdvance(Calendar,Y2897,X2898,"f",FALSE)</f>
        <v>59511</v>
      </c>
      <c r="Z2898" s="115">
        <f>_xll.qlCalendarAdvance(Calendar,Y2898,NDays&amp;"D")</f>
        <v>59511</v>
      </c>
      <c r="AA2898" s="116" t="e">
        <v>#N/A</v>
      </c>
      <c r="AB2898" s="113" t="e">
        <v>#N/A</v>
      </c>
    </row>
    <row r="2899" spans="17:28" x14ac:dyDescent="0.2">
      <c r="Q2899" s="72"/>
      <c r="T2899" s="72"/>
      <c r="U2899" s="93"/>
      <c r="X2899" s="114" t="str">
        <f t="shared" si="57"/>
        <v>1w</v>
      </c>
      <c r="Y2899" s="112">
        <f>_xll.qlCalendarAdvance(Calendar,Y2898,X2899,"f",FALSE)</f>
        <v>59518</v>
      </c>
      <c r="Z2899" s="115">
        <f>_xll.qlCalendarAdvance(Calendar,Y2899,NDays&amp;"D")</f>
        <v>59518</v>
      </c>
      <c r="AA2899" s="116" t="e">
        <v>#N/A</v>
      </c>
      <c r="AB2899" s="113" t="e">
        <v>#N/A</v>
      </c>
    </row>
    <row r="2900" spans="17:28" x14ac:dyDescent="0.2">
      <c r="Q2900" s="72"/>
      <c r="T2900" s="72"/>
      <c r="U2900" s="93"/>
      <c r="X2900" s="114" t="str">
        <f t="shared" si="57"/>
        <v>1w</v>
      </c>
      <c r="Y2900" s="112">
        <f>_xll.qlCalendarAdvance(Calendar,Y2899,X2900,"f",FALSE)</f>
        <v>59525</v>
      </c>
      <c r="Z2900" s="115">
        <f>_xll.qlCalendarAdvance(Calendar,Y2900,NDays&amp;"D")</f>
        <v>59525</v>
      </c>
      <c r="AA2900" s="116" t="e">
        <v>#N/A</v>
      </c>
      <c r="AB2900" s="113" t="e">
        <v>#N/A</v>
      </c>
    </row>
    <row r="2901" spans="17:28" x14ac:dyDescent="0.2">
      <c r="Q2901" s="72"/>
      <c r="T2901" s="72"/>
      <c r="U2901" s="93"/>
      <c r="X2901" s="114" t="str">
        <f t="shared" ref="X2901:X2964" si="58">X2900</f>
        <v>1w</v>
      </c>
      <c r="Y2901" s="112">
        <f>_xll.qlCalendarAdvance(Calendar,Y2900,X2901,"f",FALSE)</f>
        <v>59532</v>
      </c>
      <c r="Z2901" s="115">
        <f>_xll.qlCalendarAdvance(Calendar,Y2901,NDays&amp;"D")</f>
        <v>59532</v>
      </c>
      <c r="AA2901" s="116" t="e">
        <v>#N/A</v>
      </c>
      <c r="AB2901" s="113" t="e">
        <v>#N/A</v>
      </c>
    </row>
    <row r="2902" spans="17:28" x14ac:dyDescent="0.2">
      <c r="Q2902" s="72"/>
      <c r="T2902" s="72"/>
      <c r="U2902" s="93"/>
      <c r="X2902" s="114" t="str">
        <f t="shared" si="58"/>
        <v>1w</v>
      </c>
      <c r="Y2902" s="112">
        <f>_xll.qlCalendarAdvance(Calendar,Y2901,X2902,"f",FALSE)</f>
        <v>59539</v>
      </c>
      <c r="Z2902" s="115">
        <f>_xll.qlCalendarAdvance(Calendar,Y2902,NDays&amp;"D")</f>
        <v>59539</v>
      </c>
      <c r="AA2902" s="116" t="e">
        <v>#N/A</v>
      </c>
      <c r="AB2902" s="113" t="e">
        <v>#N/A</v>
      </c>
    </row>
    <row r="2903" spans="17:28" x14ac:dyDescent="0.2">
      <c r="Q2903" s="72"/>
      <c r="T2903" s="72"/>
      <c r="U2903" s="93"/>
      <c r="X2903" s="114" t="str">
        <f t="shared" si="58"/>
        <v>1w</v>
      </c>
      <c r="Y2903" s="112">
        <f>_xll.qlCalendarAdvance(Calendar,Y2902,X2903,"f",FALSE)</f>
        <v>59546</v>
      </c>
      <c r="Z2903" s="115">
        <f>_xll.qlCalendarAdvance(Calendar,Y2903,NDays&amp;"D")</f>
        <v>59546</v>
      </c>
      <c r="AA2903" s="116" t="e">
        <v>#N/A</v>
      </c>
      <c r="AB2903" s="113" t="e">
        <v>#N/A</v>
      </c>
    </row>
    <row r="2904" spans="17:28" x14ac:dyDescent="0.2">
      <c r="Q2904" s="72"/>
      <c r="T2904" s="72"/>
      <c r="U2904" s="93"/>
      <c r="X2904" s="114" t="str">
        <f t="shared" si="58"/>
        <v>1w</v>
      </c>
      <c r="Y2904" s="112">
        <f>_xll.qlCalendarAdvance(Calendar,Y2903,X2904,"f",FALSE)</f>
        <v>59553</v>
      </c>
      <c r="Z2904" s="115">
        <f>_xll.qlCalendarAdvance(Calendar,Y2904,NDays&amp;"D")</f>
        <v>59553</v>
      </c>
      <c r="AA2904" s="116" t="e">
        <v>#N/A</v>
      </c>
      <c r="AB2904" s="113" t="e">
        <v>#N/A</v>
      </c>
    </row>
    <row r="2905" spans="17:28" x14ac:dyDescent="0.2">
      <c r="Q2905" s="72"/>
      <c r="T2905" s="72"/>
      <c r="U2905" s="93"/>
      <c r="X2905" s="114" t="str">
        <f t="shared" si="58"/>
        <v>1w</v>
      </c>
      <c r="Y2905" s="112">
        <f>_xll.qlCalendarAdvance(Calendar,Y2904,X2905,"f",FALSE)</f>
        <v>59560</v>
      </c>
      <c r="Z2905" s="115">
        <f>_xll.qlCalendarAdvance(Calendar,Y2905,NDays&amp;"D")</f>
        <v>59560</v>
      </c>
      <c r="AA2905" s="116" t="e">
        <v>#N/A</v>
      </c>
      <c r="AB2905" s="113" t="e">
        <v>#N/A</v>
      </c>
    </row>
    <row r="2906" spans="17:28" x14ac:dyDescent="0.2">
      <c r="Q2906" s="72"/>
      <c r="T2906" s="72"/>
      <c r="U2906" s="93"/>
      <c r="X2906" s="114" t="str">
        <f t="shared" si="58"/>
        <v>1w</v>
      </c>
      <c r="Y2906" s="112">
        <f>_xll.qlCalendarAdvance(Calendar,Y2905,X2906,"f",FALSE)</f>
        <v>59567</v>
      </c>
      <c r="Z2906" s="115">
        <f>_xll.qlCalendarAdvance(Calendar,Y2906,NDays&amp;"D")</f>
        <v>59567</v>
      </c>
      <c r="AA2906" s="116" t="e">
        <v>#N/A</v>
      </c>
      <c r="AB2906" s="113" t="e">
        <v>#N/A</v>
      </c>
    </row>
    <row r="2907" spans="17:28" x14ac:dyDescent="0.2">
      <c r="Q2907" s="72"/>
      <c r="T2907" s="72"/>
      <c r="U2907" s="93"/>
      <c r="X2907" s="114" t="str">
        <f t="shared" si="58"/>
        <v>1w</v>
      </c>
      <c r="Y2907" s="112">
        <f>_xll.qlCalendarAdvance(Calendar,Y2906,X2907,"f",FALSE)</f>
        <v>59574</v>
      </c>
      <c r="Z2907" s="115">
        <f>_xll.qlCalendarAdvance(Calendar,Y2907,NDays&amp;"D")</f>
        <v>59574</v>
      </c>
      <c r="AA2907" s="116" t="e">
        <v>#N/A</v>
      </c>
      <c r="AB2907" s="113" t="e">
        <v>#N/A</v>
      </c>
    </row>
    <row r="2908" spans="17:28" x14ac:dyDescent="0.2">
      <c r="Q2908" s="72"/>
      <c r="T2908" s="72"/>
      <c r="U2908" s="93"/>
      <c r="X2908" s="114" t="str">
        <f t="shared" si="58"/>
        <v>1w</v>
      </c>
      <c r="Y2908" s="112">
        <f>_xll.qlCalendarAdvance(Calendar,Y2907,X2908,"f",FALSE)</f>
        <v>59581</v>
      </c>
      <c r="Z2908" s="115">
        <f>_xll.qlCalendarAdvance(Calendar,Y2908,NDays&amp;"D")</f>
        <v>59581</v>
      </c>
      <c r="AA2908" s="116" t="e">
        <v>#N/A</v>
      </c>
      <c r="AB2908" s="113" t="e">
        <v>#N/A</v>
      </c>
    </row>
    <row r="2909" spans="17:28" x14ac:dyDescent="0.2">
      <c r="Q2909" s="72"/>
      <c r="T2909" s="72"/>
      <c r="U2909" s="93"/>
      <c r="X2909" s="114" t="str">
        <f t="shared" si="58"/>
        <v>1w</v>
      </c>
      <c r="Y2909" s="112">
        <f>_xll.qlCalendarAdvance(Calendar,Y2908,X2909,"f",FALSE)</f>
        <v>59588</v>
      </c>
      <c r="Z2909" s="115">
        <f>_xll.qlCalendarAdvance(Calendar,Y2909,NDays&amp;"D")</f>
        <v>59588</v>
      </c>
      <c r="AA2909" s="116" t="e">
        <v>#N/A</v>
      </c>
      <c r="AB2909" s="113" t="e">
        <v>#N/A</v>
      </c>
    </row>
    <row r="2910" spans="17:28" x14ac:dyDescent="0.2">
      <c r="Q2910" s="72"/>
      <c r="T2910" s="72"/>
      <c r="U2910" s="93"/>
      <c r="X2910" s="114" t="str">
        <f t="shared" si="58"/>
        <v>1w</v>
      </c>
      <c r="Y2910" s="112">
        <f>_xll.qlCalendarAdvance(Calendar,Y2909,X2910,"f",FALSE)</f>
        <v>59595</v>
      </c>
      <c r="Z2910" s="115">
        <f>_xll.qlCalendarAdvance(Calendar,Y2910,NDays&amp;"D")</f>
        <v>59595</v>
      </c>
      <c r="AA2910" s="116" t="e">
        <v>#N/A</v>
      </c>
      <c r="AB2910" s="113" t="e">
        <v>#N/A</v>
      </c>
    </row>
    <row r="2911" spans="17:28" x14ac:dyDescent="0.2">
      <c r="Q2911" s="72"/>
      <c r="T2911" s="72"/>
      <c r="U2911" s="93"/>
      <c r="X2911" s="114" t="str">
        <f t="shared" si="58"/>
        <v>1w</v>
      </c>
      <c r="Y2911" s="112">
        <f>_xll.qlCalendarAdvance(Calendar,Y2910,X2911,"f",FALSE)</f>
        <v>59602</v>
      </c>
      <c r="Z2911" s="115">
        <f>_xll.qlCalendarAdvance(Calendar,Y2911,NDays&amp;"D")</f>
        <v>59602</v>
      </c>
      <c r="AA2911" s="116" t="e">
        <v>#N/A</v>
      </c>
      <c r="AB2911" s="113" t="e">
        <v>#N/A</v>
      </c>
    </row>
    <row r="2912" spans="17:28" x14ac:dyDescent="0.2">
      <c r="Q2912" s="72"/>
      <c r="T2912" s="72"/>
      <c r="U2912" s="93"/>
      <c r="X2912" s="114" t="str">
        <f t="shared" si="58"/>
        <v>1w</v>
      </c>
      <c r="Y2912" s="112">
        <f>_xll.qlCalendarAdvance(Calendar,Y2911,X2912,"f",FALSE)</f>
        <v>59609</v>
      </c>
      <c r="Z2912" s="115">
        <f>_xll.qlCalendarAdvance(Calendar,Y2912,NDays&amp;"D")</f>
        <v>59609</v>
      </c>
      <c r="AA2912" s="116" t="e">
        <v>#N/A</v>
      </c>
      <c r="AB2912" s="113" t="e">
        <v>#N/A</v>
      </c>
    </row>
    <row r="2913" spans="17:28" x14ac:dyDescent="0.2">
      <c r="Q2913" s="72"/>
      <c r="T2913" s="72"/>
      <c r="U2913" s="93"/>
      <c r="X2913" s="114" t="str">
        <f t="shared" si="58"/>
        <v>1w</v>
      </c>
      <c r="Y2913" s="112">
        <f>_xll.qlCalendarAdvance(Calendar,Y2912,X2913,"f",FALSE)</f>
        <v>59616</v>
      </c>
      <c r="Z2913" s="115">
        <f>_xll.qlCalendarAdvance(Calendar,Y2913,NDays&amp;"D")</f>
        <v>59616</v>
      </c>
      <c r="AA2913" s="116" t="e">
        <v>#N/A</v>
      </c>
      <c r="AB2913" s="113" t="e">
        <v>#N/A</v>
      </c>
    </row>
    <row r="2914" spans="17:28" x14ac:dyDescent="0.2">
      <c r="Q2914" s="72"/>
      <c r="T2914" s="72"/>
      <c r="U2914" s="93"/>
      <c r="X2914" s="114" t="str">
        <f t="shared" si="58"/>
        <v>1w</v>
      </c>
      <c r="Y2914" s="112">
        <f>_xll.qlCalendarAdvance(Calendar,Y2913,X2914,"f",FALSE)</f>
        <v>59623</v>
      </c>
      <c r="Z2914" s="115">
        <f>_xll.qlCalendarAdvance(Calendar,Y2914,NDays&amp;"D")</f>
        <v>59623</v>
      </c>
      <c r="AA2914" s="116" t="e">
        <v>#N/A</v>
      </c>
      <c r="AB2914" s="113" t="e">
        <v>#N/A</v>
      </c>
    </row>
    <row r="2915" spans="17:28" x14ac:dyDescent="0.2">
      <c r="Q2915" s="72"/>
      <c r="T2915" s="72"/>
      <c r="U2915" s="93"/>
      <c r="X2915" s="114" t="str">
        <f t="shared" si="58"/>
        <v>1w</v>
      </c>
      <c r="Y2915" s="112">
        <f>_xll.qlCalendarAdvance(Calendar,Y2914,X2915,"f",FALSE)</f>
        <v>59630</v>
      </c>
      <c r="Z2915" s="115">
        <f>_xll.qlCalendarAdvance(Calendar,Y2915,NDays&amp;"D")</f>
        <v>59630</v>
      </c>
      <c r="AA2915" s="116" t="e">
        <v>#N/A</v>
      </c>
      <c r="AB2915" s="113" t="e">
        <v>#N/A</v>
      </c>
    </row>
    <row r="2916" spans="17:28" x14ac:dyDescent="0.2">
      <c r="Q2916" s="72"/>
      <c r="T2916" s="72"/>
      <c r="U2916" s="93"/>
      <c r="X2916" s="114" t="str">
        <f t="shared" si="58"/>
        <v>1w</v>
      </c>
      <c r="Y2916" s="112">
        <f>_xll.qlCalendarAdvance(Calendar,Y2915,X2916,"f",FALSE)</f>
        <v>59637</v>
      </c>
      <c r="Z2916" s="115">
        <f>_xll.qlCalendarAdvance(Calendar,Y2916,NDays&amp;"D")</f>
        <v>59637</v>
      </c>
      <c r="AA2916" s="116" t="e">
        <v>#N/A</v>
      </c>
      <c r="AB2916" s="113" t="e">
        <v>#N/A</v>
      </c>
    </row>
    <row r="2917" spans="17:28" x14ac:dyDescent="0.2">
      <c r="Q2917" s="72"/>
      <c r="T2917" s="72"/>
      <c r="U2917" s="93"/>
      <c r="X2917" s="114" t="str">
        <f t="shared" si="58"/>
        <v>1w</v>
      </c>
      <c r="Y2917" s="112">
        <f>_xll.qlCalendarAdvance(Calendar,Y2916,X2917,"f",FALSE)</f>
        <v>59644</v>
      </c>
      <c r="Z2917" s="115">
        <f>_xll.qlCalendarAdvance(Calendar,Y2917,NDays&amp;"D")</f>
        <v>59644</v>
      </c>
      <c r="AA2917" s="116" t="e">
        <v>#N/A</v>
      </c>
      <c r="AB2917" s="113" t="e">
        <v>#N/A</v>
      </c>
    </row>
    <row r="2918" spans="17:28" x14ac:dyDescent="0.2">
      <c r="Q2918" s="72"/>
      <c r="T2918" s="72"/>
      <c r="U2918" s="93"/>
      <c r="X2918" s="114" t="str">
        <f t="shared" si="58"/>
        <v>1w</v>
      </c>
      <c r="Y2918" s="112">
        <f>_xll.qlCalendarAdvance(Calendar,Y2917,X2918,"f",FALSE)</f>
        <v>59652</v>
      </c>
      <c r="Z2918" s="115">
        <f>_xll.qlCalendarAdvance(Calendar,Y2918,NDays&amp;"D")</f>
        <v>59652</v>
      </c>
      <c r="AA2918" s="116" t="e">
        <v>#N/A</v>
      </c>
      <c r="AB2918" s="113" t="e">
        <v>#N/A</v>
      </c>
    </row>
    <row r="2919" spans="17:28" x14ac:dyDescent="0.2">
      <c r="Q2919" s="72"/>
      <c r="T2919" s="72"/>
      <c r="U2919" s="93"/>
      <c r="X2919" s="114" t="str">
        <f t="shared" si="58"/>
        <v>1w</v>
      </c>
      <c r="Y2919" s="112">
        <f>_xll.qlCalendarAdvance(Calendar,Y2918,X2919,"f",FALSE)</f>
        <v>59659</v>
      </c>
      <c r="Z2919" s="115">
        <f>_xll.qlCalendarAdvance(Calendar,Y2919,NDays&amp;"D")</f>
        <v>59659</v>
      </c>
      <c r="AA2919" s="116" t="e">
        <v>#N/A</v>
      </c>
      <c r="AB2919" s="113" t="e">
        <v>#N/A</v>
      </c>
    </row>
    <row r="2920" spans="17:28" x14ac:dyDescent="0.2">
      <c r="Q2920" s="72"/>
      <c r="T2920" s="72"/>
      <c r="U2920" s="93"/>
      <c r="X2920" s="114" t="str">
        <f t="shared" si="58"/>
        <v>1w</v>
      </c>
      <c r="Y2920" s="112">
        <f>_xll.qlCalendarAdvance(Calendar,Y2919,X2920,"f",FALSE)</f>
        <v>59666</v>
      </c>
      <c r="Z2920" s="115">
        <f>_xll.qlCalendarAdvance(Calendar,Y2920,NDays&amp;"D")</f>
        <v>59666</v>
      </c>
      <c r="AA2920" s="116" t="e">
        <v>#N/A</v>
      </c>
      <c r="AB2920" s="113" t="e">
        <v>#N/A</v>
      </c>
    </row>
    <row r="2921" spans="17:28" x14ac:dyDescent="0.2">
      <c r="Q2921" s="72"/>
      <c r="T2921" s="72"/>
      <c r="U2921" s="93"/>
      <c r="X2921" s="114" t="str">
        <f t="shared" si="58"/>
        <v>1w</v>
      </c>
      <c r="Y2921" s="112">
        <f>_xll.qlCalendarAdvance(Calendar,Y2920,X2921,"f",FALSE)</f>
        <v>59673</v>
      </c>
      <c r="Z2921" s="115">
        <f>_xll.qlCalendarAdvance(Calendar,Y2921,NDays&amp;"D")</f>
        <v>59673</v>
      </c>
      <c r="AA2921" s="116" t="e">
        <v>#N/A</v>
      </c>
      <c r="AB2921" s="113" t="e">
        <v>#N/A</v>
      </c>
    </row>
    <row r="2922" spans="17:28" x14ac:dyDescent="0.2">
      <c r="Q2922" s="72"/>
      <c r="T2922" s="72"/>
      <c r="U2922" s="93"/>
      <c r="X2922" s="114" t="str">
        <f t="shared" si="58"/>
        <v>1w</v>
      </c>
      <c r="Y2922" s="112">
        <f>_xll.qlCalendarAdvance(Calendar,Y2921,X2922,"f",FALSE)</f>
        <v>59680</v>
      </c>
      <c r="Z2922" s="115">
        <f>_xll.qlCalendarAdvance(Calendar,Y2922,NDays&amp;"D")</f>
        <v>59680</v>
      </c>
      <c r="AA2922" s="116" t="e">
        <v>#N/A</v>
      </c>
      <c r="AB2922" s="113" t="e">
        <v>#N/A</v>
      </c>
    </row>
    <row r="2923" spans="17:28" x14ac:dyDescent="0.2">
      <c r="Q2923" s="72"/>
      <c r="T2923" s="72"/>
      <c r="U2923" s="93"/>
      <c r="X2923" s="114" t="str">
        <f t="shared" si="58"/>
        <v>1w</v>
      </c>
      <c r="Y2923" s="112">
        <f>_xll.qlCalendarAdvance(Calendar,Y2922,X2923,"f",FALSE)</f>
        <v>59687</v>
      </c>
      <c r="Z2923" s="115">
        <f>_xll.qlCalendarAdvance(Calendar,Y2923,NDays&amp;"D")</f>
        <v>59687</v>
      </c>
      <c r="AA2923" s="116" t="e">
        <v>#N/A</v>
      </c>
      <c r="AB2923" s="113" t="e">
        <v>#N/A</v>
      </c>
    </row>
    <row r="2924" spans="17:28" x14ac:dyDescent="0.2">
      <c r="Q2924" s="72"/>
      <c r="T2924" s="72"/>
      <c r="U2924" s="93"/>
      <c r="X2924" s="114" t="str">
        <f t="shared" si="58"/>
        <v>1w</v>
      </c>
      <c r="Y2924" s="112">
        <f>_xll.qlCalendarAdvance(Calendar,Y2923,X2924,"f",FALSE)</f>
        <v>59694</v>
      </c>
      <c r="Z2924" s="115">
        <f>_xll.qlCalendarAdvance(Calendar,Y2924,NDays&amp;"D")</f>
        <v>59694</v>
      </c>
      <c r="AA2924" s="116" t="e">
        <v>#N/A</v>
      </c>
      <c r="AB2924" s="113" t="e">
        <v>#N/A</v>
      </c>
    </row>
    <row r="2925" spans="17:28" x14ac:dyDescent="0.2">
      <c r="Q2925" s="72"/>
      <c r="T2925" s="72"/>
      <c r="U2925" s="93"/>
      <c r="X2925" s="114" t="str">
        <f t="shared" si="58"/>
        <v>1w</v>
      </c>
      <c r="Y2925" s="112">
        <f>_xll.qlCalendarAdvance(Calendar,Y2924,X2925,"f",FALSE)</f>
        <v>59701</v>
      </c>
      <c r="Z2925" s="115">
        <f>_xll.qlCalendarAdvance(Calendar,Y2925,NDays&amp;"D")</f>
        <v>59701</v>
      </c>
      <c r="AA2925" s="116" t="e">
        <v>#N/A</v>
      </c>
      <c r="AB2925" s="113" t="e">
        <v>#N/A</v>
      </c>
    </row>
    <row r="2926" spans="17:28" x14ac:dyDescent="0.2">
      <c r="Q2926" s="72"/>
      <c r="T2926" s="72"/>
      <c r="U2926" s="93"/>
      <c r="X2926" s="114" t="str">
        <f t="shared" si="58"/>
        <v>1w</v>
      </c>
      <c r="Y2926" s="112">
        <f>_xll.qlCalendarAdvance(Calendar,Y2925,X2926,"f",FALSE)</f>
        <v>59708</v>
      </c>
      <c r="Z2926" s="115">
        <f>_xll.qlCalendarAdvance(Calendar,Y2926,NDays&amp;"D")</f>
        <v>59708</v>
      </c>
      <c r="AA2926" s="116" t="e">
        <v>#N/A</v>
      </c>
      <c r="AB2926" s="113" t="e">
        <v>#N/A</v>
      </c>
    </row>
    <row r="2927" spans="17:28" x14ac:dyDescent="0.2">
      <c r="Q2927" s="72"/>
      <c r="T2927" s="72"/>
      <c r="U2927" s="93"/>
      <c r="X2927" s="114" t="str">
        <f t="shared" si="58"/>
        <v>1w</v>
      </c>
      <c r="Y2927" s="112">
        <f>_xll.qlCalendarAdvance(Calendar,Y2926,X2927,"f",FALSE)</f>
        <v>59715</v>
      </c>
      <c r="Z2927" s="115">
        <f>_xll.qlCalendarAdvance(Calendar,Y2927,NDays&amp;"D")</f>
        <v>59715</v>
      </c>
      <c r="AA2927" s="116" t="e">
        <v>#N/A</v>
      </c>
      <c r="AB2927" s="113" t="e">
        <v>#N/A</v>
      </c>
    </row>
    <row r="2928" spans="17:28" x14ac:dyDescent="0.2">
      <c r="Q2928" s="72"/>
      <c r="T2928" s="72"/>
      <c r="U2928" s="93"/>
      <c r="X2928" s="114" t="str">
        <f t="shared" si="58"/>
        <v>1w</v>
      </c>
      <c r="Y2928" s="112">
        <f>_xll.qlCalendarAdvance(Calendar,Y2927,X2928,"f",FALSE)</f>
        <v>59722</v>
      </c>
      <c r="Z2928" s="115">
        <f>_xll.qlCalendarAdvance(Calendar,Y2928,NDays&amp;"D")</f>
        <v>59722</v>
      </c>
      <c r="AA2928" s="116" t="e">
        <v>#N/A</v>
      </c>
      <c r="AB2928" s="113" t="e">
        <v>#N/A</v>
      </c>
    </row>
    <row r="2929" spans="17:28" x14ac:dyDescent="0.2">
      <c r="Q2929" s="72"/>
      <c r="T2929" s="72"/>
      <c r="U2929" s="93"/>
      <c r="X2929" s="114" t="str">
        <f t="shared" si="58"/>
        <v>1w</v>
      </c>
      <c r="Y2929" s="112">
        <f>_xll.qlCalendarAdvance(Calendar,Y2928,X2929,"f",FALSE)</f>
        <v>59729</v>
      </c>
      <c r="Z2929" s="115">
        <f>_xll.qlCalendarAdvance(Calendar,Y2929,NDays&amp;"D")</f>
        <v>59729</v>
      </c>
      <c r="AA2929" s="116" t="e">
        <v>#N/A</v>
      </c>
      <c r="AB2929" s="113" t="e">
        <v>#N/A</v>
      </c>
    </row>
    <row r="2930" spans="17:28" x14ac:dyDescent="0.2">
      <c r="Q2930" s="72"/>
      <c r="T2930" s="72"/>
      <c r="U2930" s="93"/>
      <c r="X2930" s="114" t="str">
        <f t="shared" si="58"/>
        <v>1w</v>
      </c>
      <c r="Y2930" s="112">
        <f>_xll.qlCalendarAdvance(Calendar,Y2929,X2930,"f",FALSE)</f>
        <v>59736</v>
      </c>
      <c r="Z2930" s="115">
        <f>_xll.qlCalendarAdvance(Calendar,Y2930,NDays&amp;"D")</f>
        <v>59736</v>
      </c>
      <c r="AA2930" s="116" t="e">
        <v>#N/A</v>
      </c>
      <c r="AB2930" s="113" t="e">
        <v>#N/A</v>
      </c>
    </row>
    <row r="2931" spans="17:28" x14ac:dyDescent="0.2">
      <c r="Q2931" s="72"/>
      <c r="T2931" s="72"/>
      <c r="U2931" s="93"/>
      <c r="X2931" s="114" t="str">
        <f t="shared" si="58"/>
        <v>1w</v>
      </c>
      <c r="Y2931" s="112">
        <f>_xll.qlCalendarAdvance(Calendar,Y2930,X2931,"f",FALSE)</f>
        <v>59743</v>
      </c>
      <c r="Z2931" s="115">
        <f>_xll.qlCalendarAdvance(Calendar,Y2931,NDays&amp;"D")</f>
        <v>59743</v>
      </c>
      <c r="AA2931" s="116" t="e">
        <v>#N/A</v>
      </c>
      <c r="AB2931" s="113" t="e">
        <v>#N/A</v>
      </c>
    </row>
    <row r="2932" spans="17:28" x14ac:dyDescent="0.2">
      <c r="Q2932" s="72"/>
      <c r="T2932" s="72"/>
      <c r="U2932" s="93"/>
      <c r="X2932" s="114" t="str">
        <f t="shared" si="58"/>
        <v>1w</v>
      </c>
      <c r="Y2932" s="112">
        <f>_xll.qlCalendarAdvance(Calendar,Y2931,X2932,"f",FALSE)</f>
        <v>59750</v>
      </c>
      <c r="Z2932" s="115">
        <f>_xll.qlCalendarAdvance(Calendar,Y2932,NDays&amp;"D")</f>
        <v>59750</v>
      </c>
      <c r="AA2932" s="116" t="e">
        <v>#N/A</v>
      </c>
      <c r="AB2932" s="113" t="e">
        <v>#N/A</v>
      </c>
    </row>
    <row r="2933" spans="17:28" x14ac:dyDescent="0.2">
      <c r="Q2933" s="72"/>
      <c r="T2933" s="72"/>
      <c r="U2933" s="93"/>
      <c r="X2933" s="114" t="str">
        <f t="shared" si="58"/>
        <v>1w</v>
      </c>
      <c r="Y2933" s="112">
        <f>_xll.qlCalendarAdvance(Calendar,Y2932,X2933,"f",FALSE)</f>
        <v>59757</v>
      </c>
      <c r="Z2933" s="115">
        <f>_xll.qlCalendarAdvance(Calendar,Y2933,NDays&amp;"D")</f>
        <v>59757</v>
      </c>
      <c r="AA2933" s="116" t="e">
        <v>#N/A</v>
      </c>
      <c r="AB2933" s="113" t="e">
        <v>#N/A</v>
      </c>
    </row>
    <row r="2934" spans="17:28" x14ac:dyDescent="0.2">
      <c r="Q2934" s="72"/>
      <c r="T2934" s="72"/>
      <c r="U2934" s="93"/>
      <c r="X2934" s="114" t="str">
        <f t="shared" si="58"/>
        <v>1w</v>
      </c>
      <c r="Y2934" s="112">
        <f>_xll.qlCalendarAdvance(Calendar,Y2933,X2934,"f",FALSE)</f>
        <v>59764</v>
      </c>
      <c r="Z2934" s="115">
        <f>_xll.qlCalendarAdvance(Calendar,Y2934,NDays&amp;"D")</f>
        <v>59764</v>
      </c>
      <c r="AA2934" s="116" t="e">
        <v>#N/A</v>
      </c>
      <c r="AB2934" s="113" t="e">
        <v>#N/A</v>
      </c>
    </row>
    <row r="2935" spans="17:28" x14ac:dyDescent="0.2">
      <c r="Q2935" s="72"/>
      <c r="T2935" s="72"/>
      <c r="U2935" s="93"/>
      <c r="X2935" s="114" t="str">
        <f t="shared" si="58"/>
        <v>1w</v>
      </c>
      <c r="Y2935" s="112">
        <f>_xll.qlCalendarAdvance(Calendar,Y2934,X2935,"f",FALSE)</f>
        <v>59771</v>
      </c>
      <c r="Z2935" s="115">
        <f>_xll.qlCalendarAdvance(Calendar,Y2935,NDays&amp;"D")</f>
        <v>59771</v>
      </c>
      <c r="AA2935" s="116" t="e">
        <v>#N/A</v>
      </c>
      <c r="AB2935" s="113" t="e">
        <v>#N/A</v>
      </c>
    </row>
    <row r="2936" spans="17:28" x14ac:dyDescent="0.2">
      <c r="Q2936" s="72"/>
      <c r="T2936" s="72"/>
      <c r="U2936" s="93"/>
      <c r="X2936" s="114" t="str">
        <f t="shared" si="58"/>
        <v>1w</v>
      </c>
      <c r="Y2936" s="112">
        <f>_xll.qlCalendarAdvance(Calendar,Y2935,X2936,"f",FALSE)</f>
        <v>59778</v>
      </c>
      <c r="Z2936" s="115">
        <f>_xll.qlCalendarAdvance(Calendar,Y2936,NDays&amp;"D")</f>
        <v>59778</v>
      </c>
      <c r="AA2936" s="116" t="e">
        <v>#N/A</v>
      </c>
      <c r="AB2936" s="113" t="e">
        <v>#N/A</v>
      </c>
    </row>
    <row r="2937" spans="17:28" x14ac:dyDescent="0.2">
      <c r="Q2937" s="72"/>
      <c r="T2937" s="72"/>
      <c r="U2937" s="93"/>
      <c r="X2937" s="114" t="str">
        <f t="shared" si="58"/>
        <v>1w</v>
      </c>
      <c r="Y2937" s="112">
        <f>_xll.qlCalendarAdvance(Calendar,Y2936,X2937,"f",FALSE)</f>
        <v>59785</v>
      </c>
      <c r="Z2937" s="115">
        <f>_xll.qlCalendarAdvance(Calendar,Y2937,NDays&amp;"D")</f>
        <v>59785</v>
      </c>
      <c r="AA2937" s="116" t="e">
        <v>#N/A</v>
      </c>
      <c r="AB2937" s="113" t="e">
        <v>#N/A</v>
      </c>
    </row>
    <row r="2938" spans="17:28" x14ac:dyDescent="0.2">
      <c r="Q2938" s="72"/>
      <c r="T2938" s="72"/>
      <c r="U2938" s="93"/>
      <c r="X2938" s="114" t="str">
        <f t="shared" si="58"/>
        <v>1w</v>
      </c>
      <c r="Y2938" s="112">
        <f>_xll.qlCalendarAdvance(Calendar,Y2937,X2938,"f",FALSE)</f>
        <v>59792</v>
      </c>
      <c r="Z2938" s="115">
        <f>_xll.qlCalendarAdvance(Calendar,Y2938,NDays&amp;"D")</f>
        <v>59792</v>
      </c>
      <c r="AA2938" s="116" t="e">
        <v>#N/A</v>
      </c>
      <c r="AB2938" s="113" t="e">
        <v>#N/A</v>
      </c>
    </row>
    <row r="2939" spans="17:28" x14ac:dyDescent="0.2">
      <c r="Q2939" s="72"/>
      <c r="T2939" s="72"/>
      <c r="U2939" s="93"/>
      <c r="X2939" s="114" t="str">
        <f t="shared" si="58"/>
        <v>1w</v>
      </c>
      <c r="Y2939" s="112">
        <f>_xll.qlCalendarAdvance(Calendar,Y2938,X2939,"f",FALSE)</f>
        <v>59799</v>
      </c>
      <c r="Z2939" s="115">
        <f>_xll.qlCalendarAdvance(Calendar,Y2939,NDays&amp;"D")</f>
        <v>59799</v>
      </c>
      <c r="AA2939" s="116" t="e">
        <v>#N/A</v>
      </c>
      <c r="AB2939" s="113" t="e">
        <v>#N/A</v>
      </c>
    </row>
    <row r="2940" spans="17:28" x14ac:dyDescent="0.2">
      <c r="Q2940" s="72"/>
      <c r="T2940" s="72"/>
      <c r="U2940" s="93"/>
      <c r="X2940" s="114" t="str">
        <f t="shared" si="58"/>
        <v>1w</v>
      </c>
      <c r="Y2940" s="112">
        <f>_xll.qlCalendarAdvance(Calendar,Y2939,X2940,"f",FALSE)</f>
        <v>59806</v>
      </c>
      <c r="Z2940" s="115">
        <f>_xll.qlCalendarAdvance(Calendar,Y2940,NDays&amp;"D")</f>
        <v>59806</v>
      </c>
      <c r="AA2940" s="116" t="e">
        <v>#N/A</v>
      </c>
      <c r="AB2940" s="113" t="e">
        <v>#N/A</v>
      </c>
    </row>
    <row r="2941" spans="17:28" x14ac:dyDescent="0.2">
      <c r="Q2941" s="72"/>
      <c r="T2941" s="72"/>
      <c r="U2941" s="93"/>
      <c r="X2941" s="114" t="str">
        <f t="shared" si="58"/>
        <v>1w</v>
      </c>
      <c r="Y2941" s="112">
        <f>_xll.qlCalendarAdvance(Calendar,Y2940,X2941,"f",FALSE)</f>
        <v>59813</v>
      </c>
      <c r="Z2941" s="115">
        <f>_xll.qlCalendarAdvance(Calendar,Y2941,NDays&amp;"D")</f>
        <v>59813</v>
      </c>
      <c r="AA2941" s="116" t="e">
        <v>#N/A</v>
      </c>
      <c r="AB2941" s="113" t="e">
        <v>#N/A</v>
      </c>
    </row>
    <row r="2942" spans="17:28" x14ac:dyDescent="0.2">
      <c r="Q2942" s="72"/>
      <c r="T2942" s="72"/>
      <c r="U2942" s="93"/>
      <c r="X2942" s="114" t="str">
        <f t="shared" si="58"/>
        <v>1w</v>
      </c>
      <c r="Y2942" s="112">
        <f>_xll.qlCalendarAdvance(Calendar,Y2941,X2942,"f",FALSE)</f>
        <v>59820</v>
      </c>
      <c r="Z2942" s="115">
        <f>_xll.qlCalendarAdvance(Calendar,Y2942,NDays&amp;"D")</f>
        <v>59820</v>
      </c>
      <c r="AA2942" s="116" t="e">
        <v>#N/A</v>
      </c>
      <c r="AB2942" s="113" t="e">
        <v>#N/A</v>
      </c>
    </row>
    <row r="2943" spans="17:28" x14ac:dyDescent="0.2">
      <c r="Q2943" s="72"/>
      <c r="T2943" s="72"/>
      <c r="U2943" s="93"/>
      <c r="X2943" s="114" t="str">
        <f t="shared" si="58"/>
        <v>1w</v>
      </c>
      <c r="Y2943" s="112">
        <f>_xll.qlCalendarAdvance(Calendar,Y2942,X2943,"f",FALSE)</f>
        <v>59827</v>
      </c>
      <c r="Z2943" s="115">
        <f>_xll.qlCalendarAdvance(Calendar,Y2943,NDays&amp;"D")</f>
        <v>59827</v>
      </c>
      <c r="AA2943" s="116" t="e">
        <v>#N/A</v>
      </c>
      <c r="AB2943" s="113" t="e">
        <v>#N/A</v>
      </c>
    </row>
    <row r="2944" spans="17:28" x14ac:dyDescent="0.2">
      <c r="Q2944" s="72"/>
      <c r="T2944" s="72"/>
      <c r="U2944" s="93"/>
      <c r="X2944" s="114" t="str">
        <f t="shared" si="58"/>
        <v>1w</v>
      </c>
      <c r="Y2944" s="112">
        <f>_xll.qlCalendarAdvance(Calendar,Y2943,X2944,"f",FALSE)</f>
        <v>59834</v>
      </c>
      <c r="Z2944" s="115">
        <f>_xll.qlCalendarAdvance(Calendar,Y2944,NDays&amp;"D")</f>
        <v>59834</v>
      </c>
      <c r="AA2944" s="116" t="e">
        <v>#N/A</v>
      </c>
      <c r="AB2944" s="113" t="e">
        <v>#N/A</v>
      </c>
    </row>
    <row r="2945" spans="17:28" x14ac:dyDescent="0.2">
      <c r="Q2945" s="72"/>
      <c r="T2945" s="72"/>
      <c r="U2945" s="93"/>
      <c r="X2945" s="114" t="str">
        <f t="shared" si="58"/>
        <v>1w</v>
      </c>
      <c r="Y2945" s="112">
        <f>_xll.qlCalendarAdvance(Calendar,Y2944,X2945,"f",FALSE)</f>
        <v>59841</v>
      </c>
      <c r="Z2945" s="115">
        <f>_xll.qlCalendarAdvance(Calendar,Y2945,NDays&amp;"D")</f>
        <v>59841</v>
      </c>
      <c r="AA2945" s="116" t="e">
        <v>#N/A</v>
      </c>
      <c r="AB2945" s="113" t="e">
        <v>#N/A</v>
      </c>
    </row>
    <row r="2946" spans="17:28" x14ac:dyDescent="0.2">
      <c r="Q2946" s="72"/>
      <c r="T2946" s="72"/>
      <c r="U2946" s="93"/>
      <c r="X2946" s="114" t="str">
        <f t="shared" si="58"/>
        <v>1w</v>
      </c>
      <c r="Y2946" s="112">
        <f>_xll.qlCalendarAdvance(Calendar,Y2945,X2946,"f",FALSE)</f>
        <v>59848</v>
      </c>
      <c r="Z2946" s="115">
        <f>_xll.qlCalendarAdvance(Calendar,Y2946,NDays&amp;"D")</f>
        <v>59848</v>
      </c>
      <c r="AA2946" s="116" t="e">
        <v>#N/A</v>
      </c>
      <c r="AB2946" s="113" t="e">
        <v>#N/A</v>
      </c>
    </row>
    <row r="2947" spans="17:28" x14ac:dyDescent="0.2">
      <c r="Q2947" s="72"/>
      <c r="T2947" s="72"/>
      <c r="U2947" s="93"/>
      <c r="X2947" s="114" t="str">
        <f t="shared" si="58"/>
        <v>1w</v>
      </c>
      <c r="Y2947" s="112">
        <f>_xll.qlCalendarAdvance(Calendar,Y2946,X2947,"f",FALSE)</f>
        <v>59855</v>
      </c>
      <c r="Z2947" s="115">
        <f>_xll.qlCalendarAdvance(Calendar,Y2947,NDays&amp;"D")</f>
        <v>59855</v>
      </c>
      <c r="AA2947" s="116" t="e">
        <v>#N/A</v>
      </c>
      <c r="AB2947" s="113" t="e">
        <v>#N/A</v>
      </c>
    </row>
    <row r="2948" spans="17:28" x14ac:dyDescent="0.2">
      <c r="Q2948" s="72"/>
      <c r="T2948" s="72"/>
      <c r="U2948" s="93"/>
      <c r="X2948" s="114" t="str">
        <f t="shared" si="58"/>
        <v>1w</v>
      </c>
      <c r="Y2948" s="112">
        <f>_xll.qlCalendarAdvance(Calendar,Y2947,X2948,"f",FALSE)</f>
        <v>59862</v>
      </c>
      <c r="Z2948" s="115">
        <f>_xll.qlCalendarAdvance(Calendar,Y2948,NDays&amp;"D")</f>
        <v>59862</v>
      </c>
      <c r="AA2948" s="116" t="e">
        <v>#N/A</v>
      </c>
      <c r="AB2948" s="113" t="e">
        <v>#N/A</v>
      </c>
    </row>
    <row r="2949" spans="17:28" x14ac:dyDescent="0.2">
      <c r="Q2949" s="72"/>
      <c r="T2949" s="72"/>
      <c r="U2949" s="93"/>
      <c r="X2949" s="114" t="str">
        <f t="shared" si="58"/>
        <v>1w</v>
      </c>
      <c r="Y2949" s="112">
        <f>_xll.qlCalendarAdvance(Calendar,Y2948,X2949,"f",FALSE)</f>
        <v>59869</v>
      </c>
      <c r="Z2949" s="115">
        <f>_xll.qlCalendarAdvance(Calendar,Y2949,NDays&amp;"D")</f>
        <v>59869</v>
      </c>
      <c r="AA2949" s="116" t="e">
        <v>#N/A</v>
      </c>
      <c r="AB2949" s="113" t="e">
        <v>#N/A</v>
      </c>
    </row>
    <row r="2950" spans="17:28" x14ac:dyDescent="0.2">
      <c r="Q2950" s="72"/>
      <c r="T2950" s="72"/>
      <c r="U2950" s="93"/>
      <c r="X2950" s="114" t="str">
        <f t="shared" si="58"/>
        <v>1w</v>
      </c>
      <c r="Y2950" s="112">
        <f>_xll.qlCalendarAdvance(Calendar,Y2949,X2950,"f",FALSE)</f>
        <v>59876</v>
      </c>
      <c r="Z2950" s="115">
        <f>_xll.qlCalendarAdvance(Calendar,Y2950,NDays&amp;"D")</f>
        <v>59876</v>
      </c>
      <c r="AA2950" s="116" t="e">
        <v>#N/A</v>
      </c>
      <c r="AB2950" s="113" t="e">
        <v>#N/A</v>
      </c>
    </row>
    <row r="2951" spans="17:28" x14ac:dyDescent="0.2">
      <c r="Q2951" s="72"/>
      <c r="T2951" s="72"/>
      <c r="U2951" s="93"/>
      <c r="X2951" s="114" t="str">
        <f t="shared" si="58"/>
        <v>1w</v>
      </c>
      <c r="Y2951" s="112">
        <f>_xll.qlCalendarAdvance(Calendar,Y2950,X2951,"f",FALSE)</f>
        <v>59883</v>
      </c>
      <c r="Z2951" s="115">
        <f>_xll.qlCalendarAdvance(Calendar,Y2951,NDays&amp;"D")</f>
        <v>59883</v>
      </c>
      <c r="AA2951" s="116" t="e">
        <v>#N/A</v>
      </c>
      <c r="AB2951" s="113" t="e">
        <v>#N/A</v>
      </c>
    </row>
    <row r="2952" spans="17:28" x14ac:dyDescent="0.2">
      <c r="Q2952" s="72"/>
      <c r="T2952" s="72"/>
      <c r="U2952" s="93"/>
      <c r="X2952" s="114" t="str">
        <f t="shared" si="58"/>
        <v>1w</v>
      </c>
      <c r="Y2952" s="112">
        <f>_xll.qlCalendarAdvance(Calendar,Y2951,X2952,"f",FALSE)</f>
        <v>59890</v>
      </c>
      <c r="Z2952" s="115">
        <f>_xll.qlCalendarAdvance(Calendar,Y2952,NDays&amp;"D")</f>
        <v>59890</v>
      </c>
      <c r="AA2952" s="116" t="e">
        <v>#N/A</v>
      </c>
      <c r="AB2952" s="113" t="e">
        <v>#N/A</v>
      </c>
    </row>
    <row r="2953" spans="17:28" x14ac:dyDescent="0.2">
      <c r="Q2953" s="72"/>
      <c r="T2953" s="72"/>
      <c r="U2953" s="93"/>
      <c r="X2953" s="114" t="str">
        <f t="shared" si="58"/>
        <v>1w</v>
      </c>
      <c r="Y2953" s="112">
        <f>_xll.qlCalendarAdvance(Calendar,Y2952,X2953,"f",FALSE)</f>
        <v>59897</v>
      </c>
      <c r="Z2953" s="115">
        <f>_xll.qlCalendarAdvance(Calendar,Y2953,NDays&amp;"D")</f>
        <v>59897</v>
      </c>
      <c r="AA2953" s="116" t="e">
        <v>#N/A</v>
      </c>
      <c r="AB2953" s="113" t="e">
        <v>#N/A</v>
      </c>
    </row>
    <row r="2954" spans="17:28" x14ac:dyDescent="0.2">
      <c r="Q2954" s="72"/>
      <c r="T2954" s="72"/>
      <c r="U2954" s="93"/>
      <c r="X2954" s="114" t="str">
        <f t="shared" si="58"/>
        <v>1w</v>
      </c>
      <c r="Y2954" s="112">
        <f>_xll.qlCalendarAdvance(Calendar,Y2953,X2954,"f",FALSE)</f>
        <v>59904</v>
      </c>
      <c r="Z2954" s="115">
        <f>_xll.qlCalendarAdvance(Calendar,Y2954,NDays&amp;"D")</f>
        <v>59904</v>
      </c>
      <c r="AA2954" s="116" t="e">
        <v>#N/A</v>
      </c>
      <c r="AB2954" s="113" t="e">
        <v>#N/A</v>
      </c>
    </row>
    <row r="2955" spans="17:28" x14ac:dyDescent="0.2">
      <c r="Q2955" s="72"/>
      <c r="T2955" s="72"/>
      <c r="U2955" s="93"/>
      <c r="X2955" s="114" t="str">
        <f t="shared" si="58"/>
        <v>1w</v>
      </c>
      <c r="Y2955" s="112">
        <f>_xll.qlCalendarAdvance(Calendar,Y2954,X2955,"f",FALSE)</f>
        <v>59911</v>
      </c>
      <c r="Z2955" s="115">
        <f>_xll.qlCalendarAdvance(Calendar,Y2955,NDays&amp;"D")</f>
        <v>59911</v>
      </c>
      <c r="AA2955" s="116" t="e">
        <v>#N/A</v>
      </c>
      <c r="AB2955" s="113" t="e">
        <v>#N/A</v>
      </c>
    </row>
    <row r="2956" spans="17:28" x14ac:dyDescent="0.2">
      <c r="Q2956" s="72"/>
      <c r="T2956" s="72"/>
      <c r="U2956" s="93"/>
      <c r="X2956" s="114" t="str">
        <f t="shared" si="58"/>
        <v>1w</v>
      </c>
      <c r="Y2956" s="112">
        <f>_xll.qlCalendarAdvance(Calendar,Y2955,X2956,"f",FALSE)</f>
        <v>59918</v>
      </c>
      <c r="Z2956" s="115">
        <f>_xll.qlCalendarAdvance(Calendar,Y2956,NDays&amp;"D")</f>
        <v>59918</v>
      </c>
      <c r="AA2956" s="116" t="e">
        <v>#N/A</v>
      </c>
      <c r="AB2956" s="113" t="e">
        <v>#N/A</v>
      </c>
    </row>
    <row r="2957" spans="17:28" x14ac:dyDescent="0.2">
      <c r="Q2957" s="72"/>
      <c r="T2957" s="72"/>
      <c r="U2957" s="93"/>
      <c r="X2957" s="114" t="str">
        <f t="shared" si="58"/>
        <v>1w</v>
      </c>
      <c r="Y2957" s="112">
        <f>_xll.qlCalendarAdvance(Calendar,Y2956,X2957,"f",FALSE)</f>
        <v>59925</v>
      </c>
      <c r="Z2957" s="115">
        <f>_xll.qlCalendarAdvance(Calendar,Y2957,NDays&amp;"D")</f>
        <v>59925</v>
      </c>
      <c r="AA2957" s="116" t="e">
        <v>#N/A</v>
      </c>
      <c r="AB2957" s="113" t="e">
        <v>#N/A</v>
      </c>
    </row>
    <row r="2958" spans="17:28" x14ac:dyDescent="0.2">
      <c r="Q2958" s="72"/>
      <c r="T2958" s="72"/>
      <c r="U2958" s="93"/>
      <c r="X2958" s="114" t="str">
        <f t="shared" si="58"/>
        <v>1w</v>
      </c>
      <c r="Y2958" s="112">
        <f>_xll.qlCalendarAdvance(Calendar,Y2957,X2958,"f",FALSE)</f>
        <v>59932</v>
      </c>
      <c r="Z2958" s="115">
        <f>_xll.qlCalendarAdvance(Calendar,Y2958,NDays&amp;"D")</f>
        <v>59932</v>
      </c>
      <c r="AA2958" s="116" t="e">
        <v>#N/A</v>
      </c>
      <c r="AB2958" s="113" t="e">
        <v>#N/A</v>
      </c>
    </row>
    <row r="2959" spans="17:28" x14ac:dyDescent="0.2">
      <c r="Q2959" s="72"/>
      <c r="T2959" s="72"/>
      <c r="U2959" s="93"/>
      <c r="X2959" s="114" t="str">
        <f t="shared" si="58"/>
        <v>1w</v>
      </c>
      <c r="Y2959" s="112">
        <f>_xll.qlCalendarAdvance(Calendar,Y2958,X2959,"f",FALSE)</f>
        <v>59939</v>
      </c>
      <c r="Z2959" s="115">
        <f>_xll.qlCalendarAdvance(Calendar,Y2959,NDays&amp;"D")</f>
        <v>59939</v>
      </c>
      <c r="AA2959" s="116" t="e">
        <v>#N/A</v>
      </c>
      <c r="AB2959" s="113" t="e">
        <v>#N/A</v>
      </c>
    </row>
    <row r="2960" spans="17:28" x14ac:dyDescent="0.2">
      <c r="Q2960" s="72"/>
      <c r="T2960" s="72"/>
      <c r="U2960" s="93"/>
      <c r="X2960" s="114" t="str">
        <f t="shared" si="58"/>
        <v>1w</v>
      </c>
      <c r="Y2960" s="112">
        <f>_xll.qlCalendarAdvance(Calendar,Y2959,X2960,"f",FALSE)</f>
        <v>59946</v>
      </c>
      <c r="Z2960" s="115">
        <f>_xll.qlCalendarAdvance(Calendar,Y2960,NDays&amp;"D")</f>
        <v>59946</v>
      </c>
      <c r="AA2960" s="116" t="e">
        <v>#N/A</v>
      </c>
      <c r="AB2960" s="113" t="e">
        <v>#N/A</v>
      </c>
    </row>
    <row r="2961" spans="17:28" x14ac:dyDescent="0.2">
      <c r="Q2961" s="72"/>
      <c r="T2961" s="72"/>
      <c r="U2961" s="93"/>
      <c r="X2961" s="114" t="str">
        <f t="shared" si="58"/>
        <v>1w</v>
      </c>
      <c r="Y2961" s="112">
        <f>_xll.qlCalendarAdvance(Calendar,Y2960,X2961,"f",FALSE)</f>
        <v>59953</v>
      </c>
      <c r="Z2961" s="115">
        <f>_xll.qlCalendarAdvance(Calendar,Y2961,NDays&amp;"D")</f>
        <v>59953</v>
      </c>
      <c r="AA2961" s="116" t="e">
        <v>#N/A</v>
      </c>
      <c r="AB2961" s="113" t="e">
        <v>#N/A</v>
      </c>
    </row>
    <row r="2962" spans="17:28" x14ac:dyDescent="0.2">
      <c r="Q2962" s="72"/>
      <c r="T2962" s="72"/>
      <c r="U2962" s="93"/>
      <c r="X2962" s="114" t="str">
        <f t="shared" si="58"/>
        <v>1w</v>
      </c>
      <c r="Y2962" s="112">
        <f>_xll.qlCalendarAdvance(Calendar,Y2961,X2962,"f",FALSE)</f>
        <v>59960</v>
      </c>
      <c r="Z2962" s="115">
        <f>_xll.qlCalendarAdvance(Calendar,Y2962,NDays&amp;"D")</f>
        <v>59960</v>
      </c>
      <c r="AA2962" s="116" t="e">
        <v>#N/A</v>
      </c>
      <c r="AB2962" s="113" t="e">
        <v>#N/A</v>
      </c>
    </row>
    <row r="2963" spans="17:28" x14ac:dyDescent="0.2">
      <c r="Q2963" s="72"/>
      <c r="T2963" s="72"/>
      <c r="U2963" s="93"/>
      <c r="X2963" s="114" t="str">
        <f t="shared" si="58"/>
        <v>1w</v>
      </c>
      <c r="Y2963" s="112">
        <f>_xll.qlCalendarAdvance(Calendar,Y2962,X2963,"f",FALSE)</f>
        <v>59967</v>
      </c>
      <c r="Z2963" s="115">
        <f>_xll.qlCalendarAdvance(Calendar,Y2963,NDays&amp;"D")</f>
        <v>59967</v>
      </c>
      <c r="AA2963" s="116" t="e">
        <v>#N/A</v>
      </c>
      <c r="AB2963" s="113" t="e">
        <v>#N/A</v>
      </c>
    </row>
    <row r="2964" spans="17:28" x14ac:dyDescent="0.2">
      <c r="Q2964" s="72"/>
      <c r="T2964" s="72"/>
      <c r="U2964" s="93"/>
      <c r="X2964" s="114" t="str">
        <f t="shared" si="58"/>
        <v>1w</v>
      </c>
      <c r="Y2964" s="112">
        <f>_xll.qlCalendarAdvance(Calendar,Y2963,X2964,"f",FALSE)</f>
        <v>59974</v>
      </c>
      <c r="Z2964" s="115">
        <f>_xll.qlCalendarAdvance(Calendar,Y2964,NDays&amp;"D")</f>
        <v>59974</v>
      </c>
      <c r="AA2964" s="116" t="e">
        <v>#N/A</v>
      </c>
      <c r="AB2964" s="113" t="e">
        <v>#N/A</v>
      </c>
    </row>
    <row r="2965" spans="17:28" x14ac:dyDescent="0.2">
      <c r="Q2965" s="72"/>
      <c r="T2965" s="72"/>
      <c r="U2965" s="93"/>
      <c r="X2965" s="114" t="str">
        <f t="shared" ref="X2965:X3028" si="59">X2964</f>
        <v>1w</v>
      </c>
      <c r="Y2965" s="112">
        <f>_xll.qlCalendarAdvance(Calendar,Y2964,X2965,"f",FALSE)</f>
        <v>59981</v>
      </c>
      <c r="Z2965" s="115">
        <f>_xll.qlCalendarAdvance(Calendar,Y2965,NDays&amp;"D")</f>
        <v>59981</v>
      </c>
      <c r="AA2965" s="116" t="e">
        <v>#N/A</v>
      </c>
      <c r="AB2965" s="113" t="e">
        <v>#N/A</v>
      </c>
    </row>
    <row r="2966" spans="17:28" x14ac:dyDescent="0.2">
      <c r="Q2966" s="72"/>
      <c r="T2966" s="72"/>
      <c r="U2966" s="93"/>
      <c r="X2966" s="114" t="str">
        <f t="shared" si="59"/>
        <v>1w</v>
      </c>
      <c r="Y2966" s="112">
        <f>_xll.qlCalendarAdvance(Calendar,Y2965,X2966,"f",FALSE)</f>
        <v>59988</v>
      </c>
      <c r="Z2966" s="115">
        <f>_xll.qlCalendarAdvance(Calendar,Y2966,NDays&amp;"D")</f>
        <v>59988</v>
      </c>
      <c r="AA2966" s="116" t="e">
        <v>#N/A</v>
      </c>
      <c r="AB2966" s="113" t="e">
        <v>#N/A</v>
      </c>
    </row>
    <row r="2967" spans="17:28" x14ac:dyDescent="0.2">
      <c r="Q2967" s="72"/>
      <c r="T2967" s="72"/>
      <c r="U2967" s="93"/>
      <c r="X2967" s="114" t="str">
        <f t="shared" si="59"/>
        <v>1w</v>
      </c>
      <c r="Y2967" s="112">
        <f>_xll.qlCalendarAdvance(Calendar,Y2966,X2967,"f",FALSE)</f>
        <v>59995</v>
      </c>
      <c r="Z2967" s="115">
        <f>_xll.qlCalendarAdvance(Calendar,Y2967,NDays&amp;"D")</f>
        <v>59995</v>
      </c>
      <c r="AA2967" s="116" t="e">
        <v>#N/A</v>
      </c>
      <c r="AB2967" s="113" t="e">
        <v>#N/A</v>
      </c>
    </row>
    <row r="2968" spans="17:28" x14ac:dyDescent="0.2">
      <c r="Q2968" s="72"/>
      <c r="T2968" s="72"/>
      <c r="U2968" s="93"/>
      <c r="X2968" s="114" t="str">
        <f t="shared" si="59"/>
        <v>1w</v>
      </c>
      <c r="Y2968" s="112">
        <f>_xll.qlCalendarAdvance(Calendar,Y2967,X2968,"f",FALSE)</f>
        <v>60002</v>
      </c>
      <c r="Z2968" s="115">
        <f>_xll.qlCalendarAdvance(Calendar,Y2968,NDays&amp;"D")</f>
        <v>60002</v>
      </c>
      <c r="AA2968" s="116" t="e">
        <v>#N/A</v>
      </c>
      <c r="AB2968" s="113" t="e">
        <v>#N/A</v>
      </c>
    </row>
    <row r="2969" spans="17:28" x14ac:dyDescent="0.2">
      <c r="Q2969" s="72"/>
      <c r="T2969" s="72"/>
      <c r="U2969" s="93"/>
      <c r="X2969" s="114" t="str">
        <f t="shared" si="59"/>
        <v>1w</v>
      </c>
      <c r="Y2969" s="112">
        <f>_xll.qlCalendarAdvance(Calendar,Y2968,X2969,"f",FALSE)</f>
        <v>60009</v>
      </c>
      <c r="Z2969" s="115">
        <f>_xll.qlCalendarAdvance(Calendar,Y2969,NDays&amp;"D")</f>
        <v>60009</v>
      </c>
      <c r="AA2969" s="116" t="e">
        <v>#N/A</v>
      </c>
      <c r="AB2969" s="113" t="e">
        <v>#N/A</v>
      </c>
    </row>
    <row r="2970" spans="17:28" x14ac:dyDescent="0.2">
      <c r="Q2970" s="72"/>
      <c r="T2970" s="72"/>
      <c r="U2970" s="93"/>
      <c r="X2970" s="114" t="str">
        <f t="shared" si="59"/>
        <v>1w</v>
      </c>
      <c r="Y2970" s="112">
        <f>_xll.qlCalendarAdvance(Calendar,Y2969,X2970,"f",FALSE)</f>
        <v>60016</v>
      </c>
      <c r="Z2970" s="115">
        <f>_xll.qlCalendarAdvance(Calendar,Y2970,NDays&amp;"D")</f>
        <v>60016</v>
      </c>
      <c r="AA2970" s="116" t="e">
        <v>#N/A</v>
      </c>
      <c r="AB2970" s="113" t="e">
        <v>#N/A</v>
      </c>
    </row>
    <row r="2971" spans="17:28" x14ac:dyDescent="0.2">
      <c r="Q2971" s="72"/>
      <c r="T2971" s="72"/>
      <c r="U2971" s="93"/>
      <c r="X2971" s="114" t="str">
        <f t="shared" si="59"/>
        <v>1w</v>
      </c>
      <c r="Y2971" s="112">
        <f>_xll.qlCalendarAdvance(Calendar,Y2970,X2971,"f",FALSE)</f>
        <v>60023</v>
      </c>
      <c r="Z2971" s="115">
        <f>_xll.qlCalendarAdvance(Calendar,Y2971,NDays&amp;"D")</f>
        <v>60023</v>
      </c>
      <c r="AA2971" s="116" t="e">
        <v>#N/A</v>
      </c>
      <c r="AB2971" s="113" t="e">
        <v>#N/A</v>
      </c>
    </row>
    <row r="2972" spans="17:28" x14ac:dyDescent="0.2">
      <c r="Q2972" s="72"/>
      <c r="T2972" s="72"/>
      <c r="U2972" s="93"/>
      <c r="X2972" s="114" t="str">
        <f t="shared" si="59"/>
        <v>1w</v>
      </c>
      <c r="Y2972" s="112">
        <f>_xll.qlCalendarAdvance(Calendar,Y2971,X2972,"f",FALSE)</f>
        <v>60030</v>
      </c>
      <c r="Z2972" s="115">
        <f>_xll.qlCalendarAdvance(Calendar,Y2972,NDays&amp;"D")</f>
        <v>60030</v>
      </c>
      <c r="AA2972" s="116" t="e">
        <v>#N/A</v>
      </c>
      <c r="AB2972" s="113" t="e">
        <v>#N/A</v>
      </c>
    </row>
    <row r="2973" spans="17:28" x14ac:dyDescent="0.2">
      <c r="Q2973" s="72"/>
      <c r="T2973" s="72"/>
      <c r="U2973" s="93"/>
      <c r="X2973" s="114" t="str">
        <f t="shared" si="59"/>
        <v>1w</v>
      </c>
      <c r="Y2973" s="112">
        <f>_xll.qlCalendarAdvance(Calendar,Y2972,X2973,"f",FALSE)</f>
        <v>60037</v>
      </c>
      <c r="Z2973" s="115">
        <f>_xll.qlCalendarAdvance(Calendar,Y2973,NDays&amp;"D")</f>
        <v>60037</v>
      </c>
      <c r="AA2973" s="116" t="e">
        <v>#N/A</v>
      </c>
      <c r="AB2973" s="113" t="e">
        <v>#N/A</v>
      </c>
    </row>
    <row r="2974" spans="17:28" x14ac:dyDescent="0.2">
      <c r="Q2974" s="72"/>
      <c r="T2974" s="72"/>
      <c r="U2974" s="93"/>
      <c r="X2974" s="114" t="str">
        <f t="shared" si="59"/>
        <v>1w</v>
      </c>
      <c r="Y2974" s="112">
        <f>_xll.qlCalendarAdvance(Calendar,Y2973,X2974,"f",FALSE)</f>
        <v>60044</v>
      </c>
      <c r="Z2974" s="115">
        <f>_xll.qlCalendarAdvance(Calendar,Y2974,NDays&amp;"D")</f>
        <v>60044</v>
      </c>
      <c r="AA2974" s="116" t="e">
        <v>#N/A</v>
      </c>
      <c r="AB2974" s="113" t="e">
        <v>#N/A</v>
      </c>
    </row>
    <row r="2975" spans="17:28" x14ac:dyDescent="0.2">
      <c r="Q2975" s="72"/>
      <c r="T2975" s="72"/>
      <c r="U2975" s="93"/>
      <c r="X2975" s="114" t="str">
        <f t="shared" si="59"/>
        <v>1w</v>
      </c>
      <c r="Y2975" s="112">
        <f>_xll.qlCalendarAdvance(Calendar,Y2974,X2975,"f",FALSE)</f>
        <v>60051</v>
      </c>
      <c r="Z2975" s="115">
        <f>_xll.qlCalendarAdvance(Calendar,Y2975,NDays&amp;"D")</f>
        <v>60051</v>
      </c>
      <c r="AA2975" s="116" t="e">
        <v>#N/A</v>
      </c>
      <c r="AB2975" s="113" t="e">
        <v>#N/A</v>
      </c>
    </row>
    <row r="2976" spans="17:28" x14ac:dyDescent="0.2">
      <c r="Q2976" s="72"/>
      <c r="T2976" s="72"/>
      <c r="U2976" s="93"/>
      <c r="X2976" s="114" t="str">
        <f t="shared" si="59"/>
        <v>1w</v>
      </c>
      <c r="Y2976" s="112">
        <f>_xll.qlCalendarAdvance(Calendar,Y2975,X2976,"f",FALSE)</f>
        <v>60058</v>
      </c>
      <c r="Z2976" s="115">
        <f>_xll.qlCalendarAdvance(Calendar,Y2976,NDays&amp;"D")</f>
        <v>60058</v>
      </c>
      <c r="AA2976" s="116" t="e">
        <v>#N/A</v>
      </c>
      <c r="AB2976" s="113" t="e">
        <v>#N/A</v>
      </c>
    </row>
    <row r="2977" spans="17:28" x14ac:dyDescent="0.2">
      <c r="Q2977" s="72"/>
      <c r="T2977" s="72"/>
      <c r="U2977" s="93"/>
      <c r="X2977" s="114" t="str">
        <f t="shared" si="59"/>
        <v>1w</v>
      </c>
      <c r="Y2977" s="112">
        <f>_xll.qlCalendarAdvance(Calendar,Y2976,X2977,"f",FALSE)</f>
        <v>60065</v>
      </c>
      <c r="Z2977" s="115">
        <f>_xll.qlCalendarAdvance(Calendar,Y2977,NDays&amp;"D")</f>
        <v>60065</v>
      </c>
      <c r="AA2977" s="116" t="e">
        <v>#N/A</v>
      </c>
      <c r="AB2977" s="113" t="e">
        <v>#N/A</v>
      </c>
    </row>
    <row r="2978" spans="17:28" x14ac:dyDescent="0.2">
      <c r="Q2978" s="72"/>
      <c r="T2978" s="72"/>
      <c r="U2978" s="93"/>
      <c r="X2978" s="114" t="str">
        <f t="shared" si="59"/>
        <v>1w</v>
      </c>
      <c r="Y2978" s="112">
        <f>_xll.qlCalendarAdvance(Calendar,Y2977,X2978,"f",FALSE)</f>
        <v>60072</v>
      </c>
      <c r="Z2978" s="115">
        <f>_xll.qlCalendarAdvance(Calendar,Y2978,NDays&amp;"D")</f>
        <v>60072</v>
      </c>
      <c r="AA2978" s="116" t="e">
        <v>#N/A</v>
      </c>
      <c r="AB2978" s="113" t="e">
        <v>#N/A</v>
      </c>
    </row>
    <row r="2979" spans="17:28" x14ac:dyDescent="0.2">
      <c r="Q2979" s="72"/>
      <c r="T2979" s="72"/>
      <c r="U2979" s="93"/>
      <c r="X2979" s="114" t="str">
        <f t="shared" si="59"/>
        <v>1w</v>
      </c>
      <c r="Y2979" s="112">
        <f>_xll.qlCalendarAdvance(Calendar,Y2978,X2979,"f",FALSE)</f>
        <v>60079</v>
      </c>
      <c r="Z2979" s="115">
        <f>_xll.qlCalendarAdvance(Calendar,Y2979,NDays&amp;"D")</f>
        <v>60079</v>
      </c>
      <c r="AA2979" s="116" t="e">
        <v>#N/A</v>
      </c>
      <c r="AB2979" s="113" t="e">
        <v>#N/A</v>
      </c>
    </row>
    <row r="2980" spans="17:28" x14ac:dyDescent="0.2">
      <c r="Q2980" s="72"/>
      <c r="T2980" s="72"/>
      <c r="U2980" s="93"/>
      <c r="X2980" s="114" t="str">
        <f t="shared" si="59"/>
        <v>1w</v>
      </c>
      <c r="Y2980" s="112">
        <f>_xll.qlCalendarAdvance(Calendar,Y2979,X2980,"f",FALSE)</f>
        <v>60086</v>
      </c>
      <c r="Z2980" s="115">
        <f>_xll.qlCalendarAdvance(Calendar,Y2980,NDays&amp;"D")</f>
        <v>60086</v>
      </c>
      <c r="AA2980" s="116" t="e">
        <v>#N/A</v>
      </c>
      <c r="AB2980" s="113" t="e">
        <v>#N/A</v>
      </c>
    </row>
    <row r="2981" spans="17:28" x14ac:dyDescent="0.2">
      <c r="Q2981" s="72"/>
      <c r="T2981" s="72"/>
      <c r="U2981" s="93"/>
      <c r="X2981" s="114" t="str">
        <f t="shared" si="59"/>
        <v>1w</v>
      </c>
      <c r="Y2981" s="112">
        <f>_xll.qlCalendarAdvance(Calendar,Y2980,X2981,"f",FALSE)</f>
        <v>60093</v>
      </c>
      <c r="Z2981" s="115">
        <f>_xll.qlCalendarAdvance(Calendar,Y2981,NDays&amp;"D")</f>
        <v>60093</v>
      </c>
      <c r="AA2981" s="116" t="e">
        <v>#N/A</v>
      </c>
      <c r="AB2981" s="113" t="e">
        <v>#N/A</v>
      </c>
    </row>
    <row r="2982" spans="17:28" x14ac:dyDescent="0.2">
      <c r="Q2982" s="72"/>
      <c r="T2982" s="72"/>
      <c r="U2982" s="93"/>
      <c r="X2982" s="114" t="str">
        <f t="shared" si="59"/>
        <v>1w</v>
      </c>
      <c r="Y2982" s="112">
        <f>_xll.qlCalendarAdvance(Calendar,Y2981,X2982,"f",FALSE)</f>
        <v>60100</v>
      </c>
      <c r="Z2982" s="115">
        <f>_xll.qlCalendarAdvance(Calendar,Y2982,NDays&amp;"D")</f>
        <v>60100</v>
      </c>
      <c r="AA2982" s="116" t="e">
        <v>#N/A</v>
      </c>
      <c r="AB2982" s="113" t="e">
        <v>#N/A</v>
      </c>
    </row>
    <row r="2983" spans="17:28" x14ac:dyDescent="0.2">
      <c r="Q2983" s="72"/>
      <c r="T2983" s="72"/>
      <c r="U2983" s="93"/>
      <c r="X2983" s="114" t="str">
        <f t="shared" si="59"/>
        <v>1w</v>
      </c>
      <c r="Y2983" s="112">
        <f>_xll.qlCalendarAdvance(Calendar,Y2982,X2983,"f",FALSE)</f>
        <v>60107</v>
      </c>
      <c r="Z2983" s="115">
        <f>_xll.qlCalendarAdvance(Calendar,Y2983,NDays&amp;"D")</f>
        <v>60107</v>
      </c>
      <c r="AA2983" s="116" t="e">
        <v>#N/A</v>
      </c>
      <c r="AB2983" s="113" t="e">
        <v>#N/A</v>
      </c>
    </row>
    <row r="2984" spans="17:28" x14ac:dyDescent="0.2">
      <c r="Q2984" s="72"/>
      <c r="T2984" s="72"/>
      <c r="U2984" s="93"/>
      <c r="X2984" s="114" t="str">
        <f t="shared" si="59"/>
        <v>1w</v>
      </c>
      <c r="Y2984" s="112">
        <f>_xll.qlCalendarAdvance(Calendar,Y2983,X2984,"f",FALSE)</f>
        <v>60114</v>
      </c>
      <c r="Z2984" s="115">
        <f>_xll.qlCalendarAdvance(Calendar,Y2984,NDays&amp;"D")</f>
        <v>60114</v>
      </c>
      <c r="AA2984" s="116" t="e">
        <v>#N/A</v>
      </c>
      <c r="AB2984" s="113" t="e">
        <v>#N/A</v>
      </c>
    </row>
    <row r="2985" spans="17:28" x14ac:dyDescent="0.2">
      <c r="Q2985" s="72"/>
      <c r="T2985" s="72"/>
      <c r="U2985" s="93"/>
      <c r="X2985" s="114" t="str">
        <f t="shared" si="59"/>
        <v>1w</v>
      </c>
      <c r="Y2985" s="112">
        <f>_xll.qlCalendarAdvance(Calendar,Y2984,X2985,"f",FALSE)</f>
        <v>60121</v>
      </c>
      <c r="Z2985" s="115">
        <f>_xll.qlCalendarAdvance(Calendar,Y2985,NDays&amp;"D")</f>
        <v>60121</v>
      </c>
      <c r="AA2985" s="116" t="e">
        <v>#N/A</v>
      </c>
      <c r="AB2985" s="113" t="e">
        <v>#N/A</v>
      </c>
    </row>
    <row r="2986" spans="17:28" x14ac:dyDescent="0.2">
      <c r="Q2986" s="72"/>
      <c r="T2986" s="72"/>
      <c r="U2986" s="93"/>
      <c r="X2986" s="114" t="str">
        <f t="shared" si="59"/>
        <v>1w</v>
      </c>
      <c r="Y2986" s="112">
        <f>_xll.qlCalendarAdvance(Calendar,Y2985,X2986,"f",FALSE)</f>
        <v>60128</v>
      </c>
      <c r="Z2986" s="115">
        <f>_xll.qlCalendarAdvance(Calendar,Y2986,NDays&amp;"D")</f>
        <v>60128</v>
      </c>
      <c r="AA2986" s="116" t="e">
        <v>#N/A</v>
      </c>
      <c r="AB2986" s="113" t="e">
        <v>#N/A</v>
      </c>
    </row>
    <row r="2987" spans="17:28" x14ac:dyDescent="0.2">
      <c r="Q2987" s="72"/>
      <c r="T2987" s="72"/>
      <c r="U2987" s="93"/>
      <c r="X2987" s="114" t="str">
        <f t="shared" si="59"/>
        <v>1w</v>
      </c>
      <c r="Y2987" s="112">
        <f>_xll.qlCalendarAdvance(Calendar,Y2986,X2987,"f",FALSE)</f>
        <v>60135</v>
      </c>
      <c r="Z2987" s="115">
        <f>_xll.qlCalendarAdvance(Calendar,Y2987,NDays&amp;"D")</f>
        <v>60135</v>
      </c>
      <c r="AA2987" s="116" t="e">
        <v>#N/A</v>
      </c>
      <c r="AB2987" s="113" t="e">
        <v>#N/A</v>
      </c>
    </row>
    <row r="2988" spans="17:28" x14ac:dyDescent="0.2">
      <c r="Q2988" s="72"/>
      <c r="T2988" s="72"/>
      <c r="U2988" s="93"/>
      <c r="X2988" s="114" t="str">
        <f t="shared" si="59"/>
        <v>1w</v>
      </c>
      <c r="Y2988" s="112">
        <f>_xll.qlCalendarAdvance(Calendar,Y2987,X2988,"f",FALSE)</f>
        <v>60142</v>
      </c>
      <c r="Z2988" s="115">
        <f>_xll.qlCalendarAdvance(Calendar,Y2988,NDays&amp;"D")</f>
        <v>60142</v>
      </c>
      <c r="AA2988" s="116" t="e">
        <v>#N/A</v>
      </c>
      <c r="AB2988" s="113" t="e">
        <v>#N/A</v>
      </c>
    </row>
    <row r="2989" spans="17:28" x14ac:dyDescent="0.2">
      <c r="Q2989" s="72"/>
      <c r="T2989" s="72"/>
      <c r="U2989" s="93"/>
      <c r="X2989" s="114" t="str">
        <f t="shared" si="59"/>
        <v>1w</v>
      </c>
      <c r="Y2989" s="112">
        <f>_xll.qlCalendarAdvance(Calendar,Y2988,X2989,"f",FALSE)</f>
        <v>60149</v>
      </c>
      <c r="Z2989" s="115">
        <f>_xll.qlCalendarAdvance(Calendar,Y2989,NDays&amp;"D")</f>
        <v>60149</v>
      </c>
      <c r="AA2989" s="116" t="e">
        <v>#N/A</v>
      </c>
      <c r="AB2989" s="113" t="e">
        <v>#N/A</v>
      </c>
    </row>
    <row r="2990" spans="17:28" x14ac:dyDescent="0.2">
      <c r="Q2990" s="72"/>
      <c r="T2990" s="72"/>
      <c r="U2990" s="93"/>
      <c r="X2990" s="114" t="str">
        <f t="shared" si="59"/>
        <v>1w</v>
      </c>
      <c r="Y2990" s="112">
        <f>_xll.qlCalendarAdvance(Calendar,Y2989,X2990,"f",FALSE)</f>
        <v>60156</v>
      </c>
      <c r="Z2990" s="115">
        <f>_xll.qlCalendarAdvance(Calendar,Y2990,NDays&amp;"D")</f>
        <v>60156</v>
      </c>
      <c r="AA2990" s="116" t="e">
        <v>#N/A</v>
      </c>
      <c r="AB2990" s="113" t="e">
        <v>#N/A</v>
      </c>
    </row>
    <row r="2991" spans="17:28" x14ac:dyDescent="0.2">
      <c r="Q2991" s="72"/>
      <c r="T2991" s="72"/>
      <c r="U2991" s="93"/>
      <c r="X2991" s="114" t="str">
        <f t="shared" si="59"/>
        <v>1w</v>
      </c>
      <c r="Y2991" s="112">
        <f>_xll.qlCalendarAdvance(Calendar,Y2990,X2991,"f",FALSE)</f>
        <v>60163</v>
      </c>
      <c r="Z2991" s="115">
        <f>_xll.qlCalendarAdvance(Calendar,Y2991,NDays&amp;"D")</f>
        <v>60163</v>
      </c>
      <c r="AA2991" s="116" t="e">
        <v>#N/A</v>
      </c>
      <c r="AB2991" s="113" t="e">
        <v>#N/A</v>
      </c>
    </row>
    <row r="2992" spans="17:28" x14ac:dyDescent="0.2">
      <c r="Q2992" s="72"/>
      <c r="T2992" s="72"/>
      <c r="U2992" s="93"/>
      <c r="X2992" s="114" t="str">
        <f t="shared" si="59"/>
        <v>1w</v>
      </c>
      <c r="Y2992" s="112">
        <f>_xll.qlCalendarAdvance(Calendar,Y2991,X2992,"f",FALSE)</f>
        <v>60170</v>
      </c>
      <c r="Z2992" s="115">
        <f>_xll.qlCalendarAdvance(Calendar,Y2992,NDays&amp;"D")</f>
        <v>60170</v>
      </c>
      <c r="AA2992" s="116" t="e">
        <v>#N/A</v>
      </c>
      <c r="AB2992" s="113" t="e">
        <v>#N/A</v>
      </c>
    </row>
    <row r="2993" spans="17:28" x14ac:dyDescent="0.2">
      <c r="Q2993" s="72"/>
      <c r="T2993" s="72"/>
      <c r="U2993" s="93"/>
      <c r="X2993" s="114" t="str">
        <f t="shared" si="59"/>
        <v>1w</v>
      </c>
      <c r="Y2993" s="112">
        <f>_xll.qlCalendarAdvance(Calendar,Y2992,X2993,"f",FALSE)</f>
        <v>60177</v>
      </c>
      <c r="Z2993" s="115">
        <f>_xll.qlCalendarAdvance(Calendar,Y2993,NDays&amp;"D")</f>
        <v>60177</v>
      </c>
      <c r="AA2993" s="116" t="e">
        <v>#N/A</v>
      </c>
      <c r="AB2993" s="113" t="e">
        <v>#N/A</v>
      </c>
    </row>
    <row r="2994" spans="17:28" x14ac:dyDescent="0.2">
      <c r="Q2994" s="72"/>
      <c r="T2994" s="72"/>
      <c r="U2994" s="93"/>
      <c r="X2994" s="114" t="str">
        <f t="shared" si="59"/>
        <v>1w</v>
      </c>
      <c r="Y2994" s="112">
        <f>_xll.qlCalendarAdvance(Calendar,Y2993,X2994,"f",FALSE)</f>
        <v>60184</v>
      </c>
      <c r="Z2994" s="115">
        <f>_xll.qlCalendarAdvance(Calendar,Y2994,NDays&amp;"D")</f>
        <v>60184</v>
      </c>
      <c r="AA2994" s="116" t="e">
        <v>#N/A</v>
      </c>
      <c r="AB2994" s="113" t="e">
        <v>#N/A</v>
      </c>
    </row>
    <row r="2995" spans="17:28" x14ac:dyDescent="0.2">
      <c r="Q2995" s="72"/>
      <c r="T2995" s="72"/>
      <c r="U2995" s="93"/>
      <c r="X2995" s="114" t="str">
        <f t="shared" si="59"/>
        <v>1w</v>
      </c>
      <c r="Y2995" s="112">
        <f>_xll.qlCalendarAdvance(Calendar,Y2994,X2995,"f",FALSE)</f>
        <v>60191</v>
      </c>
      <c r="Z2995" s="115">
        <f>_xll.qlCalendarAdvance(Calendar,Y2995,NDays&amp;"D")</f>
        <v>60191</v>
      </c>
      <c r="AA2995" s="116" t="e">
        <v>#N/A</v>
      </c>
      <c r="AB2995" s="113" t="e">
        <v>#N/A</v>
      </c>
    </row>
    <row r="2996" spans="17:28" x14ac:dyDescent="0.2">
      <c r="Q2996" s="72"/>
      <c r="T2996" s="72"/>
      <c r="U2996" s="93"/>
      <c r="X2996" s="114" t="str">
        <f t="shared" si="59"/>
        <v>1w</v>
      </c>
      <c r="Y2996" s="112">
        <f>_xll.qlCalendarAdvance(Calendar,Y2995,X2996,"f",FALSE)</f>
        <v>60198</v>
      </c>
      <c r="Z2996" s="115">
        <f>_xll.qlCalendarAdvance(Calendar,Y2996,NDays&amp;"D")</f>
        <v>60198</v>
      </c>
      <c r="AA2996" s="116" t="e">
        <v>#N/A</v>
      </c>
      <c r="AB2996" s="113" t="e">
        <v>#N/A</v>
      </c>
    </row>
    <row r="2997" spans="17:28" x14ac:dyDescent="0.2">
      <c r="Q2997" s="72"/>
      <c r="T2997" s="72"/>
      <c r="U2997" s="93"/>
      <c r="X2997" s="114" t="str">
        <f t="shared" si="59"/>
        <v>1w</v>
      </c>
      <c r="Y2997" s="112">
        <f>_xll.qlCalendarAdvance(Calendar,Y2996,X2997,"f",FALSE)</f>
        <v>60205</v>
      </c>
      <c r="Z2997" s="115">
        <f>_xll.qlCalendarAdvance(Calendar,Y2997,NDays&amp;"D")</f>
        <v>60205</v>
      </c>
      <c r="AA2997" s="116" t="e">
        <v>#N/A</v>
      </c>
      <c r="AB2997" s="113" t="e">
        <v>#N/A</v>
      </c>
    </row>
    <row r="2998" spans="17:28" x14ac:dyDescent="0.2">
      <c r="Q2998" s="72"/>
      <c r="T2998" s="72"/>
      <c r="U2998" s="93"/>
      <c r="X2998" s="114" t="str">
        <f t="shared" si="59"/>
        <v>1w</v>
      </c>
      <c r="Y2998" s="112">
        <f>_xll.qlCalendarAdvance(Calendar,Y2997,X2998,"f",FALSE)</f>
        <v>60212</v>
      </c>
      <c r="Z2998" s="115">
        <f>_xll.qlCalendarAdvance(Calendar,Y2998,NDays&amp;"D")</f>
        <v>60212</v>
      </c>
      <c r="AA2998" s="116" t="e">
        <v>#N/A</v>
      </c>
      <c r="AB2998" s="113" t="e">
        <v>#N/A</v>
      </c>
    </row>
    <row r="2999" spans="17:28" x14ac:dyDescent="0.2">
      <c r="Q2999" s="72"/>
      <c r="T2999" s="72"/>
      <c r="U2999" s="93"/>
      <c r="X2999" s="114" t="str">
        <f t="shared" si="59"/>
        <v>1w</v>
      </c>
      <c r="Y2999" s="112">
        <f>_xll.qlCalendarAdvance(Calendar,Y2998,X2999,"f",FALSE)</f>
        <v>60219</v>
      </c>
      <c r="Z2999" s="115">
        <f>_xll.qlCalendarAdvance(Calendar,Y2999,NDays&amp;"D")</f>
        <v>60219</v>
      </c>
      <c r="AA2999" s="116" t="e">
        <v>#N/A</v>
      </c>
      <c r="AB2999" s="113" t="e">
        <v>#N/A</v>
      </c>
    </row>
    <row r="3000" spans="17:28" x14ac:dyDescent="0.2">
      <c r="Q3000" s="72"/>
      <c r="T3000" s="72"/>
      <c r="U3000" s="93"/>
      <c r="X3000" s="114" t="str">
        <f t="shared" si="59"/>
        <v>1w</v>
      </c>
      <c r="Y3000" s="112">
        <f>_xll.qlCalendarAdvance(Calendar,Y2999,X3000,"f",FALSE)</f>
        <v>60226</v>
      </c>
      <c r="Z3000" s="115">
        <f>_xll.qlCalendarAdvance(Calendar,Y3000,NDays&amp;"D")</f>
        <v>60226</v>
      </c>
      <c r="AA3000" s="116" t="e">
        <v>#N/A</v>
      </c>
      <c r="AB3000" s="113" t="e">
        <v>#N/A</v>
      </c>
    </row>
    <row r="3001" spans="17:28" x14ac:dyDescent="0.2">
      <c r="Q3001" s="72"/>
      <c r="T3001" s="72"/>
      <c r="U3001" s="93"/>
      <c r="X3001" s="114" t="str">
        <f t="shared" si="59"/>
        <v>1w</v>
      </c>
      <c r="Y3001" s="112">
        <f>_xll.qlCalendarAdvance(Calendar,Y3000,X3001,"f",FALSE)</f>
        <v>60233</v>
      </c>
      <c r="Z3001" s="115">
        <f>_xll.qlCalendarAdvance(Calendar,Y3001,NDays&amp;"D")</f>
        <v>60233</v>
      </c>
      <c r="AA3001" s="116" t="e">
        <v>#N/A</v>
      </c>
      <c r="AB3001" s="113" t="e">
        <v>#N/A</v>
      </c>
    </row>
    <row r="3002" spans="17:28" x14ac:dyDescent="0.2">
      <c r="Q3002" s="72"/>
      <c r="T3002" s="72"/>
      <c r="U3002" s="93"/>
      <c r="X3002" s="114" t="str">
        <f t="shared" si="59"/>
        <v>1w</v>
      </c>
      <c r="Y3002" s="112">
        <f>_xll.qlCalendarAdvance(Calendar,Y3001,X3002,"f",FALSE)</f>
        <v>60240</v>
      </c>
      <c r="Z3002" s="115">
        <f>_xll.qlCalendarAdvance(Calendar,Y3002,NDays&amp;"D")</f>
        <v>60240</v>
      </c>
      <c r="AA3002" s="116" t="e">
        <v>#N/A</v>
      </c>
      <c r="AB3002" s="113" t="e">
        <v>#N/A</v>
      </c>
    </row>
    <row r="3003" spans="17:28" x14ac:dyDescent="0.2">
      <c r="Q3003" s="72"/>
      <c r="T3003" s="72"/>
      <c r="U3003" s="93"/>
      <c r="X3003" s="114" t="str">
        <f t="shared" si="59"/>
        <v>1w</v>
      </c>
      <c r="Y3003" s="112">
        <f>_xll.qlCalendarAdvance(Calendar,Y3002,X3003,"f",FALSE)</f>
        <v>60247</v>
      </c>
      <c r="Z3003" s="115">
        <f>_xll.qlCalendarAdvance(Calendar,Y3003,NDays&amp;"D")</f>
        <v>60247</v>
      </c>
      <c r="AA3003" s="116" t="e">
        <v>#N/A</v>
      </c>
      <c r="AB3003" s="113" t="e">
        <v>#N/A</v>
      </c>
    </row>
    <row r="3004" spans="17:28" x14ac:dyDescent="0.2">
      <c r="Q3004" s="72"/>
      <c r="T3004" s="72"/>
      <c r="U3004" s="93"/>
      <c r="X3004" s="114" t="str">
        <f t="shared" si="59"/>
        <v>1w</v>
      </c>
      <c r="Y3004" s="112">
        <f>_xll.qlCalendarAdvance(Calendar,Y3003,X3004,"f",FALSE)</f>
        <v>60254</v>
      </c>
      <c r="Z3004" s="115">
        <f>_xll.qlCalendarAdvance(Calendar,Y3004,NDays&amp;"D")</f>
        <v>60254</v>
      </c>
      <c r="AA3004" s="116" t="e">
        <v>#N/A</v>
      </c>
      <c r="AB3004" s="113" t="e">
        <v>#N/A</v>
      </c>
    </row>
    <row r="3005" spans="17:28" x14ac:dyDescent="0.2">
      <c r="Q3005" s="72"/>
      <c r="T3005" s="72"/>
      <c r="U3005" s="93"/>
      <c r="X3005" s="114" t="str">
        <f t="shared" si="59"/>
        <v>1w</v>
      </c>
      <c r="Y3005" s="112">
        <f>_xll.qlCalendarAdvance(Calendar,Y3004,X3005,"f",FALSE)</f>
        <v>60265</v>
      </c>
      <c r="Z3005" s="115">
        <f>_xll.qlCalendarAdvance(Calendar,Y3005,NDays&amp;"D")</f>
        <v>60265</v>
      </c>
      <c r="AA3005" s="116" t="e">
        <v>#N/A</v>
      </c>
      <c r="AB3005" s="113" t="e">
        <v>#N/A</v>
      </c>
    </row>
    <row r="3006" spans="17:28" x14ac:dyDescent="0.2">
      <c r="Q3006" s="72"/>
      <c r="T3006" s="72"/>
      <c r="U3006" s="93"/>
      <c r="X3006" s="114" t="str">
        <f t="shared" si="59"/>
        <v>1w</v>
      </c>
      <c r="Y3006" s="112">
        <f>_xll.qlCalendarAdvance(Calendar,Y3005,X3006,"f",FALSE)</f>
        <v>60272</v>
      </c>
      <c r="Z3006" s="115">
        <f>_xll.qlCalendarAdvance(Calendar,Y3006,NDays&amp;"D")</f>
        <v>60272</v>
      </c>
      <c r="AA3006" s="116" t="e">
        <v>#N/A</v>
      </c>
      <c r="AB3006" s="113" t="e">
        <v>#N/A</v>
      </c>
    </row>
    <row r="3007" spans="17:28" x14ac:dyDescent="0.2">
      <c r="Q3007" s="72"/>
      <c r="T3007" s="72"/>
      <c r="U3007" s="93"/>
      <c r="X3007" s="114" t="str">
        <f t="shared" si="59"/>
        <v>1w</v>
      </c>
      <c r="Y3007" s="112">
        <f>_xll.qlCalendarAdvance(Calendar,Y3006,X3007,"f",FALSE)</f>
        <v>60279</v>
      </c>
      <c r="Z3007" s="115">
        <f>_xll.qlCalendarAdvance(Calendar,Y3007,NDays&amp;"D")</f>
        <v>60279</v>
      </c>
      <c r="AA3007" s="116" t="e">
        <v>#N/A</v>
      </c>
      <c r="AB3007" s="113" t="e">
        <v>#N/A</v>
      </c>
    </row>
    <row r="3008" spans="17:28" x14ac:dyDescent="0.2">
      <c r="Q3008" s="72"/>
      <c r="T3008" s="72"/>
      <c r="U3008" s="93"/>
      <c r="X3008" s="114" t="str">
        <f t="shared" si="59"/>
        <v>1w</v>
      </c>
      <c r="Y3008" s="112">
        <f>_xll.qlCalendarAdvance(Calendar,Y3007,X3008,"f",FALSE)</f>
        <v>60286</v>
      </c>
      <c r="Z3008" s="115">
        <f>_xll.qlCalendarAdvance(Calendar,Y3008,NDays&amp;"D")</f>
        <v>60286</v>
      </c>
      <c r="AA3008" s="116" t="e">
        <v>#N/A</v>
      </c>
      <c r="AB3008" s="113" t="e">
        <v>#N/A</v>
      </c>
    </row>
    <row r="3009" spans="17:28" x14ac:dyDescent="0.2">
      <c r="Q3009" s="72"/>
      <c r="T3009" s="72"/>
      <c r="U3009" s="93"/>
      <c r="X3009" s="114" t="str">
        <f t="shared" si="59"/>
        <v>1w</v>
      </c>
      <c r="Y3009" s="112">
        <f>_xll.qlCalendarAdvance(Calendar,Y3008,X3009,"f",FALSE)</f>
        <v>60294</v>
      </c>
      <c r="Z3009" s="115">
        <f>_xll.qlCalendarAdvance(Calendar,Y3009,NDays&amp;"D")</f>
        <v>60294</v>
      </c>
      <c r="AA3009" s="116" t="e">
        <v>#N/A</v>
      </c>
      <c r="AB3009" s="113" t="e">
        <v>#N/A</v>
      </c>
    </row>
    <row r="3010" spans="17:28" x14ac:dyDescent="0.2">
      <c r="Q3010" s="72"/>
      <c r="T3010" s="72"/>
      <c r="U3010" s="93"/>
      <c r="X3010" s="114" t="str">
        <f t="shared" si="59"/>
        <v>1w</v>
      </c>
      <c r="Y3010" s="112">
        <f>_xll.qlCalendarAdvance(Calendar,Y3009,X3010,"f",FALSE)</f>
        <v>60301</v>
      </c>
      <c r="Z3010" s="115">
        <f>_xll.qlCalendarAdvance(Calendar,Y3010,NDays&amp;"D")</f>
        <v>60301</v>
      </c>
      <c r="AA3010" s="116" t="e">
        <v>#N/A</v>
      </c>
      <c r="AB3010" s="113" t="e">
        <v>#N/A</v>
      </c>
    </row>
    <row r="3011" spans="17:28" x14ac:dyDescent="0.2">
      <c r="Q3011" s="72"/>
      <c r="T3011" s="72"/>
      <c r="U3011" s="93"/>
      <c r="X3011" s="114" t="str">
        <f t="shared" si="59"/>
        <v>1w</v>
      </c>
      <c r="Y3011" s="112">
        <f>_xll.qlCalendarAdvance(Calendar,Y3010,X3011,"f",FALSE)</f>
        <v>60308</v>
      </c>
      <c r="Z3011" s="115">
        <f>_xll.qlCalendarAdvance(Calendar,Y3011,NDays&amp;"D")</f>
        <v>60308</v>
      </c>
      <c r="AA3011" s="116" t="e">
        <v>#N/A</v>
      </c>
      <c r="AB3011" s="113" t="e">
        <v>#N/A</v>
      </c>
    </row>
    <row r="3012" spans="17:28" x14ac:dyDescent="0.2">
      <c r="Q3012" s="72"/>
      <c r="T3012" s="72"/>
      <c r="U3012" s="93"/>
      <c r="X3012" s="114" t="str">
        <f t="shared" si="59"/>
        <v>1w</v>
      </c>
      <c r="Y3012" s="112">
        <f>_xll.qlCalendarAdvance(Calendar,Y3011,X3012,"f",FALSE)</f>
        <v>60315</v>
      </c>
      <c r="Z3012" s="115">
        <f>_xll.qlCalendarAdvance(Calendar,Y3012,NDays&amp;"D")</f>
        <v>60315</v>
      </c>
      <c r="AA3012" s="116" t="e">
        <v>#N/A</v>
      </c>
      <c r="AB3012" s="113" t="e">
        <v>#N/A</v>
      </c>
    </row>
    <row r="3013" spans="17:28" x14ac:dyDescent="0.2">
      <c r="Q3013" s="72"/>
      <c r="T3013" s="72"/>
      <c r="U3013" s="93"/>
      <c r="X3013" s="114" t="str">
        <f t="shared" si="59"/>
        <v>1w</v>
      </c>
      <c r="Y3013" s="112">
        <f>_xll.qlCalendarAdvance(Calendar,Y3012,X3013,"f",FALSE)</f>
        <v>60322</v>
      </c>
      <c r="Z3013" s="115">
        <f>_xll.qlCalendarAdvance(Calendar,Y3013,NDays&amp;"D")</f>
        <v>60322</v>
      </c>
      <c r="AA3013" s="116" t="e">
        <v>#N/A</v>
      </c>
      <c r="AB3013" s="113" t="e">
        <v>#N/A</v>
      </c>
    </row>
    <row r="3014" spans="17:28" x14ac:dyDescent="0.2">
      <c r="Q3014" s="72"/>
      <c r="T3014" s="72"/>
      <c r="U3014" s="93"/>
      <c r="X3014" s="114" t="str">
        <f t="shared" si="59"/>
        <v>1w</v>
      </c>
      <c r="Y3014" s="112">
        <f>_xll.qlCalendarAdvance(Calendar,Y3013,X3014,"f",FALSE)</f>
        <v>60329</v>
      </c>
      <c r="Z3014" s="115">
        <f>_xll.qlCalendarAdvance(Calendar,Y3014,NDays&amp;"D")</f>
        <v>60329</v>
      </c>
      <c r="AA3014" s="116" t="e">
        <v>#N/A</v>
      </c>
      <c r="AB3014" s="113" t="e">
        <v>#N/A</v>
      </c>
    </row>
    <row r="3015" spans="17:28" x14ac:dyDescent="0.2">
      <c r="Q3015" s="72"/>
      <c r="T3015" s="72"/>
      <c r="U3015" s="93"/>
      <c r="X3015" s="114" t="str">
        <f t="shared" si="59"/>
        <v>1w</v>
      </c>
      <c r="Y3015" s="112">
        <f>_xll.qlCalendarAdvance(Calendar,Y3014,X3015,"f",FALSE)</f>
        <v>60336</v>
      </c>
      <c r="Z3015" s="115">
        <f>_xll.qlCalendarAdvance(Calendar,Y3015,NDays&amp;"D")</f>
        <v>60336</v>
      </c>
      <c r="AA3015" s="116" t="e">
        <v>#N/A</v>
      </c>
      <c r="AB3015" s="113" t="e">
        <v>#N/A</v>
      </c>
    </row>
    <row r="3016" spans="17:28" x14ac:dyDescent="0.2">
      <c r="Q3016" s="72"/>
      <c r="T3016" s="72"/>
      <c r="U3016" s="93"/>
      <c r="X3016" s="114" t="str">
        <f t="shared" si="59"/>
        <v>1w</v>
      </c>
      <c r="Y3016" s="112">
        <f>_xll.qlCalendarAdvance(Calendar,Y3015,X3016,"f",FALSE)</f>
        <v>60343</v>
      </c>
      <c r="Z3016" s="115">
        <f>_xll.qlCalendarAdvance(Calendar,Y3016,NDays&amp;"D")</f>
        <v>60343</v>
      </c>
      <c r="AA3016" s="116" t="e">
        <v>#N/A</v>
      </c>
      <c r="AB3016" s="113" t="e">
        <v>#N/A</v>
      </c>
    </row>
    <row r="3017" spans="17:28" x14ac:dyDescent="0.2">
      <c r="Q3017" s="72"/>
      <c r="T3017" s="72"/>
      <c r="U3017" s="93"/>
      <c r="X3017" s="114" t="str">
        <f t="shared" si="59"/>
        <v>1w</v>
      </c>
      <c r="Y3017" s="112">
        <f>_xll.qlCalendarAdvance(Calendar,Y3016,X3017,"f",FALSE)</f>
        <v>60350</v>
      </c>
      <c r="Z3017" s="115">
        <f>_xll.qlCalendarAdvance(Calendar,Y3017,NDays&amp;"D")</f>
        <v>60350</v>
      </c>
      <c r="AA3017" s="116" t="e">
        <v>#N/A</v>
      </c>
      <c r="AB3017" s="113" t="e">
        <v>#N/A</v>
      </c>
    </row>
    <row r="3018" spans="17:28" x14ac:dyDescent="0.2">
      <c r="Q3018" s="72"/>
      <c r="T3018" s="72"/>
      <c r="U3018" s="93"/>
      <c r="X3018" s="114" t="str">
        <f t="shared" si="59"/>
        <v>1w</v>
      </c>
      <c r="Y3018" s="112">
        <f>_xll.qlCalendarAdvance(Calendar,Y3017,X3018,"f",FALSE)</f>
        <v>60357</v>
      </c>
      <c r="Z3018" s="115">
        <f>_xll.qlCalendarAdvance(Calendar,Y3018,NDays&amp;"D")</f>
        <v>60357</v>
      </c>
      <c r="AA3018" s="116" t="e">
        <v>#N/A</v>
      </c>
      <c r="AB3018" s="113" t="e">
        <v>#N/A</v>
      </c>
    </row>
    <row r="3019" spans="17:28" x14ac:dyDescent="0.2">
      <c r="Q3019" s="72"/>
      <c r="T3019" s="72"/>
      <c r="U3019" s="93"/>
      <c r="X3019" s="114" t="str">
        <f t="shared" si="59"/>
        <v>1w</v>
      </c>
      <c r="Y3019" s="112">
        <f>_xll.qlCalendarAdvance(Calendar,Y3018,X3019,"f",FALSE)</f>
        <v>60364</v>
      </c>
      <c r="Z3019" s="115">
        <f>_xll.qlCalendarAdvance(Calendar,Y3019,NDays&amp;"D")</f>
        <v>60364</v>
      </c>
      <c r="AA3019" s="116" t="e">
        <v>#N/A</v>
      </c>
      <c r="AB3019" s="113" t="e">
        <v>#N/A</v>
      </c>
    </row>
    <row r="3020" spans="17:28" x14ac:dyDescent="0.2">
      <c r="Q3020" s="72"/>
      <c r="T3020" s="72"/>
      <c r="U3020" s="93"/>
      <c r="X3020" s="114" t="str">
        <f t="shared" si="59"/>
        <v>1w</v>
      </c>
      <c r="Y3020" s="112">
        <f>_xll.qlCalendarAdvance(Calendar,Y3019,X3020,"f",FALSE)</f>
        <v>60371</v>
      </c>
      <c r="Z3020" s="115">
        <f>_xll.qlCalendarAdvance(Calendar,Y3020,NDays&amp;"D")</f>
        <v>60371</v>
      </c>
      <c r="AA3020" s="116" t="e">
        <v>#N/A</v>
      </c>
      <c r="AB3020" s="113" t="e">
        <v>#N/A</v>
      </c>
    </row>
    <row r="3021" spans="17:28" x14ac:dyDescent="0.2">
      <c r="Q3021" s="72"/>
      <c r="T3021" s="72"/>
      <c r="U3021" s="93"/>
      <c r="X3021" s="114" t="str">
        <f t="shared" si="59"/>
        <v>1w</v>
      </c>
      <c r="Y3021" s="112">
        <f>_xll.qlCalendarAdvance(Calendar,Y3020,X3021,"f",FALSE)</f>
        <v>60378</v>
      </c>
      <c r="Z3021" s="115">
        <f>_xll.qlCalendarAdvance(Calendar,Y3021,NDays&amp;"D")</f>
        <v>60378</v>
      </c>
      <c r="AA3021" s="116" t="e">
        <v>#N/A</v>
      </c>
      <c r="AB3021" s="113" t="e">
        <v>#N/A</v>
      </c>
    </row>
    <row r="3022" spans="17:28" x14ac:dyDescent="0.2">
      <c r="Q3022" s="72"/>
      <c r="T3022" s="72"/>
      <c r="U3022" s="93"/>
      <c r="X3022" s="114" t="str">
        <f t="shared" si="59"/>
        <v>1w</v>
      </c>
      <c r="Y3022" s="112">
        <f>_xll.qlCalendarAdvance(Calendar,Y3021,X3022,"f",FALSE)</f>
        <v>60385</v>
      </c>
      <c r="Z3022" s="115">
        <f>_xll.qlCalendarAdvance(Calendar,Y3022,NDays&amp;"D")</f>
        <v>60385</v>
      </c>
      <c r="AA3022" s="116" t="e">
        <v>#N/A</v>
      </c>
      <c r="AB3022" s="113" t="e">
        <v>#N/A</v>
      </c>
    </row>
    <row r="3023" spans="17:28" x14ac:dyDescent="0.2">
      <c r="Q3023" s="72"/>
      <c r="T3023" s="72"/>
      <c r="U3023" s="93"/>
      <c r="X3023" s="114" t="str">
        <f t="shared" si="59"/>
        <v>1w</v>
      </c>
      <c r="Y3023" s="112">
        <f>_xll.qlCalendarAdvance(Calendar,Y3022,X3023,"f",FALSE)</f>
        <v>60392</v>
      </c>
      <c r="Z3023" s="115">
        <f>_xll.qlCalendarAdvance(Calendar,Y3023,NDays&amp;"D")</f>
        <v>60392</v>
      </c>
      <c r="AA3023" s="116" t="e">
        <v>#N/A</v>
      </c>
      <c r="AB3023" s="113" t="e">
        <v>#N/A</v>
      </c>
    </row>
    <row r="3024" spans="17:28" x14ac:dyDescent="0.2">
      <c r="Q3024" s="72"/>
      <c r="T3024" s="72"/>
      <c r="U3024" s="93"/>
      <c r="X3024" s="114" t="str">
        <f t="shared" si="59"/>
        <v>1w</v>
      </c>
      <c r="Y3024" s="112">
        <f>_xll.qlCalendarAdvance(Calendar,Y3023,X3024,"f",FALSE)</f>
        <v>60399</v>
      </c>
      <c r="Z3024" s="115">
        <f>_xll.qlCalendarAdvance(Calendar,Y3024,NDays&amp;"D")</f>
        <v>60399</v>
      </c>
      <c r="AA3024" s="116" t="e">
        <v>#N/A</v>
      </c>
      <c r="AB3024" s="113" t="e">
        <v>#N/A</v>
      </c>
    </row>
    <row r="3025" spans="17:28" x14ac:dyDescent="0.2">
      <c r="Q3025" s="72"/>
      <c r="T3025" s="72"/>
      <c r="U3025" s="93"/>
      <c r="X3025" s="114" t="str">
        <f t="shared" si="59"/>
        <v>1w</v>
      </c>
      <c r="Y3025" s="112">
        <f>_xll.qlCalendarAdvance(Calendar,Y3024,X3025,"f",FALSE)</f>
        <v>60406</v>
      </c>
      <c r="Z3025" s="115">
        <f>_xll.qlCalendarAdvance(Calendar,Y3025,NDays&amp;"D")</f>
        <v>60406</v>
      </c>
      <c r="AA3025" s="116" t="e">
        <v>#N/A</v>
      </c>
      <c r="AB3025" s="113" t="e">
        <v>#N/A</v>
      </c>
    </row>
    <row r="3026" spans="17:28" x14ac:dyDescent="0.2">
      <c r="Q3026" s="72"/>
      <c r="T3026" s="72"/>
      <c r="U3026" s="93"/>
      <c r="X3026" s="114" t="str">
        <f t="shared" si="59"/>
        <v>1w</v>
      </c>
      <c r="Y3026" s="112">
        <f>_xll.qlCalendarAdvance(Calendar,Y3025,X3026,"f",FALSE)</f>
        <v>60413</v>
      </c>
      <c r="Z3026" s="115">
        <f>_xll.qlCalendarAdvance(Calendar,Y3026,NDays&amp;"D")</f>
        <v>60413</v>
      </c>
      <c r="AA3026" s="116" t="e">
        <v>#N/A</v>
      </c>
      <c r="AB3026" s="113" t="e">
        <v>#N/A</v>
      </c>
    </row>
    <row r="3027" spans="17:28" x14ac:dyDescent="0.2">
      <c r="Q3027" s="72"/>
      <c r="T3027" s="72"/>
      <c r="U3027" s="93"/>
      <c r="X3027" s="114" t="str">
        <f t="shared" si="59"/>
        <v>1w</v>
      </c>
      <c r="Y3027" s="112">
        <f>_xll.qlCalendarAdvance(Calendar,Y3026,X3027,"f",FALSE)</f>
        <v>60420</v>
      </c>
      <c r="Z3027" s="115">
        <f>_xll.qlCalendarAdvance(Calendar,Y3027,NDays&amp;"D")</f>
        <v>60420</v>
      </c>
      <c r="AA3027" s="116" t="e">
        <v>#N/A</v>
      </c>
      <c r="AB3027" s="113" t="e">
        <v>#N/A</v>
      </c>
    </row>
    <row r="3028" spans="17:28" x14ac:dyDescent="0.2">
      <c r="Q3028" s="72"/>
      <c r="T3028" s="72"/>
      <c r="U3028" s="93"/>
      <c r="X3028" s="114" t="str">
        <f t="shared" si="59"/>
        <v>1w</v>
      </c>
      <c r="Y3028" s="112">
        <f>_xll.qlCalendarAdvance(Calendar,Y3027,X3028,"f",FALSE)</f>
        <v>60427</v>
      </c>
      <c r="Z3028" s="115">
        <f>_xll.qlCalendarAdvance(Calendar,Y3028,NDays&amp;"D")</f>
        <v>60427</v>
      </c>
      <c r="AA3028" s="116" t="e">
        <v>#N/A</v>
      </c>
      <c r="AB3028" s="113" t="e">
        <v>#N/A</v>
      </c>
    </row>
    <row r="3029" spans="17:28" x14ac:dyDescent="0.2">
      <c r="Q3029" s="72"/>
      <c r="T3029" s="72"/>
      <c r="U3029" s="93"/>
      <c r="X3029" s="114" t="str">
        <f t="shared" ref="X3029:X3092" si="60">X3028</f>
        <v>1w</v>
      </c>
      <c r="Y3029" s="112">
        <f>_xll.qlCalendarAdvance(Calendar,Y3028,X3029,"f",FALSE)</f>
        <v>60434</v>
      </c>
      <c r="Z3029" s="115">
        <f>_xll.qlCalendarAdvance(Calendar,Y3029,NDays&amp;"D")</f>
        <v>60434</v>
      </c>
      <c r="AA3029" s="116" t="e">
        <v>#N/A</v>
      </c>
      <c r="AB3029" s="113" t="e">
        <v>#N/A</v>
      </c>
    </row>
    <row r="3030" spans="17:28" x14ac:dyDescent="0.2">
      <c r="Q3030" s="72"/>
      <c r="T3030" s="72"/>
      <c r="U3030" s="93"/>
      <c r="X3030" s="114" t="str">
        <f t="shared" si="60"/>
        <v>1w</v>
      </c>
      <c r="Y3030" s="112">
        <f>_xll.qlCalendarAdvance(Calendar,Y3029,X3030,"f",FALSE)</f>
        <v>60441</v>
      </c>
      <c r="Z3030" s="115">
        <f>_xll.qlCalendarAdvance(Calendar,Y3030,NDays&amp;"D")</f>
        <v>60441</v>
      </c>
      <c r="AA3030" s="116" t="e">
        <v>#N/A</v>
      </c>
      <c r="AB3030" s="113" t="e">
        <v>#N/A</v>
      </c>
    </row>
    <row r="3031" spans="17:28" x14ac:dyDescent="0.2">
      <c r="Q3031" s="72"/>
      <c r="T3031" s="72"/>
      <c r="U3031" s="93"/>
      <c r="X3031" s="114" t="str">
        <f t="shared" si="60"/>
        <v>1w</v>
      </c>
      <c r="Y3031" s="112">
        <f>_xll.qlCalendarAdvance(Calendar,Y3030,X3031,"f",FALSE)</f>
        <v>60448</v>
      </c>
      <c r="Z3031" s="115">
        <f>_xll.qlCalendarAdvance(Calendar,Y3031,NDays&amp;"D")</f>
        <v>60448</v>
      </c>
      <c r="AA3031" s="116" t="e">
        <v>#N/A</v>
      </c>
      <c r="AB3031" s="113" t="e">
        <v>#N/A</v>
      </c>
    </row>
    <row r="3032" spans="17:28" x14ac:dyDescent="0.2">
      <c r="Q3032" s="72"/>
      <c r="T3032" s="72"/>
      <c r="U3032" s="93"/>
      <c r="X3032" s="114" t="str">
        <f t="shared" si="60"/>
        <v>1w</v>
      </c>
      <c r="Y3032" s="112">
        <f>_xll.qlCalendarAdvance(Calendar,Y3031,X3032,"f",FALSE)</f>
        <v>60455</v>
      </c>
      <c r="Z3032" s="115">
        <f>_xll.qlCalendarAdvance(Calendar,Y3032,NDays&amp;"D")</f>
        <v>60455</v>
      </c>
      <c r="AA3032" s="116" t="e">
        <v>#N/A</v>
      </c>
      <c r="AB3032" s="113" t="e">
        <v>#N/A</v>
      </c>
    </row>
    <row r="3033" spans="17:28" x14ac:dyDescent="0.2">
      <c r="Q3033" s="72"/>
      <c r="T3033" s="72"/>
      <c r="U3033" s="93"/>
      <c r="X3033" s="114" t="str">
        <f t="shared" si="60"/>
        <v>1w</v>
      </c>
      <c r="Y3033" s="112">
        <f>_xll.qlCalendarAdvance(Calendar,Y3032,X3033,"f",FALSE)</f>
        <v>60462</v>
      </c>
      <c r="Z3033" s="115">
        <f>_xll.qlCalendarAdvance(Calendar,Y3033,NDays&amp;"D")</f>
        <v>60462</v>
      </c>
      <c r="AA3033" s="116" t="e">
        <v>#N/A</v>
      </c>
      <c r="AB3033" s="113" t="e">
        <v>#N/A</v>
      </c>
    </row>
    <row r="3034" spans="17:28" x14ac:dyDescent="0.2">
      <c r="Q3034" s="72"/>
      <c r="T3034" s="72"/>
      <c r="U3034" s="93"/>
      <c r="X3034" s="114" t="str">
        <f t="shared" si="60"/>
        <v>1w</v>
      </c>
      <c r="Y3034" s="112">
        <f>_xll.qlCalendarAdvance(Calendar,Y3033,X3034,"f",FALSE)</f>
        <v>60469</v>
      </c>
      <c r="Z3034" s="115">
        <f>_xll.qlCalendarAdvance(Calendar,Y3034,NDays&amp;"D")</f>
        <v>60469</v>
      </c>
      <c r="AA3034" s="116" t="e">
        <v>#N/A</v>
      </c>
      <c r="AB3034" s="113" t="e">
        <v>#N/A</v>
      </c>
    </row>
    <row r="3035" spans="17:28" x14ac:dyDescent="0.2">
      <c r="Q3035" s="72"/>
      <c r="T3035" s="72"/>
      <c r="U3035" s="93"/>
      <c r="X3035" s="114" t="str">
        <f t="shared" si="60"/>
        <v>1w</v>
      </c>
      <c r="Y3035" s="112">
        <f>_xll.qlCalendarAdvance(Calendar,Y3034,X3035,"f",FALSE)</f>
        <v>60476</v>
      </c>
      <c r="Z3035" s="115">
        <f>_xll.qlCalendarAdvance(Calendar,Y3035,NDays&amp;"D")</f>
        <v>60476</v>
      </c>
      <c r="AA3035" s="116" t="e">
        <v>#N/A</v>
      </c>
      <c r="AB3035" s="113" t="e">
        <v>#N/A</v>
      </c>
    </row>
    <row r="3036" spans="17:28" x14ac:dyDescent="0.2">
      <c r="Q3036" s="72"/>
      <c r="T3036" s="72"/>
      <c r="U3036" s="93"/>
      <c r="X3036" s="114" t="str">
        <f t="shared" si="60"/>
        <v>1w</v>
      </c>
      <c r="Y3036" s="112">
        <f>_xll.qlCalendarAdvance(Calendar,Y3035,X3036,"f",FALSE)</f>
        <v>60483</v>
      </c>
      <c r="Z3036" s="115">
        <f>_xll.qlCalendarAdvance(Calendar,Y3036,NDays&amp;"D")</f>
        <v>60483</v>
      </c>
      <c r="AA3036" s="116" t="e">
        <v>#N/A</v>
      </c>
      <c r="AB3036" s="113" t="e">
        <v>#N/A</v>
      </c>
    </row>
    <row r="3037" spans="17:28" x14ac:dyDescent="0.2">
      <c r="Q3037" s="72"/>
      <c r="T3037" s="72"/>
      <c r="U3037" s="93"/>
      <c r="X3037" s="114" t="str">
        <f t="shared" si="60"/>
        <v>1w</v>
      </c>
      <c r="Y3037" s="112">
        <f>_xll.qlCalendarAdvance(Calendar,Y3036,X3037,"f",FALSE)</f>
        <v>60490</v>
      </c>
      <c r="Z3037" s="115">
        <f>_xll.qlCalendarAdvance(Calendar,Y3037,NDays&amp;"D")</f>
        <v>60490</v>
      </c>
      <c r="AA3037" s="116" t="e">
        <v>#N/A</v>
      </c>
      <c r="AB3037" s="113" t="e">
        <v>#N/A</v>
      </c>
    </row>
    <row r="3038" spans="17:28" x14ac:dyDescent="0.2">
      <c r="Q3038" s="72"/>
      <c r="T3038" s="72"/>
      <c r="U3038" s="93"/>
      <c r="X3038" s="114" t="str">
        <f t="shared" si="60"/>
        <v>1w</v>
      </c>
      <c r="Y3038" s="112">
        <f>_xll.qlCalendarAdvance(Calendar,Y3037,X3038,"f",FALSE)</f>
        <v>60497</v>
      </c>
      <c r="Z3038" s="115">
        <f>_xll.qlCalendarAdvance(Calendar,Y3038,NDays&amp;"D")</f>
        <v>60497</v>
      </c>
      <c r="AA3038" s="116" t="e">
        <v>#N/A</v>
      </c>
      <c r="AB3038" s="113" t="e">
        <v>#N/A</v>
      </c>
    </row>
    <row r="3039" spans="17:28" x14ac:dyDescent="0.2">
      <c r="Q3039" s="72"/>
      <c r="T3039" s="72"/>
      <c r="U3039" s="93"/>
      <c r="X3039" s="114" t="str">
        <f t="shared" si="60"/>
        <v>1w</v>
      </c>
      <c r="Y3039" s="112">
        <f>_xll.qlCalendarAdvance(Calendar,Y3038,X3039,"f",FALSE)</f>
        <v>60504</v>
      </c>
      <c r="Z3039" s="115">
        <f>_xll.qlCalendarAdvance(Calendar,Y3039,NDays&amp;"D")</f>
        <v>60504</v>
      </c>
      <c r="AA3039" s="116" t="e">
        <v>#N/A</v>
      </c>
      <c r="AB3039" s="113" t="e">
        <v>#N/A</v>
      </c>
    </row>
    <row r="3040" spans="17:28" x14ac:dyDescent="0.2">
      <c r="Q3040" s="72"/>
      <c r="T3040" s="72"/>
      <c r="U3040" s="93"/>
      <c r="X3040" s="114" t="str">
        <f t="shared" si="60"/>
        <v>1w</v>
      </c>
      <c r="Y3040" s="112">
        <f>_xll.qlCalendarAdvance(Calendar,Y3039,X3040,"f",FALSE)</f>
        <v>60511</v>
      </c>
      <c r="Z3040" s="115">
        <f>_xll.qlCalendarAdvance(Calendar,Y3040,NDays&amp;"D")</f>
        <v>60511</v>
      </c>
      <c r="AA3040" s="116" t="e">
        <v>#N/A</v>
      </c>
      <c r="AB3040" s="113" t="e">
        <v>#N/A</v>
      </c>
    </row>
    <row r="3041" spans="17:28" x14ac:dyDescent="0.2">
      <c r="Q3041" s="72"/>
      <c r="T3041" s="72"/>
      <c r="U3041" s="93"/>
      <c r="X3041" s="114" t="str">
        <f t="shared" si="60"/>
        <v>1w</v>
      </c>
      <c r="Y3041" s="112">
        <f>_xll.qlCalendarAdvance(Calendar,Y3040,X3041,"f",FALSE)</f>
        <v>60518</v>
      </c>
      <c r="Z3041" s="115">
        <f>_xll.qlCalendarAdvance(Calendar,Y3041,NDays&amp;"D")</f>
        <v>60518</v>
      </c>
      <c r="AA3041" s="116" t="e">
        <v>#N/A</v>
      </c>
      <c r="AB3041" s="113" t="e">
        <v>#N/A</v>
      </c>
    </row>
    <row r="3042" spans="17:28" x14ac:dyDescent="0.2">
      <c r="Q3042" s="72"/>
      <c r="T3042" s="72"/>
      <c r="U3042" s="93"/>
      <c r="X3042" s="114" t="str">
        <f t="shared" si="60"/>
        <v>1w</v>
      </c>
      <c r="Y3042" s="112">
        <f>_xll.qlCalendarAdvance(Calendar,Y3041,X3042,"f",FALSE)</f>
        <v>60525</v>
      </c>
      <c r="Z3042" s="115">
        <f>_xll.qlCalendarAdvance(Calendar,Y3042,NDays&amp;"D")</f>
        <v>60525</v>
      </c>
      <c r="AA3042" s="116" t="e">
        <v>#N/A</v>
      </c>
      <c r="AB3042" s="113" t="e">
        <v>#N/A</v>
      </c>
    </row>
    <row r="3043" spans="17:28" x14ac:dyDescent="0.2">
      <c r="Q3043" s="72"/>
      <c r="T3043" s="72"/>
      <c r="U3043" s="93"/>
      <c r="X3043" s="114" t="str">
        <f t="shared" si="60"/>
        <v>1w</v>
      </c>
      <c r="Y3043" s="112">
        <f>_xll.qlCalendarAdvance(Calendar,Y3042,X3043,"f",FALSE)</f>
        <v>60532</v>
      </c>
      <c r="Z3043" s="115">
        <f>_xll.qlCalendarAdvance(Calendar,Y3043,NDays&amp;"D")</f>
        <v>60532</v>
      </c>
      <c r="AA3043" s="116" t="e">
        <v>#N/A</v>
      </c>
      <c r="AB3043" s="113" t="e">
        <v>#N/A</v>
      </c>
    </row>
    <row r="3044" spans="17:28" x14ac:dyDescent="0.2">
      <c r="Q3044" s="72"/>
      <c r="T3044" s="72"/>
      <c r="U3044" s="93"/>
      <c r="X3044" s="114" t="str">
        <f t="shared" si="60"/>
        <v>1w</v>
      </c>
      <c r="Y3044" s="112">
        <f>_xll.qlCalendarAdvance(Calendar,Y3043,X3044,"f",FALSE)</f>
        <v>60539</v>
      </c>
      <c r="Z3044" s="115">
        <f>_xll.qlCalendarAdvance(Calendar,Y3044,NDays&amp;"D")</f>
        <v>60539</v>
      </c>
      <c r="AA3044" s="116" t="e">
        <v>#N/A</v>
      </c>
      <c r="AB3044" s="113" t="e">
        <v>#N/A</v>
      </c>
    </row>
    <row r="3045" spans="17:28" x14ac:dyDescent="0.2">
      <c r="Q3045" s="72"/>
      <c r="T3045" s="72"/>
      <c r="U3045" s="93"/>
      <c r="X3045" s="114" t="str">
        <f t="shared" si="60"/>
        <v>1w</v>
      </c>
      <c r="Y3045" s="112">
        <f>_xll.qlCalendarAdvance(Calendar,Y3044,X3045,"f",FALSE)</f>
        <v>60546</v>
      </c>
      <c r="Z3045" s="115">
        <f>_xll.qlCalendarAdvance(Calendar,Y3045,NDays&amp;"D")</f>
        <v>60546</v>
      </c>
      <c r="AA3045" s="116" t="e">
        <v>#N/A</v>
      </c>
      <c r="AB3045" s="113" t="e">
        <v>#N/A</v>
      </c>
    </row>
    <row r="3046" spans="17:28" x14ac:dyDescent="0.2">
      <c r="Q3046" s="72"/>
      <c r="T3046" s="72"/>
      <c r="U3046" s="93"/>
      <c r="X3046" s="114" t="str">
        <f t="shared" si="60"/>
        <v>1w</v>
      </c>
      <c r="Y3046" s="112">
        <f>_xll.qlCalendarAdvance(Calendar,Y3045,X3046,"f",FALSE)</f>
        <v>60553</v>
      </c>
      <c r="Z3046" s="115">
        <f>_xll.qlCalendarAdvance(Calendar,Y3046,NDays&amp;"D")</f>
        <v>60553</v>
      </c>
      <c r="AA3046" s="116" t="e">
        <v>#N/A</v>
      </c>
      <c r="AB3046" s="113" t="e">
        <v>#N/A</v>
      </c>
    </row>
    <row r="3047" spans="17:28" x14ac:dyDescent="0.2">
      <c r="Q3047" s="72"/>
      <c r="T3047" s="72"/>
      <c r="U3047" s="93"/>
      <c r="X3047" s="114" t="str">
        <f t="shared" si="60"/>
        <v>1w</v>
      </c>
      <c r="Y3047" s="112">
        <f>_xll.qlCalendarAdvance(Calendar,Y3046,X3047,"f",FALSE)</f>
        <v>60560</v>
      </c>
      <c r="Z3047" s="115">
        <f>_xll.qlCalendarAdvance(Calendar,Y3047,NDays&amp;"D")</f>
        <v>60560</v>
      </c>
      <c r="AA3047" s="116" t="e">
        <v>#N/A</v>
      </c>
      <c r="AB3047" s="113" t="e">
        <v>#N/A</v>
      </c>
    </row>
    <row r="3048" spans="17:28" x14ac:dyDescent="0.2">
      <c r="Q3048" s="72"/>
      <c r="T3048" s="72"/>
      <c r="U3048" s="93"/>
      <c r="X3048" s="114" t="str">
        <f t="shared" si="60"/>
        <v>1w</v>
      </c>
      <c r="Y3048" s="112">
        <f>_xll.qlCalendarAdvance(Calendar,Y3047,X3048,"f",FALSE)</f>
        <v>60567</v>
      </c>
      <c r="Z3048" s="115">
        <f>_xll.qlCalendarAdvance(Calendar,Y3048,NDays&amp;"D")</f>
        <v>60567</v>
      </c>
      <c r="AA3048" s="116" t="e">
        <v>#N/A</v>
      </c>
      <c r="AB3048" s="113" t="e">
        <v>#N/A</v>
      </c>
    </row>
    <row r="3049" spans="17:28" x14ac:dyDescent="0.2">
      <c r="Q3049" s="72"/>
      <c r="T3049" s="72"/>
      <c r="U3049" s="93"/>
      <c r="X3049" s="114" t="str">
        <f t="shared" si="60"/>
        <v>1w</v>
      </c>
      <c r="Y3049" s="112">
        <f>_xll.qlCalendarAdvance(Calendar,Y3048,X3049,"f",FALSE)</f>
        <v>60574</v>
      </c>
      <c r="Z3049" s="115">
        <f>_xll.qlCalendarAdvance(Calendar,Y3049,NDays&amp;"D")</f>
        <v>60574</v>
      </c>
      <c r="AA3049" s="116" t="e">
        <v>#N/A</v>
      </c>
      <c r="AB3049" s="113" t="e">
        <v>#N/A</v>
      </c>
    </row>
    <row r="3050" spans="17:28" x14ac:dyDescent="0.2">
      <c r="Q3050" s="72"/>
      <c r="T3050" s="72"/>
      <c r="U3050" s="93"/>
      <c r="X3050" s="114" t="str">
        <f t="shared" si="60"/>
        <v>1w</v>
      </c>
      <c r="Y3050" s="112">
        <f>_xll.qlCalendarAdvance(Calendar,Y3049,X3050,"f",FALSE)</f>
        <v>60581</v>
      </c>
      <c r="Z3050" s="115">
        <f>_xll.qlCalendarAdvance(Calendar,Y3050,NDays&amp;"D")</f>
        <v>60581</v>
      </c>
      <c r="AA3050" s="116" t="e">
        <v>#N/A</v>
      </c>
      <c r="AB3050" s="113" t="e">
        <v>#N/A</v>
      </c>
    </row>
    <row r="3051" spans="17:28" x14ac:dyDescent="0.2">
      <c r="Q3051" s="72"/>
      <c r="T3051" s="72"/>
      <c r="U3051" s="93"/>
      <c r="X3051" s="114" t="str">
        <f t="shared" si="60"/>
        <v>1w</v>
      </c>
      <c r="Y3051" s="112">
        <f>_xll.qlCalendarAdvance(Calendar,Y3050,X3051,"f",FALSE)</f>
        <v>60588</v>
      </c>
      <c r="Z3051" s="115">
        <f>_xll.qlCalendarAdvance(Calendar,Y3051,NDays&amp;"D")</f>
        <v>60588</v>
      </c>
      <c r="AA3051" s="116" t="e">
        <v>#N/A</v>
      </c>
      <c r="AB3051" s="113" t="e">
        <v>#N/A</v>
      </c>
    </row>
    <row r="3052" spans="17:28" x14ac:dyDescent="0.2">
      <c r="Q3052" s="72"/>
      <c r="T3052" s="72"/>
      <c r="U3052" s="93"/>
      <c r="X3052" s="114" t="str">
        <f t="shared" si="60"/>
        <v>1w</v>
      </c>
      <c r="Y3052" s="112">
        <f>_xll.qlCalendarAdvance(Calendar,Y3051,X3052,"f",FALSE)</f>
        <v>60595</v>
      </c>
      <c r="Z3052" s="115">
        <f>_xll.qlCalendarAdvance(Calendar,Y3052,NDays&amp;"D")</f>
        <v>60595</v>
      </c>
      <c r="AA3052" s="116" t="e">
        <v>#N/A</v>
      </c>
      <c r="AB3052" s="113" t="e">
        <v>#N/A</v>
      </c>
    </row>
    <row r="3053" spans="17:28" x14ac:dyDescent="0.2">
      <c r="Q3053" s="72"/>
      <c r="T3053" s="72"/>
      <c r="U3053" s="93"/>
      <c r="X3053" s="114" t="str">
        <f t="shared" si="60"/>
        <v>1w</v>
      </c>
      <c r="Y3053" s="112">
        <f>_xll.qlCalendarAdvance(Calendar,Y3052,X3053,"f",FALSE)</f>
        <v>60602</v>
      </c>
      <c r="Z3053" s="115">
        <f>_xll.qlCalendarAdvance(Calendar,Y3053,NDays&amp;"D")</f>
        <v>60602</v>
      </c>
      <c r="AA3053" s="116" t="e">
        <v>#N/A</v>
      </c>
      <c r="AB3053" s="113" t="e">
        <v>#N/A</v>
      </c>
    </row>
    <row r="3054" spans="17:28" x14ac:dyDescent="0.2">
      <c r="Q3054" s="72"/>
      <c r="T3054" s="72"/>
      <c r="U3054" s="93"/>
      <c r="X3054" s="114" t="str">
        <f t="shared" si="60"/>
        <v>1w</v>
      </c>
      <c r="Y3054" s="112">
        <f>_xll.qlCalendarAdvance(Calendar,Y3053,X3054,"f",FALSE)</f>
        <v>60609</v>
      </c>
      <c r="Z3054" s="115">
        <f>_xll.qlCalendarAdvance(Calendar,Y3054,NDays&amp;"D")</f>
        <v>60609</v>
      </c>
      <c r="AA3054" s="116" t="e">
        <v>#N/A</v>
      </c>
      <c r="AB3054" s="113" t="e">
        <v>#N/A</v>
      </c>
    </row>
    <row r="3055" spans="17:28" x14ac:dyDescent="0.2">
      <c r="Q3055" s="72"/>
      <c r="T3055" s="72"/>
      <c r="U3055" s="93"/>
      <c r="X3055" s="114" t="str">
        <f t="shared" si="60"/>
        <v>1w</v>
      </c>
      <c r="Y3055" s="112">
        <f>_xll.qlCalendarAdvance(Calendar,Y3054,X3055,"f",FALSE)</f>
        <v>60616</v>
      </c>
      <c r="Z3055" s="115">
        <f>_xll.qlCalendarAdvance(Calendar,Y3055,NDays&amp;"D")</f>
        <v>60616</v>
      </c>
      <c r="AA3055" s="116" t="e">
        <v>#N/A</v>
      </c>
      <c r="AB3055" s="113" t="e">
        <v>#N/A</v>
      </c>
    </row>
    <row r="3056" spans="17:28" x14ac:dyDescent="0.2">
      <c r="Q3056" s="72"/>
      <c r="T3056" s="72"/>
      <c r="U3056" s="93"/>
      <c r="X3056" s="114" t="str">
        <f t="shared" si="60"/>
        <v>1w</v>
      </c>
      <c r="Y3056" s="112">
        <f>_xll.qlCalendarAdvance(Calendar,Y3055,X3056,"f",FALSE)</f>
        <v>60623</v>
      </c>
      <c r="Z3056" s="115">
        <f>_xll.qlCalendarAdvance(Calendar,Y3056,NDays&amp;"D")</f>
        <v>60623</v>
      </c>
      <c r="AA3056" s="116" t="e">
        <v>#N/A</v>
      </c>
      <c r="AB3056" s="113" t="e">
        <v>#N/A</v>
      </c>
    </row>
    <row r="3057" spans="17:28" x14ac:dyDescent="0.2">
      <c r="Q3057" s="72"/>
      <c r="T3057" s="72"/>
      <c r="U3057" s="93"/>
      <c r="X3057" s="114" t="str">
        <f t="shared" si="60"/>
        <v>1w</v>
      </c>
      <c r="Y3057" s="112">
        <f>_xll.qlCalendarAdvance(Calendar,Y3056,X3057,"f",FALSE)</f>
        <v>60630</v>
      </c>
      <c r="Z3057" s="115">
        <f>_xll.qlCalendarAdvance(Calendar,Y3057,NDays&amp;"D")</f>
        <v>60630</v>
      </c>
      <c r="AA3057" s="116" t="e">
        <v>#N/A</v>
      </c>
      <c r="AB3057" s="113" t="e">
        <v>#N/A</v>
      </c>
    </row>
    <row r="3058" spans="17:28" x14ac:dyDescent="0.2">
      <c r="Q3058" s="72"/>
      <c r="T3058" s="72"/>
      <c r="U3058" s="93"/>
      <c r="X3058" s="114" t="str">
        <f t="shared" si="60"/>
        <v>1w</v>
      </c>
      <c r="Y3058" s="112">
        <f>_xll.qlCalendarAdvance(Calendar,Y3057,X3058,"f",FALSE)</f>
        <v>60637</v>
      </c>
      <c r="Z3058" s="115">
        <f>_xll.qlCalendarAdvance(Calendar,Y3058,NDays&amp;"D")</f>
        <v>60637</v>
      </c>
      <c r="AA3058" s="116" t="e">
        <v>#N/A</v>
      </c>
      <c r="AB3058" s="113" t="e">
        <v>#N/A</v>
      </c>
    </row>
    <row r="3059" spans="17:28" x14ac:dyDescent="0.2">
      <c r="Q3059" s="72"/>
      <c r="T3059" s="72"/>
      <c r="U3059" s="93"/>
      <c r="X3059" s="114" t="str">
        <f t="shared" si="60"/>
        <v>1w</v>
      </c>
      <c r="Y3059" s="112">
        <f>_xll.qlCalendarAdvance(Calendar,Y3058,X3059,"f",FALSE)</f>
        <v>60644</v>
      </c>
      <c r="Z3059" s="115">
        <f>_xll.qlCalendarAdvance(Calendar,Y3059,NDays&amp;"D")</f>
        <v>60644</v>
      </c>
      <c r="AA3059" s="116" t="e">
        <v>#N/A</v>
      </c>
      <c r="AB3059" s="113" t="e">
        <v>#N/A</v>
      </c>
    </row>
    <row r="3060" spans="17:28" x14ac:dyDescent="0.2">
      <c r="Q3060" s="72"/>
      <c r="T3060" s="72"/>
      <c r="U3060" s="93"/>
      <c r="X3060" s="114" t="str">
        <f t="shared" si="60"/>
        <v>1w</v>
      </c>
      <c r="Y3060" s="112">
        <f>_xll.qlCalendarAdvance(Calendar,Y3059,X3060,"f",FALSE)</f>
        <v>60651</v>
      </c>
      <c r="Z3060" s="115">
        <f>_xll.qlCalendarAdvance(Calendar,Y3060,NDays&amp;"D")</f>
        <v>60651</v>
      </c>
      <c r="AA3060" s="116" t="e">
        <v>#N/A</v>
      </c>
      <c r="AB3060" s="113" t="e">
        <v>#N/A</v>
      </c>
    </row>
    <row r="3061" spans="17:28" x14ac:dyDescent="0.2">
      <c r="Q3061" s="72"/>
      <c r="T3061" s="72"/>
      <c r="U3061" s="93"/>
      <c r="X3061" s="114" t="str">
        <f t="shared" si="60"/>
        <v>1w</v>
      </c>
      <c r="Y3061" s="112">
        <f>_xll.qlCalendarAdvance(Calendar,Y3060,X3061,"f",FALSE)</f>
        <v>60659</v>
      </c>
      <c r="Z3061" s="115">
        <f>_xll.qlCalendarAdvance(Calendar,Y3061,NDays&amp;"D")</f>
        <v>60659</v>
      </c>
      <c r="AA3061" s="116" t="e">
        <v>#N/A</v>
      </c>
      <c r="AB3061" s="113" t="e">
        <v>#N/A</v>
      </c>
    </row>
    <row r="3062" spans="17:28" x14ac:dyDescent="0.2">
      <c r="Q3062" s="72"/>
      <c r="T3062" s="72"/>
      <c r="U3062" s="93"/>
      <c r="X3062" s="114" t="str">
        <f t="shared" si="60"/>
        <v>1w</v>
      </c>
      <c r="Y3062" s="112">
        <f>_xll.qlCalendarAdvance(Calendar,Y3061,X3062,"f",FALSE)</f>
        <v>60666</v>
      </c>
      <c r="Z3062" s="115">
        <f>_xll.qlCalendarAdvance(Calendar,Y3062,NDays&amp;"D")</f>
        <v>60666</v>
      </c>
      <c r="AA3062" s="116" t="e">
        <v>#N/A</v>
      </c>
      <c r="AB3062" s="113" t="e">
        <v>#N/A</v>
      </c>
    </row>
    <row r="3063" spans="17:28" x14ac:dyDescent="0.2">
      <c r="Q3063" s="72"/>
      <c r="T3063" s="72"/>
      <c r="U3063" s="93"/>
      <c r="X3063" s="114" t="str">
        <f t="shared" si="60"/>
        <v>1w</v>
      </c>
      <c r="Y3063" s="112">
        <f>_xll.qlCalendarAdvance(Calendar,Y3062,X3063,"f",FALSE)</f>
        <v>60673</v>
      </c>
      <c r="Z3063" s="115">
        <f>_xll.qlCalendarAdvance(Calendar,Y3063,NDays&amp;"D")</f>
        <v>60673</v>
      </c>
      <c r="AA3063" s="116" t="e">
        <v>#N/A</v>
      </c>
      <c r="AB3063" s="113" t="e">
        <v>#N/A</v>
      </c>
    </row>
    <row r="3064" spans="17:28" x14ac:dyDescent="0.2">
      <c r="Q3064" s="72"/>
      <c r="T3064" s="72"/>
      <c r="U3064" s="93"/>
      <c r="X3064" s="114" t="str">
        <f t="shared" si="60"/>
        <v>1w</v>
      </c>
      <c r="Y3064" s="112">
        <f>_xll.qlCalendarAdvance(Calendar,Y3063,X3064,"f",FALSE)</f>
        <v>60680</v>
      </c>
      <c r="Z3064" s="115">
        <f>_xll.qlCalendarAdvance(Calendar,Y3064,NDays&amp;"D")</f>
        <v>60680</v>
      </c>
      <c r="AA3064" s="116" t="e">
        <v>#N/A</v>
      </c>
      <c r="AB3064" s="113" t="e">
        <v>#N/A</v>
      </c>
    </row>
    <row r="3065" spans="17:28" x14ac:dyDescent="0.2">
      <c r="Q3065" s="72"/>
      <c r="T3065" s="72"/>
      <c r="U3065" s="93"/>
      <c r="X3065" s="114" t="str">
        <f t="shared" si="60"/>
        <v>1w</v>
      </c>
      <c r="Y3065" s="112">
        <f>_xll.qlCalendarAdvance(Calendar,Y3064,X3065,"f",FALSE)</f>
        <v>60687</v>
      </c>
      <c r="Z3065" s="115">
        <f>_xll.qlCalendarAdvance(Calendar,Y3065,NDays&amp;"D")</f>
        <v>60687</v>
      </c>
      <c r="AA3065" s="116" t="e">
        <v>#N/A</v>
      </c>
      <c r="AB3065" s="113" t="e">
        <v>#N/A</v>
      </c>
    </row>
    <row r="3066" spans="17:28" x14ac:dyDescent="0.2">
      <c r="Q3066" s="72"/>
      <c r="T3066" s="72"/>
      <c r="U3066" s="93"/>
      <c r="X3066" s="114" t="str">
        <f t="shared" si="60"/>
        <v>1w</v>
      </c>
      <c r="Y3066" s="112">
        <f>_xll.qlCalendarAdvance(Calendar,Y3065,X3066,"f",FALSE)</f>
        <v>60694</v>
      </c>
      <c r="Z3066" s="115">
        <f>_xll.qlCalendarAdvance(Calendar,Y3066,NDays&amp;"D")</f>
        <v>60694</v>
      </c>
      <c r="AA3066" s="116" t="e">
        <v>#N/A</v>
      </c>
      <c r="AB3066" s="113" t="e">
        <v>#N/A</v>
      </c>
    </row>
    <row r="3067" spans="17:28" x14ac:dyDescent="0.2">
      <c r="Q3067" s="72"/>
      <c r="T3067" s="72"/>
      <c r="U3067" s="93"/>
      <c r="X3067" s="114" t="str">
        <f t="shared" si="60"/>
        <v>1w</v>
      </c>
      <c r="Y3067" s="112">
        <f>_xll.qlCalendarAdvance(Calendar,Y3066,X3067,"f",FALSE)</f>
        <v>60701</v>
      </c>
      <c r="Z3067" s="115">
        <f>_xll.qlCalendarAdvance(Calendar,Y3067,NDays&amp;"D")</f>
        <v>60701</v>
      </c>
      <c r="AA3067" s="116" t="e">
        <v>#N/A</v>
      </c>
      <c r="AB3067" s="113" t="e">
        <v>#N/A</v>
      </c>
    </row>
    <row r="3068" spans="17:28" x14ac:dyDescent="0.2">
      <c r="Q3068" s="72"/>
      <c r="T3068" s="72"/>
      <c r="U3068" s="93"/>
      <c r="X3068" s="114" t="str">
        <f t="shared" si="60"/>
        <v>1w</v>
      </c>
      <c r="Y3068" s="112">
        <f>_xll.qlCalendarAdvance(Calendar,Y3067,X3068,"f",FALSE)</f>
        <v>60708</v>
      </c>
      <c r="Z3068" s="115">
        <f>_xll.qlCalendarAdvance(Calendar,Y3068,NDays&amp;"D")</f>
        <v>60708</v>
      </c>
      <c r="AA3068" s="116" t="e">
        <v>#N/A</v>
      </c>
      <c r="AB3068" s="113" t="e">
        <v>#N/A</v>
      </c>
    </row>
    <row r="3069" spans="17:28" x14ac:dyDescent="0.2">
      <c r="Q3069" s="72"/>
      <c r="T3069" s="72"/>
      <c r="U3069" s="93"/>
      <c r="X3069" s="114" t="str">
        <f t="shared" si="60"/>
        <v>1w</v>
      </c>
      <c r="Y3069" s="112">
        <f>_xll.qlCalendarAdvance(Calendar,Y3068,X3069,"f",FALSE)</f>
        <v>60715</v>
      </c>
      <c r="Z3069" s="115">
        <f>_xll.qlCalendarAdvance(Calendar,Y3069,NDays&amp;"D")</f>
        <v>60715</v>
      </c>
      <c r="AA3069" s="116" t="e">
        <v>#N/A</v>
      </c>
      <c r="AB3069" s="113" t="e">
        <v>#N/A</v>
      </c>
    </row>
    <row r="3070" spans="17:28" x14ac:dyDescent="0.2">
      <c r="Q3070" s="72"/>
      <c r="T3070" s="72"/>
      <c r="U3070" s="93"/>
      <c r="X3070" s="114" t="str">
        <f t="shared" si="60"/>
        <v>1w</v>
      </c>
      <c r="Y3070" s="112">
        <f>_xll.qlCalendarAdvance(Calendar,Y3069,X3070,"f",FALSE)</f>
        <v>60722</v>
      </c>
      <c r="Z3070" s="115">
        <f>_xll.qlCalendarAdvance(Calendar,Y3070,NDays&amp;"D")</f>
        <v>60722</v>
      </c>
      <c r="AA3070" s="116" t="e">
        <v>#N/A</v>
      </c>
      <c r="AB3070" s="113" t="e">
        <v>#N/A</v>
      </c>
    </row>
    <row r="3071" spans="17:28" x14ac:dyDescent="0.2">
      <c r="Q3071" s="72"/>
      <c r="T3071" s="72"/>
      <c r="U3071" s="93"/>
      <c r="X3071" s="114" t="str">
        <f t="shared" si="60"/>
        <v>1w</v>
      </c>
      <c r="Y3071" s="112">
        <f>_xll.qlCalendarAdvance(Calendar,Y3070,X3071,"f",FALSE)</f>
        <v>60729</v>
      </c>
      <c r="Z3071" s="115">
        <f>_xll.qlCalendarAdvance(Calendar,Y3071,NDays&amp;"D")</f>
        <v>60729</v>
      </c>
      <c r="AA3071" s="116" t="e">
        <v>#N/A</v>
      </c>
      <c r="AB3071" s="113" t="e">
        <v>#N/A</v>
      </c>
    </row>
    <row r="3072" spans="17:28" x14ac:dyDescent="0.2">
      <c r="Q3072" s="72"/>
      <c r="T3072" s="72"/>
      <c r="U3072" s="93"/>
      <c r="X3072" s="114" t="str">
        <f t="shared" si="60"/>
        <v>1w</v>
      </c>
      <c r="Y3072" s="112">
        <f>_xll.qlCalendarAdvance(Calendar,Y3071,X3072,"f",FALSE)</f>
        <v>60736</v>
      </c>
      <c r="Z3072" s="115">
        <f>_xll.qlCalendarAdvance(Calendar,Y3072,NDays&amp;"D")</f>
        <v>60736</v>
      </c>
      <c r="AA3072" s="116" t="e">
        <v>#N/A</v>
      </c>
      <c r="AB3072" s="113" t="e">
        <v>#N/A</v>
      </c>
    </row>
    <row r="3073" spans="17:28" x14ac:dyDescent="0.2">
      <c r="Q3073" s="72"/>
      <c r="T3073" s="72"/>
      <c r="U3073" s="93"/>
      <c r="X3073" s="114" t="str">
        <f t="shared" si="60"/>
        <v>1w</v>
      </c>
      <c r="Y3073" s="112">
        <f>_xll.qlCalendarAdvance(Calendar,Y3072,X3073,"f",FALSE)</f>
        <v>60743</v>
      </c>
      <c r="Z3073" s="115">
        <f>_xll.qlCalendarAdvance(Calendar,Y3073,NDays&amp;"D")</f>
        <v>60743</v>
      </c>
      <c r="AA3073" s="116" t="e">
        <v>#N/A</v>
      </c>
      <c r="AB3073" s="113" t="e">
        <v>#N/A</v>
      </c>
    </row>
    <row r="3074" spans="17:28" x14ac:dyDescent="0.2">
      <c r="Q3074" s="72"/>
      <c r="T3074" s="72"/>
      <c r="U3074" s="93"/>
      <c r="X3074" s="114" t="str">
        <f t="shared" si="60"/>
        <v>1w</v>
      </c>
      <c r="Y3074" s="112">
        <f>_xll.qlCalendarAdvance(Calendar,Y3073,X3074,"f",FALSE)</f>
        <v>60750</v>
      </c>
      <c r="Z3074" s="115">
        <f>_xll.qlCalendarAdvance(Calendar,Y3074,NDays&amp;"D")</f>
        <v>60750</v>
      </c>
      <c r="AA3074" s="116" t="e">
        <v>#N/A</v>
      </c>
      <c r="AB3074" s="113" t="e">
        <v>#N/A</v>
      </c>
    </row>
    <row r="3075" spans="17:28" x14ac:dyDescent="0.2">
      <c r="Q3075" s="72"/>
      <c r="T3075" s="72"/>
      <c r="U3075" s="93"/>
      <c r="X3075" s="114" t="str">
        <f t="shared" si="60"/>
        <v>1w</v>
      </c>
      <c r="Y3075" s="112">
        <f>_xll.qlCalendarAdvance(Calendar,Y3074,X3075,"f",FALSE)</f>
        <v>60757</v>
      </c>
      <c r="Z3075" s="115">
        <f>_xll.qlCalendarAdvance(Calendar,Y3075,NDays&amp;"D")</f>
        <v>60757</v>
      </c>
      <c r="AA3075" s="116" t="e">
        <v>#N/A</v>
      </c>
      <c r="AB3075" s="113" t="e">
        <v>#N/A</v>
      </c>
    </row>
    <row r="3076" spans="17:28" x14ac:dyDescent="0.2">
      <c r="Q3076" s="72"/>
      <c r="T3076" s="72"/>
      <c r="U3076" s="93"/>
      <c r="X3076" s="114" t="str">
        <f t="shared" si="60"/>
        <v>1w</v>
      </c>
      <c r="Y3076" s="112">
        <f>_xll.qlCalendarAdvance(Calendar,Y3075,X3076,"f",FALSE)</f>
        <v>60764</v>
      </c>
      <c r="Z3076" s="115">
        <f>_xll.qlCalendarAdvance(Calendar,Y3076,NDays&amp;"D")</f>
        <v>60764</v>
      </c>
      <c r="AA3076" s="116" t="e">
        <v>#N/A</v>
      </c>
      <c r="AB3076" s="113" t="e">
        <v>#N/A</v>
      </c>
    </row>
    <row r="3077" spans="17:28" x14ac:dyDescent="0.2">
      <c r="Q3077" s="72"/>
      <c r="T3077" s="72"/>
      <c r="U3077" s="93"/>
      <c r="X3077" s="114" t="str">
        <f t="shared" si="60"/>
        <v>1w</v>
      </c>
      <c r="Y3077" s="112">
        <f>_xll.qlCalendarAdvance(Calendar,Y3076,X3077,"f",FALSE)</f>
        <v>60771</v>
      </c>
      <c r="Z3077" s="115">
        <f>_xll.qlCalendarAdvance(Calendar,Y3077,NDays&amp;"D")</f>
        <v>60771</v>
      </c>
      <c r="AA3077" s="116" t="e">
        <v>#N/A</v>
      </c>
      <c r="AB3077" s="113" t="e">
        <v>#N/A</v>
      </c>
    </row>
    <row r="3078" spans="17:28" x14ac:dyDescent="0.2">
      <c r="Q3078" s="72"/>
      <c r="T3078" s="72"/>
      <c r="U3078" s="93"/>
      <c r="X3078" s="114" t="str">
        <f t="shared" si="60"/>
        <v>1w</v>
      </c>
      <c r="Y3078" s="112">
        <f>_xll.qlCalendarAdvance(Calendar,Y3077,X3078,"f",FALSE)</f>
        <v>60778</v>
      </c>
      <c r="Z3078" s="115">
        <f>_xll.qlCalendarAdvance(Calendar,Y3078,NDays&amp;"D")</f>
        <v>60778</v>
      </c>
      <c r="AA3078" s="116" t="e">
        <v>#N/A</v>
      </c>
      <c r="AB3078" s="113" t="e">
        <v>#N/A</v>
      </c>
    </row>
    <row r="3079" spans="17:28" x14ac:dyDescent="0.2">
      <c r="Q3079" s="72"/>
      <c r="T3079" s="72"/>
      <c r="U3079" s="93"/>
      <c r="X3079" s="114" t="str">
        <f t="shared" si="60"/>
        <v>1w</v>
      </c>
      <c r="Y3079" s="112">
        <f>_xll.qlCalendarAdvance(Calendar,Y3078,X3079,"f",FALSE)</f>
        <v>60785</v>
      </c>
      <c r="Z3079" s="115">
        <f>_xll.qlCalendarAdvance(Calendar,Y3079,NDays&amp;"D")</f>
        <v>60785</v>
      </c>
      <c r="AA3079" s="116" t="e">
        <v>#N/A</v>
      </c>
      <c r="AB3079" s="113" t="e">
        <v>#N/A</v>
      </c>
    </row>
    <row r="3080" spans="17:28" x14ac:dyDescent="0.2">
      <c r="Q3080" s="72"/>
      <c r="T3080" s="72"/>
      <c r="U3080" s="93"/>
      <c r="X3080" s="114" t="str">
        <f t="shared" si="60"/>
        <v>1w</v>
      </c>
      <c r="Y3080" s="112">
        <f>_xll.qlCalendarAdvance(Calendar,Y3079,X3080,"f",FALSE)</f>
        <v>60792</v>
      </c>
      <c r="Z3080" s="115">
        <f>_xll.qlCalendarAdvance(Calendar,Y3080,NDays&amp;"D")</f>
        <v>60792</v>
      </c>
      <c r="AA3080" s="116" t="e">
        <v>#N/A</v>
      </c>
      <c r="AB3080" s="113" t="e">
        <v>#N/A</v>
      </c>
    </row>
    <row r="3081" spans="17:28" x14ac:dyDescent="0.2">
      <c r="Q3081" s="72"/>
      <c r="T3081" s="72"/>
      <c r="U3081" s="93"/>
      <c r="X3081" s="114" t="str">
        <f t="shared" si="60"/>
        <v>1w</v>
      </c>
      <c r="Y3081" s="112">
        <f>_xll.qlCalendarAdvance(Calendar,Y3080,X3081,"f",FALSE)</f>
        <v>60799</v>
      </c>
      <c r="Z3081" s="115">
        <f>_xll.qlCalendarAdvance(Calendar,Y3081,NDays&amp;"D")</f>
        <v>60799</v>
      </c>
      <c r="AA3081" s="116" t="e">
        <v>#N/A</v>
      </c>
      <c r="AB3081" s="113" t="e">
        <v>#N/A</v>
      </c>
    </row>
    <row r="3082" spans="17:28" x14ac:dyDescent="0.2">
      <c r="Q3082" s="72"/>
      <c r="T3082" s="72"/>
      <c r="U3082" s="93"/>
      <c r="X3082" s="114" t="str">
        <f t="shared" si="60"/>
        <v>1w</v>
      </c>
      <c r="Y3082" s="112">
        <f>_xll.qlCalendarAdvance(Calendar,Y3081,X3082,"f",FALSE)</f>
        <v>60806</v>
      </c>
      <c r="Z3082" s="115">
        <f>_xll.qlCalendarAdvance(Calendar,Y3082,NDays&amp;"D")</f>
        <v>60806</v>
      </c>
      <c r="AA3082" s="116" t="e">
        <v>#N/A</v>
      </c>
      <c r="AB3082" s="113" t="e">
        <v>#N/A</v>
      </c>
    </row>
    <row r="3083" spans="17:28" x14ac:dyDescent="0.2">
      <c r="Q3083" s="72"/>
      <c r="T3083" s="72"/>
      <c r="U3083" s="93"/>
      <c r="X3083" s="114" t="str">
        <f t="shared" si="60"/>
        <v>1w</v>
      </c>
      <c r="Y3083" s="112">
        <f>_xll.qlCalendarAdvance(Calendar,Y3082,X3083,"f",FALSE)</f>
        <v>60813</v>
      </c>
      <c r="Z3083" s="115">
        <f>_xll.qlCalendarAdvance(Calendar,Y3083,NDays&amp;"D")</f>
        <v>60813</v>
      </c>
      <c r="AA3083" s="116" t="e">
        <v>#N/A</v>
      </c>
      <c r="AB3083" s="113" t="e">
        <v>#N/A</v>
      </c>
    </row>
    <row r="3084" spans="17:28" x14ac:dyDescent="0.2">
      <c r="Q3084" s="72"/>
      <c r="T3084" s="72"/>
      <c r="U3084" s="93"/>
      <c r="X3084" s="114" t="str">
        <f t="shared" si="60"/>
        <v>1w</v>
      </c>
      <c r="Y3084" s="112">
        <f>_xll.qlCalendarAdvance(Calendar,Y3083,X3084,"f",FALSE)</f>
        <v>60820</v>
      </c>
      <c r="Z3084" s="115">
        <f>_xll.qlCalendarAdvance(Calendar,Y3084,NDays&amp;"D")</f>
        <v>60820</v>
      </c>
      <c r="AA3084" s="116" t="e">
        <v>#N/A</v>
      </c>
      <c r="AB3084" s="113" t="e">
        <v>#N/A</v>
      </c>
    </row>
    <row r="3085" spans="17:28" x14ac:dyDescent="0.2">
      <c r="Q3085" s="72"/>
      <c r="T3085" s="72"/>
      <c r="U3085" s="93"/>
      <c r="X3085" s="114" t="str">
        <f t="shared" si="60"/>
        <v>1w</v>
      </c>
      <c r="Y3085" s="112">
        <f>_xll.qlCalendarAdvance(Calendar,Y3084,X3085,"f",FALSE)</f>
        <v>60827</v>
      </c>
      <c r="Z3085" s="115">
        <f>_xll.qlCalendarAdvance(Calendar,Y3085,NDays&amp;"D")</f>
        <v>60827</v>
      </c>
      <c r="AA3085" s="116" t="e">
        <v>#N/A</v>
      </c>
      <c r="AB3085" s="113" t="e">
        <v>#N/A</v>
      </c>
    </row>
    <row r="3086" spans="17:28" x14ac:dyDescent="0.2">
      <c r="Q3086" s="72"/>
      <c r="T3086" s="72"/>
      <c r="U3086" s="93"/>
      <c r="X3086" s="114" t="str">
        <f t="shared" si="60"/>
        <v>1w</v>
      </c>
      <c r="Y3086" s="112">
        <f>_xll.qlCalendarAdvance(Calendar,Y3085,X3086,"f",FALSE)</f>
        <v>60834</v>
      </c>
      <c r="Z3086" s="115">
        <f>_xll.qlCalendarAdvance(Calendar,Y3086,NDays&amp;"D")</f>
        <v>60834</v>
      </c>
      <c r="AA3086" s="116" t="e">
        <v>#N/A</v>
      </c>
      <c r="AB3086" s="113" t="e">
        <v>#N/A</v>
      </c>
    </row>
    <row r="3087" spans="17:28" x14ac:dyDescent="0.2">
      <c r="Q3087" s="72"/>
      <c r="T3087" s="72"/>
      <c r="U3087" s="93"/>
      <c r="X3087" s="114" t="str">
        <f t="shared" si="60"/>
        <v>1w</v>
      </c>
      <c r="Y3087" s="112">
        <f>_xll.qlCalendarAdvance(Calendar,Y3086,X3087,"f",FALSE)</f>
        <v>60841</v>
      </c>
      <c r="Z3087" s="115">
        <f>_xll.qlCalendarAdvance(Calendar,Y3087,NDays&amp;"D")</f>
        <v>60841</v>
      </c>
      <c r="AA3087" s="116" t="e">
        <v>#N/A</v>
      </c>
      <c r="AB3087" s="113" t="e">
        <v>#N/A</v>
      </c>
    </row>
    <row r="3088" spans="17:28" x14ac:dyDescent="0.2">
      <c r="Q3088" s="72"/>
      <c r="T3088" s="72"/>
      <c r="U3088" s="93"/>
      <c r="X3088" s="114" t="str">
        <f t="shared" si="60"/>
        <v>1w</v>
      </c>
      <c r="Y3088" s="112">
        <f>_xll.qlCalendarAdvance(Calendar,Y3087,X3088,"f",FALSE)</f>
        <v>60848</v>
      </c>
      <c r="Z3088" s="115">
        <f>_xll.qlCalendarAdvance(Calendar,Y3088,NDays&amp;"D")</f>
        <v>60848</v>
      </c>
      <c r="AA3088" s="116" t="e">
        <v>#N/A</v>
      </c>
      <c r="AB3088" s="113" t="e">
        <v>#N/A</v>
      </c>
    </row>
    <row r="3089" spans="17:28" x14ac:dyDescent="0.2">
      <c r="Q3089" s="72"/>
      <c r="T3089" s="72"/>
      <c r="U3089" s="93"/>
      <c r="X3089" s="114" t="str">
        <f t="shared" si="60"/>
        <v>1w</v>
      </c>
      <c r="Y3089" s="112">
        <f>_xll.qlCalendarAdvance(Calendar,Y3088,X3089,"f",FALSE)</f>
        <v>60855</v>
      </c>
      <c r="Z3089" s="115">
        <f>_xll.qlCalendarAdvance(Calendar,Y3089,NDays&amp;"D")</f>
        <v>60855</v>
      </c>
      <c r="AA3089" s="116" t="e">
        <v>#N/A</v>
      </c>
      <c r="AB3089" s="113" t="e">
        <v>#N/A</v>
      </c>
    </row>
    <row r="3090" spans="17:28" x14ac:dyDescent="0.2">
      <c r="Q3090" s="72"/>
      <c r="T3090" s="72"/>
      <c r="U3090" s="93"/>
      <c r="X3090" s="114" t="str">
        <f t="shared" si="60"/>
        <v>1w</v>
      </c>
      <c r="Y3090" s="112">
        <f>_xll.qlCalendarAdvance(Calendar,Y3089,X3090,"f",FALSE)</f>
        <v>60862</v>
      </c>
      <c r="Z3090" s="115">
        <f>_xll.qlCalendarAdvance(Calendar,Y3090,NDays&amp;"D")</f>
        <v>60862</v>
      </c>
      <c r="AA3090" s="116" t="e">
        <v>#N/A</v>
      </c>
      <c r="AB3090" s="113" t="e">
        <v>#N/A</v>
      </c>
    </row>
    <row r="3091" spans="17:28" x14ac:dyDescent="0.2">
      <c r="Q3091" s="72"/>
      <c r="T3091" s="72"/>
      <c r="U3091" s="93"/>
      <c r="X3091" s="114" t="str">
        <f t="shared" si="60"/>
        <v>1w</v>
      </c>
      <c r="Y3091" s="112">
        <f>_xll.qlCalendarAdvance(Calendar,Y3090,X3091,"f",FALSE)</f>
        <v>60869</v>
      </c>
      <c r="Z3091" s="115">
        <f>_xll.qlCalendarAdvance(Calendar,Y3091,NDays&amp;"D")</f>
        <v>60869</v>
      </c>
      <c r="AA3091" s="116" t="e">
        <v>#N/A</v>
      </c>
      <c r="AB3091" s="113" t="e">
        <v>#N/A</v>
      </c>
    </row>
    <row r="3092" spans="17:28" x14ac:dyDescent="0.2">
      <c r="Q3092" s="72"/>
      <c r="T3092" s="72"/>
      <c r="U3092" s="93"/>
      <c r="X3092" s="114" t="str">
        <f t="shared" si="60"/>
        <v>1w</v>
      </c>
      <c r="Y3092" s="112">
        <f>_xll.qlCalendarAdvance(Calendar,Y3091,X3092,"f",FALSE)</f>
        <v>60876</v>
      </c>
      <c r="Z3092" s="115">
        <f>_xll.qlCalendarAdvance(Calendar,Y3092,NDays&amp;"D")</f>
        <v>60876</v>
      </c>
      <c r="AA3092" s="116" t="e">
        <v>#N/A</v>
      </c>
      <c r="AB3092" s="113" t="e">
        <v>#N/A</v>
      </c>
    </row>
    <row r="3093" spans="17:28" x14ac:dyDescent="0.2">
      <c r="Q3093" s="72"/>
      <c r="T3093" s="72"/>
      <c r="U3093" s="93"/>
      <c r="X3093" s="114" t="str">
        <f t="shared" ref="X3093:X3156" si="61">X3092</f>
        <v>1w</v>
      </c>
      <c r="Y3093" s="112">
        <f>_xll.qlCalendarAdvance(Calendar,Y3092,X3093,"f",FALSE)</f>
        <v>60883</v>
      </c>
      <c r="Z3093" s="115">
        <f>_xll.qlCalendarAdvance(Calendar,Y3093,NDays&amp;"D")</f>
        <v>60883</v>
      </c>
      <c r="AA3093" s="116" t="e">
        <v>#N/A</v>
      </c>
      <c r="AB3093" s="113" t="e">
        <v>#N/A</v>
      </c>
    </row>
    <row r="3094" spans="17:28" x14ac:dyDescent="0.2">
      <c r="Q3094" s="72"/>
      <c r="T3094" s="72"/>
      <c r="U3094" s="93"/>
      <c r="X3094" s="114" t="str">
        <f t="shared" si="61"/>
        <v>1w</v>
      </c>
      <c r="Y3094" s="112">
        <f>_xll.qlCalendarAdvance(Calendar,Y3093,X3094,"f",FALSE)</f>
        <v>60890</v>
      </c>
      <c r="Z3094" s="115">
        <f>_xll.qlCalendarAdvance(Calendar,Y3094,NDays&amp;"D")</f>
        <v>60890</v>
      </c>
      <c r="AA3094" s="116" t="e">
        <v>#N/A</v>
      </c>
      <c r="AB3094" s="113" t="e">
        <v>#N/A</v>
      </c>
    </row>
    <row r="3095" spans="17:28" x14ac:dyDescent="0.2">
      <c r="Q3095" s="72"/>
      <c r="T3095" s="72"/>
      <c r="U3095" s="93"/>
      <c r="X3095" s="114" t="str">
        <f t="shared" si="61"/>
        <v>1w</v>
      </c>
      <c r="Y3095" s="112">
        <f>_xll.qlCalendarAdvance(Calendar,Y3094,X3095,"f",FALSE)</f>
        <v>60897</v>
      </c>
      <c r="Z3095" s="115">
        <f>_xll.qlCalendarAdvance(Calendar,Y3095,NDays&amp;"D")</f>
        <v>60897</v>
      </c>
      <c r="AA3095" s="116" t="e">
        <v>#N/A</v>
      </c>
      <c r="AB3095" s="113" t="e">
        <v>#N/A</v>
      </c>
    </row>
    <row r="3096" spans="17:28" x14ac:dyDescent="0.2">
      <c r="Q3096" s="72"/>
      <c r="T3096" s="72"/>
      <c r="U3096" s="93"/>
      <c r="X3096" s="114" t="str">
        <f t="shared" si="61"/>
        <v>1w</v>
      </c>
      <c r="Y3096" s="112">
        <f>_xll.qlCalendarAdvance(Calendar,Y3095,X3096,"f",FALSE)</f>
        <v>60904</v>
      </c>
      <c r="Z3096" s="115">
        <f>_xll.qlCalendarAdvance(Calendar,Y3096,NDays&amp;"D")</f>
        <v>60904</v>
      </c>
      <c r="AA3096" s="116" t="e">
        <v>#N/A</v>
      </c>
      <c r="AB3096" s="113" t="e">
        <v>#N/A</v>
      </c>
    </row>
    <row r="3097" spans="17:28" x14ac:dyDescent="0.2">
      <c r="Q3097" s="72"/>
      <c r="T3097" s="72"/>
      <c r="U3097" s="93"/>
      <c r="X3097" s="114" t="str">
        <f t="shared" si="61"/>
        <v>1w</v>
      </c>
      <c r="Y3097" s="112">
        <f>_xll.qlCalendarAdvance(Calendar,Y3096,X3097,"f",FALSE)</f>
        <v>60911</v>
      </c>
      <c r="Z3097" s="115">
        <f>_xll.qlCalendarAdvance(Calendar,Y3097,NDays&amp;"D")</f>
        <v>60911</v>
      </c>
      <c r="AA3097" s="116" t="e">
        <v>#N/A</v>
      </c>
      <c r="AB3097" s="113" t="e">
        <v>#N/A</v>
      </c>
    </row>
    <row r="3098" spans="17:28" x14ac:dyDescent="0.2">
      <c r="Q3098" s="72"/>
      <c r="T3098" s="72"/>
      <c r="U3098" s="93"/>
      <c r="X3098" s="114" t="str">
        <f t="shared" si="61"/>
        <v>1w</v>
      </c>
      <c r="Y3098" s="112">
        <f>_xll.qlCalendarAdvance(Calendar,Y3097,X3098,"f",FALSE)</f>
        <v>60918</v>
      </c>
      <c r="Z3098" s="115">
        <f>_xll.qlCalendarAdvance(Calendar,Y3098,NDays&amp;"D")</f>
        <v>60918</v>
      </c>
      <c r="AA3098" s="116" t="e">
        <v>#N/A</v>
      </c>
      <c r="AB3098" s="113" t="e">
        <v>#N/A</v>
      </c>
    </row>
    <row r="3099" spans="17:28" x14ac:dyDescent="0.2">
      <c r="Q3099" s="72"/>
      <c r="T3099" s="72"/>
      <c r="U3099" s="93"/>
      <c r="X3099" s="114" t="str">
        <f t="shared" si="61"/>
        <v>1w</v>
      </c>
      <c r="Y3099" s="112">
        <f>_xll.qlCalendarAdvance(Calendar,Y3098,X3099,"f",FALSE)</f>
        <v>60925</v>
      </c>
      <c r="Z3099" s="115">
        <f>_xll.qlCalendarAdvance(Calendar,Y3099,NDays&amp;"D")</f>
        <v>60925</v>
      </c>
      <c r="AA3099" s="116" t="e">
        <v>#N/A</v>
      </c>
      <c r="AB3099" s="113" t="e">
        <v>#N/A</v>
      </c>
    </row>
    <row r="3100" spans="17:28" x14ac:dyDescent="0.2">
      <c r="Q3100" s="72"/>
      <c r="T3100" s="72"/>
      <c r="U3100" s="93"/>
      <c r="X3100" s="114" t="str">
        <f t="shared" si="61"/>
        <v>1w</v>
      </c>
      <c r="Y3100" s="112">
        <f>_xll.qlCalendarAdvance(Calendar,Y3099,X3100,"f",FALSE)</f>
        <v>60932</v>
      </c>
      <c r="Z3100" s="115">
        <f>_xll.qlCalendarAdvance(Calendar,Y3100,NDays&amp;"D")</f>
        <v>60932</v>
      </c>
      <c r="AA3100" s="116" t="e">
        <v>#N/A</v>
      </c>
      <c r="AB3100" s="113" t="e">
        <v>#N/A</v>
      </c>
    </row>
    <row r="3101" spans="17:28" x14ac:dyDescent="0.2">
      <c r="Q3101" s="72"/>
      <c r="T3101" s="72"/>
      <c r="U3101" s="93"/>
      <c r="X3101" s="114" t="str">
        <f t="shared" si="61"/>
        <v>1w</v>
      </c>
      <c r="Y3101" s="112">
        <f>_xll.qlCalendarAdvance(Calendar,Y3100,X3101,"f",FALSE)</f>
        <v>60939</v>
      </c>
      <c r="Z3101" s="115">
        <f>_xll.qlCalendarAdvance(Calendar,Y3101,NDays&amp;"D")</f>
        <v>60939</v>
      </c>
      <c r="AA3101" s="116" t="e">
        <v>#N/A</v>
      </c>
      <c r="AB3101" s="113" t="e">
        <v>#N/A</v>
      </c>
    </row>
    <row r="3102" spans="17:28" x14ac:dyDescent="0.2">
      <c r="Q3102" s="72"/>
      <c r="T3102" s="72"/>
      <c r="U3102" s="93"/>
      <c r="X3102" s="114" t="str">
        <f t="shared" si="61"/>
        <v>1w</v>
      </c>
      <c r="Y3102" s="112">
        <f>_xll.qlCalendarAdvance(Calendar,Y3101,X3102,"f",FALSE)</f>
        <v>60946</v>
      </c>
      <c r="Z3102" s="115">
        <f>_xll.qlCalendarAdvance(Calendar,Y3102,NDays&amp;"D")</f>
        <v>60946</v>
      </c>
      <c r="AA3102" s="116" t="e">
        <v>#N/A</v>
      </c>
      <c r="AB3102" s="113" t="e">
        <v>#N/A</v>
      </c>
    </row>
    <row r="3103" spans="17:28" x14ac:dyDescent="0.2">
      <c r="Q3103" s="72"/>
      <c r="T3103" s="72"/>
      <c r="U3103" s="93"/>
      <c r="X3103" s="114" t="str">
        <f t="shared" si="61"/>
        <v>1w</v>
      </c>
      <c r="Y3103" s="112">
        <f>_xll.qlCalendarAdvance(Calendar,Y3102,X3103,"f",FALSE)</f>
        <v>60953</v>
      </c>
      <c r="Z3103" s="115">
        <f>_xll.qlCalendarAdvance(Calendar,Y3103,NDays&amp;"D")</f>
        <v>60953</v>
      </c>
      <c r="AA3103" s="116" t="e">
        <v>#N/A</v>
      </c>
      <c r="AB3103" s="113" t="e">
        <v>#N/A</v>
      </c>
    </row>
    <row r="3104" spans="17:28" x14ac:dyDescent="0.2">
      <c r="Q3104" s="72"/>
      <c r="T3104" s="72"/>
      <c r="U3104" s="93"/>
      <c r="X3104" s="114" t="str">
        <f t="shared" si="61"/>
        <v>1w</v>
      </c>
      <c r="Y3104" s="112">
        <f>_xll.qlCalendarAdvance(Calendar,Y3103,X3104,"f",FALSE)</f>
        <v>60960</v>
      </c>
      <c r="Z3104" s="115">
        <f>_xll.qlCalendarAdvance(Calendar,Y3104,NDays&amp;"D")</f>
        <v>60960</v>
      </c>
      <c r="AA3104" s="116" t="e">
        <v>#N/A</v>
      </c>
      <c r="AB3104" s="113" t="e">
        <v>#N/A</v>
      </c>
    </row>
    <row r="3105" spans="17:28" x14ac:dyDescent="0.2">
      <c r="Q3105" s="72"/>
      <c r="T3105" s="72"/>
      <c r="U3105" s="93"/>
      <c r="X3105" s="114" t="str">
        <f t="shared" si="61"/>
        <v>1w</v>
      </c>
      <c r="Y3105" s="112">
        <f>_xll.qlCalendarAdvance(Calendar,Y3104,X3105,"f",FALSE)</f>
        <v>60967</v>
      </c>
      <c r="Z3105" s="115">
        <f>_xll.qlCalendarAdvance(Calendar,Y3105,NDays&amp;"D")</f>
        <v>60967</v>
      </c>
      <c r="AA3105" s="116" t="e">
        <v>#N/A</v>
      </c>
      <c r="AB3105" s="113" t="e">
        <v>#N/A</v>
      </c>
    </row>
    <row r="3106" spans="17:28" x14ac:dyDescent="0.2">
      <c r="Q3106" s="72"/>
      <c r="T3106" s="72"/>
      <c r="U3106" s="93"/>
      <c r="X3106" s="114" t="str">
        <f t="shared" si="61"/>
        <v>1w</v>
      </c>
      <c r="Y3106" s="112">
        <f>_xll.qlCalendarAdvance(Calendar,Y3105,X3106,"f",FALSE)</f>
        <v>60974</v>
      </c>
      <c r="Z3106" s="115">
        <f>_xll.qlCalendarAdvance(Calendar,Y3106,NDays&amp;"D")</f>
        <v>60974</v>
      </c>
      <c r="AA3106" s="116" t="e">
        <v>#N/A</v>
      </c>
      <c r="AB3106" s="113" t="e">
        <v>#N/A</v>
      </c>
    </row>
    <row r="3107" spans="17:28" x14ac:dyDescent="0.2">
      <c r="Q3107" s="72"/>
      <c r="T3107" s="72"/>
      <c r="U3107" s="93"/>
      <c r="X3107" s="114" t="str">
        <f t="shared" si="61"/>
        <v>1w</v>
      </c>
      <c r="Y3107" s="112">
        <f>_xll.qlCalendarAdvance(Calendar,Y3106,X3107,"f",FALSE)</f>
        <v>60981</v>
      </c>
      <c r="Z3107" s="115">
        <f>_xll.qlCalendarAdvance(Calendar,Y3107,NDays&amp;"D")</f>
        <v>60981</v>
      </c>
      <c r="AA3107" s="116" t="e">
        <v>#N/A</v>
      </c>
      <c r="AB3107" s="113" t="e">
        <v>#N/A</v>
      </c>
    </row>
    <row r="3108" spans="17:28" x14ac:dyDescent="0.2">
      <c r="Q3108" s="72"/>
      <c r="T3108" s="72"/>
      <c r="U3108" s="93"/>
      <c r="X3108" s="114" t="str">
        <f t="shared" si="61"/>
        <v>1w</v>
      </c>
      <c r="Y3108" s="112">
        <f>_xll.qlCalendarAdvance(Calendar,Y3107,X3108,"f",FALSE)</f>
        <v>60988</v>
      </c>
      <c r="Z3108" s="115">
        <f>_xll.qlCalendarAdvance(Calendar,Y3108,NDays&amp;"D")</f>
        <v>60988</v>
      </c>
      <c r="AA3108" s="116" t="e">
        <v>#N/A</v>
      </c>
      <c r="AB3108" s="113" t="e">
        <v>#N/A</v>
      </c>
    </row>
    <row r="3109" spans="17:28" x14ac:dyDescent="0.2">
      <c r="Q3109" s="72"/>
      <c r="T3109" s="72"/>
      <c r="U3109" s="93"/>
      <c r="X3109" s="114" t="str">
        <f t="shared" si="61"/>
        <v>1w</v>
      </c>
      <c r="Y3109" s="112">
        <f>_xll.qlCalendarAdvance(Calendar,Y3108,X3109,"f",FALSE)</f>
        <v>60995</v>
      </c>
      <c r="Z3109" s="115">
        <f>_xll.qlCalendarAdvance(Calendar,Y3109,NDays&amp;"D")</f>
        <v>60995</v>
      </c>
      <c r="AA3109" s="116" t="e">
        <v>#N/A</v>
      </c>
      <c r="AB3109" s="113" t="e">
        <v>#N/A</v>
      </c>
    </row>
    <row r="3110" spans="17:28" x14ac:dyDescent="0.2">
      <c r="Q3110" s="72"/>
      <c r="T3110" s="72"/>
      <c r="U3110" s="93"/>
      <c r="X3110" s="114" t="str">
        <f t="shared" si="61"/>
        <v>1w</v>
      </c>
      <c r="Y3110" s="112">
        <f>_xll.qlCalendarAdvance(Calendar,Y3109,X3110,"f",FALSE)</f>
        <v>61002</v>
      </c>
      <c r="Z3110" s="115">
        <f>_xll.qlCalendarAdvance(Calendar,Y3110,NDays&amp;"D")</f>
        <v>61002</v>
      </c>
      <c r="AA3110" s="116" t="e">
        <v>#N/A</v>
      </c>
      <c r="AB3110" s="113" t="e">
        <v>#N/A</v>
      </c>
    </row>
    <row r="3111" spans="17:28" x14ac:dyDescent="0.2">
      <c r="Q3111" s="72"/>
      <c r="T3111" s="72"/>
      <c r="U3111" s="93"/>
      <c r="X3111" s="114" t="str">
        <f t="shared" si="61"/>
        <v>1w</v>
      </c>
      <c r="Y3111" s="112">
        <f>_xll.qlCalendarAdvance(Calendar,Y3110,X3111,"f",FALSE)</f>
        <v>61009</v>
      </c>
      <c r="Z3111" s="115">
        <f>_xll.qlCalendarAdvance(Calendar,Y3111,NDays&amp;"D")</f>
        <v>61009</v>
      </c>
      <c r="AA3111" s="116" t="e">
        <v>#N/A</v>
      </c>
      <c r="AB3111" s="113" t="e">
        <v>#N/A</v>
      </c>
    </row>
    <row r="3112" spans="17:28" x14ac:dyDescent="0.2">
      <c r="Q3112" s="72"/>
      <c r="T3112" s="72"/>
      <c r="U3112" s="93"/>
      <c r="X3112" s="114" t="str">
        <f t="shared" si="61"/>
        <v>1w</v>
      </c>
      <c r="Y3112" s="112">
        <f>_xll.qlCalendarAdvance(Calendar,Y3111,X3112,"f",FALSE)</f>
        <v>61016</v>
      </c>
      <c r="Z3112" s="115">
        <f>_xll.qlCalendarAdvance(Calendar,Y3112,NDays&amp;"D")</f>
        <v>61016</v>
      </c>
      <c r="AA3112" s="116" t="e">
        <v>#N/A</v>
      </c>
      <c r="AB3112" s="113" t="e">
        <v>#N/A</v>
      </c>
    </row>
    <row r="3113" spans="17:28" x14ac:dyDescent="0.2">
      <c r="Q3113" s="72"/>
      <c r="T3113" s="72"/>
      <c r="U3113" s="93"/>
      <c r="X3113" s="114" t="str">
        <f t="shared" si="61"/>
        <v>1w</v>
      </c>
      <c r="Y3113" s="112">
        <f>_xll.qlCalendarAdvance(Calendar,Y3112,X3113,"f",FALSE)</f>
        <v>61024</v>
      </c>
      <c r="Z3113" s="115">
        <f>_xll.qlCalendarAdvance(Calendar,Y3113,NDays&amp;"D")</f>
        <v>61024</v>
      </c>
      <c r="AA3113" s="116" t="e">
        <v>#N/A</v>
      </c>
      <c r="AB3113" s="113" t="e">
        <v>#N/A</v>
      </c>
    </row>
    <row r="3114" spans="17:28" x14ac:dyDescent="0.2">
      <c r="Q3114" s="72"/>
      <c r="T3114" s="72"/>
      <c r="U3114" s="93"/>
      <c r="X3114" s="114" t="str">
        <f t="shared" si="61"/>
        <v>1w</v>
      </c>
      <c r="Y3114" s="112">
        <f>_xll.qlCalendarAdvance(Calendar,Y3113,X3114,"f",FALSE)</f>
        <v>61031</v>
      </c>
      <c r="Z3114" s="115">
        <f>_xll.qlCalendarAdvance(Calendar,Y3114,NDays&amp;"D")</f>
        <v>61031</v>
      </c>
      <c r="AA3114" s="116" t="e">
        <v>#N/A</v>
      </c>
      <c r="AB3114" s="113" t="e">
        <v>#N/A</v>
      </c>
    </row>
    <row r="3115" spans="17:28" x14ac:dyDescent="0.2">
      <c r="Q3115" s="72"/>
      <c r="T3115" s="72"/>
      <c r="U3115" s="93"/>
      <c r="X3115" s="114" t="str">
        <f t="shared" si="61"/>
        <v>1w</v>
      </c>
      <c r="Y3115" s="112">
        <f>_xll.qlCalendarAdvance(Calendar,Y3114,X3115,"f",FALSE)</f>
        <v>61038</v>
      </c>
      <c r="Z3115" s="115">
        <f>_xll.qlCalendarAdvance(Calendar,Y3115,NDays&amp;"D")</f>
        <v>61038</v>
      </c>
      <c r="AA3115" s="116" t="e">
        <v>#N/A</v>
      </c>
      <c r="AB3115" s="113" t="e">
        <v>#N/A</v>
      </c>
    </row>
    <row r="3116" spans="17:28" x14ac:dyDescent="0.2">
      <c r="Q3116" s="72"/>
      <c r="T3116" s="72"/>
      <c r="U3116" s="93"/>
      <c r="X3116" s="114" t="str">
        <f t="shared" si="61"/>
        <v>1w</v>
      </c>
      <c r="Y3116" s="112">
        <f>_xll.qlCalendarAdvance(Calendar,Y3115,X3116,"f",FALSE)</f>
        <v>61045</v>
      </c>
      <c r="Z3116" s="115">
        <f>_xll.qlCalendarAdvance(Calendar,Y3116,NDays&amp;"D")</f>
        <v>61045</v>
      </c>
      <c r="AA3116" s="116" t="e">
        <v>#N/A</v>
      </c>
      <c r="AB3116" s="113" t="e">
        <v>#N/A</v>
      </c>
    </row>
    <row r="3117" spans="17:28" x14ac:dyDescent="0.2">
      <c r="Q3117" s="72"/>
      <c r="T3117" s="72"/>
      <c r="U3117" s="93"/>
      <c r="X3117" s="114" t="str">
        <f t="shared" si="61"/>
        <v>1w</v>
      </c>
      <c r="Y3117" s="112">
        <f>_xll.qlCalendarAdvance(Calendar,Y3116,X3117,"f",FALSE)</f>
        <v>61052</v>
      </c>
      <c r="Z3117" s="115">
        <f>_xll.qlCalendarAdvance(Calendar,Y3117,NDays&amp;"D")</f>
        <v>61052</v>
      </c>
      <c r="AA3117" s="116" t="e">
        <v>#N/A</v>
      </c>
      <c r="AB3117" s="113" t="e">
        <v>#N/A</v>
      </c>
    </row>
    <row r="3118" spans="17:28" x14ac:dyDescent="0.2">
      <c r="Q3118" s="72"/>
      <c r="T3118" s="72"/>
      <c r="U3118" s="93"/>
      <c r="X3118" s="114" t="str">
        <f t="shared" si="61"/>
        <v>1w</v>
      </c>
      <c r="Y3118" s="112">
        <f>_xll.qlCalendarAdvance(Calendar,Y3117,X3118,"f",FALSE)</f>
        <v>61059</v>
      </c>
      <c r="Z3118" s="115">
        <f>_xll.qlCalendarAdvance(Calendar,Y3118,NDays&amp;"D")</f>
        <v>61059</v>
      </c>
      <c r="AA3118" s="116" t="e">
        <v>#N/A</v>
      </c>
      <c r="AB3118" s="113" t="e">
        <v>#N/A</v>
      </c>
    </row>
    <row r="3119" spans="17:28" x14ac:dyDescent="0.2">
      <c r="Q3119" s="72"/>
      <c r="T3119" s="72"/>
      <c r="U3119" s="93"/>
      <c r="X3119" s="114" t="str">
        <f t="shared" si="61"/>
        <v>1w</v>
      </c>
      <c r="Y3119" s="112">
        <f>_xll.qlCalendarAdvance(Calendar,Y3118,X3119,"f",FALSE)</f>
        <v>61066</v>
      </c>
      <c r="Z3119" s="115">
        <f>_xll.qlCalendarAdvance(Calendar,Y3119,NDays&amp;"D")</f>
        <v>61066</v>
      </c>
      <c r="AA3119" s="116" t="e">
        <v>#N/A</v>
      </c>
      <c r="AB3119" s="113" t="e">
        <v>#N/A</v>
      </c>
    </row>
    <row r="3120" spans="17:28" x14ac:dyDescent="0.2">
      <c r="Q3120" s="72"/>
      <c r="T3120" s="72"/>
      <c r="U3120" s="93"/>
      <c r="X3120" s="114" t="str">
        <f t="shared" si="61"/>
        <v>1w</v>
      </c>
      <c r="Y3120" s="112">
        <f>_xll.qlCalendarAdvance(Calendar,Y3119,X3120,"f",FALSE)</f>
        <v>61073</v>
      </c>
      <c r="Z3120" s="115">
        <f>_xll.qlCalendarAdvance(Calendar,Y3120,NDays&amp;"D")</f>
        <v>61073</v>
      </c>
      <c r="AA3120" s="116" t="e">
        <v>#N/A</v>
      </c>
      <c r="AB3120" s="113" t="e">
        <v>#N/A</v>
      </c>
    </row>
    <row r="3121" spans="17:28" x14ac:dyDescent="0.2">
      <c r="Q3121" s="72"/>
      <c r="T3121" s="72"/>
      <c r="U3121" s="93"/>
      <c r="X3121" s="114" t="str">
        <f t="shared" si="61"/>
        <v>1w</v>
      </c>
      <c r="Y3121" s="112">
        <f>_xll.qlCalendarAdvance(Calendar,Y3120,X3121,"f",FALSE)</f>
        <v>61080</v>
      </c>
      <c r="Z3121" s="115">
        <f>_xll.qlCalendarAdvance(Calendar,Y3121,NDays&amp;"D")</f>
        <v>61080</v>
      </c>
      <c r="AA3121" s="116" t="e">
        <v>#N/A</v>
      </c>
      <c r="AB3121" s="113" t="e">
        <v>#N/A</v>
      </c>
    </row>
    <row r="3122" spans="17:28" x14ac:dyDescent="0.2">
      <c r="Q3122" s="72"/>
      <c r="T3122" s="72"/>
      <c r="U3122" s="93"/>
      <c r="X3122" s="114" t="str">
        <f t="shared" si="61"/>
        <v>1w</v>
      </c>
      <c r="Y3122" s="112">
        <f>_xll.qlCalendarAdvance(Calendar,Y3121,X3122,"f",FALSE)</f>
        <v>61087</v>
      </c>
      <c r="Z3122" s="115">
        <f>_xll.qlCalendarAdvance(Calendar,Y3122,NDays&amp;"D")</f>
        <v>61087</v>
      </c>
      <c r="AA3122" s="116" t="e">
        <v>#N/A</v>
      </c>
      <c r="AB3122" s="113" t="e">
        <v>#N/A</v>
      </c>
    </row>
    <row r="3123" spans="17:28" x14ac:dyDescent="0.2">
      <c r="Q3123" s="72"/>
      <c r="T3123" s="72"/>
      <c r="U3123" s="93"/>
      <c r="X3123" s="114" t="str">
        <f t="shared" si="61"/>
        <v>1w</v>
      </c>
      <c r="Y3123" s="112">
        <f>_xll.qlCalendarAdvance(Calendar,Y3122,X3123,"f",FALSE)</f>
        <v>61094</v>
      </c>
      <c r="Z3123" s="115">
        <f>_xll.qlCalendarAdvance(Calendar,Y3123,NDays&amp;"D")</f>
        <v>61094</v>
      </c>
      <c r="AA3123" s="116" t="e">
        <v>#N/A</v>
      </c>
      <c r="AB3123" s="113" t="e">
        <v>#N/A</v>
      </c>
    </row>
    <row r="3124" spans="17:28" x14ac:dyDescent="0.2">
      <c r="Q3124" s="72"/>
      <c r="T3124" s="72"/>
      <c r="U3124" s="93"/>
      <c r="X3124" s="114" t="str">
        <f t="shared" si="61"/>
        <v>1w</v>
      </c>
      <c r="Y3124" s="112">
        <f>_xll.qlCalendarAdvance(Calendar,Y3123,X3124,"f",FALSE)</f>
        <v>61101</v>
      </c>
      <c r="Z3124" s="115">
        <f>_xll.qlCalendarAdvance(Calendar,Y3124,NDays&amp;"D")</f>
        <v>61101</v>
      </c>
      <c r="AA3124" s="116" t="e">
        <v>#N/A</v>
      </c>
      <c r="AB3124" s="113" t="e">
        <v>#N/A</v>
      </c>
    </row>
    <row r="3125" spans="17:28" x14ac:dyDescent="0.2">
      <c r="Q3125" s="72"/>
      <c r="T3125" s="72"/>
      <c r="U3125" s="93"/>
      <c r="X3125" s="114" t="str">
        <f t="shared" si="61"/>
        <v>1w</v>
      </c>
      <c r="Y3125" s="112">
        <f>_xll.qlCalendarAdvance(Calendar,Y3124,X3125,"f",FALSE)</f>
        <v>61108</v>
      </c>
      <c r="Z3125" s="115">
        <f>_xll.qlCalendarAdvance(Calendar,Y3125,NDays&amp;"D")</f>
        <v>61108</v>
      </c>
      <c r="AA3125" s="116" t="e">
        <v>#N/A</v>
      </c>
      <c r="AB3125" s="113" t="e">
        <v>#N/A</v>
      </c>
    </row>
    <row r="3126" spans="17:28" x14ac:dyDescent="0.2">
      <c r="Q3126" s="72"/>
      <c r="T3126" s="72"/>
      <c r="U3126" s="93"/>
      <c r="X3126" s="114" t="str">
        <f t="shared" si="61"/>
        <v>1w</v>
      </c>
      <c r="Y3126" s="112">
        <f>_xll.qlCalendarAdvance(Calendar,Y3125,X3126,"f",FALSE)</f>
        <v>61115</v>
      </c>
      <c r="Z3126" s="115">
        <f>_xll.qlCalendarAdvance(Calendar,Y3126,NDays&amp;"D")</f>
        <v>61115</v>
      </c>
      <c r="AA3126" s="116" t="e">
        <v>#N/A</v>
      </c>
      <c r="AB3126" s="113" t="e">
        <v>#N/A</v>
      </c>
    </row>
    <row r="3127" spans="17:28" x14ac:dyDescent="0.2">
      <c r="Q3127" s="72"/>
      <c r="T3127" s="72"/>
      <c r="U3127" s="93"/>
      <c r="X3127" s="114" t="str">
        <f t="shared" si="61"/>
        <v>1w</v>
      </c>
      <c r="Y3127" s="112">
        <f>_xll.qlCalendarAdvance(Calendar,Y3126,X3127,"f",FALSE)</f>
        <v>61122</v>
      </c>
      <c r="Z3127" s="115">
        <f>_xll.qlCalendarAdvance(Calendar,Y3127,NDays&amp;"D")</f>
        <v>61122</v>
      </c>
      <c r="AA3127" s="116" t="e">
        <v>#N/A</v>
      </c>
      <c r="AB3127" s="113" t="e">
        <v>#N/A</v>
      </c>
    </row>
    <row r="3128" spans="17:28" x14ac:dyDescent="0.2">
      <c r="Q3128" s="72"/>
      <c r="T3128" s="72"/>
      <c r="U3128" s="93"/>
      <c r="X3128" s="114" t="str">
        <f t="shared" si="61"/>
        <v>1w</v>
      </c>
      <c r="Y3128" s="112">
        <f>_xll.qlCalendarAdvance(Calendar,Y3127,X3128,"f",FALSE)</f>
        <v>61129</v>
      </c>
      <c r="Z3128" s="115">
        <f>_xll.qlCalendarAdvance(Calendar,Y3128,NDays&amp;"D")</f>
        <v>61129</v>
      </c>
      <c r="AA3128" s="116" t="e">
        <v>#N/A</v>
      </c>
      <c r="AB3128" s="113" t="e">
        <v>#N/A</v>
      </c>
    </row>
    <row r="3129" spans="17:28" x14ac:dyDescent="0.2">
      <c r="Q3129" s="72"/>
      <c r="T3129" s="72"/>
      <c r="U3129" s="93"/>
      <c r="X3129" s="114" t="str">
        <f t="shared" si="61"/>
        <v>1w</v>
      </c>
      <c r="Y3129" s="112">
        <f>_xll.qlCalendarAdvance(Calendar,Y3128,X3129,"f",FALSE)</f>
        <v>61136</v>
      </c>
      <c r="Z3129" s="115">
        <f>_xll.qlCalendarAdvance(Calendar,Y3129,NDays&amp;"D")</f>
        <v>61136</v>
      </c>
      <c r="AA3129" s="116" t="e">
        <v>#N/A</v>
      </c>
      <c r="AB3129" s="113" t="e">
        <v>#N/A</v>
      </c>
    </row>
    <row r="3130" spans="17:28" x14ac:dyDescent="0.2">
      <c r="Q3130" s="72"/>
      <c r="T3130" s="72"/>
      <c r="U3130" s="93"/>
      <c r="X3130" s="114" t="str">
        <f t="shared" si="61"/>
        <v>1w</v>
      </c>
      <c r="Y3130" s="112">
        <f>_xll.qlCalendarAdvance(Calendar,Y3129,X3130,"f",FALSE)</f>
        <v>61143</v>
      </c>
      <c r="Z3130" s="115">
        <f>_xll.qlCalendarAdvance(Calendar,Y3130,NDays&amp;"D")</f>
        <v>61143</v>
      </c>
      <c r="AA3130" s="116" t="e">
        <v>#N/A</v>
      </c>
      <c r="AB3130" s="113" t="e">
        <v>#N/A</v>
      </c>
    </row>
    <row r="3131" spans="17:28" x14ac:dyDescent="0.2">
      <c r="Q3131" s="72"/>
      <c r="T3131" s="72"/>
      <c r="U3131" s="93"/>
      <c r="X3131" s="114" t="str">
        <f t="shared" si="61"/>
        <v>1w</v>
      </c>
      <c r="Y3131" s="112">
        <f>_xll.qlCalendarAdvance(Calendar,Y3130,X3131,"f",FALSE)</f>
        <v>61150</v>
      </c>
      <c r="Z3131" s="115">
        <f>_xll.qlCalendarAdvance(Calendar,Y3131,NDays&amp;"D")</f>
        <v>61150</v>
      </c>
      <c r="AA3131" s="116" t="e">
        <v>#N/A</v>
      </c>
      <c r="AB3131" s="113" t="e">
        <v>#N/A</v>
      </c>
    </row>
    <row r="3132" spans="17:28" x14ac:dyDescent="0.2">
      <c r="Q3132" s="72"/>
      <c r="T3132" s="72"/>
      <c r="U3132" s="93"/>
      <c r="X3132" s="114" t="str">
        <f t="shared" si="61"/>
        <v>1w</v>
      </c>
      <c r="Y3132" s="112">
        <f>_xll.qlCalendarAdvance(Calendar,Y3131,X3132,"f",FALSE)</f>
        <v>61157</v>
      </c>
      <c r="Z3132" s="115">
        <f>_xll.qlCalendarAdvance(Calendar,Y3132,NDays&amp;"D")</f>
        <v>61157</v>
      </c>
      <c r="AA3132" s="116" t="e">
        <v>#N/A</v>
      </c>
      <c r="AB3132" s="113" t="e">
        <v>#N/A</v>
      </c>
    </row>
    <row r="3133" spans="17:28" x14ac:dyDescent="0.2">
      <c r="Q3133" s="72"/>
      <c r="T3133" s="72"/>
      <c r="U3133" s="93"/>
      <c r="X3133" s="114" t="str">
        <f t="shared" si="61"/>
        <v>1w</v>
      </c>
      <c r="Y3133" s="112">
        <f>_xll.qlCalendarAdvance(Calendar,Y3132,X3133,"f",FALSE)</f>
        <v>61164</v>
      </c>
      <c r="Z3133" s="115">
        <f>_xll.qlCalendarAdvance(Calendar,Y3133,NDays&amp;"D")</f>
        <v>61164</v>
      </c>
      <c r="AA3133" s="116" t="e">
        <v>#N/A</v>
      </c>
      <c r="AB3133" s="113" t="e">
        <v>#N/A</v>
      </c>
    </row>
    <row r="3134" spans="17:28" x14ac:dyDescent="0.2">
      <c r="Q3134" s="72"/>
      <c r="T3134" s="72"/>
      <c r="U3134" s="93"/>
      <c r="X3134" s="114" t="str">
        <f t="shared" si="61"/>
        <v>1w</v>
      </c>
      <c r="Y3134" s="112">
        <f>_xll.qlCalendarAdvance(Calendar,Y3133,X3134,"f",FALSE)</f>
        <v>61171</v>
      </c>
      <c r="Z3134" s="115">
        <f>_xll.qlCalendarAdvance(Calendar,Y3134,NDays&amp;"D")</f>
        <v>61171</v>
      </c>
      <c r="AA3134" s="116" t="e">
        <v>#N/A</v>
      </c>
      <c r="AB3134" s="113" t="e">
        <v>#N/A</v>
      </c>
    </row>
    <row r="3135" spans="17:28" x14ac:dyDescent="0.2">
      <c r="Q3135" s="72"/>
      <c r="T3135" s="72"/>
      <c r="U3135" s="93"/>
      <c r="X3135" s="114" t="str">
        <f t="shared" si="61"/>
        <v>1w</v>
      </c>
      <c r="Y3135" s="112">
        <f>_xll.qlCalendarAdvance(Calendar,Y3134,X3135,"f",FALSE)</f>
        <v>61178</v>
      </c>
      <c r="Z3135" s="115">
        <f>_xll.qlCalendarAdvance(Calendar,Y3135,NDays&amp;"D")</f>
        <v>61178</v>
      </c>
      <c r="AA3135" s="116" t="e">
        <v>#N/A</v>
      </c>
      <c r="AB3135" s="113" t="e">
        <v>#N/A</v>
      </c>
    </row>
    <row r="3136" spans="17:28" x14ac:dyDescent="0.2">
      <c r="Q3136" s="72"/>
      <c r="T3136" s="72"/>
      <c r="U3136" s="93"/>
      <c r="X3136" s="114" t="str">
        <f t="shared" si="61"/>
        <v>1w</v>
      </c>
      <c r="Y3136" s="112">
        <f>_xll.qlCalendarAdvance(Calendar,Y3135,X3136,"f",FALSE)</f>
        <v>61185</v>
      </c>
      <c r="Z3136" s="115">
        <f>_xll.qlCalendarAdvance(Calendar,Y3136,NDays&amp;"D")</f>
        <v>61185</v>
      </c>
      <c r="AA3136" s="116" t="e">
        <v>#N/A</v>
      </c>
      <c r="AB3136" s="113" t="e">
        <v>#N/A</v>
      </c>
    </row>
    <row r="3137" spans="17:28" x14ac:dyDescent="0.2">
      <c r="Q3137" s="72"/>
      <c r="T3137" s="72"/>
      <c r="U3137" s="93"/>
      <c r="X3137" s="114" t="str">
        <f t="shared" si="61"/>
        <v>1w</v>
      </c>
      <c r="Y3137" s="112">
        <f>_xll.qlCalendarAdvance(Calendar,Y3136,X3137,"f",FALSE)</f>
        <v>61192</v>
      </c>
      <c r="Z3137" s="115">
        <f>_xll.qlCalendarAdvance(Calendar,Y3137,NDays&amp;"D")</f>
        <v>61192</v>
      </c>
      <c r="AA3137" s="116" t="e">
        <v>#N/A</v>
      </c>
      <c r="AB3137" s="113" t="e">
        <v>#N/A</v>
      </c>
    </row>
    <row r="3138" spans="17:28" x14ac:dyDescent="0.2">
      <c r="Q3138" s="72"/>
      <c r="T3138" s="72"/>
      <c r="U3138" s="93"/>
      <c r="X3138" s="114" t="str">
        <f t="shared" si="61"/>
        <v>1w</v>
      </c>
      <c r="Y3138" s="112">
        <f>_xll.qlCalendarAdvance(Calendar,Y3137,X3138,"f",FALSE)</f>
        <v>61199</v>
      </c>
      <c r="Z3138" s="115">
        <f>_xll.qlCalendarAdvance(Calendar,Y3138,NDays&amp;"D")</f>
        <v>61199</v>
      </c>
      <c r="AA3138" s="116" t="e">
        <v>#N/A</v>
      </c>
      <c r="AB3138" s="113" t="e">
        <v>#N/A</v>
      </c>
    </row>
    <row r="3139" spans="17:28" x14ac:dyDescent="0.2">
      <c r="Q3139" s="72"/>
      <c r="T3139" s="72"/>
      <c r="U3139" s="93"/>
      <c r="X3139" s="114" t="str">
        <f t="shared" si="61"/>
        <v>1w</v>
      </c>
      <c r="Y3139" s="112">
        <f>_xll.qlCalendarAdvance(Calendar,Y3138,X3139,"f",FALSE)</f>
        <v>61206</v>
      </c>
      <c r="Z3139" s="115">
        <f>_xll.qlCalendarAdvance(Calendar,Y3139,NDays&amp;"D")</f>
        <v>61206</v>
      </c>
      <c r="AA3139" s="116" t="e">
        <v>#N/A</v>
      </c>
      <c r="AB3139" s="113" t="e">
        <v>#N/A</v>
      </c>
    </row>
    <row r="3140" spans="17:28" x14ac:dyDescent="0.2">
      <c r="Q3140" s="72"/>
      <c r="T3140" s="72"/>
      <c r="U3140" s="93"/>
      <c r="X3140" s="114" t="str">
        <f t="shared" si="61"/>
        <v>1w</v>
      </c>
      <c r="Y3140" s="112">
        <f>_xll.qlCalendarAdvance(Calendar,Y3139,X3140,"f",FALSE)</f>
        <v>61213</v>
      </c>
      <c r="Z3140" s="115">
        <f>_xll.qlCalendarAdvance(Calendar,Y3140,NDays&amp;"D")</f>
        <v>61213</v>
      </c>
      <c r="AA3140" s="116" t="e">
        <v>#N/A</v>
      </c>
      <c r="AB3140" s="113" t="e">
        <v>#N/A</v>
      </c>
    </row>
    <row r="3141" spans="17:28" x14ac:dyDescent="0.2">
      <c r="Q3141" s="72"/>
      <c r="T3141" s="72"/>
      <c r="U3141" s="93"/>
      <c r="X3141" s="114" t="str">
        <f t="shared" si="61"/>
        <v>1w</v>
      </c>
      <c r="Y3141" s="112">
        <f>_xll.qlCalendarAdvance(Calendar,Y3140,X3141,"f",FALSE)</f>
        <v>61220</v>
      </c>
      <c r="Z3141" s="115">
        <f>_xll.qlCalendarAdvance(Calendar,Y3141,NDays&amp;"D")</f>
        <v>61220</v>
      </c>
      <c r="AA3141" s="116" t="e">
        <v>#N/A</v>
      </c>
      <c r="AB3141" s="113" t="e">
        <v>#N/A</v>
      </c>
    </row>
    <row r="3142" spans="17:28" x14ac:dyDescent="0.2">
      <c r="Q3142" s="72"/>
      <c r="T3142" s="72"/>
      <c r="U3142" s="93"/>
      <c r="X3142" s="114" t="str">
        <f t="shared" si="61"/>
        <v>1w</v>
      </c>
      <c r="Y3142" s="112">
        <f>_xll.qlCalendarAdvance(Calendar,Y3141,X3142,"f",FALSE)</f>
        <v>61227</v>
      </c>
      <c r="Z3142" s="115">
        <f>_xll.qlCalendarAdvance(Calendar,Y3142,NDays&amp;"D")</f>
        <v>61227</v>
      </c>
      <c r="AA3142" s="116" t="e">
        <v>#N/A</v>
      </c>
      <c r="AB3142" s="113" t="e">
        <v>#N/A</v>
      </c>
    </row>
    <row r="3143" spans="17:28" x14ac:dyDescent="0.2">
      <c r="Q3143" s="72"/>
      <c r="T3143" s="72"/>
      <c r="U3143" s="93"/>
      <c r="X3143" s="114" t="str">
        <f t="shared" si="61"/>
        <v>1w</v>
      </c>
      <c r="Y3143" s="112">
        <f>_xll.qlCalendarAdvance(Calendar,Y3142,X3143,"f",FALSE)</f>
        <v>61234</v>
      </c>
      <c r="Z3143" s="115">
        <f>_xll.qlCalendarAdvance(Calendar,Y3143,NDays&amp;"D")</f>
        <v>61234</v>
      </c>
      <c r="AA3143" s="116" t="e">
        <v>#N/A</v>
      </c>
      <c r="AB3143" s="113" t="e">
        <v>#N/A</v>
      </c>
    </row>
    <row r="3144" spans="17:28" x14ac:dyDescent="0.2">
      <c r="Q3144" s="72"/>
      <c r="T3144" s="72"/>
      <c r="U3144" s="93"/>
      <c r="X3144" s="114" t="str">
        <f t="shared" si="61"/>
        <v>1w</v>
      </c>
      <c r="Y3144" s="112">
        <f>_xll.qlCalendarAdvance(Calendar,Y3143,X3144,"f",FALSE)</f>
        <v>61241</v>
      </c>
      <c r="Z3144" s="115">
        <f>_xll.qlCalendarAdvance(Calendar,Y3144,NDays&amp;"D")</f>
        <v>61241</v>
      </c>
      <c r="AA3144" s="116" t="e">
        <v>#N/A</v>
      </c>
      <c r="AB3144" s="113" t="e">
        <v>#N/A</v>
      </c>
    </row>
    <row r="3145" spans="17:28" x14ac:dyDescent="0.2">
      <c r="Q3145" s="72"/>
      <c r="T3145" s="72"/>
      <c r="U3145" s="93"/>
      <c r="X3145" s="114" t="str">
        <f t="shared" si="61"/>
        <v>1w</v>
      </c>
      <c r="Y3145" s="112">
        <f>_xll.qlCalendarAdvance(Calendar,Y3144,X3145,"f",FALSE)</f>
        <v>61248</v>
      </c>
      <c r="Z3145" s="115">
        <f>_xll.qlCalendarAdvance(Calendar,Y3145,NDays&amp;"D")</f>
        <v>61248</v>
      </c>
      <c r="AA3145" s="116" t="e">
        <v>#N/A</v>
      </c>
      <c r="AB3145" s="113" t="e">
        <v>#N/A</v>
      </c>
    </row>
    <row r="3146" spans="17:28" x14ac:dyDescent="0.2">
      <c r="Q3146" s="72"/>
      <c r="T3146" s="72"/>
      <c r="U3146" s="93"/>
      <c r="X3146" s="114" t="str">
        <f t="shared" si="61"/>
        <v>1w</v>
      </c>
      <c r="Y3146" s="112">
        <f>_xll.qlCalendarAdvance(Calendar,Y3145,X3146,"f",FALSE)</f>
        <v>61255</v>
      </c>
      <c r="Z3146" s="115">
        <f>_xll.qlCalendarAdvance(Calendar,Y3146,NDays&amp;"D")</f>
        <v>61255</v>
      </c>
      <c r="AA3146" s="116" t="e">
        <v>#N/A</v>
      </c>
      <c r="AB3146" s="113" t="e">
        <v>#N/A</v>
      </c>
    </row>
    <row r="3147" spans="17:28" x14ac:dyDescent="0.2">
      <c r="Q3147" s="72"/>
      <c r="T3147" s="72"/>
      <c r="U3147" s="93"/>
      <c r="X3147" s="114" t="str">
        <f t="shared" si="61"/>
        <v>1w</v>
      </c>
      <c r="Y3147" s="112">
        <f>_xll.qlCalendarAdvance(Calendar,Y3146,X3147,"f",FALSE)</f>
        <v>61262</v>
      </c>
      <c r="Z3147" s="115">
        <f>_xll.qlCalendarAdvance(Calendar,Y3147,NDays&amp;"D")</f>
        <v>61262</v>
      </c>
      <c r="AA3147" s="116" t="e">
        <v>#N/A</v>
      </c>
      <c r="AB3147" s="113" t="e">
        <v>#N/A</v>
      </c>
    </row>
    <row r="3148" spans="17:28" x14ac:dyDescent="0.2">
      <c r="Q3148" s="72"/>
      <c r="T3148" s="72"/>
      <c r="U3148" s="93"/>
      <c r="X3148" s="114" t="str">
        <f t="shared" si="61"/>
        <v>1w</v>
      </c>
      <c r="Y3148" s="112">
        <f>_xll.qlCalendarAdvance(Calendar,Y3147,X3148,"f",FALSE)</f>
        <v>61269</v>
      </c>
      <c r="Z3148" s="115">
        <f>_xll.qlCalendarAdvance(Calendar,Y3148,NDays&amp;"D")</f>
        <v>61269</v>
      </c>
      <c r="AA3148" s="116" t="e">
        <v>#N/A</v>
      </c>
      <c r="AB3148" s="113" t="e">
        <v>#N/A</v>
      </c>
    </row>
    <row r="3149" spans="17:28" x14ac:dyDescent="0.2">
      <c r="Q3149" s="72"/>
      <c r="T3149" s="72"/>
      <c r="U3149" s="93"/>
      <c r="X3149" s="114" t="str">
        <f t="shared" si="61"/>
        <v>1w</v>
      </c>
      <c r="Y3149" s="112">
        <f>_xll.qlCalendarAdvance(Calendar,Y3148,X3149,"f",FALSE)</f>
        <v>61276</v>
      </c>
      <c r="Z3149" s="115">
        <f>_xll.qlCalendarAdvance(Calendar,Y3149,NDays&amp;"D")</f>
        <v>61276</v>
      </c>
      <c r="AA3149" s="116" t="e">
        <v>#N/A</v>
      </c>
      <c r="AB3149" s="113" t="e">
        <v>#N/A</v>
      </c>
    </row>
    <row r="3150" spans="17:28" x14ac:dyDescent="0.2">
      <c r="Q3150" s="72"/>
      <c r="T3150" s="72"/>
      <c r="U3150" s="93"/>
      <c r="X3150" s="114" t="str">
        <f t="shared" si="61"/>
        <v>1w</v>
      </c>
      <c r="Y3150" s="112">
        <f>_xll.qlCalendarAdvance(Calendar,Y3149,X3150,"f",FALSE)</f>
        <v>61283</v>
      </c>
      <c r="Z3150" s="115">
        <f>_xll.qlCalendarAdvance(Calendar,Y3150,NDays&amp;"D")</f>
        <v>61283</v>
      </c>
      <c r="AA3150" s="116" t="e">
        <v>#N/A</v>
      </c>
      <c r="AB3150" s="113" t="e">
        <v>#N/A</v>
      </c>
    </row>
    <row r="3151" spans="17:28" x14ac:dyDescent="0.2">
      <c r="Q3151" s="72"/>
      <c r="T3151" s="72"/>
      <c r="U3151" s="93"/>
      <c r="X3151" s="114" t="str">
        <f t="shared" si="61"/>
        <v>1w</v>
      </c>
      <c r="Y3151" s="112">
        <f>_xll.qlCalendarAdvance(Calendar,Y3150,X3151,"f",FALSE)</f>
        <v>61290</v>
      </c>
      <c r="Z3151" s="115">
        <f>_xll.qlCalendarAdvance(Calendar,Y3151,NDays&amp;"D")</f>
        <v>61290</v>
      </c>
      <c r="AA3151" s="116" t="e">
        <v>#N/A</v>
      </c>
      <c r="AB3151" s="113" t="e">
        <v>#N/A</v>
      </c>
    </row>
    <row r="3152" spans="17:28" x14ac:dyDescent="0.2">
      <c r="Q3152" s="72"/>
      <c r="T3152" s="72"/>
      <c r="U3152" s="93"/>
      <c r="X3152" s="114" t="str">
        <f t="shared" si="61"/>
        <v>1w</v>
      </c>
      <c r="Y3152" s="112">
        <f>_xll.qlCalendarAdvance(Calendar,Y3151,X3152,"f",FALSE)</f>
        <v>61297</v>
      </c>
      <c r="Z3152" s="115">
        <f>_xll.qlCalendarAdvance(Calendar,Y3152,NDays&amp;"D")</f>
        <v>61297</v>
      </c>
      <c r="AA3152" s="116" t="e">
        <v>#N/A</v>
      </c>
      <c r="AB3152" s="113" t="e">
        <v>#N/A</v>
      </c>
    </row>
    <row r="3153" spans="17:28" x14ac:dyDescent="0.2">
      <c r="Q3153" s="72"/>
      <c r="T3153" s="72"/>
      <c r="U3153" s="93"/>
      <c r="X3153" s="114" t="str">
        <f t="shared" si="61"/>
        <v>1w</v>
      </c>
      <c r="Y3153" s="112">
        <f>_xll.qlCalendarAdvance(Calendar,Y3152,X3153,"f",FALSE)</f>
        <v>61304</v>
      </c>
      <c r="Z3153" s="115">
        <f>_xll.qlCalendarAdvance(Calendar,Y3153,NDays&amp;"D")</f>
        <v>61304</v>
      </c>
      <c r="AA3153" s="116" t="e">
        <v>#N/A</v>
      </c>
      <c r="AB3153" s="113" t="e">
        <v>#N/A</v>
      </c>
    </row>
    <row r="3154" spans="17:28" x14ac:dyDescent="0.2">
      <c r="Q3154" s="72"/>
      <c r="T3154" s="72"/>
      <c r="U3154" s="93"/>
      <c r="X3154" s="114" t="str">
        <f t="shared" si="61"/>
        <v>1w</v>
      </c>
      <c r="Y3154" s="112">
        <f>_xll.qlCalendarAdvance(Calendar,Y3153,X3154,"f",FALSE)</f>
        <v>61311</v>
      </c>
      <c r="Z3154" s="115">
        <f>_xll.qlCalendarAdvance(Calendar,Y3154,NDays&amp;"D")</f>
        <v>61311</v>
      </c>
      <c r="AA3154" s="116" t="e">
        <v>#N/A</v>
      </c>
      <c r="AB3154" s="113" t="e">
        <v>#N/A</v>
      </c>
    </row>
    <row r="3155" spans="17:28" x14ac:dyDescent="0.2">
      <c r="Q3155" s="72"/>
      <c r="T3155" s="72"/>
      <c r="U3155" s="93"/>
      <c r="X3155" s="114" t="str">
        <f t="shared" si="61"/>
        <v>1w</v>
      </c>
      <c r="Y3155" s="112">
        <f>_xll.qlCalendarAdvance(Calendar,Y3154,X3155,"f",FALSE)</f>
        <v>61318</v>
      </c>
      <c r="Z3155" s="115">
        <f>_xll.qlCalendarAdvance(Calendar,Y3155,NDays&amp;"D")</f>
        <v>61318</v>
      </c>
      <c r="AA3155" s="116" t="e">
        <v>#N/A</v>
      </c>
      <c r="AB3155" s="113" t="e">
        <v>#N/A</v>
      </c>
    </row>
    <row r="3156" spans="17:28" x14ac:dyDescent="0.2">
      <c r="Q3156" s="72"/>
      <c r="T3156" s="72"/>
      <c r="U3156" s="93"/>
      <c r="X3156" s="114" t="str">
        <f t="shared" si="61"/>
        <v>1w</v>
      </c>
      <c r="Y3156" s="112">
        <f>_xll.qlCalendarAdvance(Calendar,Y3155,X3156,"f",FALSE)</f>
        <v>61325</v>
      </c>
      <c r="Z3156" s="115">
        <f>_xll.qlCalendarAdvance(Calendar,Y3156,NDays&amp;"D")</f>
        <v>61325</v>
      </c>
      <c r="AA3156" s="116" t="e">
        <v>#N/A</v>
      </c>
      <c r="AB3156" s="113" t="e">
        <v>#N/A</v>
      </c>
    </row>
    <row r="3157" spans="17:28" x14ac:dyDescent="0.2">
      <c r="Q3157" s="72"/>
      <c r="T3157" s="72"/>
      <c r="U3157" s="93"/>
      <c r="X3157" s="114" t="str">
        <f t="shared" ref="X3157:X3220" si="62">X3156</f>
        <v>1w</v>
      </c>
      <c r="Y3157" s="112">
        <f>_xll.qlCalendarAdvance(Calendar,Y3156,X3157,"f",FALSE)</f>
        <v>61332</v>
      </c>
      <c r="Z3157" s="115">
        <f>_xll.qlCalendarAdvance(Calendar,Y3157,NDays&amp;"D")</f>
        <v>61332</v>
      </c>
      <c r="AA3157" s="116" t="e">
        <v>#N/A</v>
      </c>
      <c r="AB3157" s="113" t="e">
        <v>#N/A</v>
      </c>
    </row>
    <row r="3158" spans="17:28" x14ac:dyDescent="0.2">
      <c r="Q3158" s="72"/>
      <c r="T3158" s="72"/>
      <c r="U3158" s="93"/>
      <c r="X3158" s="114" t="str">
        <f t="shared" si="62"/>
        <v>1w</v>
      </c>
      <c r="Y3158" s="112">
        <f>_xll.qlCalendarAdvance(Calendar,Y3157,X3158,"f",FALSE)</f>
        <v>61339</v>
      </c>
      <c r="Z3158" s="115">
        <f>_xll.qlCalendarAdvance(Calendar,Y3158,NDays&amp;"D")</f>
        <v>61339</v>
      </c>
      <c r="AA3158" s="116" t="e">
        <v>#N/A</v>
      </c>
      <c r="AB3158" s="113" t="e">
        <v>#N/A</v>
      </c>
    </row>
    <row r="3159" spans="17:28" x14ac:dyDescent="0.2">
      <c r="Q3159" s="72"/>
      <c r="T3159" s="72"/>
      <c r="U3159" s="93"/>
      <c r="X3159" s="114" t="str">
        <f t="shared" si="62"/>
        <v>1w</v>
      </c>
      <c r="Y3159" s="112">
        <f>_xll.qlCalendarAdvance(Calendar,Y3158,X3159,"f",FALSE)</f>
        <v>61346</v>
      </c>
      <c r="Z3159" s="115">
        <f>_xll.qlCalendarAdvance(Calendar,Y3159,NDays&amp;"D")</f>
        <v>61346</v>
      </c>
      <c r="AA3159" s="116" t="e">
        <v>#N/A</v>
      </c>
      <c r="AB3159" s="113" t="e">
        <v>#N/A</v>
      </c>
    </row>
    <row r="3160" spans="17:28" x14ac:dyDescent="0.2">
      <c r="Q3160" s="72"/>
      <c r="T3160" s="72"/>
      <c r="U3160" s="93"/>
      <c r="X3160" s="114" t="str">
        <f t="shared" si="62"/>
        <v>1w</v>
      </c>
      <c r="Y3160" s="112">
        <f>_xll.qlCalendarAdvance(Calendar,Y3159,X3160,"f",FALSE)</f>
        <v>61353</v>
      </c>
      <c r="Z3160" s="115">
        <f>_xll.qlCalendarAdvance(Calendar,Y3160,NDays&amp;"D")</f>
        <v>61353</v>
      </c>
      <c r="AA3160" s="116" t="e">
        <v>#N/A</v>
      </c>
      <c r="AB3160" s="113" t="e">
        <v>#N/A</v>
      </c>
    </row>
    <row r="3161" spans="17:28" x14ac:dyDescent="0.2">
      <c r="Q3161" s="72"/>
      <c r="T3161" s="72"/>
      <c r="U3161" s="93"/>
      <c r="X3161" s="114" t="str">
        <f t="shared" si="62"/>
        <v>1w</v>
      </c>
      <c r="Y3161" s="112">
        <f>_xll.qlCalendarAdvance(Calendar,Y3160,X3161,"f",FALSE)</f>
        <v>61360</v>
      </c>
      <c r="Z3161" s="115">
        <f>_xll.qlCalendarAdvance(Calendar,Y3161,NDays&amp;"D")</f>
        <v>61360</v>
      </c>
      <c r="AA3161" s="116" t="e">
        <v>#N/A</v>
      </c>
      <c r="AB3161" s="113" t="e">
        <v>#N/A</v>
      </c>
    </row>
    <row r="3162" spans="17:28" x14ac:dyDescent="0.2">
      <c r="Q3162" s="72"/>
      <c r="T3162" s="72"/>
      <c r="U3162" s="93"/>
      <c r="X3162" s="114" t="str">
        <f t="shared" si="62"/>
        <v>1w</v>
      </c>
      <c r="Y3162" s="112">
        <f>_xll.qlCalendarAdvance(Calendar,Y3161,X3162,"f",FALSE)</f>
        <v>61367</v>
      </c>
      <c r="Z3162" s="115">
        <f>_xll.qlCalendarAdvance(Calendar,Y3162,NDays&amp;"D")</f>
        <v>61367</v>
      </c>
      <c r="AA3162" s="116" t="e">
        <v>#N/A</v>
      </c>
      <c r="AB3162" s="113" t="e">
        <v>#N/A</v>
      </c>
    </row>
    <row r="3163" spans="17:28" x14ac:dyDescent="0.2">
      <c r="Q3163" s="72"/>
      <c r="T3163" s="72"/>
      <c r="U3163" s="93"/>
      <c r="X3163" s="114" t="str">
        <f t="shared" si="62"/>
        <v>1w</v>
      </c>
      <c r="Y3163" s="112">
        <f>_xll.qlCalendarAdvance(Calendar,Y3162,X3163,"f",FALSE)</f>
        <v>61374</v>
      </c>
      <c r="Z3163" s="115">
        <f>_xll.qlCalendarAdvance(Calendar,Y3163,NDays&amp;"D")</f>
        <v>61374</v>
      </c>
      <c r="AA3163" s="116" t="e">
        <v>#N/A</v>
      </c>
      <c r="AB3163" s="113" t="e">
        <v>#N/A</v>
      </c>
    </row>
    <row r="3164" spans="17:28" x14ac:dyDescent="0.2">
      <c r="Q3164" s="72"/>
      <c r="T3164" s="72"/>
      <c r="U3164" s="93"/>
      <c r="X3164" s="114" t="str">
        <f t="shared" si="62"/>
        <v>1w</v>
      </c>
      <c r="Y3164" s="112">
        <f>_xll.qlCalendarAdvance(Calendar,Y3163,X3164,"f",FALSE)</f>
        <v>61381</v>
      </c>
      <c r="Z3164" s="115">
        <f>_xll.qlCalendarAdvance(Calendar,Y3164,NDays&amp;"D")</f>
        <v>61381</v>
      </c>
      <c r="AA3164" s="116" t="e">
        <v>#N/A</v>
      </c>
      <c r="AB3164" s="113" t="e">
        <v>#N/A</v>
      </c>
    </row>
    <row r="3165" spans="17:28" x14ac:dyDescent="0.2">
      <c r="Q3165" s="72"/>
      <c r="T3165" s="72"/>
      <c r="U3165" s="93"/>
      <c r="X3165" s="114" t="str">
        <f t="shared" si="62"/>
        <v>1w</v>
      </c>
      <c r="Y3165" s="112">
        <f>_xll.qlCalendarAdvance(Calendar,Y3164,X3165,"f",FALSE)</f>
        <v>61389</v>
      </c>
      <c r="Z3165" s="115">
        <f>_xll.qlCalendarAdvance(Calendar,Y3165,NDays&amp;"D")</f>
        <v>61389</v>
      </c>
      <c r="AA3165" s="116" t="e">
        <v>#N/A</v>
      </c>
      <c r="AB3165" s="113" t="e">
        <v>#N/A</v>
      </c>
    </row>
    <row r="3166" spans="17:28" x14ac:dyDescent="0.2">
      <c r="Q3166" s="72"/>
      <c r="T3166" s="72"/>
      <c r="U3166" s="93"/>
      <c r="X3166" s="114" t="str">
        <f t="shared" si="62"/>
        <v>1w</v>
      </c>
      <c r="Y3166" s="112">
        <f>_xll.qlCalendarAdvance(Calendar,Y3165,X3166,"f",FALSE)</f>
        <v>61396</v>
      </c>
      <c r="Z3166" s="115">
        <f>_xll.qlCalendarAdvance(Calendar,Y3166,NDays&amp;"D")</f>
        <v>61396</v>
      </c>
      <c r="AA3166" s="116" t="e">
        <v>#N/A</v>
      </c>
      <c r="AB3166" s="113" t="e">
        <v>#N/A</v>
      </c>
    </row>
    <row r="3167" spans="17:28" x14ac:dyDescent="0.2">
      <c r="Q3167" s="72"/>
      <c r="T3167" s="72"/>
      <c r="U3167" s="93"/>
      <c r="X3167" s="114" t="str">
        <f t="shared" si="62"/>
        <v>1w</v>
      </c>
      <c r="Y3167" s="112">
        <f>_xll.qlCalendarAdvance(Calendar,Y3166,X3167,"f",FALSE)</f>
        <v>61403</v>
      </c>
      <c r="Z3167" s="115">
        <f>_xll.qlCalendarAdvance(Calendar,Y3167,NDays&amp;"D")</f>
        <v>61403</v>
      </c>
      <c r="AA3167" s="116" t="e">
        <v>#N/A</v>
      </c>
      <c r="AB3167" s="113" t="e">
        <v>#N/A</v>
      </c>
    </row>
    <row r="3168" spans="17:28" x14ac:dyDescent="0.2">
      <c r="Q3168" s="72"/>
      <c r="T3168" s="72"/>
      <c r="U3168" s="93"/>
      <c r="X3168" s="114" t="str">
        <f t="shared" si="62"/>
        <v>1w</v>
      </c>
      <c r="Y3168" s="112">
        <f>_xll.qlCalendarAdvance(Calendar,Y3167,X3168,"f",FALSE)</f>
        <v>61410</v>
      </c>
      <c r="Z3168" s="115">
        <f>_xll.qlCalendarAdvance(Calendar,Y3168,NDays&amp;"D")</f>
        <v>61410</v>
      </c>
      <c r="AA3168" s="116" t="e">
        <v>#N/A</v>
      </c>
      <c r="AB3168" s="113" t="e">
        <v>#N/A</v>
      </c>
    </row>
    <row r="3169" spans="17:28" x14ac:dyDescent="0.2">
      <c r="Q3169" s="72"/>
      <c r="T3169" s="72"/>
      <c r="U3169" s="93"/>
      <c r="X3169" s="114" t="str">
        <f t="shared" si="62"/>
        <v>1w</v>
      </c>
      <c r="Y3169" s="112">
        <f>_xll.qlCalendarAdvance(Calendar,Y3168,X3169,"f",FALSE)</f>
        <v>61417</v>
      </c>
      <c r="Z3169" s="115">
        <f>_xll.qlCalendarAdvance(Calendar,Y3169,NDays&amp;"D")</f>
        <v>61417</v>
      </c>
      <c r="AA3169" s="116" t="e">
        <v>#N/A</v>
      </c>
      <c r="AB3169" s="113" t="e">
        <v>#N/A</v>
      </c>
    </row>
    <row r="3170" spans="17:28" x14ac:dyDescent="0.2">
      <c r="Q3170" s="72"/>
      <c r="T3170" s="72"/>
      <c r="U3170" s="93"/>
      <c r="X3170" s="114" t="str">
        <f t="shared" si="62"/>
        <v>1w</v>
      </c>
      <c r="Y3170" s="112">
        <f>_xll.qlCalendarAdvance(Calendar,Y3169,X3170,"f",FALSE)</f>
        <v>61424</v>
      </c>
      <c r="Z3170" s="115">
        <f>_xll.qlCalendarAdvance(Calendar,Y3170,NDays&amp;"D")</f>
        <v>61424</v>
      </c>
      <c r="AA3170" s="116" t="e">
        <v>#N/A</v>
      </c>
      <c r="AB3170" s="113" t="e">
        <v>#N/A</v>
      </c>
    </row>
    <row r="3171" spans="17:28" x14ac:dyDescent="0.2">
      <c r="Q3171" s="72"/>
      <c r="T3171" s="72"/>
      <c r="U3171" s="93"/>
      <c r="X3171" s="114" t="str">
        <f t="shared" si="62"/>
        <v>1w</v>
      </c>
      <c r="Y3171" s="112">
        <f>_xll.qlCalendarAdvance(Calendar,Y3170,X3171,"f",FALSE)</f>
        <v>61431</v>
      </c>
      <c r="Z3171" s="115">
        <f>_xll.qlCalendarAdvance(Calendar,Y3171,NDays&amp;"D")</f>
        <v>61431</v>
      </c>
      <c r="AA3171" s="116" t="e">
        <v>#N/A</v>
      </c>
      <c r="AB3171" s="113" t="e">
        <v>#N/A</v>
      </c>
    </row>
    <row r="3172" spans="17:28" x14ac:dyDescent="0.2">
      <c r="Q3172" s="72"/>
      <c r="T3172" s="72"/>
      <c r="U3172" s="93"/>
      <c r="X3172" s="114" t="str">
        <f t="shared" si="62"/>
        <v>1w</v>
      </c>
      <c r="Y3172" s="112">
        <f>_xll.qlCalendarAdvance(Calendar,Y3171,X3172,"f",FALSE)</f>
        <v>61438</v>
      </c>
      <c r="Z3172" s="115">
        <f>_xll.qlCalendarAdvance(Calendar,Y3172,NDays&amp;"D")</f>
        <v>61438</v>
      </c>
      <c r="AA3172" s="116" t="e">
        <v>#N/A</v>
      </c>
      <c r="AB3172" s="113" t="e">
        <v>#N/A</v>
      </c>
    </row>
    <row r="3173" spans="17:28" x14ac:dyDescent="0.2">
      <c r="Q3173" s="72"/>
      <c r="T3173" s="72"/>
      <c r="U3173" s="93"/>
      <c r="X3173" s="114" t="str">
        <f t="shared" si="62"/>
        <v>1w</v>
      </c>
      <c r="Y3173" s="112">
        <f>_xll.qlCalendarAdvance(Calendar,Y3172,X3173,"f",FALSE)</f>
        <v>61445</v>
      </c>
      <c r="Z3173" s="115">
        <f>_xll.qlCalendarAdvance(Calendar,Y3173,NDays&amp;"D")</f>
        <v>61445</v>
      </c>
      <c r="AA3173" s="116" t="e">
        <v>#N/A</v>
      </c>
      <c r="AB3173" s="113" t="e">
        <v>#N/A</v>
      </c>
    </row>
    <row r="3174" spans="17:28" x14ac:dyDescent="0.2">
      <c r="Q3174" s="72"/>
      <c r="T3174" s="72"/>
      <c r="U3174" s="93"/>
      <c r="X3174" s="114" t="str">
        <f t="shared" si="62"/>
        <v>1w</v>
      </c>
      <c r="Y3174" s="112">
        <f>_xll.qlCalendarAdvance(Calendar,Y3173,X3174,"f",FALSE)</f>
        <v>61452</v>
      </c>
      <c r="Z3174" s="115">
        <f>_xll.qlCalendarAdvance(Calendar,Y3174,NDays&amp;"D")</f>
        <v>61452</v>
      </c>
      <c r="AA3174" s="116" t="e">
        <v>#N/A</v>
      </c>
      <c r="AB3174" s="113" t="e">
        <v>#N/A</v>
      </c>
    </row>
    <row r="3175" spans="17:28" x14ac:dyDescent="0.2">
      <c r="Q3175" s="72"/>
      <c r="T3175" s="72"/>
      <c r="U3175" s="93"/>
      <c r="X3175" s="114" t="str">
        <f t="shared" si="62"/>
        <v>1w</v>
      </c>
      <c r="Y3175" s="112">
        <f>_xll.qlCalendarAdvance(Calendar,Y3174,X3175,"f",FALSE)</f>
        <v>61459</v>
      </c>
      <c r="Z3175" s="115">
        <f>_xll.qlCalendarAdvance(Calendar,Y3175,NDays&amp;"D")</f>
        <v>61459</v>
      </c>
      <c r="AA3175" s="116" t="e">
        <v>#N/A</v>
      </c>
      <c r="AB3175" s="113" t="e">
        <v>#N/A</v>
      </c>
    </row>
    <row r="3176" spans="17:28" x14ac:dyDescent="0.2">
      <c r="Q3176" s="72"/>
      <c r="T3176" s="72"/>
      <c r="U3176" s="93"/>
      <c r="X3176" s="114" t="str">
        <f t="shared" si="62"/>
        <v>1w</v>
      </c>
      <c r="Y3176" s="112">
        <f>_xll.qlCalendarAdvance(Calendar,Y3175,X3176,"f",FALSE)</f>
        <v>61466</v>
      </c>
      <c r="Z3176" s="115">
        <f>_xll.qlCalendarAdvance(Calendar,Y3176,NDays&amp;"D")</f>
        <v>61466</v>
      </c>
      <c r="AA3176" s="116" t="e">
        <v>#N/A</v>
      </c>
      <c r="AB3176" s="113" t="e">
        <v>#N/A</v>
      </c>
    </row>
    <row r="3177" spans="17:28" x14ac:dyDescent="0.2">
      <c r="Q3177" s="72"/>
      <c r="T3177" s="72"/>
      <c r="U3177" s="93"/>
      <c r="X3177" s="114" t="str">
        <f t="shared" si="62"/>
        <v>1w</v>
      </c>
      <c r="Y3177" s="112">
        <f>_xll.qlCalendarAdvance(Calendar,Y3176,X3177,"f",FALSE)</f>
        <v>61477</v>
      </c>
      <c r="Z3177" s="115">
        <f>_xll.qlCalendarAdvance(Calendar,Y3177,NDays&amp;"D")</f>
        <v>61477</v>
      </c>
      <c r="AA3177" s="116" t="e">
        <v>#N/A</v>
      </c>
      <c r="AB3177" s="113" t="e">
        <v>#N/A</v>
      </c>
    </row>
    <row r="3178" spans="17:28" x14ac:dyDescent="0.2">
      <c r="Q3178" s="72"/>
      <c r="T3178" s="72"/>
      <c r="U3178" s="93"/>
      <c r="X3178" s="114" t="str">
        <f t="shared" si="62"/>
        <v>1w</v>
      </c>
      <c r="Y3178" s="112">
        <f>_xll.qlCalendarAdvance(Calendar,Y3177,X3178,"f",FALSE)</f>
        <v>61484</v>
      </c>
      <c r="Z3178" s="115">
        <f>_xll.qlCalendarAdvance(Calendar,Y3178,NDays&amp;"D")</f>
        <v>61484</v>
      </c>
      <c r="AA3178" s="116" t="e">
        <v>#N/A</v>
      </c>
      <c r="AB3178" s="113" t="e">
        <v>#N/A</v>
      </c>
    </row>
    <row r="3179" spans="17:28" x14ac:dyDescent="0.2">
      <c r="Q3179" s="72"/>
      <c r="T3179" s="72"/>
      <c r="U3179" s="93"/>
      <c r="X3179" s="114" t="str">
        <f t="shared" si="62"/>
        <v>1w</v>
      </c>
      <c r="Y3179" s="112">
        <f>_xll.qlCalendarAdvance(Calendar,Y3178,X3179,"f",FALSE)</f>
        <v>61491</v>
      </c>
      <c r="Z3179" s="115">
        <f>_xll.qlCalendarAdvance(Calendar,Y3179,NDays&amp;"D")</f>
        <v>61491</v>
      </c>
      <c r="AA3179" s="116" t="e">
        <v>#N/A</v>
      </c>
      <c r="AB3179" s="113" t="e">
        <v>#N/A</v>
      </c>
    </row>
    <row r="3180" spans="17:28" x14ac:dyDescent="0.2">
      <c r="Q3180" s="72"/>
      <c r="T3180" s="72"/>
      <c r="U3180" s="93"/>
      <c r="X3180" s="114" t="str">
        <f t="shared" si="62"/>
        <v>1w</v>
      </c>
      <c r="Y3180" s="112">
        <f>_xll.qlCalendarAdvance(Calendar,Y3179,X3180,"f",FALSE)</f>
        <v>61498</v>
      </c>
      <c r="Z3180" s="115">
        <f>_xll.qlCalendarAdvance(Calendar,Y3180,NDays&amp;"D")</f>
        <v>61498</v>
      </c>
      <c r="AA3180" s="116" t="e">
        <v>#N/A</v>
      </c>
      <c r="AB3180" s="113" t="e">
        <v>#N/A</v>
      </c>
    </row>
    <row r="3181" spans="17:28" x14ac:dyDescent="0.2">
      <c r="Q3181" s="72"/>
      <c r="T3181" s="72"/>
      <c r="U3181" s="93"/>
      <c r="X3181" s="114" t="str">
        <f t="shared" si="62"/>
        <v>1w</v>
      </c>
      <c r="Y3181" s="112">
        <f>_xll.qlCalendarAdvance(Calendar,Y3180,X3181,"f",FALSE)</f>
        <v>61505</v>
      </c>
      <c r="Z3181" s="115">
        <f>_xll.qlCalendarAdvance(Calendar,Y3181,NDays&amp;"D")</f>
        <v>61505</v>
      </c>
      <c r="AA3181" s="116" t="e">
        <v>#N/A</v>
      </c>
      <c r="AB3181" s="113" t="e">
        <v>#N/A</v>
      </c>
    </row>
    <row r="3182" spans="17:28" x14ac:dyDescent="0.2">
      <c r="Q3182" s="72"/>
      <c r="T3182" s="72"/>
      <c r="U3182" s="93"/>
      <c r="X3182" s="114" t="str">
        <f t="shared" si="62"/>
        <v>1w</v>
      </c>
      <c r="Y3182" s="112">
        <f>_xll.qlCalendarAdvance(Calendar,Y3181,X3182,"f",FALSE)</f>
        <v>61512</v>
      </c>
      <c r="Z3182" s="115">
        <f>_xll.qlCalendarAdvance(Calendar,Y3182,NDays&amp;"D")</f>
        <v>61512</v>
      </c>
      <c r="AA3182" s="116" t="e">
        <v>#N/A</v>
      </c>
      <c r="AB3182" s="113" t="e">
        <v>#N/A</v>
      </c>
    </row>
    <row r="3183" spans="17:28" x14ac:dyDescent="0.2">
      <c r="Q3183" s="72"/>
      <c r="T3183" s="72"/>
      <c r="U3183" s="93"/>
      <c r="X3183" s="114" t="str">
        <f t="shared" si="62"/>
        <v>1w</v>
      </c>
      <c r="Y3183" s="112">
        <f>_xll.qlCalendarAdvance(Calendar,Y3182,X3183,"f",FALSE)</f>
        <v>61519</v>
      </c>
      <c r="Z3183" s="115">
        <f>_xll.qlCalendarAdvance(Calendar,Y3183,NDays&amp;"D")</f>
        <v>61519</v>
      </c>
      <c r="AA3183" s="116" t="e">
        <v>#N/A</v>
      </c>
      <c r="AB3183" s="113" t="e">
        <v>#N/A</v>
      </c>
    </row>
    <row r="3184" spans="17:28" x14ac:dyDescent="0.2">
      <c r="Q3184" s="72"/>
      <c r="T3184" s="72"/>
      <c r="U3184" s="93"/>
      <c r="X3184" s="114" t="str">
        <f t="shared" si="62"/>
        <v>1w</v>
      </c>
      <c r="Y3184" s="112">
        <f>_xll.qlCalendarAdvance(Calendar,Y3183,X3184,"f",FALSE)</f>
        <v>61526</v>
      </c>
      <c r="Z3184" s="115">
        <f>_xll.qlCalendarAdvance(Calendar,Y3184,NDays&amp;"D")</f>
        <v>61526</v>
      </c>
      <c r="AA3184" s="116" t="e">
        <v>#N/A</v>
      </c>
      <c r="AB3184" s="113" t="e">
        <v>#N/A</v>
      </c>
    </row>
    <row r="3185" spans="17:28" x14ac:dyDescent="0.2">
      <c r="Q3185" s="72"/>
      <c r="T3185" s="72"/>
      <c r="U3185" s="93"/>
      <c r="X3185" s="114" t="str">
        <f t="shared" si="62"/>
        <v>1w</v>
      </c>
      <c r="Y3185" s="112">
        <f>_xll.qlCalendarAdvance(Calendar,Y3184,X3185,"f",FALSE)</f>
        <v>61533</v>
      </c>
      <c r="Z3185" s="115">
        <f>_xll.qlCalendarAdvance(Calendar,Y3185,NDays&amp;"D")</f>
        <v>61533</v>
      </c>
      <c r="AA3185" s="116" t="e">
        <v>#N/A</v>
      </c>
      <c r="AB3185" s="113" t="e">
        <v>#N/A</v>
      </c>
    </row>
    <row r="3186" spans="17:28" x14ac:dyDescent="0.2">
      <c r="Q3186" s="72"/>
      <c r="T3186" s="72"/>
      <c r="U3186" s="93"/>
      <c r="X3186" s="114" t="str">
        <f t="shared" si="62"/>
        <v>1w</v>
      </c>
      <c r="Y3186" s="112">
        <f>_xll.qlCalendarAdvance(Calendar,Y3185,X3186,"f",FALSE)</f>
        <v>61540</v>
      </c>
      <c r="Z3186" s="115">
        <f>_xll.qlCalendarAdvance(Calendar,Y3186,NDays&amp;"D")</f>
        <v>61540</v>
      </c>
      <c r="AA3186" s="116" t="e">
        <v>#N/A</v>
      </c>
      <c r="AB3186" s="113" t="e">
        <v>#N/A</v>
      </c>
    </row>
    <row r="3187" spans="17:28" x14ac:dyDescent="0.2">
      <c r="Q3187" s="72"/>
      <c r="T3187" s="72"/>
      <c r="U3187" s="93"/>
      <c r="X3187" s="114" t="str">
        <f t="shared" si="62"/>
        <v>1w</v>
      </c>
      <c r="Y3187" s="112">
        <f>_xll.qlCalendarAdvance(Calendar,Y3186,X3187,"f",FALSE)</f>
        <v>61547</v>
      </c>
      <c r="Z3187" s="115">
        <f>_xll.qlCalendarAdvance(Calendar,Y3187,NDays&amp;"D")</f>
        <v>61547</v>
      </c>
      <c r="AA3187" s="116" t="e">
        <v>#N/A</v>
      </c>
      <c r="AB3187" s="113" t="e">
        <v>#N/A</v>
      </c>
    </row>
    <row r="3188" spans="17:28" x14ac:dyDescent="0.2">
      <c r="Q3188" s="72"/>
      <c r="T3188" s="72"/>
      <c r="U3188" s="93"/>
      <c r="X3188" s="114" t="str">
        <f t="shared" si="62"/>
        <v>1w</v>
      </c>
      <c r="Y3188" s="112">
        <f>_xll.qlCalendarAdvance(Calendar,Y3187,X3188,"f",FALSE)</f>
        <v>61554</v>
      </c>
      <c r="Z3188" s="115">
        <f>_xll.qlCalendarAdvance(Calendar,Y3188,NDays&amp;"D")</f>
        <v>61554</v>
      </c>
      <c r="AA3188" s="116" t="e">
        <v>#N/A</v>
      </c>
      <c r="AB3188" s="113" t="e">
        <v>#N/A</v>
      </c>
    </row>
    <row r="3189" spans="17:28" x14ac:dyDescent="0.2">
      <c r="Q3189" s="72"/>
      <c r="T3189" s="72"/>
      <c r="U3189" s="93"/>
      <c r="X3189" s="114" t="str">
        <f t="shared" si="62"/>
        <v>1w</v>
      </c>
      <c r="Y3189" s="112">
        <f>_xll.qlCalendarAdvance(Calendar,Y3188,X3189,"f",FALSE)</f>
        <v>61561</v>
      </c>
      <c r="Z3189" s="115">
        <f>_xll.qlCalendarAdvance(Calendar,Y3189,NDays&amp;"D")</f>
        <v>61561</v>
      </c>
      <c r="AA3189" s="116" t="e">
        <v>#N/A</v>
      </c>
      <c r="AB3189" s="113" t="e">
        <v>#N/A</v>
      </c>
    </row>
    <row r="3190" spans="17:28" x14ac:dyDescent="0.2">
      <c r="Q3190" s="72"/>
      <c r="T3190" s="72"/>
      <c r="U3190" s="93"/>
      <c r="X3190" s="114" t="str">
        <f t="shared" si="62"/>
        <v>1w</v>
      </c>
      <c r="Y3190" s="112">
        <f>_xll.qlCalendarAdvance(Calendar,Y3189,X3190,"f",FALSE)</f>
        <v>61568</v>
      </c>
      <c r="Z3190" s="115">
        <f>_xll.qlCalendarAdvance(Calendar,Y3190,NDays&amp;"D")</f>
        <v>61568</v>
      </c>
      <c r="AA3190" s="116" t="e">
        <v>#N/A</v>
      </c>
      <c r="AB3190" s="113" t="e">
        <v>#N/A</v>
      </c>
    </row>
    <row r="3191" spans="17:28" x14ac:dyDescent="0.2">
      <c r="Q3191" s="72"/>
      <c r="T3191" s="72"/>
      <c r="U3191" s="93"/>
      <c r="X3191" s="114" t="str">
        <f t="shared" si="62"/>
        <v>1w</v>
      </c>
      <c r="Y3191" s="112">
        <f>_xll.qlCalendarAdvance(Calendar,Y3190,X3191,"f",FALSE)</f>
        <v>61575</v>
      </c>
      <c r="Z3191" s="115">
        <f>_xll.qlCalendarAdvance(Calendar,Y3191,NDays&amp;"D")</f>
        <v>61575</v>
      </c>
      <c r="AA3191" s="116" t="e">
        <v>#N/A</v>
      </c>
      <c r="AB3191" s="113" t="e">
        <v>#N/A</v>
      </c>
    </row>
    <row r="3192" spans="17:28" x14ac:dyDescent="0.2">
      <c r="Q3192" s="72"/>
      <c r="T3192" s="72"/>
      <c r="U3192" s="93"/>
      <c r="X3192" s="114" t="str">
        <f t="shared" si="62"/>
        <v>1w</v>
      </c>
      <c r="Y3192" s="112">
        <f>_xll.qlCalendarAdvance(Calendar,Y3191,X3192,"f",FALSE)</f>
        <v>61582</v>
      </c>
      <c r="Z3192" s="115">
        <f>_xll.qlCalendarAdvance(Calendar,Y3192,NDays&amp;"D")</f>
        <v>61582</v>
      </c>
      <c r="AA3192" s="116" t="e">
        <v>#N/A</v>
      </c>
      <c r="AB3192" s="113" t="e">
        <v>#N/A</v>
      </c>
    </row>
    <row r="3193" spans="17:28" x14ac:dyDescent="0.2">
      <c r="Q3193" s="72"/>
      <c r="T3193" s="72"/>
      <c r="U3193" s="93"/>
      <c r="X3193" s="114" t="str">
        <f t="shared" si="62"/>
        <v>1w</v>
      </c>
      <c r="Y3193" s="112">
        <f>_xll.qlCalendarAdvance(Calendar,Y3192,X3193,"f",FALSE)</f>
        <v>61589</v>
      </c>
      <c r="Z3193" s="115">
        <f>_xll.qlCalendarAdvance(Calendar,Y3193,NDays&amp;"D")</f>
        <v>61589</v>
      </c>
      <c r="AA3193" s="116" t="e">
        <v>#N/A</v>
      </c>
      <c r="AB3193" s="113" t="e">
        <v>#N/A</v>
      </c>
    </row>
    <row r="3194" spans="17:28" x14ac:dyDescent="0.2">
      <c r="Q3194" s="72"/>
      <c r="T3194" s="72"/>
      <c r="U3194" s="93"/>
      <c r="X3194" s="114" t="str">
        <f t="shared" si="62"/>
        <v>1w</v>
      </c>
      <c r="Y3194" s="112">
        <f>_xll.qlCalendarAdvance(Calendar,Y3193,X3194,"f",FALSE)</f>
        <v>61596</v>
      </c>
      <c r="Z3194" s="115">
        <f>_xll.qlCalendarAdvance(Calendar,Y3194,NDays&amp;"D")</f>
        <v>61596</v>
      </c>
      <c r="AA3194" s="116" t="e">
        <v>#N/A</v>
      </c>
      <c r="AB3194" s="113" t="e">
        <v>#N/A</v>
      </c>
    </row>
    <row r="3195" spans="17:28" x14ac:dyDescent="0.2">
      <c r="Q3195" s="72"/>
      <c r="T3195" s="72"/>
      <c r="U3195" s="93"/>
      <c r="X3195" s="114" t="str">
        <f t="shared" si="62"/>
        <v>1w</v>
      </c>
      <c r="Y3195" s="112">
        <f>_xll.qlCalendarAdvance(Calendar,Y3194,X3195,"f",FALSE)</f>
        <v>61603</v>
      </c>
      <c r="Z3195" s="115">
        <f>_xll.qlCalendarAdvance(Calendar,Y3195,NDays&amp;"D")</f>
        <v>61603</v>
      </c>
      <c r="AA3195" s="116" t="e">
        <v>#N/A</v>
      </c>
      <c r="AB3195" s="113" t="e">
        <v>#N/A</v>
      </c>
    </row>
    <row r="3196" spans="17:28" x14ac:dyDescent="0.2">
      <c r="Q3196" s="72"/>
      <c r="T3196" s="72"/>
      <c r="U3196" s="93"/>
      <c r="X3196" s="114" t="str">
        <f t="shared" si="62"/>
        <v>1w</v>
      </c>
      <c r="Y3196" s="112">
        <f>_xll.qlCalendarAdvance(Calendar,Y3195,X3196,"f",FALSE)</f>
        <v>61610</v>
      </c>
      <c r="Z3196" s="115">
        <f>_xll.qlCalendarAdvance(Calendar,Y3196,NDays&amp;"D")</f>
        <v>61610</v>
      </c>
      <c r="AA3196" s="116" t="e">
        <v>#N/A</v>
      </c>
      <c r="AB3196" s="113" t="e">
        <v>#N/A</v>
      </c>
    </row>
    <row r="3197" spans="17:28" x14ac:dyDescent="0.2">
      <c r="Q3197" s="72"/>
      <c r="T3197" s="72"/>
      <c r="U3197" s="93"/>
      <c r="X3197" s="114" t="str">
        <f t="shared" si="62"/>
        <v>1w</v>
      </c>
      <c r="Y3197" s="112">
        <f>_xll.qlCalendarAdvance(Calendar,Y3196,X3197,"f",FALSE)</f>
        <v>61617</v>
      </c>
      <c r="Z3197" s="115">
        <f>_xll.qlCalendarAdvance(Calendar,Y3197,NDays&amp;"D")</f>
        <v>61617</v>
      </c>
      <c r="AA3197" s="116" t="e">
        <v>#N/A</v>
      </c>
      <c r="AB3197" s="113" t="e">
        <v>#N/A</v>
      </c>
    </row>
    <row r="3198" spans="17:28" x14ac:dyDescent="0.2">
      <c r="Q3198" s="72"/>
      <c r="T3198" s="72"/>
      <c r="U3198" s="93"/>
      <c r="X3198" s="114" t="str">
        <f t="shared" si="62"/>
        <v>1w</v>
      </c>
      <c r="Y3198" s="112">
        <f>_xll.qlCalendarAdvance(Calendar,Y3197,X3198,"f",FALSE)</f>
        <v>61624</v>
      </c>
      <c r="Z3198" s="115">
        <f>_xll.qlCalendarAdvance(Calendar,Y3198,NDays&amp;"D")</f>
        <v>61624</v>
      </c>
      <c r="AA3198" s="116" t="e">
        <v>#N/A</v>
      </c>
      <c r="AB3198" s="113" t="e">
        <v>#N/A</v>
      </c>
    </row>
    <row r="3199" spans="17:28" x14ac:dyDescent="0.2">
      <c r="Q3199" s="72"/>
      <c r="T3199" s="72"/>
      <c r="U3199" s="93"/>
      <c r="X3199" s="114" t="str">
        <f t="shared" si="62"/>
        <v>1w</v>
      </c>
      <c r="Y3199" s="112">
        <f>_xll.qlCalendarAdvance(Calendar,Y3198,X3199,"f",FALSE)</f>
        <v>61631</v>
      </c>
      <c r="Z3199" s="115">
        <f>_xll.qlCalendarAdvance(Calendar,Y3199,NDays&amp;"D")</f>
        <v>61631</v>
      </c>
      <c r="AA3199" s="116" t="e">
        <v>#N/A</v>
      </c>
      <c r="AB3199" s="113" t="e">
        <v>#N/A</v>
      </c>
    </row>
    <row r="3200" spans="17:28" x14ac:dyDescent="0.2">
      <c r="Q3200" s="72"/>
      <c r="T3200" s="72"/>
      <c r="U3200" s="93"/>
      <c r="X3200" s="114" t="str">
        <f t="shared" si="62"/>
        <v>1w</v>
      </c>
      <c r="Y3200" s="112">
        <f>_xll.qlCalendarAdvance(Calendar,Y3199,X3200,"f",FALSE)</f>
        <v>61638</v>
      </c>
      <c r="Z3200" s="115">
        <f>_xll.qlCalendarAdvance(Calendar,Y3200,NDays&amp;"D")</f>
        <v>61638</v>
      </c>
      <c r="AA3200" s="116" t="e">
        <v>#N/A</v>
      </c>
      <c r="AB3200" s="113" t="e">
        <v>#N/A</v>
      </c>
    </row>
    <row r="3201" spans="17:28" x14ac:dyDescent="0.2">
      <c r="Q3201" s="72"/>
      <c r="T3201" s="72"/>
      <c r="U3201" s="93"/>
      <c r="X3201" s="114" t="str">
        <f t="shared" si="62"/>
        <v>1w</v>
      </c>
      <c r="Y3201" s="112">
        <f>_xll.qlCalendarAdvance(Calendar,Y3200,X3201,"f",FALSE)</f>
        <v>61645</v>
      </c>
      <c r="Z3201" s="115">
        <f>_xll.qlCalendarAdvance(Calendar,Y3201,NDays&amp;"D")</f>
        <v>61645</v>
      </c>
      <c r="AA3201" s="116" t="e">
        <v>#N/A</v>
      </c>
      <c r="AB3201" s="113" t="e">
        <v>#N/A</v>
      </c>
    </row>
    <row r="3202" spans="17:28" x14ac:dyDescent="0.2">
      <c r="Q3202" s="72"/>
      <c r="T3202" s="72"/>
      <c r="U3202" s="93"/>
      <c r="X3202" s="114" t="str">
        <f t="shared" si="62"/>
        <v>1w</v>
      </c>
      <c r="Y3202" s="112">
        <f>_xll.qlCalendarAdvance(Calendar,Y3201,X3202,"f",FALSE)</f>
        <v>61652</v>
      </c>
      <c r="Z3202" s="115">
        <f>_xll.qlCalendarAdvance(Calendar,Y3202,NDays&amp;"D")</f>
        <v>61652</v>
      </c>
      <c r="AA3202" s="116" t="e">
        <v>#N/A</v>
      </c>
      <c r="AB3202" s="113" t="e">
        <v>#N/A</v>
      </c>
    </row>
    <row r="3203" spans="17:28" x14ac:dyDescent="0.2">
      <c r="Q3203" s="72"/>
      <c r="T3203" s="72"/>
      <c r="U3203" s="93"/>
      <c r="X3203" s="114" t="str">
        <f t="shared" si="62"/>
        <v>1w</v>
      </c>
      <c r="Y3203" s="112">
        <f>_xll.qlCalendarAdvance(Calendar,Y3202,X3203,"f",FALSE)</f>
        <v>61659</v>
      </c>
      <c r="Z3203" s="115">
        <f>_xll.qlCalendarAdvance(Calendar,Y3203,NDays&amp;"D")</f>
        <v>61659</v>
      </c>
      <c r="AA3203" s="116" t="e">
        <v>#N/A</v>
      </c>
      <c r="AB3203" s="113" t="e">
        <v>#N/A</v>
      </c>
    </row>
    <row r="3204" spans="17:28" x14ac:dyDescent="0.2">
      <c r="Q3204" s="72"/>
      <c r="T3204" s="72"/>
      <c r="U3204" s="93"/>
      <c r="X3204" s="114" t="str">
        <f t="shared" si="62"/>
        <v>1w</v>
      </c>
      <c r="Y3204" s="112">
        <f>_xll.qlCalendarAdvance(Calendar,Y3203,X3204,"f",FALSE)</f>
        <v>61666</v>
      </c>
      <c r="Z3204" s="115">
        <f>_xll.qlCalendarAdvance(Calendar,Y3204,NDays&amp;"D")</f>
        <v>61666</v>
      </c>
      <c r="AA3204" s="116" t="e">
        <v>#N/A</v>
      </c>
      <c r="AB3204" s="113" t="e">
        <v>#N/A</v>
      </c>
    </row>
    <row r="3205" spans="17:28" x14ac:dyDescent="0.2">
      <c r="Q3205" s="72"/>
      <c r="T3205" s="72"/>
      <c r="U3205" s="93"/>
      <c r="X3205" s="114" t="str">
        <f t="shared" si="62"/>
        <v>1w</v>
      </c>
      <c r="Y3205" s="112">
        <f>_xll.qlCalendarAdvance(Calendar,Y3204,X3205,"f",FALSE)</f>
        <v>61673</v>
      </c>
      <c r="Z3205" s="115">
        <f>_xll.qlCalendarAdvance(Calendar,Y3205,NDays&amp;"D")</f>
        <v>61673</v>
      </c>
      <c r="AA3205" s="116" t="e">
        <v>#N/A</v>
      </c>
      <c r="AB3205" s="113" t="e">
        <v>#N/A</v>
      </c>
    </row>
    <row r="3206" spans="17:28" x14ac:dyDescent="0.2">
      <c r="Q3206" s="72"/>
      <c r="T3206" s="72"/>
      <c r="U3206" s="93"/>
      <c r="X3206" s="114" t="str">
        <f t="shared" si="62"/>
        <v>1w</v>
      </c>
      <c r="Y3206" s="112">
        <f>_xll.qlCalendarAdvance(Calendar,Y3205,X3206,"f",FALSE)</f>
        <v>61680</v>
      </c>
      <c r="Z3206" s="115">
        <f>_xll.qlCalendarAdvance(Calendar,Y3206,NDays&amp;"D")</f>
        <v>61680</v>
      </c>
      <c r="AA3206" s="116" t="e">
        <v>#N/A</v>
      </c>
      <c r="AB3206" s="113" t="e">
        <v>#N/A</v>
      </c>
    </row>
    <row r="3207" spans="17:28" x14ac:dyDescent="0.2">
      <c r="Q3207" s="72"/>
      <c r="T3207" s="72"/>
      <c r="U3207" s="93"/>
      <c r="X3207" s="114" t="str">
        <f t="shared" si="62"/>
        <v>1w</v>
      </c>
      <c r="Y3207" s="112">
        <f>_xll.qlCalendarAdvance(Calendar,Y3206,X3207,"f",FALSE)</f>
        <v>61687</v>
      </c>
      <c r="Z3207" s="115">
        <f>_xll.qlCalendarAdvance(Calendar,Y3207,NDays&amp;"D")</f>
        <v>61687</v>
      </c>
      <c r="AA3207" s="116" t="e">
        <v>#N/A</v>
      </c>
      <c r="AB3207" s="113" t="e">
        <v>#N/A</v>
      </c>
    </row>
    <row r="3208" spans="17:28" x14ac:dyDescent="0.2">
      <c r="Q3208" s="72"/>
      <c r="T3208" s="72"/>
      <c r="U3208" s="93"/>
      <c r="X3208" s="114" t="str">
        <f t="shared" si="62"/>
        <v>1w</v>
      </c>
      <c r="Y3208" s="112">
        <f>_xll.qlCalendarAdvance(Calendar,Y3207,X3208,"f",FALSE)</f>
        <v>61694</v>
      </c>
      <c r="Z3208" s="115">
        <f>_xll.qlCalendarAdvance(Calendar,Y3208,NDays&amp;"D")</f>
        <v>61694</v>
      </c>
      <c r="AA3208" s="116" t="e">
        <v>#N/A</v>
      </c>
      <c r="AB3208" s="113" t="e">
        <v>#N/A</v>
      </c>
    </row>
    <row r="3209" spans="17:28" x14ac:dyDescent="0.2">
      <c r="Q3209" s="72"/>
      <c r="T3209" s="72"/>
      <c r="U3209" s="93"/>
      <c r="X3209" s="114" t="str">
        <f t="shared" si="62"/>
        <v>1w</v>
      </c>
      <c r="Y3209" s="112">
        <f>_xll.qlCalendarAdvance(Calendar,Y3208,X3209,"f",FALSE)</f>
        <v>61701</v>
      </c>
      <c r="Z3209" s="115">
        <f>_xll.qlCalendarAdvance(Calendar,Y3209,NDays&amp;"D")</f>
        <v>61701</v>
      </c>
      <c r="AA3209" s="116" t="e">
        <v>#N/A</v>
      </c>
      <c r="AB3209" s="113" t="e">
        <v>#N/A</v>
      </c>
    </row>
    <row r="3210" spans="17:28" x14ac:dyDescent="0.2">
      <c r="Q3210" s="72"/>
      <c r="T3210" s="72"/>
      <c r="U3210" s="93"/>
      <c r="X3210" s="114" t="str">
        <f t="shared" si="62"/>
        <v>1w</v>
      </c>
      <c r="Y3210" s="112">
        <f>_xll.qlCalendarAdvance(Calendar,Y3209,X3210,"f",FALSE)</f>
        <v>61708</v>
      </c>
      <c r="Z3210" s="115">
        <f>_xll.qlCalendarAdvance(Calendar,Y3210,NDays&amp;"D")</f>
        <v>61708</v>
      </c>
      <c r="AA3210" s="116" t="e">
        <v>#N/A</v>
      </c>
      <c r="AB3210" s="113" t="e">
        <v>#N/A</v>
      </c>
    </row>
    <row r="3211" spans="17:28" x14ac:dyDescent="0.2">
      <c r="Q3211" s="72"/>
      <c r="T3211" s="72"/>
      <c r="U3211" s="93"/>
      <c r="X3211" s="114" t="str">
        <f t="shared" si="62"/>
        <v>1w</v>
      </c>
      <c r="Y3211" s="112">
        <f>_xll.qlCalendarAdvance(Calendar,Y3210,X3211,"f",FALSE)</f>
        <v>61715</v>
      </c>
      <c r="Z3211" s="115">
        <f>_xll.qlCalendarAdvance(Calendar,Y3211,NDays&amp;"D")</f>
        <v>61715</v>
      </c>
      <c r="AA3211" s="116" t="e">
        <v>#N/A</v>
      </c>
      <c r="AB3211" s="113" t="e">
        <v>#N/A</v>
      </c>
    </row>
    <row r="3212" spans="17:28" x14ac:dyDescent="0.2">
      <c r="Q3212" s="72"/>
      <c r="T3212" s="72"/>
      <c r="U3212" s="93"/>
      <c r="X3212" s="114" t="str">
        <f t="shared" si="62"/>
        <v>1w</v>
      </c>
      <c r="Y3212" s="112">
        <f>_xll.qlCalendarAdvance(Calendar,Y3211,X3212,"f",FALSE)</f>
        <v>61724</v>
      </c>
      <c r="Z3212" s="115">
        <f>_xll.qlCalendarAdvance(Calendar,Y3212,NDays&amp;"D")</f>
        <v>61724</v>
      </c>
      <c r="AA3212" s="116" t="e">
        <v>#N/A</v>
      </c>
      <c r="AB3212" s="113" t="e">
        <v>#N/A</v>
      </c>
    </row>
    <row r="3213" spans="17:28" x14ac:dyDescent="0.2">
      <c r="Q3213" s="72"/>
      <c r="T3213" s="72"/>
      <c r="U3213" s="93"/>
      <c r="X3213" s="114" t="str">
        <f t="shared" si="62"/>
        <v>1w</v>
      </c>
      <c r="Y3213" s="112">
        <f>_xll.qlCalendarAdvance(Calendar,Y3212,X3213,"f",FALSE)</f>
        <v>61731</v>
      </c>
      <c r="Z3213" s="115">
        <f>_xll.qlCalendarAdvance(Calendar,Y3213,NDays&amp;"D")</f>
        <v>61731</v>
      </c>
      <c r="AA3213" s="116" t="e">
        <v>#N/A</v>
      </c>
      <c r="AB3213" s="113" t="e">
        <v>#N/A</v>
      </c>
    </row>
    <row r="3214" spans="17:28" x14ac:dyDescent="0.2">
      <c r="Q3214" s="72"/>
      <c r="T3214" s="72"/>
      <c r="U3214" s="93"/>
      <c r="X3214" s="114" t="str">
        <f t="shared" si="62"/>
        <v>1w</v>
      </c>
      <c r="Y3214" s="112">
        <f>_xll.qlCalendarAdvance(Calendar,Y3213,X3214,"f",FALSE)</f>
        <v>61738</v>
      </c>
      <c r="Z3214" s="115">
        <f>_xll.qlCalendarAdvance(Calendar,Y3214,NDays&amp;"D")</f>
        <v>61738</v>
      </c>
      <c r="AA3214" s="116" t="e">
        <v>#N/A</v>
      </c>
      <c r="AB3214" s="113" t="e">
        <v>#N/A</v>
      </c>
    </row>
    <row r="3215" spans="17:28" x14ac:dyDescent="0.2">
      <c r="Q3215" s="72"/>
      <c r="T3215" s="72"/>
      <c r="U3215" s="93"/>
      <c r="X3215" s="114" t="str">
        <f t="shared" si="62"/>
        <v>1w</v>
      </c>
      <c r="Y3215" s="112">
        <f>_xll.qlCalendarAdvance(Calendar,Y3214,X3215,"f",FALSE)</f>
        <v>61745</v>
      </c>
      <c r="Z3215" s="115">
        <f>_xll.qlCalendarAdvance(Calendar,Y3215,NDays&amp;"D")</f>
        <v>61745</v>
      </c>
      <c r="AA3215" s="116" t="e">
        <v>#N/A</v>
      </c>
      <c r="AB3215" s="113" t="e">
        <v>#N/A</v>
      </c>
    </row>
    <row r="3216" spans="17:28" x14ac:dyDescent="0.2">
      <c r="Q3216" s="72"/>
      <c r="T3216" s="72"/>
      <c r="U3216" s="93"/>
      <c r="X3216" s="114" t="str">
        <f t="shared" si="62"/>
        <v>1w</v>
      </c>
      <c r="Y3216" s="112">
        <f>_xll.qlCalendarAdvance(Calendar,Y3215,X3216,"f",FALSE)</f>
        <v>61752</v>
      </c>
      <c r="Z3216" s="115">
        <f>_xll.qlCalendarAdvance(Calendar,Y3216,NDays&amp;"D")</f>
        <v>61752</v>
      </c>
      <c r="AA3216" s="116" t="e">
        <v>#N/A</v>
      </c>
      <c r="AB3216" s="113" t="e">
        <v>#N/A</v>
      </c>
    </row>
    <row r="3217" spans="17:28" x14ac:dyDescent="0.2">
      <c r="Q3217" s="72"/>
      <c r="T3217" s="72"/>
      <c r="U3217" s="93"/>
      <c r="X3217" s="114" t="str">
        <f t="shared" si="62"/>
        <v>1w</v>
      </c>
      <c r="Y3217" s="112">
        <f>_xll.qlCalendarAdvance(Calendar,Y3216,X3217,"f",FALSE)</f>
        <v>61759</v>
      </c>
      <c r="Z3217" s="115">
        <f>_xll.qlCalendarAdvance(Calendar,Y3217,NDays&amp;"D")</f>
        <v>61759</v>
      </c>
      <c r="AA3217" s="116" t="e">
        <v>#N/A</v>
      </c>
      <c r="AB3217" s="113" t="e">
        <v>#N/A</v>
      </c>
    </row>
    <row r="3218" spans="17:28" x14ac:dyDescent="0.2">
      <c r="Q3218" s="72"/>
      <c r="T3218" s="72"/>
      <c r="U3218" s="93"/>
      <c r="X3218" s="114" t="str">
        <f t="shared" si="62"/>
        <v>1w</v>
      </c>
      <c r="Y3218" s="112">
        <f>_xll.qlCalendarAdvance(Calendar,Y3217,X3218,"f",FALSE)</f>
        <v>61766</v>
      </c>
      <c r="Z3218" s="115">
        <f>_xll.qlCalendarAdvance(Calendar,Y3218,NDays&amp;"D")</f>
        <v>61766</v>
      </c>
      <c r="AA3218" s="116" t="e">
        <v>#N/A</v>
      </c>
      <c r="AB3218" s="113" t="e">
        <v>#N/A</v>
      </c>
    </row>
    <row r="3219" spans="17:28" x14ac:dyDescent="0.2">
      <c r="Q3219" s="72"/>
      <c r="T3219" s="72"/>
      <c r="U3219" s="93"/>
      <c r="X3219" s="114" t="str">
        <f t="shared" si="62"/>
        <v>1w</v>
      </c>
      <c r="Y3219" s="112">
        <f>_xll.qlCalendarAdvance(Calendar,Y3218,X3219,"f",FALSE)</f>
        <v>61773</v>
      </c>
      <c r="Z3219" s="115">
        <f>_xll.qlCalendarAdvance(Calendar,Y3219,NDays&amp;"D")</f>
        <v>61773</v>
      </c>
      <c r="AA3219" s="116" t="e">
        <v>#N/A</v>
      </c>
      <c r="AB3219" s="113" t="e">
        <v>#N/A</v>
      </c>
    </row>
    <row r="3220" spans="17:28" x14ac:dyDescent="0.2">
      <c r="Q3220" s="72"/>
      <c r="T3220" s="72"/>
      <c r="U3220" s="93"/>
      <c r="X3220" s="114" t="str">
        <f t="shared" si="62"/>
        <v>1w</v>
      </c>
      <c r="Y3220" s="112">
        <f>_xll.qlCalendarAdvance(Calendar,Y3219,X3220,"f",FALSE)</f>
        <v>61780</v>
      </c>
      <c r="Z3220" s="115">
        <f>_xll.qlCalendarAdvance(Calendar,Y3220,NDays&amp;"D")</f>
        <v>61780</v>
      </c>
      <c r="AA3220" s="116" t="e">
        <v>#N/A</v>
      </c>
      <c r="AB3220" s="113" t="e">
        <v>#N/A</v>
      </c>
    </row>
    <row r="3221" spans="17:28" x14ac:dyDescent="0.2">
      <c r="Q3221" s="72"/>
      <c r="T3221" s="72"/>
      <c r="U3221" s="93"/>
      <c r="X3221" s="114" t="str">
        <f t="shared" ref="X3221:X3284" si="63">X3220</f>
        <v>1w</v>
      </c>
      <c r="Y3221" s="112">
        <f>_xll.qlCalendarAdvance(Calendar,Y3220,X3221,"f",FALSE)</f>
        <v>61787</v>
      </c>
      <c r="Z3221" s="115">
        <f>_xll.qlCalendarAdvance(Calendar,Y3221,NDays&amp;"D")</f>
        <v>61787</v>
      </c>
      <c r="AA3221" s="116" t="e">
        <v>#N/A</v>
      </c>
      <c r="AB3221" s="113" t="e">
        <v>#N/A</v>
      </c>
    </row>
    <row r="3222" spans="17:28" x14ac:dyDescent="0.2">
      <c r="Q3222" s="72"/>
      <c r="T3222" s="72"/>
      <c r="U3222" s="93"/>
      <c r="X3222" s="114" t="str">
        <f t="shared" si="63"/>
        <v>1w</v>
      </c>
      <c r="Y3222" s="112">
        <f>_xll.qlCalendarAdvance(Calendar,Y3221,X3222,"f",FALSE)</f>
        <v>61794</v>
      </c>
      <c r="Z3222" s="115">
        <f>_xll.qlCalendarAdvance(Calendar,Y3222,NDays&amp;"D")</f>
        <v>61794</v>
      </c>
      <c r="AA3222" s="116" t="e">
        <v>#N/A</v>
      </c>
      <c r="AB3222" s="113" t="e">
        <v>#N/A</v>
      </c>
    </row>
    <row r="3223" spans="17:28" x14ac:dyDescent="0.2">
      <c r="Q3223" s="72"/>
      <c r="T3223" s="72"/>
      <c r="U3223" s="93"/>
      <c r="X3223" s="114" t="str">
        <f t="shared" si="63"/>
        <v>1w</v>
      </c>
      <c r="Y3223" s="112">
        <f>_xll.qlCalendarAdvance(Calendar,Y3222,X3223,"f",FALSE)</f>
        <v>61801</v>
      </c>
      <c r="Z3223" s="115">
        <f>_xll.qlCalendarAdvance(Calendar,Y3223,NDays&amp;"D")</f>
        <v>61801</v>
      </c>
      <c r="AA3223" s="116" t="e">
        <v>#N/A</v>
      </c>
      <c r="AB3223" s="113" t="e">
        <v>#N/A</v>
      </c>
    </row>
    <row r="3224" spans="17:28" x14ac:dyDescent="0.2">
      <c r="Q3224" s="72"/>
      <c r="T3224" s="72"/>
      <c r="U3224" s="93"/>
      <c r="X3224" s="114" t="str">
        <f t="shared" si="63"/>
        <v>1w</v>
      </c>
      <c r="Y3224" s="112">
        <f>_xll.qlCalendarAdvance(Calendar,Y3223,X3224,"f",FALSE)</f>
        <v>61808</v>
      </c>
      <c r="Z3224" s="115">
        <f>_xll.qlCalendarAdvance(Calendar,Y3224,NDays&amp;"D")</f>
        <v>61808</v>
      </c>
      <c r="AA3224" s="116" t="e">
        <v>#N/A</v>
      </c>
      <c r="AB3224" s="113" t="e">
        <v>#N/A</v>
      </c>
    </row>
    <row r="3225" spans="17:28" x14ac:dyDescent="0.2">
      <c r="Q3225" s="72"/>
      <c r="T3225" s="72"/>
      <c r="U3225" s="93"/>
      <c r="X3225" s="114" t="str">
        <f t="shared" si="63"/>
        <v>1w</v>
      </c>
      <c r="Y3225" s="112">
        <f>_xll.qlCalendarAdvance(Calendar,Y3224,X3225,"f",FALSE)</f>
        <v>61815</v>
      </c>
      <c r="Z3225" s="115">
        <f>_xll.qlCalendarAdvance(Calendar,Y3225,NDays&amp;"D")</f>
        <v>61815</v>
      </c>
      <c r="AA3225" s="116" t="e">
        <v>#N/A</v>
      </c>
      <c r="AB3225" s="113" t="e">
        <v>#N/A</v>
      </c>
    </row>
    <row r="3226" spans="17:28" x14ac:dyDescent="0.2">
      <c r="Q3226" s="72"/>
      <c r="T3226" s="72"/>
      <c r="U3226" s="93"/>
      <c r="X3226" s="114" t="str">
        <f t="shared" si="63"/>
        <v>1w</v>
      </c>
      <c r="Y3226" s="112">
        <f>_xll.qlCalendarAdvance(Calendar,Y3225,X3226,"f",FALSE)</f>
        <v>61822</v>
      </c>
      <c r="Z3226" s="115">
        <f>_xll.qlCalendarAdvance(Calendar,Y3226,NDays&amp;"D")</f>
        <v>61822</v>
      </c>
      <c r="AA3226" s="116" t="e">
        <v>#N/A</v>
      </c>
      <c r="AB3226" s="113" t="e">
        <v>#N/A</v>
      </c>
    </row>
    <row r="3227" spans="17:28" x14ac:dyDescent="0.2">
      <c r="Q3227" s="72"/>
      <c r="T3227" s="72"/>
      <c r="U3227" s="93"/>
      <c r="X3227" s="114" t="str">
        <f t="shared" si="63"/>
        <v>1w</v>
      </c>
      <c r="Y3227" s="112">
        <f>_xll.qlCalendarAdvance(Calendar,Y3226,X3227,"f",FALSE)</f>
        <v>61829</v>
      </c>
      <c r="Z3227" s="115">
        <f>_xll.qlCalendarAdvance(Calendar,Y3227,NDays&amp;"D")</f>
        <v>61829</v>
      </c>
      <c r="AA3227" s="116" t="e">
        <v>#N/A</v>
      </c>
      <c r="AB3227" s="113" t="e">
        <v>#N/A</v>
      </c>
    </row>
    <row r="3228" spans="17:28" x14ac:dyDescent="0.2">
      <c r="Q3228" s="72"/>
      <c r="T3228" s="72"/>
      <c r="U3228" s="93"/>
      <c r="X3228" s="114" t="str">
        <f t="shared" si="63"/>
        <v>1w</v>
      </c>
      <c r="Y3228" s="112">
        <f>_xll.qlCalendarAdvance(Calendar,Y3227,X3228,"f",FALSE)</f>
        <v>61836</v>
      </c>
      <c r="Z3228" s="115">
        <f>_xll.qlCalendarAdvance(Calendar,Y3228,NDays&amp;"D")</f>
        <v>61836</v>
      </c>
      <c r="AA3228" s="116" t="e">
        <v>#N/A</v>
      </c>
      <c r="AB3228" s="113" t="e">
        <v>#N/A</v>
      </c>
    </row>
    <row r="3229" spans="17:28" x14ac:dyDescent="0.2">
      <c r="Q3229" s="72"/>
      <c r="T3229" s="72"/>
      <c r="U3229" s="93"/>
      <c r="X3229" s="114" t="str">
        <f t="shared" si="63"/>
        <v>1w</v>
      </c>
      <c r="Y3229" s="112">
        <f>_xll.qlCalendarAdvance(Calendar,Y3228,X3229,"f",FALSE)</f>
        <v>61844</v>
      </c>
      <c r="Z3229" s="115">
        <f>_xll.qlCalendarAdvance(Calendar,Y3229,NDays&amp;"D")</f>
        <v>61844</v>
      </c>
      <c r="AA3229" s="116" t="e">
        <v>#N/A</v>
      </c>
      <c r="AB3229" s="113" t="e">
        <v>#N/A</v>
      </c>
    </row>
    <row r="3230" spans="17:28" x14ac:dyDescent="0.2">
      <c r="Q3230" s="72"/>
      <c r="T3230" s="72"/>
      <c r="U3230" s="93"/>
      <c r="X3230" s="114" t="str">
        <f t="shared" si="63"/>
        <v>1w</v>
      </c>
      <c r="Y3230" s="112">
        <f>_xll.qlCalendarAdvance(Calendar,Y3229,X3230,"f",FALSE)</f>
        <v>61851</v>
      </c>
      <c r="Z3230" s="115">
        <f>_xll.qlCalendarAdvance(Calendar,Y3230,NDays&amp;"D")</f>
        <v>61851</v>
      </c>
      <c r="AA3230" s="116" t="e">
        <v>#N/A</v>
      </c>
      <c r="AB3230" s="113" t="e">
        <v>#N/A</v>
      </c>
    </row>
    <row r="3231" spans="17:28" x14ac:dyDescent="0.2">
      <c r="Q3231" s="72"/>
      <c r="T3231" s="72"/>
      <c r="U3231" s="93"/>
      <c r="X3231" s="114" t="str">
        <f t="shared" si="63"/>
        <v>1w</v>
      </c>
      <c r="Y3231" s="112">
        <f>_xll.qlCalendarAdvance(Calendar,Y3230,X3231,"f",FALSE)</f>
        <v>61858</v>
      </c>
      <c r="Z3231" s="115">
        <f>_xll.qlCalendarAdvance(Calendar,Y3231,NDays&amp;"D")</f>
        <v>61858</v>
      </c>
      <c r="AA3231" s="116" t="e">
        <v>#N/A</v>
      </c>
      <c r="AB3231" s="113" t="e">
        <v>#N/A</v>
      </c>
    </row>
    <row r="3232" spans="17:28" x14ac:dyDescent="0.2">
      <c r="Q3232" s="72"/>
      <c r="T3232" s="72"/>
      <c r="U3232" s="93"/>
      <c r="X3232" s="114" t="str">
        <f t="shared" si="63"/>
        <v>1w</v>
      </c>
      <c r="Y3232" s="112">
        <f>_xll.qlCalendarAdvance(Calendar,Y3231,X3232,"f",FALSE)</f>
        <v>61865</v>
      </c>
      <c r="Z3232" s="115">
        <f>_xll.qlCalendarAdvance(Calendar,Y3232,NDays&amp;"D")</f>
        <v>61865</v>
      </c>
      <c r="AA3232" s="116" t="e">
        <v>#N/A</v>
      </c>
      <c r="AB3232" s="113" t="e">
        <v>#N/A</v>
      </c>
    </row>
    <row r="3233" spans="17:28" x14ac:dyDescent="0.2">
      <c r="Q3233" s="72"/>
      <c r="T3233" s="72"/>
      <c r="U3233" s="93"/>
      <c r="X3233" s="114" t="str">
        <f t="shared" si="63"/>
        <v>1w</v>
      </c>
      <c r="Y3233" s="112">
        <f>_xll.qlCalendarAdvance(Calendar,Y3232,X3233,"f",FALSE)</f>
        <v>61872</v>
      </c>
      <c r="Z3233" s="115">
        <f>_xll.qlCalendarAdvance(Calendar,Y3233,NDays&amp;"D")</f>
        <v>61872</v>
      </c>
      <c r="AA3233" s="116" t="e">
        <v>#N/A</v>
      </c>
      <c r="AB3233" s="113" t="e">
        <v>#N/A</v>
      </c>
    </row>
    <row r="3234" spans="17:28" x14ac:dyDescent="0.2">
      <c r="Q3234" s="72"/>
      <c r="T3234" s="72"/>
      <c r="U3234" s="93"/>
      <c r="X3234" s="114" t="str">
        <f t="shared" si="63"/>
        <v>1w</v>
      </c>
      <c r="Y3234" s="112">
        <f>_xll.qlCalendarAdvance(Calendar,Y3233,X3234,"f",FALSE)</f>
        <v>61879</v>
      </c>
      <c r="Z3234" s="115">
        <f>_xll.qlCalendarAdvance(Calendar,Y3234,NDays&amp;"D")</f>
        <v>61879</v>
      </c>
      <c r="AA3234" s="116" t="e">
        <v>#N/A</v>
      </c>
      <c r="AB3234" s="113" t="e">
        <v>#N/A</v>
      </c>
    </row>
    <row r="3235" spans="17:28" x14ac:dyDescent="0.2">
      <c r="Q3235" s="72"/>
      <c r="T3235" s="72"/>
      <c r="U3235" s="93"/>
      <c r="X3235" s="114" t="str">
        <f t="shared" si="63"/>
        <v>1w</v>
      </c>
      <c r="Y3235" s="112">
        <f>_xll.qlCalendarAdvance(Calendar,Y3234,X3235,"f",FALSE)</f>
        <v>61886</v>
      </c>
      <c r="Z3235" s="115">
        <f>_xll.qlCalendarAdvance(Calendar,Y3235,NDays&amp;"D")</f>
        <v>61886</v>
      </c>
      <c r="AA3235" s="116" t="e">
        <v>#N/A</v>
      </c>
      <c r="AB3235" s="113" t="e">
        <v>#N/A</v>
      </c>
    </row>
    <row r="3236" spans="17:28" x14ac:dyDescent="0.2">
      <c r="Q3236" s="72"/>
      <c r="T3236" s="72"/>
      <c r="U3236" s="93"/>
      <c r="X3236" s="114" t="str">
        <f t="shared" si="63"/>
        <v>1w</v>
      </c>
      <c r="Y3236" s="112">
        <f>_xll.qlCalendarAdvance(Calendar,Y3235,X3236,"f",FALSE)</f>
        <v>61893</v>
      </c>
      <c r="Z3236" s="115">
        <f>_xll.qlCalendarAdvance(Calendar,Y3236,NDays&amp;"D")</f>
        <v>61893</v>
      </c>
      <c r="AA3236" s="116" t="e">
        <v>#N/A</v>
      </c>
      <c r="AB3236" s="113" t="e">
        <v>#N/A</v>
      </c>
    </row>
    <row r="3237" spans="17:28" x14ac:dyDescent="0.2">
      <c r="Q3237" s="72"/>
      <c r="T3237" s="72"/>
      <c r="U3237" s="93"/>
      <c r="X3237" s="114" t="str">
        <f t="shared" si="63"/>
        <v>1w</v>
      </c>
      <c r="Y3237" s="112">
        <f>_xll.qlCalendarAdvance(Calendar,Y3236,X3237,"f",FALSE)</f>
        <v>61900</v>
      </c>
      <c r="Z3237" s="115">
        <f>_xll.qlCalendarAdvance(Calendar,Y3237,NDays&amp;"D")</f>
        <v>61900</v>
      </c>
      <c r="AA3237" s="116" t="e">
        <v>#N/A</v>
      </c>
      <c r="AB3237" s="113" t="e">
        <v>#N/A</v>
      </c>
    </row>
    <row r="3238" spans="17:28" x14ac:dyDescent="0.2">
      <c r="Q3238" s="72"/>
      <c r="T3238" s="72"/>
      <c r="U3238" s="93"/>
      <c r="X3238" s="114" t="str">
        <f t="shared" si="63"/>
        <v>1w</v>
      </c>
      <c r="Y3238" s="112">
        <f>_xll.qlCalendarAdvance(Calendar,Y3237,X3238,"f",FALSE)</f>
        <v>61907</v>
      </c>
      <c r="Z3238" s="115">
        <f>_xll.qlCalendarAdvance(Calendar,Y3238,NDays&amp;"D")</f>
        <v>61907</v>
      </c>
      <c r="AA3238" s="116" t="e">
        <v>#N/A</v>
      </c>
      <c r="AB3238" s="113" t="e">
        <v>#N/A</v>
      </c>
    </row>
    <row r="3239" spans="17:28" x14ac:dyDescent="0.2">
      <c r="Q3239" s="72"/>
      <c r="T3239" s="72"/>
      <c r="U3239" s="93"/>
      <c r="X3239" s="114" t="str">
        <f t="shared" si="63"/>
        <v>1w</v>
      </c>
      <c r="Y3239" s="112">
        <f>_xll.qlCalendarAdvance(Calendar,Y3238,X3239,"f",FALSE)</f>
        <v>61914</v>
      </c>
      <c r="Z3239" s="115">
        <f>_xll.qlCalendarAdvance(Calendar,Y3239,NDays&amp;"D")</f>
        <v>61914</v>
      </c>
      <c r="AA3239" s="116" t="e">
        <v>#N/A</v>
      </c>
      <c r="AB3239" s="113" t="e">
        <v>#N/A</v>
      </c>
    </row>
    <row r="3240" spans="17:28" x14ac:dyDescent="0.2">
      <c r="Q3240" s="72"/>
      <c r="T3240" s="72"/>
      <c r="U3240" s="93"/>
      <c r="X3240" s="114" t="str">
        <f t="shared" si="63"/>
        <v>1w</v>
      </c>
      <c r="Y3240" s="112">
        <f>_xll.qlCalendarAdvance(Calendar,Y3239,X3240,"f",FALSE)</f>
        <v>61921</v>
      </c>
      <c r="Z3240" s="115">
        <f>_xll.qlCalendarAdvance(Calendar,Y3240,NDays&amp;"D")</f>
        <v>61921</v>
      </c>
      <c r="AA3240" s="116" t="e">
        <v>#N/A</v>
      </c>
      <c r="AB3240" s="113" t="e">
        <v>#N/A</v>
      </c>
    </row>
    <row r="3241" spans="17:28" x14ac:dyDescent="0.2">
      <c r="Q3241" s="72"/>
      <c r="T3241" s="72"/>
      <c r="U3241" s="93"/>
      <c r="X3241" s="114" t="str">
        <f t="shared" si="63"/>
        <v>1w</v>
      </c>
      <c r="Y3241" s="112">
        <f>_xll.qlCalendarAdvance(Calendar,Y3240,X3241,"f",FALSE)</f>
        <v>61928</v>
      </c>
      <c r="Z3241" s="115">
        <f>_xll.qlCalendarAdvance(Calendar,Y3241,NDays&amp;"D")</f>
        <v>61928</v>
      </c>
      <c r="AA3241" s="116" t="e">
        <v>#N/A</v>
      </c>
      <c r="AB3241" s="113" t="e">
        <v>#N/A</v>
      </c>
    </row>
    <row r="3242" spans="17:28" x14ac:dyDescent="0.2">
      <c r="Q3242" s="72"/>
      <c r="T3242" s="72"/>
      <c r="U3242" s="93"/>
      <c r="X3242" s="114" t="str">
        <f t="shared" si="63"/>
        <v>1w</v>
      </c>
      <c r="Y3242" s="112">
        <f>_xll.qlCalendarAdvance(Calendar,Y3241,X3242,"f",FALSE)</f>
        <v>61935</v>
      </c>
      <c r="Z3242" s="115">
        <f>_xll.qlCalendarAdvance(Calendar,Y3242,NDays&amp;"D")</f>
        <v>61935</v>
      </c>
      <c r="AA3242" s="116" t="e">
        <v>#N/A</v>
      </c>
      <c r="AB3242" s="113" t="e">
        <v>#N/A</v>
      </c>
    </row>
    <row r="3243" spans="17:28" x14ac:dyDescent="0.2">
      <c r="Q3243" s="72"/>
      <c r="T3243" s="72"/>
      <c r="U3243" s="93"/>
      <c r="X3243" s="114" t="str">
        <f t="shared" si="63"/>
        <v>1w</v>
      </c>
      <c r="Y3243" s="112">
        <f>_xll.qlCalendarAdvance(Calendar,Y3242,X3243,"f",FALSE)</f>
        <v>61942</v>
      </c>
      <c r="Z3243" s="115">
        <f>_xll.qlCalendarAdvance(Calendar,Y3243,NDays&amp;"D")</f>
        <v>61942</v>
      </c>
      <c r="AA3243" s="116" t="e">
        <v>#N/A</v>
      </c>
      <c r="AB3243" s="113" t="e">
        <v>#N/A</v>
      </c>
    </row>
    <row r="3244" spans="17:28" x14ac:dyDescent="0.2">
      <c r="Q3244" s="72"/>
      <c r="T3244" s="72"/>
      <c r="U3244" s="93"/>
      <c r="X3244" s="114" t="str">
        <f t="shared" si="63"/>
        <v>1w</v>
      </c>
      <c r="Y3244" s="112">
        <f>_xll.qlCalendarAdvance(Calendar,Y3243,X3244,"f",FALSE)</f>
        <v>61949</v>
      </c>
      <c r="Z3244" s="115">
        <f>_xll.qlCalendarAdvance(Calendar,Y3244,NDays&amp;"D")</f>
        <v>61949</v>
      </c>
      <c r="AA3244" s="116" t="e">
        <v>#N/A</v>
      </c>
      <c r="AB3244" s="113" t="e">
        <v>#N/A</v>
      </c>
    </row>
    <row r="3245" spans="17:28" x14ac:dyDescent="0.2">
      <c r="Q3245" s="72"/>
      <c r="T3245" s="72"/>
      <c r="U3245" s="93"/>
      <c r="X3245" s="114" t="str">
        <f t="shared" si="63"/>
        <v>1w</v>
      </c>
      <c r="Y3245" s="112">
        <f>_xll.qlCalendarAdvance(Calendar,Y3244,X3245,"f",FALSE)</f>
        <v>61956</v>
      </c>
      <c r="Z3245" s="115">
        <f>_xll.qlCalendarAdvance(Calendar,Y3245,NDays&amp;"D")</f>
        <v>61956</v>
      </c>
      <c r="AA3245" s="116" t="e">
        <v>#N/A</v>
      </c>
      <c r="AB3245" s="113" t="e">
        <v>#N/A</v>
      </c>
    </row>
    <row r="3246" spans="17:28" x14ac:dyDescent="0.2">
      <c r="Q3246" s="72"/>
      <c r="T3246" s="72"/>
      <c r="U3246" s="93"/>
      <c r="X3246" s="114" t="str">
        <f t="shared" si="63"/>
        <v>1w</v>
      </c>
      <c r="Y3246" s="112">
        <f>_xll.qlCalendarAdvance(Calendar,Y3245,X3246,"f",FALSE)</f>
        <v>61963</v>
      </c>
      <c r="Z3246" s="115">
        <f>_xll.qlCalendarAdvance(Calendar,Y3246,NDays&amp;"D")</f>
        <v>61963</v>
      </c>
      <c r="AA3246" s="116" t="e">
        <v>#N/A</v>
      </c>
      <c r="AB3246" s="113" t="e">
        <v>#N/A</v>
      </c>
    </row>
    <row r="3247" spans="17:28" x14ac:dyDescent="0.2">
      <c r="Q3247" s="72"/>
      <c r="T3247" s="72"/>
      <c r="U3247" s="93"/>
      <c r="X3247" s="114" t="str">
        <f t="shared" si="63"/>
        <v>1w</v>
      </c>
      <c r="Y3247" s="112">
        <f>_xll.qlCalendarAdvance(Calendar,Y3246,X3247,"f",FALSE)</f>
        <v>61970</v>
      </c>
      <c r="Z3247" s="115">
        <f>_xll.qlCalendarAdvance(Calendar,Y3247,NDays&amp;"D")</f>
        <v>61970</v>
      </c>
      <c r="AA3247" s="116" t="e">
        <v>#N/A</v>
      </c>
      <c r="AB3247" s="113" t="e">
        <v>#N/A</v>
      </c>
    </row>
    <row r="3248" spans="17:28" x14ac:dyDescent="0.2">
      <c r="Q3248" s="72"/>
      <c r="T3248" s="72"/>
      <c r="U3248" s="93"/>
      <c r="X3248" s="114" t="str">
        <f t="shared" si="63"/>
        <v>1w</v>
      </c>
      <c r="Y3248" s="112">
        <f>_xll.qlCalendarAdvance(Calendar,Y3247,X3248,"f",FALSE)</f>
        <v>61977</v>
      </c>
      <c r="Z3248" s="115">
        <f>_xll.qlCalendarAdvance(Calendar,Y3248,NDays&amp;"D")</f>
        <v>61977</v>
      </c>
      <c r="AA3248" s="116" t="e">
        <v>#N/A</v>
      </c>
      <c r="AB3248" s="113" t="e">
        <v>#N/A</v>
      </c>
    </row>
    <row r="3249" spans="17:28" x14ac:dyDescent="0.2">
      <c r="Q3249" s="72"/>
      <c r="T3249" s="72"/>
      <c r="U3249" s="93"/>
      <c r="X3249" s="114" t="str">
        <f t="shared" si="63"/>
        <v>1w</v>
      </c>
      <c r="Y3249" s="112">
        <f>_xll.qlCalendarAdvance(Calendar,Y3248,X3249,"f",FALSE)</f>
        <v>61984</v>
      </c>
      <c r="Z3249" s="115">
        <f>_xll.qlCalendarAdvance(Calendar,Y3249,NDays&amp;"D")</f>
        <v>61984</v>
      </c>
      <c r="AA3249" s="116" t="e">
        <v>#N/A</v>
      </c>
      <c r="AB3249" s="113" t="e">
        <v>#N/A</v>
      </c>
    </row>
    <row r="3250" spans="17:28" x14ac:dyDescent="0.2">
      <c r="Q3250" s="72"/>
      <c r="T3250" s="72"/>
      <c r="U3250" s="93"/>
      <c r="X3250" s="114" t="str">
        <f t="shared" si="63"/>
        <v>1w</v>
      </c>
      <c r="Y3250" s="112">
        <f>_xll.qlCalendarAdvance(Calendar,Y3249,X3250,"f",FALSE)</f>
        <v>61991</v>
      </c>
      <c r="Z3250" s="115">
        <f>_xll.qlCalendarAdvance(Calendar,Y3250,NDays&amp;"D")</f>
        <v>61991</v>
      </c>
      <c r="AA3250" s="116" t="e">
        <v>#N/A</v>
      </c>
      <c r="AB3250" s="113" t="e">
        <v>#N/A</v>
      </c>
    </row>
    <row r="3251" spans="17:28" x14ac:dyDescent="0.2">
      <c r="Q3251" s="72"/>
      <c r="T3251" s="72"/>
      <c r="U3251" s="93"/>
      <c r="X3251" s="114" t="str">
        <f t="shared" si="63"/>
        <v>1w</v>
      </c>
      <c r="Y3251" s="112">
        <f>_xll.qlCalendarAdvance(Calendar,Y3250,X3251,"f",FALSE)</f>
        <v>61998</v>
      </c>
      <c r="Z3251" s="115">
        <f>_xll.qlCalendarAdvance(Calendar,Y3251,NDays&amp;"D")</f>
        <v>61998</v>
      </c>
      <c r="AA3251" s="116" t="e">
        <v>#N/A</v>
      </c>
      <c r="AB3251" s="113" t="e">
        <v>#N/A</v>
      </c>
    </row>
    <row r="3252" spans="17:28" x14ac:dyDescent="0.2">
      <c r="Q3252" s="72"/>
      <c r="T3252" s="72"/>
      <c r="U3252" s="93"/>
      <c r="X3252" s="114" t="str">
        <f t="shared" si="63"/>
        <v>1w</v>
      </c>
      <c r="Y3252" s="112">
        <f>_xll.qlCalendarAdvance(Calendar,Y3251,X3252,"f",FALSE)</f>
        <v>62005</v>
      </c>
      <c r="Z3252" s="115">
        <f>_xll.qlCalendarAdvance(Calendar,Y3252,NDays&amp;"D")</f>
        <v>62005</v>
      </c>
      <c r="AA3252" s="116" t="e">
        <v>#N/A</v>
      </c>
      <c r="AB3252" s="113" t="e">
        <v>#N/A</v>
      </c>
    </row>
    <row r="3253" spans="17:28" x14ac:dyDescent="0.2">
      <c r="Q3253" s="72"/>
      <c r="T3253" s="72"/>
      <c r="U3253" s="93"/>
      <c r="X3253" s="114" t="str">
        <f t="shared" si="63"/>
        <v>1w</v>
      </c>
      <c r="Y3253" s="112">
        <f>_xll.qlCalendarAdvance(Calendar,Y3252,X3253,"f",FALSE)</f>
        <v>62012</v>
      </c>
      <c r="Z3253" s="115">
        <f>_xll.qlCalendarAdvance(Calendar,Y3253,NDays&amp;"D")</f>
        <v>62012</v>
      </c>
      <c r="AA3253" s="116" t="e">
        <v>#N/A</v>
      </c>
      <c r="AB3253" s="113" t="e">
        <v>#N/A</v>
      </c>
    </row>
    <row r="3254" spans="17:28" x14ac:dyDescent="0.2">
      <c r="Q3254" s="72"/>
      <c r="T3254" s="72"/>
      <c r="U3254" s="93"/>
      <c r="X3254" s="114" t="str">
        <f t="shared" si="63"/>
        <v>1w</v>
      </c>
      <c r="Y3254" s="112">
        <f>_xll.qlCalendarAdvance(Calendar,Y3253,X3254,"f",FALSE)</f>
        <v>62019</v>
      </c>
      <c r="Z3254" s="115">
        <f>_xll.qlCalendarAdvance(Calendar,Y3254,NDays&amp;"D")</f>
        <v>62019</v>
      </c>
      <c r="AA3254" s="116" t="e">
        <v>#N/A</v>
      </c>
      <c r="AB3254" s="113" t="e">
        <v>#N/A</v>
      </c>
    </row>
    <row r="3255" spans="17:28" x14ac:dyDescent="0.2">
      <c r="Q3255" s="72"/>
      <c r="T3255" s="72"/>
      <c r="U3255" s="93"/>
      <c r="X3255" s="114" t="str">
        <f t="shared" si="63"/>
        <v>1w</v>
      </c>
      <c r="Y3255" s="112">
        <f>_xll.qlCalendarAdvance(Calendar,Y3254,X3255,"f",FALSE)</f>
        <v>62026</v>
      </c>
      <c r="Z3255" s="115">
        <f>_xll.qlCalendarAdvance(Calendar,Y3255,NDays&amp;"D")</f>
        <v>62026</v>
      </c>
      <c r="AA3255" s="116" t="e">
        <v>#N/A</v>
      </c>
      <c r="AB3255" s="113" t="e">
        <v>#N/A</v>
      </c>
    </row>
    <row r="3256" spans="17:28" x14ac:dyDescent="0.2">
      <c r="Q3256" s="72"/>
      <c r="T3256" s="72"/>
      <c r="U3256" s="93"/>
      <c r="X3256" s="114" t="str">
        <f t="shared" si="63"/>
        <v>1w</v>
      </c>
      <c r="Y3256" s="112">
        <f>_xll.qlCalendarAdvance(Calendar,Y3255,X3256,"f",FALSE)</f>
        <v>62033</v>
      </c>
      <c r="Z3256" s="115">
        <f>_xll.qlCalendarAdvance(Calendar,Y3256,NDays&amp;"D")</f>
        <v>62033</v>
      </c>
      <c r="AA3256" s="116" t="e">
        <v>#N/A</v>
      </c>
      <c r="AB3256" s="113" t="e">
        <v>#N/A</v>
      </c>
    </row>
    <row r="3257" spans="17:28" x14ac:dyDescent="0.2">
      <c r="Q3257" s="72"/>
      <c r="T3257" s="72"/>
      <c r="U3257" s="93"/>
      <c r="X3257" s="114" t="str">
        <f t="shared" si="63"/>
        <v>1w</v>
      </c>
      <c r="Y3257" s="112">
        <f>_xll.qlCalendarAdvance(Calendar,Y3256,X3257,"f",FALSE)</f>
        <v>62040</v>
      </c>
      <c r="Z3257" s="115">
        <f>_xll.qlCalendarAdvance(Calendar,Y3257,NDays&amp;"D")</f>
        <v>62040</v>
      </c>
      <c r="AA3257" s="116" t="e">
        <v>#N/A</v>
      </c>
      <c r="AB3257" s="113" t="e">
        <v>#N/A</v>
      </c>
    </row>
    <row r="3258" spans="17:28" x14ac:dyDescent="0.2">
      <c r="Q3258" s="72"/>
      <c r="T3258" s="72"/>
      <c r="U3258" s="93"/>
      <c r="X3258" s="114" t="str">
        <f t="shared" si="63"/>
        <v>1w</v>
      </c>
      <c r="Y3258" s="112">
        <f>_xll.qlCalendarAdvance(Calendar,Y3257,X3258,"f",FALSE)</f>
        <v>62047</v>
      </c>
      <c r="Z3258" s="115">
        <f>_xll.qlCalendarAdvance(Calendar,Y3258,NDays&amp;"D")</f>
        <v>62047</v>
      </c>
      <c r="AA3258" s="116" t="e">
        <v>#N/A</v>
      </c>
      <c r="AB3258" s="113" t="e">
        <v>#N/A</v>
      </c>
    </row>
    <row r="3259" spans="17:28" x14ac:dyDescent="0.2">
      <c r="Q3259" s="72"/>
      <c r="T3259" s="72"/>
      <c r="U3259" s="93"/>
      <c r="X3259" s="114" t="str">
        <f t="shared" si="63"/>
        <v>1w</v>
      </c>
      <c r="Y3259" s="112">
        <f>_xll.qlCalendarAdvance(Calendar,Y3258,X3259,"f",FALSE)</f>
        <v>62054</v>
      </c>
      <c r="Z3259" s="115">
        <f>_xll.qlCalendarAdvance(Calendar,Y3259,NDays&amp;"D")</f>
        <v>62054</v>
      </c>
      <c r="AA3259" s="116" t="e">
        <v>#N/A</v>
      </c>
      <c r="AB3259" s="113" t="e">
        <v>#N/A</v>
      </c>
    </row>
    <row r="3260" spans="17:28" x14ac:dyDescent="0.2">
      <c r="Q3260" s="72"/>
      <c r="T3260" s="72"/>
      <c r="U3260" s="93"/>
      <c r="X3260" s="114" t="str">
        <f t="shared" si="63"/>
        <v>1w</v>
      </c>
      <c r="Y3260" s="112">
        <f>_xll.qlCalendarAdvance(Calendar,Y3259,X3260,"f",FALSE)</f>
        <v>62061</v>
      </c>
      <c r="Z3260" s="115">
        <f>_xll.qlCalendarAdvance(Calendar,Y3260,NDays&amp;"D")</f>
        <v>62061</v>
      </c>
      <c r="AA3260" s="116" t="e">
        <v>#N/A</v>
      </c>
      <c r="AB3260" s="113" t="e">
        <v>#N/A</v>
      </c>
    </row>
    <row r="3261" spans="17:28" x14ac:dyDescent="0.2">
      <c r="Q3261" s="72"/>
      <c r="T3261" s="72"/>
      <c r="U3261" s="93"/>
      <c r="X3261" s="114" t="str">
        <f t="shared" si="63"/>
        <v>1w</v>
      </c>
      <c r="Y3261" s="112">
        <f>_xll.qlCalendarAdvance(Calendar,Y3260,X3261,"f",FALSE)</f>
        <v>62068</v>
      </c>
      <c r="Z3261" s="115">
        <f>_xll.qlCalendarAdvance(Calendar,Y3261,NDays&amp;"D")</f>
        <v>62068</v>
      </c>
      <c r="AA3261" s="116" t="e">
        <v>#N/A</v>
      </c>
      <c r="AB3261" s="113" t="e">
        <v>#N/A</v>
      </c>
    </row>
    <row r="3262" spans="17:28" x14ac:dyDescent="0.2">
      <c r="Q3262" s="72"/>
      <c r="T3262" s="72"/>
      <c r="U3262" s="93"/>
      <c r="X3262" s="114" t="str">
        <f t="shared" si="63"/>
        <v>1w</v>
      </c>
      <c r="Y3262" s="112">
        <f>_xll.qlCalendarAdvance(Calendar,Y3261,X3262,"f",FALSE)</f>
        <v>62075</v>
      </c>
      <c r="Z3262" s="115">
        <f>_xll.qlCalendarAdvance(Calendar,Y3262,NDays&amp;"D")</f>
        <v>62075</v>
      </c>
      <c r="AA3262" s="116" t="e">
        <v>#N/A</v>
      </c>
      <c r="AB3262" s="113" t="e">
        <v>#N/A</v>
      </c>
    </row>
    <row r="3263" spans="17:28" x14ac:dyDescent="0.2">
      <c r="Q3263" s="72"/>
      <c r="T3263" s="72"/>
      <c r="U3263" s="93"/>
      <c r="X3263" s="114" t="str">
        <f t="shared" si="63"/>
        <v>1w</v>
      </c>
      <c r="Y3263" s="112">
        <f>_xll.qlCalendarAdvance(Calendar,Y3262,X3263,"f",FALSE)</f>
        <v>62082</v>
      </c>
      <c r="Z3263" s="115">
        <f>_xll.qlCalendarAdvance(Calendar,Y3263,NDays&amp;"D")</f>
        <v>62082</v>
      </c>
      <c r="AA3263" s="116" t="e">
        <v>#N/A</v>
      </c>
      <c r="AB3263" s="113" t="e">
        <v>#N/A</v>
      </c>
    </row>
    <row r="3264" spans="17:28" x14ac:dyDescent="0.2">
      <c r="Q3264" s="72"/>
      <c r="T3264" s="72"/>
      <c r="U3264" s="93"/>
      <c r="X3264" s="114" t="str">
        <f t="shared" si="63"/>
        <v>1w</v>
      </c>
      <c r="Y3264" s="112">
        <f>_xll.qlCalendarAdvance(Calendar,Y3263,X3264,"f",FALSE)</f>
        <v>62089</v>
      </c>
      <c r="Z3264" s="115">
        <f>_xll.qlCalendarAdvance(Calendar,Y3264,NDays&amp;"D")</f>
        <v>62089</v>
      </c>
      <c r="AA3264" s="116" t="e">
        <v>#N/A</v>
      </c>
      <c r="AB3264" s="113" t="e">
        <v>#N/A</v>
      </c>
    </row>
    <row r="3265" spans="17:28" x14ac:dyDescent="0.2">
      <c r="Q3265" s="72"/>
      <c r="T3265" s="72"/>
      <c r="U3265" s="93"/>
      <c r="X3265" s="114" t="str">
        <f t="shared" si="63"/>
        <v>1w</v>
      </c>
      <c r="Y3265" s="112">
        <f>_xll.qlCalendarAdvance(Calendar,Y3264,X3265,"f",FALSE)</f>
        <v>62096</v>
      </c>
      <c r="Z3265" s="115">
        <f>_xll.qlCalendarAdvance(Calendar,Y3265,NDays&amp;"D")</f>
        <v>62096</v>
      </c>
      <c r="AA3265" s="116" t="e">
        <v>#N/A</v>
      </c>
      <c r="AB3265" s="113" t="e">
        <v>#N/A</v>
      </c>
    </row>
    <row r="3266" spans="17:28" x14ac:dyDescent="0.2">
      <c r="Q3266" s="72"/>
      <c r="T3266" s="72"/>
      <c r="U3266" s="93"/>
      <c r="X3266" s="114" t="str">
        <f t="shared" si="63"/>
        <v>1w</v>
      </c>
      <c r="Y3266" s="112">
        <f>_xll.qlCalendarAdvance(Calendar,Y3265,X3266,"f",FALSE)</f>
        <v>62103</v>
      </c>
      <c r="Z3266" s="115">
        <f>_xll.qlCalendarAdvance(Calendar,Y3266,NDays&amp;"D")</f>
        <v>62103</v>
      </c>
      <c r="AA3266" s="116" t="e">
        <v>#N/A</v>
      </c>
      <c r="AB3266" s="113" t="e">
        <v>#N/A</v>
      </c>
    </row>
    <row r="3267" spans="17:28" x14ac:dyDescent="0.2">
      <c r="Q3267" s="72"/>
      <c r="T3267" s="72"/>
      <c r="U3267" s="93"/>
      <c r="X3267" s="114" t="str">
        <f t="shared" si="63"/>
        <v>1w</v>
      </c>
      <c r="Y3267" s="112">
        <f>_xll.qlCalendarAdvance(Calendar,Y3266,X3267,"f",FALSE)</f>
        <v>62110</v>
      </c>
      <c r="Z3267" s="115">
        <f>_xll.qlCalendarAdvance(Calendar,Y3267,NDays&amp;"D")</f>
        <v>62110</v>
      </c>
      <c r="AA3267" s="116" t="e">
        <v>#N/A</v>
      </c>
      <c r="AB3267" s="113" t="e">
        <v>#N/A</v>
      </c>
    </row>
    <row r="3268" spans="17:28" x14ac:dyDescent="0.2">
      <c r="Q3268" s="72"/>
      <c r="T3268" s="72"/>
      <c r="U3268" s="93"/>
      <c r="X3268" s="114" t="str">
        <f t="shared" si="63"/>
        <v>1w</v>
      </c>
      <c r="Y3268" s="112">
        <f>_xll.qlCalendarAdvance(Calendar,Y3267,X3268,"f",FALSE)</f>
        <v>62117</v>
      </c>
      <c r="Z3268" s="115">
        <f>_xll.qlCalendarAdvance(Calendar,Y3268,NDays&amp;"D")</f>
        <v>62117</v>
      </c>
      <c r="AA3268" s="116" t="e">
        <v>#N/A</v>
      </c>
      <c r="AB3268" s="113" t="e">
        <v>#N/A</v>
      </c>
    </row>
    <row r="3269" spans="17:28" x14ac:dyDescent="0.2">
      <c r="Q3269" s="72"/>
      <c r="T3269" s="72"/>
      <c r="U3269" s="93"/>
      <c r="X3269" s="114" t="str">
        <f t="shared" si="63"/>
        <v>1w</v>
      </c>
      <c r="Y3269" s="112">
        <f>_xll.qlCalendarAdvance(Calendar,Y3268,X3269,"f",FALSE)</f>
        <v>62124</v>
      </c>
      <c r="Z3269" s="115">
        <f>_xll.qlCalendarAdvance(Calendar,Y3269,NDays&amp;"D")</f>
        <v>62124</v>
      </c>
      <c r="AA3269" s="116" t="e">
        <v>#N/A</v>
      </c>
      <c r="AB3269" s="113" t="e">
        <v>#N/A</v>
      </c>
    </row>
    <row r="3270" spans="17:28" x14ac:dyDescent="0.2">
      <c r="Q3270" s="72"/>
      <c r="T3270" s="72"/>
      <c r="U3270" s="93"/>
      <c r="X3270" s="114" t="str">
        <f t="shared" si="63"/>
        <v>1w</v>
      </c>
      <c r="Y3270" s="112">
        <f>_xll.qlCalendarAdvance(Calendar,Y3269,X3270,"f",FALSE)</f>
        <v>62131</v>
      </c>
      <c r="Z3270" s="115">
        <f>_xll.qlCalendarAdvance(Calendar,Y3270,NDays&amp;"D")</f>
        <v>62131</v>
      </c>
      <c r="AA3270" s="116" t="e">
        <v>#N/A</v>
      </c>
      <c r="AB3270" s="113" t="e">
        <v>#N/A</v>
      </c>
    </row>
    <row r="3271" spans="17:28" x14ac:dyDescent="0.2">
      <c r="Q3271" s="72"/>
      <c r="T3271" s="72"/>
      <c r="U3271" s="93"/>
      <c r="X3271" s="114" t="str">
        <f t="shared" si="63"/>
        <v>1w</v>
      </c>
      <c r="Y3271" s="112">
        <f>_xll.qlCalendarAdvance(Calendar,Y3270,X3271,"f",FALSE)</f>
        <v>62138</v>
      </c>
      <c r="Z3271" s="115">
        <f>_xll.qlCalendarAdvance(Calendar,Y3271,NDays&amp;"D")</f>
        <v>62138</v>
      </c>
      <c r="AA3271" s="116" t="e">
        <v>#N/A</v>
      </c>
      <c r="AB3271" s="113" t="e">
        <v>#N/A</v>
      </c>
    </row>
    <row r="3272" spans="17:28" x14ac:dyDescent="0.2">
      <c r="Q3272" s="72"/>
      <c r="T3272" s="72"/>
      <c r="U3272" s="93"/>
      <c r="X3272" s="114" t="str">
        <f t="shared" si="63"/>
        <v>1w</v>
      </c>
      <c r="Y3272" s="112">
        <f>_xll.qlCalendarAdvance(Calendar,Y3271,X3272,"f",FALSE)</f>
        <v>62145</v>
      </c>
      <c r="Z3272" s="115">
        <f>_xll.qlCalendarAdvance(Calendar,Y3272,NDays&amp;"D")</f>
        <v>62145</v>
      </c>
      <c r="AA3272" s="116" t="e">
        <v>#N/A</v>
      </c>
      <c r="AB3272" s="113" t="e">
        <v>#N/A</v>
      </c>
    </row>
    <row r="3273" spans="17:28" x14ac:dyDescent="0.2">
      <c r="Q3273" s="72"/>
      <c r="T3273" s="72"/>
      <c r="U3273" s="93"/>
      <c r="X3273" s="114" t="str">
        <f t="shared" si="63"/>
        <v>1w</v>
      </c>
      <c r="Y3273" s="112">
        <f>_xll.qlCalendarAdvance(Calendar,Y3272,X3273,"f",FALSE)</f>
        <v>62152</v>
      </c>
      <c r="Z3273" s="115">
        <f>_xll.qlCalendarAdvance(Calendar,Y3273,NDays&amp;"D")</f>
        <v>62152</v>
      </c>
      <c r="AA3273" s="116" t="e">
        <v>#N/A</v>
      </c>
      <c r="AB3273" s="113" t="e">
        <v>#N/A</v>
      </c>
    </row>
    <row r="3274" spans="17:28" x14ac:dyDescent="0.2">
      <c r="Q3274" s="72"/>
      <c r="T3274" s="72"/>
      <c r="U3274" s="93"/>
      <c r="X3274" s="114" t="str">
        <f t="shared" si="63"/>
        <v>1w</v>
      </c>
      <c r="Y3274" s="112">
        <f>_xll.qlCalendarAdvance(Calendar,Y3273,X3274,"f",FALSE)</f>
        <v>62159</v>
      </c>
      <c r="Z3274" s="115">
        <f>_xll.qlCalendarAdvance(Calendar,Y3274,NDays&amp;"D")</f>
        <v>62159</v>
      </c>
      <c r="AA3274" s="116" t="e">
        <v>#N/A</v>
      </c>
      <c r="AB3274" s="113" t="e">
        <v>#N/A</v>
      </c>
    </row>
    <row r="3275" spans="17:28" x14ac:dyDescent="0.2">
      <c r="Q3275" s="72"/>
      <c r="T3275" s="72"/>
      <c r="U3275" s="93"/>
      <c r="X3275" s="114" t="str">
        <f t="shared" si="63"/>
        <v>1w</v>
      </c>
      <c r="Y3275" s="112">
        <f>_xll.qlCalendarAdvance(Calendar,Y3274,X3275,"f",FALSE)</f>
        <v>62166</v>
      </c>
      <c r="Z3275" s="115">
        <f>_xll.qlCalendarAdvance(Calendar,Y3275,NDays&amp;"D")</f>
        <v>62166</v>
      </c>
      <c r="AA3275" s="116" t="e">
        <v>#N/A</v>
      </c>
      <c r="AB3275" s="113" t="e">
        <v>#N/A</v>
      </c>
    </row>
    <row r="3276" spans="17:28" x14ac:dyDescent="0.2">
      <c r="Q3276" s="72"/>
      <c r="T3276" s="72"/>
      <c r="U3276" s="93"/>
      <c r="X3276" s="114" t="str">
        <f t="shared" si="63"/>
        <v>1w</v>
      </c>
      <c r="Y3276" s="112">
        <f>_xll.qlCalendarAdvance(Calendar,Y3275,X3276,"f",FALSE)</f>
        <v>62173</v>
      </c>
      <c r="Z3276" s="115">
        <f>_xll.qlCalendarAdvance(Calendar,Y3276,NDays&amp;"D")</f>
        <v>62173</v>
      </c>
      <c r="AA3276" s="116" t="e">
        <v>#N/A</v>
      </c>
      <c r="AB3276" s="113" t="e">
        <v>#N/A</v>
      </c>
    </row>
    <row r="3277" spans="17:28" x14ac:dyDescent="0.2">
      <c r="Q3277" s="72"/>
      <c r="T3277" s="72"/>
      <c r="U3277" s="93"/>
      <c r="X3277" s="114" t="str">
        <f t="shared" si="63"/>
        <v>1w</v>
      </c>
      <c r="Y3277" s="112">
        <f>_xll.qlCalendarAdvance(Calendar,Y3276,X3277,"f",FALSE)</f>
        <v>62184</v>
      </c>
      <c r="Z3277" s="115">
        <f>_xll.qlCalendarAdvance(Calendar,Y3277,NDays&amp;"D")</f>
        <v>62184</v>
      </c>
      <c r="AA3277" s="116" t="e">
        <v>#N/A</v>
      </c>
      <c r="AB3277" s="113" t="e">
        <v>#N/A</v>
      </c>
    </row>
    <row r="3278" spans="17:28" x14ac:dyDescent="0.2">
      <c r="Q3278" s="72"/>
      <c r="T3278" s="72"/>
      <c r="U3278" s="93"/>
      <c r="X3278" s="114" t="str">
        <f t="shared" si="63"/>
        <v>1w</v>
      </c>
      <c r="Y3278" s="112">
        <f>_xll.qlCalendarAdvance(Calendar,Y3277,X3278,"f",FALSE)</f>
        <v>62191</v>
      </c>
      <c r="Z3278" s="115">
        <f>_xll.qlCalendarAdvance(Calendar,Y3278,NDays&amp;"D")</f>
        <v>62191</v>
      </c>
      <c r="AA3278" s="116" t="e">
        <v>#N/A</v>
      </c>
      <c r="AB3278" s="113" t="e">
        <v>#N/A</v>
      </c>
    </row>
    <row r="3279" spans="17:28" x14ac:dyDescent="0.2">
      <c r="Q3279" s="72"/>
      <c r="T3279" s="72"/>
      <c r="U3279" s="93"/>
      <c r="X3279" s="114" t="str">
        <f t="shared" si="63"/>
        <v>1w</v>
      </c>
      <c r="Y3279" s="112">
        <f>_xll.qlCalendarAdvance(Calendar,Y3278,X3279,"f",FALSE)</f>
        <v>62198</v>
      </c>
      <c r="Z3279" s="115">
        <f>_xll.qlCalendarAdvance(Calendar,Y3279,NDays&amp;"D")</f>
        <v>62198</v>
      </c>
      <c r="AA3279" s="116" t="e">
        <v>#N/A</v>
      </c>
      <c r="AB3279" s="113" t="e">
        <v>#N/A</v>
      </c>
    </row>
    <row r="3280" spans="17:28" x14ac:dyDescent="0.2">
      <c r="Q3280" s="72"/>
      <c r="T3280" s="72"/>
      <c r="U3280" s="93"/>
      <c r="X3280" s="114" t="str">
        <f t="shared" si="63"/>
        <v>1w</v>
      </c>
      <c r="Y3280" s="112">
        <f>_xll.qlCalendarAdvance(Calendar,Y3279,X3280,"f",FALSE)</f>
        <v>62205</v>
      </c>
      <c r="Z3280" s="115">
        <f>_xll.qlCalendarAdvance(Calendar,Y3280,NDays&amp;"D")</f>
        <v>62205</v>
      </c>
      <c r="AA3280" s="116" t="e">
        <v>#N/A</v>
      </c>
      <c r="AB3280" s="113" t="e">
        <v>#N/A</v>
      </c>
    </row>
    <row r="3281" spans="17:28" x14ac:dyDescent="0.2">
      <c r="Q3281" s="72"/>
      <c r="T3281" s="72"/>
      <c r="U3281" s="93"/>
      <c r="X3281" s="114" t="str">
        <f t="shared" si="63"/>
        <v>1w</v>
      </c>
      <c r="Y3281" s="112">
        <f>_xll.qlCalendarAdvance(Calendar,Y3280,X3281,"f",FALSE)</f>
        <v>62212</v>
      </c>
      <c r="Z3281" s="115">
        <f>_xll.qlCalendarAdvance(Calendar,Y3281,NDays&amp;"D")</f>
        <v>62212</v>
      </c>
      <c r="AA3281" s="116" t="e">
        <v>#N/A</v>
      </c>
      <c r="AB3281" s="113" t="e">
        <v>#N/A</v>
      </c>
    </row>
    <row r="3282" spans="17:28" x14ac:dyDescent="0.2">
      <c r="Q3282" s="72"/>
      <c r="T3282" s="72"/>
      <c r="U3282" s="93"/>
      <c r="X3282" s="114" t="str">
        <f t="shared" si="63"/>
        <v>1w</v>
      </c>
      <c r="Y3282" s="112">
        <f>_xll.qlCalendarAdvance(Calendar,Y3281,X3282,"f",FALSE)</f>
        <v>62219</v>
      </c>
      <c r="Z3282" s="115">
        <f>_xll.qlCalendarAdvance(Calendar,Y3282,NDays&amp;"D")</f>
        <v>62219</v>
      </c>
      <c r="AA3282" s="116" t="e">
        <v>#N/A</v>
      </c>
      <c r="AB3282" s="113" t="e">
        <v>#N/A</v>
      </c>
    </row>
    <row r="3283" spans="17:28" x14ac:dyDescent="0.2">
      <c r="Q3283" s="72"/>
      <c r="T3283" s="72"/>
      <c r="U3283" s="93"/>
      <c r="X3283" s="114" t="str">
        <f t="shared" si="63"/>
        <v>1w</v>
      </c>
      <c r="Y3283" s="112">
        <f>_xll.qlCalendarAdvance(Calendar,Y3282,X3283,"f",FALSE)</f>
        <v>62226</v>
      </c>
      <c r="Z3283" s="115">
        <f>_xll.qlCalendarAdvance(Calendar,Y3283,NDays&amp;"D")</f>
        <v>62226</v>
      </c>
      <c r="AA3283" s="116" t="e">
        <v>#N/A</v>
      </c>
      <c r="AB3283" s="113" t="e">
        <v>#N/A</v>
      </c>
    </row>
    <row r="3284" spans="17:28" x14ac:dyDescent="0.2">
      <c r="Q3284" s="72"/>
      <c r="T3284" s="72"/>
      <c r="U3284" s="93"/>
      <c r="X3284" s="114" t="str">
        <f t="shared" si="63"/>
        <v>1w</v>
      </c>
      <c r="Y3284" s="112">
        <f>_xll.qlCalendarAdvance(Calendar,Y3283,X3284,"f",FALSE)</f>
        <v>62233</v>
      </c>
      <c r="Z3284" s="115">
        <f>_xll.qlCalendarAdvance(Calendar,Y3284,NDays&amp;"D")</f>
        <v>62233</v>
      </c>
      <c r="AA3284" s="116" t="e">
        <v>#N/A</v>
      </c>
      <c r="AB3284" s="113" t="e">
        <v>#N/A</v>
      </c>
    </row>
    <row r="3285" spans="17:28" x14ac:dyDescent="0.2">
      <c r="Q3285" s="72"/>
      <c r="T3285" s="72"/>
      <c r="U3285" s="93"/>
      <c r="X3285" s="114" t="str">
        <f t="shared" ref="X3285:X3348" si="64">X3284</f>
        <v>1w</v>
      </c>
      <c r="Y3285" s="112">
        <f>_xll.qlCalendarAdvance(Calendar,Y3284,X3285,"f",FALSE)</f>
        <v>62240</v>
      </c>
      <c r="Z3285" s="115">
        <f>_xll.qlCalendarAdvance(Calendar,Y3285,NDays&amp;"D")</f>
        <v>62240</v>
      </c>
      <c r="AA3285" s="116" t="e">
        <v>#N/A</v>
      </c>
      <c r="AB3285" s="113" t="e">
        <v>#N/A</v>
      </c>
    </row>
    <row r="3286" spans="17:28" x14ac:dyDescent="0.2">
      <c r="Q3286" s="72"/>
      <c r="T3286" s="72"/>
      <c r="U3286" s="93"/>
      <c r="X3286" s="114" t="str">
        <f t="shared" si="64"/>
        <v>1w</v>
      </c>
      <c r="Y3286" s="112">
        <f>_xll.qlCalendarAdvance(Calendar,Y3285,X3286,"f",FALSE)</f>
        <v>62247</v>
      </c>
      <c r="Z3286" s="115">
        <f>_xll.qlCalendarAdvance(Calendar,Y3286,NDays&amp;"D")</f>
        <v>62247</v>
      </c>
      <c r="AA3286" s="116" t="e">
        <v>#N/A</v>
      </c>
      <c r="AB3286" s="113" t="e">
        <v>#N/A</v>
      </c>
    </row>
    <row r="3287" spans="17:28" x14ac:dyDescent="0.2">
      <c r="Q3287" s="72"/>
      <c r="T3287" s="72"/>
      <c r="U3287" s="93"/>
      <c r="X3287" s="114" t="str">
        <f t="shared" si="64"/>
        <v>1w</v>
      </c>
      <c r="Y3287" s="112">
        <f>_xll.qlCalendarAdvance(Calendar,Y3286,X3287,"f",FALSE)</f>
        <v>62254</v>
      </c>
      <c r="Z3287" s="115">
        <f>_xll.qlCalendarAdvance(Calendar,Y3287,NDays&amp;"D")</f>
        <v>62254</v>
      </c>
      <c r="AA3287" s="116" t="e">
        <v>#N/A</v>
      </c>
      <c r="AB3287" s="113" t="e">
        <v>#N/A</v>
      </c>
    </row>
    <row r="3288" spans="17:28" x14ac:dyDescent="0.2">
      <c r="Q3288" s="72"/>
      <c r="T3288" s="72"/>
      <c r="U3288" s="93"/>
      <c r="X3288" s="114" t="str">
        <f t="shared" si="64"/>
        <v>1w</v>
      </c>
      <c r="Y3288" s="112">
        <f>_xll.qlCalendarAdvance(Calendar,Y3287,X3288,"f",FALSE)</f>
        <v>62261</v>
      </c>
      <c r="Z3288" s="115">
        <f>_xll.qlCalendarAdvance(Calendar,Y3288,NDays&amp;"D")</f>
        <v>62261</v>
      </c>
      <c r="AA3288" s="116" t="e">
        <v>#N/A</v>
      </c>
      <c r="AB3288" s="113" t="e">
        <v>#N/A</v>
      </c>
    </row>
    <row r="3289" spans="17:28" x14ac:dyDescent="0.2">
      <c r="Q3289" s="72"/>
      <c r="T3289" s="72"/>
      <c r="U3289" s="93"/>
      <c r="X3289" s="114" t="str">
        <f t="shared" si="64"/>
        <v>1w</v>
      </c>
      <c r="Y3289" s="112">
        <f>_xll.qlCalendarAdvance(Calendar,Y3288,X3289,"f",FALSE)</f>
        <v>62268</v>
      </c>
      <c r="Z3289" s="115">
        <f>_xll.qlCalendarAdvance(Calendar,Y3289,NDays&amp;"D")</f>
        <v>62268</v>
      </c>
      <c r="AA3289" s="116" t="e">
        <v>#N/A</v>
      </c>
      <c r="AB3289" s="113" t="e">
        <v>#N/A</v>
      </c>
    </row>
    <row r="3290" spans="17:28" x14ac:dyDescent="0.2">
      <c r="Q3290" s="72"/>
      <c r="T3290" s="72"/>
      <c r="U3290" s="93"/>
      <c r="X3290" s="114" t="str">
        <f t="shared" si="64"/>
        <v>1w</v>
      </c>
      <c r="Y3290" s="112">
        <f>_xll.qlCalendarAdvance(Calendar,Y3289,X3290,"f",FALSE)</f>
        <v>62275</v>
      </c>
      <c r="Z3290" s="115">
        <f>_xll.qlCalendarAdvance(Calendar,Y3290,NDays&amp;"D")</f>
        <v>62275</v>
      </c>
      <c r="AA3290" s="116" t="e">
        <v>#N/A</v>
      </c>
      <c r="AB3290" s="113" t="e">
        <v>#N/A</v>
      </c>
    </row>
    <row r="3291" spans="17:28" x14ac:dyDescent="0.2">
      <c r="Q3291" s="72"/>
      <c r="T3291" s="72"/>
      <c r="U3291" s="93"/>
      <c r="X3291" s="114" t="str">
        <f t="shared" si="64"/>
        <v>1w</v>
      </c>
      <c r="Y3291" s="112">
        <f>_xll.qlCalendarAdvance(Calendar,Y3290,X3291,"f",FALSE)</f>
        <v>62282</v>
      </c>
      <c r="Z3291" s="115">
        <f>_xll.qlCalendarAdvance(Calendar,Y3291,NDays&amp;"D")</f>
        <v>62282</v>
      </c>
      <c r="AA3291" s="116" t="e">
        <v>#N/A</v>
      </c>
      <c r="AB3291" s="113" t="e">
        <v>#N/A</v>
      </c>
    </row>
    <row r="3292" spans="17:28" x14ac:dyDescent="0.2">
      <c r="Q3292" s="72"/>
      <c r="T3292" s="72"/>
      <c r="U3292" s="93"/>
      <c r="X3292" s="114" t="str">
        <f t="shared" si="64"/>
        <v>1w</v>
      </c>
      <c r="Y3292" s="112">
        <f>_xll.qlCalendarAdvance(Calendar,Y3291,X3292,"f",FALSE)</f>
        <v>62289</v>
      </c>
      <c r="Z3292" s="115">
        <f>_xll.qlCalendarAdvance(Calendar,Y3292,NDays&amp;"D")</f>
        <v>62289</v>
      </c>
      <c r="AA3292" s="116" t="e">
        <v>#N/A</v>
      </c>
      <c r="AB3292" s="113" t="e">
        <v>#N/A</v>
      </c>
    </row>
    <row r="3293" spans="17:28" x14ac:dyDescent="0.2">
      <c r="Q3293" s="72"/>
      <c r="T3293" s="72"/>
      <c r="U3293" s="93"/>
      <c r="X3293" s="114" t="str">
        <f t="shared" si="64"/>
        <v>1w</v>
      </c>
      <c r="Y3293" s="112">
        <f>_xll.qlCalendarAdvance(Calendar,Y3292,X3293,"f",FALSE)</f>
        <v>62296</v>
      </c>
      <c r="Z3293" s="115">
        <f>_xll.qlCalendarAdvance(Calendar,Y3293,NDays&amp;"D")</f>
        <v>62296</v>
      </c>
      <c r="AA3293" s="116" t="e">
        <v>#N/A</v>
      </c>
      <c r="AB3293" s="113" t="e">
        <v>#N/A</v>
      </c>
    </row>
    <row r="3294" spans="17:28" x14ac:dyDescent="0.2">
      <c r="Q3294" s="72"/>
      <c r="T3294" s="72"/>
      <c r="U3294" s="93"/>
      <c r="X3294" s="114" t="str">
        <f t="shared" si="64"/>
        <v>1w</v>
      </c>
      <c r="Y3294" s="112">
        <f>_xll.qlCalendarAdvance(Calendar,Y3293,X3294,"f",FALSE)</f>
        <v>62303</v>
      </c>
      <c r="Z3294" s="115">
        <f>_xll.qlCalendarAdvance(Calendar,Y3294,NDays&amp;"D")</f>
        <v>62303</v>
      </c>
      <c r="AA3294" s="116" t="e">
        <v>#N/A</v>
      </c>
      <c r="AB3294" s="113" t="e">
        <v>#N/A</v>
      </c>
    </row>
    <row r="3295" spans="17:28" x14ac:dyDescent="0.2">
      <c r="Q3295" s="72"/>
      <c r="T3295" s="72"/>
      <c r="U3295" s="93"/>
      <c r="X3295" s="114" t="str">
        <f t="shared" si="64"/>
        <v>1w</v>
      </c>
      <c r="Y3295" s="112">
        <f>_xll.qlCalendarAdvance(Calendar,Y3294,X3295,"f",FALSE)</f>
        <v>62310</v>
      </c>
      <c r="Z3295" s="115">
        <f>_xll.qlCalendarAdvance(Calendar,Y3295,NDays&amp;"D")</f>
        <v>62310</v>
      </c>
      <c r="AA3295" s="116" t="e">
        <v>#N/A</v>
      </c>
      <c r="AB3295" s="113" t="e">
        <v>#N/A</v>
      </c>
    </row>
    <row r="3296" spans="17:28" x14ac:dyDescent="0.2">
      <c r="Q3296" s="72"/>
      <c r="T3296" s="72"/>
      <c r="U3296" s="93"/>
      <c r="X3296" s="114" t="str">
        <f t="shared" si="64"/>
        <v>1w</v>
      </c>
      <c r="Y3296" s="112">
        <f>_xll.qlCalendarAdvance(Calendar,Y3295,X3296,"f",FALSE)</f>
        <v>62317</v>
      </c>
      <c r="Z3296" s="115">
        <f>_xll.qlCalendarAdvance(Calendar,Y3296,NDays&amp;"D")</f>
        <v>62317</v>
      </c>
      <c r="AA3296" s="116" t="e">
        <v>#N/A</v>
      </c>
      <c r="AB3296" s="113" t="e">
        <v>#N/A</v>
      </c>
    </row>
    <row r="3297" spans="17:28" x14ac:dyDescent="0.2">
      <c r="Q3297" s="72"/>
      <c r="T3297" s="72"/>
      <c r="U3297" s="93"/>
      <c r="X3297" s="114" t="str">
        <f t="shared" si="64"/>
        <v>1w</v>
      </c>
      <c r="Y3297" s="112">
        <f>_xll.qlCalendarAdvance(Calendar,Y3296,X3297,"f",FALSE)</f>
        <v>62324</v>
      </c>
      <c r="Z3297" s="115">
        <f>_xll.qlCalendarAdvance(Calendar,Y3297,NDays&amp;"D")</f>
        <v>62324</v>
      </c>
      <c r="AA3297" s="116" t="e">
        <v>#N/A</v>
      </c>
      <c r="AB3297" s="113" t="e">
        <v>#N/A</v>
      </c>
    </row>
    <row r="3298" spans="17:28" x14ac:dyDescent="0.2">
      <c r="Q3298" s="72"/>
      <c r="T3298" s="72"/>
      <c r="U3298" s="93"/>
      <c r="X3298" s="114" t="str">
        <f t="shared" si="64"/>
        <v>1w</v>
      </c>
      <c r="Y3298" s="112">
        <f>_xll.qlCalendarAdvance(Calendar,Y3297,X3298,"f",FALSE)</f>
        <v>62331</v>
      </c>
      <c r="Z3298" s="115">
        <f>_xll.qlCalendarAdvance(Calendar,Y3298,NDays&amp;"D")</f>
        <v>62331</v>
      </c>
      <c r="AA3298" s="116" t="e">
        <v>#N/A</v>
      </c>
      <c r="AB3298" s="113" t="e">
        <v>#N/A</v>
      </c>
    </row>
    <row r="3299" spans="17:28" x14ac:dyDescent="0.2">
      <c r="Q3299" s="72"/>
      <c r="T3299" s="72"/>
      <c r="U3299" s="93"/>
      <c r="X3299" s="114" t="str">
        <f t="shared" si="64"/>
        <v>1w</v>
      </c>
      <c r="Y3299" s="112">
        <f>_xll.qlCalendarAdvance(Calendar,Y3298,X3299,"f",FALSE)</f>
        <v>62338</v>
      </c>
      <c r="Z3299" s="115">
        <f>_xll.qlCalendarAdvance(Calendar,Y3299,NDays&amp;"D")</f>
        <v>62338</v>
      </c>
      <c r="AA3299" s="116" t="e">
        <v>#N/A</v>
      </c>
      <c r="AB3299" s="113" t="e">
        <v>#N/A</v>
      </c>
    </row>
    <row r="3300" spans="17:28" x14ac:dyDescent="0.2">
      <c r="Q3300" s="72"/>
      <c r="T3300" s="72"/>
      <c r="U3300" s="93"/>
      <c r="X3300" s="114" t="str">
        <f t="shared" si="64"/>
        <v>1w</v>
      </c>
      <c r="Y3300" s="112">
        <f>_xll.qlCalendarAdvance(Calendar,Y3299,X3300,"f",FALSE)</f>
        <v>62345</v>
      </c>
      <c r="Z3300" s="115">
        <f>_xll.qlCalendarAdvance(Calendar,Y3300,NDays&amp;"D")</f>
        <v>62345</v>
      </c>
      <c r="AA3300" s="116" t="e">
        <v>#N/A</v>
      </c>
      <c r="AB3300" s="113" t="e">
        <v>#N/A</v>
      </c>
    </row>
    <row r="3301" spans="17:28" x14ac:dyDescent="0.2">
      <c r="Q3301" s="72"/>
      <c r="T3301" s="72"/>
      <c r="U3301" s="93"/>
      <c r="X3301" s="114" t="str">
        <f t="shared" si="64"/>
        <v>1w</v>
      </c>
      <c r="Y3301" s="112">
        <f>_xll.qlCalendarAdvance(Calendar,Y3300,X3301,"f",FALSE)</f>
        <v>62352</v>
      </c>
      <c r="Z3301" s="115">
        <f>_xll.qlCalendarAdvance(Calendar,Y3301,NDays&amp;"D")</f>
        <v>62352</v>
      </c>
      <c r="AA3301" s="116" t="e">
        <v>#N/A</v>
      </c>
      <c r="AB3301" s="113" t="e">
        <v>#N/A</v>
      </c>
    </row>
    <row r="3302" spans="17:28" x14ac:dyDescent="0.2">
      <c r="Q3302" s="72"/>
      <c r="T3302" s="72"/>
      <c r="U3302" s="93"/>
      <c r="X3302" s="114" t="str">
        <f t="shared" si="64"/>
        <v>1w</v>
      </c>
      <c r="Y3302" s="112">
        <f>_xll.qlCalendarAdvance(Calendar,Y3301,X3302,"f",FALSE)</f>
        <v>62359</v>
      </c>
      <c r="Z3302" s="115">
        <f>_xll.qlCalendarAdvance(Calendar,Y3302,NDays&amp;"D")</f>
        <v>62359</v>
      </c>
      <c r="AA3302" s="116" t="e">
        <v>#N/A</v>
      </c>
      <c r="AB3302" s="113" t="e">
        <v>#N/A</v>
      </c>
    </row>
    <row r="3303" spans="17:28" x14ac:dyDescent="0.2">
      <c r="Q3303" s="72"/>
      <c r="T3303" s="72"/>
      <c r="U3303" s="93"/>
      <c r="X3303" s="114" t="str">
        <f t="shared" si="64"/>
        <v>1w</v>
      </c>
      <c r="Y3303" s="112">
        <f>_xll.qlCalendarAdvance(Calendar,Y3302,X3303,"f",FALSE)</f>
        <v>62366</v>
      </c>
      <c r="Z3303" s="115">
        <f>_xll.qlCalendarAdvance(Calendar,Y3303,NDays&amp;"D")</f>
        <v>62366</v>
      </c>
      <c r="AA3303" s="116" t="e">
        <v>#N/A</v>
      </c>
      <c r="AB3303" s="113" t="e">
        <v>#N/A</v>
      </c>
    </row>
    <row r="3304" spans="17:28" x14ac:dyDescent="0.2">
      <c r="Q3304" s="72"/>
      <c r="T3304" s="72"/>
      <c r="U3304" s="93"/>
      <c r="X3304" s="114" t="str">
        <f t="shared" si="64"/>
        <v>1w</v>
      </c>
      <c r="Y3304" s="112">
        <f>_xll.qlCalendarAdvance(Calendar,Y3303,X3304,"f",FALSE)</f>
        <v>62373</v>
      </c>
      <c r="Z3304" s="115">
        <f>_xll.qlCalendarAdvance(Calendar,Y3304,NDays&amp;"D")</f>
        <v>62373</v>
      </c>
      <c r="AA3304" s="116" t="e">
        <v>#N/A</v>
      </c>
      <c r="AB3304" s="113" t="e">
        <v>#N/A</v>
      </c>
    </row>
    <row r="3305" spans="17:28" x14ac:dyDescent="0.2">
      <c r="Q3305" s="72"/>
      <c r="T3305" s="72"/>
      <c r="U3305" s="93"/>
      <c r="X3305" s="114" t="str">
        <f t="shared" si="64"/>
        <v>1w</v>
      </c>
      <c r="Y3305" s="112">
        <f>_xll.qlCalendarAdvance(Calendar,Y3304,X3305,"f",FALSE)</f>
        <v>62380</v>
      </c>
      <c r="Z3305" s="115">
        <f>_xll.qlCalendarAdvance(Calendar,Y3305,NDays&amp;"D")</f>
        <v>62380</v>
      </c>
      <c r="AA3305" s="116" t="e">
        <v>#N/A</v>
      </c>
      <c r="AB3305" s="113" t="e">
        <v>#N/A</v>
      </c>
    </row>
    <row r="3306" spans="17:28" x14ac:dyDescent="0.2">
      <c r="Q3306" s="72"/>
      <c r="T3306" s="72"/>
      <c r="U3306" s="93"/>
      <c r="X3306" s="114" t="str">
        <f t="shared" si="64"/>
        <v>1w</v>
      </c>
      <c r="Y3306" s="112">
        <f>_xll.qlCalendarAdvance(Calendar,Y3305,X3306,"f",FALSE)</f>
        <v>62387</v>
      </c>
      <c r="Z3306" s="115">
        <f>_xll.qlCalendarAdvance(Calendar,Y3306,NDays&amp;"D")</f>
        <v>62387</v>
      </c>
      <c r="AA3306" s="116" t="e">
        <v>#N/A</v>
      </c>
      <c r="AB3306" s="113" t="e">
        <v>#N/A</v>
      </c>
    </row>
    <row r="3307" spans="17:28" x14ac:dyDescent="0.2">
      <c r="Q3307" s="72"/>
      <c r="T3307" s="72"/>
      <c r="U3307" s="93"/>
      <c r="X3307" s="114" t="str">
        <f t="shared" si="64"/>
        <v>1w</v>
      </c>
      <c r="Y3307" s="112">
        <f>_xll.qlCalendarAdvance(Calendar,Y3306,X3307,"f",FALSE)</f>
        <v>62394</v>
      </c>
      <c r="Z3307" s="115">
        <f>_xll.qlCalendarAdvance(Calendar,Y3307,NDays&amp;"D")</f>
        <v>62394</v>
      </c>
      <c r="AA3307" s="116" t="e">
        <v>#N/A</v>
      </c>
      <c r="AB3307" s="113" t="e">
        <v>#N/A</v>
      </c>
    </row>
    <row r="3308" spans="17:28" x14ac:dyDescent="0.2">
      <c r="Q3308" s="72"/>
      <c r="T3308" s="72"/>
      <c r="U3308" s="93"/>
      <c r="X3308" s="114" t="str">
        <f t="shared" si="64"/>
        <v>1w</v>
      </c>
      <c r="Y3308" s="112">
        <f>_xll.qlCalendarAdvance(Calendar,Y3307,X3308,"f",FALSE)</f>
        <v>62401</v>
      </c>
      <c r="Z3308" s="115">
        <f>_xll.qlCalendarAdvance(Calendar,Y3308,NDays&amp;"D")</f>
        <v>62401</v>
      </c>
      <c r="AA3308" s="116" t="e">
        <v>#N/A</v>
      </c>
      <c r="AB3308" s="113" t="e">
        <v>#N/A</v>
      </c>
    </row>
    <row r="3309" spans="17:28" x14ac:dyDescent="0.2">
      <c r="Q3309" s="72"/>
      <c r="T3309" s="72"/>
      <c r="U3309" s="93"/>
      <c r="X3309" s="114" t="str">
        <f t="shared" si="64"/>
        <v>1w</v>
      </c>
      <c r="Y3309" s="112">
        <f>_xll.qlCalendarAdvance(Calendar,Y3308,X3309,"f",FALSE)</f>
        <v>62408</v>
      </c>
      <c r="Z3309" s="115">
        <f>_xll.qlCalendarAdvance(Calendar,Y3309,NDays&amp;"D")</f>
        <v>62408</v>
      </c>
      <c r="AA3309" s="116" t="e">
        <v>#N/A</v>
      </c>
      <c r="AB3309" s="113" t="e">
        <v>#N/A</v>
      </c>
    </row>
    <row r="3310" spans="17:28" x14ac:dyDescent="0.2">
      <c r="Q3310" s="72"/>
      <c r="T3310" s="72"/>
      <c r="U3310" s="93"/>
      <c r="X3310" s="114" t="str">
        <f t="shared" si="64"/>
        <v>1w</v>
      </c>
      <c r="Y3310" s="112">
        <f>_xll.qlCalendarAdvance(Calendar,Y3309,X3310,"f",FALSE)</f>
        <v>62415</v>
      </c>
      <c r="Z3310" s="115">
        <f>_xll.qlCalendarAdvance(Calendar,Y3310,NDays&amp;"D")</f>
        <v>62415</v>
      </c>
      <c r="AA3310" s="116" t="e">
        <v>#N/A</v>
      </c>
      <c r="AB3310" s="113" t="e">
        <v>#N/A</v>
      </c>
    </row>
    <row r="3311" spans="17:28" x14ac:dyDescent="0.2">
      <c r="Q3311" s="72"/>
      <c r="T3311" s="72"/>
      <c r="U3311" s="93"/>
      <c r="X3311" s="114" t="str">
        <f t="shared" si="64"/>
        <v>1w</v>
      </c>
      <c r="Y3311" s="112">
        <f>_xll.qlCalendarAdvance(Calendar,Y3310,X3311,"f",FALSE)</f>
        <v>62422</v>
      </c>
      <c r="Z3311" s="115">
        <f>_xll.qlCalendarAdvance(Calendar,Y3311,NDays&amp;"D")</f>
        <v>62422</v>
      </c>
      <c r="AA3311" s="116" t="e">
        <v>#N/A</v>
      </c>
      <c r="AB3311" s="113" t="e">
        <v>#N/A</v>
      </c>
    </row>
    <row r="3312" spans="17:28" x14ac:dyDescent="0.2">
      <c r="Q3312" s="72"/>
      <c r="T3312" s="72"/>
      <c r="U3312" s="93"/>
      <c r="X3312" s="114" t="str">
        <f t="shared" si="64"/>
        <v>1w</v>
      </c>
      <c r="Y3312" s="112">
        <f>_xll.qlCalendarAdvance(Calendar,Y3311,X3312,"f",FALSE)</f>
        <v>62429</v>
      </c>
      <c r="Z3312" s="115">
        <f>_xll.qlCalendarAdvance(Calendar,Y3312,NDays&amp;"D")</f>
        <v>62429</v>
      </c>
      <c r="AA3312" s="116" t="e">
        <v>#N/A</v>
      </c>
      <c r="AB3312" s="113" t="e">
        <v>#N/A</v>
      </c>
    </row>
    <row r="3313" spans="17:28" x14ac:dyDescent="0.2">
      <c r="Q3313" s="72"/>
      <c r="T3313" s="72"/>
      <c r="U3313" s="93"/>
      <c r="X3313" s="114" t="str">
        <f t="shared" si="64"/>
        <v>1w</v>
      </c>
      <c r="Y3313" s="112">
        <f>_xll.qlCalendarAdvance(Calendar,Y3312,X3313,"f",FALSE)</f>
        <v>62436</v>
      </c>
      <c r="Z3313" s="115">
        <f>_xll.qlCalendarAdvance(Calendar,Y3313,NDays&amp;"D")</f>
        <v>62436</v>
      </c>
      <c r="AA3313" s="116" t="e">
        <v>#N/A</v>
      </c>
      <c r="AB3313" s="113" t="e">
        <v>#N/A</v>
      </c>
    </row>
    <row r="3314" spans="17:28" x14ac:dyDescent="0.2">
      <c r="Q3314" s="72"/>
      <c r="T3314" s="72"/>
      <c r="U3314" s="93"/>
      <c r="X3314" s="114" t="str">
        <f t="shared" si="64"/>
        <v>1w</v>
      </c>
      <c r="Y3314" s="112">
        <f>_xll.qlCalendarAdvance(Calendar,Y3313,X3314,"f",FALSE)</f>
        <v>62443</v>
      </c>
      <c r="Z3314" s="115">
        <f>_xll.qlCalendarAdvance(Calendar,Y3314,NDays&amp;"D")</f>
        <v>62443</v>
      </c>
      <c r="AA3314" s="116" t="e">
        <v>#N/A</v>
      </c>
      <c r="AB3314" s="113" t="e">
        <v>#N/A</v>
      </c>
    </row>
    <row r="3315" spans="17:28" x14ac:dyDescent="0.2">
      <c r="Q3315" s="72"/>
      <c r="T3315" s="72"/>
      <c r="U3315" s="93"/>
      <c r="X3315" s="114" t="str">
        <f t="shared" si="64"/>
        <v>1w</v>
      </c>
      <c r="Y3315" s="112">
        <f>_xll.qlCalendarAdvance(Calendar,Y3314,X3315,"f",FALSE)</f>
        <v>62450</v>
      </c>
      <c r="Z3315" s="115">
        <f>_xll.qlCalendarAdvance(Calendar,Y3315,NDays&amp;"D")</f>
        <v>62450</v>
      </c>
      <c r="AA3315" s="116" t="e">
        <v>#N/A</v>
      </c>
      <c r="AB3315" s="113" t="e">
        <v>#N/A</v>
      </c>
    </row>
    <row r="3316" spans="17:28" x14ac:dyDescent="0.2">
      <c r="Q3316" s="72"/>
      <c r="T3316" s="72"/>
      <c r="U3316" s="93"/>
      <c r="X3316" s="114" t="str">
        <f t="shared" si="64"/>
        <v>1w</v>
      </c>
      <c r="Y3316" s="112">
        <f>_xll.qlCalendarAdvance(Calendar,Y3315,X3316,"f",FALSE)</f>
        <v>62457</v>
      </c>
      <c r="Z3316" s="115">
        <f>_xll.qlCalendarAdvance(Calendar,Y3316,NDays&amp;"D")</f>
        <v>62457</v>
      </c>
      <c r="AA3316" s="116" t="e">
        <v>#N/A</v>
      </c>
      <c r="AB3316" s="113" t="e">
        <v>#N/A</v>
      </c>
    </row>
    <row r="3317" spans="17:28" x14ac:dyDescent="0.2">
      <c r="Q3317" s="72"/>
      <c r="T3317" s="72"/>
      <c r="U3317" s="93"/>
      <c r="X3317" s="114" t="str">
        <f t="shared" si="64"/>
        <v>1w</v>
      </c>
      <c r="Y3317" s="112">
        <f>_xll.qlCalendarAdvance(Calendar,Y3316,X3317,"f",FALSE)</f>
        <v>62464</v>
      </c>
      <c r="Z3317" s="115">
        <f>_xll.qlCalendarAdvance(Calendar,Y3317,NDays&amp;"D")</f>
        <v>62464</v>
      </c>
      <c r="AA3317" s="116" t="e">
        <v>#N/A</v>
      </c>
      <c r="AB3317" s="113" t="e">
        <v>#N/A</v>
      </c>
    </row>
    <row r="3318" spans="17:28" x14ac:dyDescent="0.2">
      <c r="Q3318" s="72"/>
      <c r="T3318" s="72"/>
      <c r="U3318" s="93"/>
      <c r="X3318" s="114" t="str">
        <f t="shared" si="64"/>
        <v>1w</v>
      </c>
      <c r="Y3318" s="112">
        <f>_xll.qlCalendarAdvance(Calendar,Y3317,X3318,"f",FALSE)</f>
        <v>62471</v>
      </c>
      <c r="Z3318" s="115">
        <f>_xll.qlCalendarAdvance(Calendar,Y3318,NDays&amp;"D")</f>
        <v>62471</v>
      </c>
      <c r="AA3318" s="116" t="e">
        <v>#N/A</v>
      </c>
      <c r="AB3318" s="113" t="e">
        <v>#N/A</v>
      </c>
    </row>
    <row r="3319" spans="17:28" x14ac:dyDescent="0.2">
      <c r="Q3319" s="72"/>
      <c r="T3319" s="72"/>
      <c r="U3319" s="93"/>
      <c r="X3319" s="114" t="str">
        <f t="shared" si="64"/>
        <v>1w</v>
      </c>
      <c r="Y3319" s="112">
        <f>_xll.qlCalendarAdvance(Calendar,Y3318,X3319,"f",FALSE)</f>
        <v>62478</v>
      </c>
      <c r="Z3319" s="115">
        <f>_xll.qlCalendarAdvance(Calendar,Y3319,NDays&amp;"D")</f>
        <v>62478</v>
      </c>
      <c r="AA3319" s="116" t="e">
        <v>#N/A</v>
      </c>
      <c r="AB3319" s="113" t="e">
        <v>#N/A</v>
      </c>
    </row>
    <row r="3320" spans="17:28" x14ac:dyDescent="0.2">
      <c r="Q3320" s="72"/>
      <c r="T3320" s="72"/>
      <c r="U3320" s="93"/>
      <c r="X3320" s="114" t="str">
        <f t="shared" si="64"/>
        <v>1w</v>
      </c>
      <c r="Y3320" s="112">
        <f>_xll.qlCalendarAdvance(Calendar,Y3319,X3320,"f",FALSE)</f>
        <v>62485</v>
      </c>
      <c r="Z3320" s="115">
        <f>_xll.qlCalendarAdvance(Calendar,Y3320,NDays&amp;"D")</f>
        <v>62485</v>
      </c>
      <c r="AA3320" s="116" t="e">
        <v>#N/A</v>
      </c>
      <c r="AB3320" s="113" t="e">
        <v>#N/A</v>
      </c>
    </row>
    <row r="3321" spans="17:28" x14ac:dyDescent="0.2">
      <c r="Q3321" s="72"/>
      <c r="T3321" s="72"/>
      <c r="U3321" s="93"/>
      <c r="X3321" s="114" t="str">
        <f t="shared" si="64"/>
        <v>1w</v>
      </c>
      <c r="Y3321" s="112">
        <f>_xll.qlCalendarAdvance(Calendar,Y3320,X3321,"f",FALSE)</f>
        <v>62492</v>
      </c>
      <c r="Z3321" s="115">
        <f>_xll.qlCalendarAdvance(Calendar,Y3321,NDays&amp;"D")</f>
        <v>62492</v>
      </c>
      <c r="AA3321" s="116" t="e">
        <v>#N/A</v>
      </c>
      <c r="AB3321" s="113" t="e">
        <v>#N/A</v>
      </c>
    </row>
    <row r="3322" spans="17:28" x14ac:dyDescent="0.2">
      <c r="Q3322" s="72"/>
      <c r="T3322" s="72"/>
      <c r="U3322" s="93"/>
      <c r="X3322" s="114" t="str">
        <f t="shared" si="64"/>
        <v>1w</v>
      </c>
      <c r="Y3322" s="112">
        <f>_xll.qlCalendarAdvance(Calendar,Y3321,X3322,"f",FALSE)</f>
        <v>62499</v>
      </c>
      <c r="Z3322" s="115">
        <f>_xll.qlCalendarAdvance(Calendar,Y3322,NDays&amp;"D")</f>
        <v>62499</v>
      </c>
      <c r="AA3322" s="116" t="e">
        <v>#N/A</v>
      </c>
      <c r="AB3322" s="113" t="e">
        <v>#N/A</v>
      </c>
    </row>
    <row r="3323" spans="17:28" x14ac:dyDescent="0.2">
      <c r="Q3323" s="72"/>
      <c r="T3323" s="72"/>
      <c r="U3323" s="93"/>
      <c r="X3323" s="114" t="str">
        <f t="shared" si="64"/>
        <v>1w</v>
      </c>
      <c r="Y3323" s="112">
        <f>_xll.qlCalendarAdvance(Calendar,Y3322,X3323,"f",FALSE)</f>
        <v>62506</v>
      </c>
      <c r="Z3323" s="115">
        <f>_xll.qlCalendarAdvance(Calendar,Y3323,NDays&amp;"D")</f>
        <v>62506</v>
      </c>
      <c r="AA3323" s="116" t="e">
        <v>#N/A</v>
      </c>
      <c r="AB3323" s="113" t="e">
        <v>#N/A</v>
      </c>
    </row>
    <row r="3324" spans="17:28" x14ac:dyDescent="0.2">
      <c r="Q3324" s="72"/>
      <c r="T3324" s="72"/>
      <c r="U3324" s="93"/>
      <c r="X3324" s="114" t="str">
        <f t="shared" si="64"/>
        <v>1w</v>
      </c>
      <c r="Y3324" s="112">
        <f>_xll.qlCalendarAdvance(Calendar,Y3323,X3324,"f",FALSE)</f>
        <v>62513</v>
      </c>
      <c r="Z3324" s="115">
        <f>_xll.qlCalendarAdvance(Calendar,Y3324,NDays&amp;"D")</f>
        <v>62513</v>
      </c>
      <c r="AA3324" s="116" t="e">
        <v>#N/A</v>
      </c>
      <c r="AB3324" s="113" t="e">
        <v>#N/A</v>
      </c>
    </row>
    <row r="3325" spans="17:28" x14ac:dyDescent="0.2">
      <c r="Q3325" s="72"/>
      <c r="T3325" s="72"/>
      <c r="U3325" s="93"/>
      <c r="X3325" s="114" t="str">
        <f t="shared" si="64"/>
        <v>1w</v>
      </c>
      <c r="Y3325" s="112">
        <f>_xll.qlCalendarAdvance(Calendar,Y3324,X3325,"f",FALSE)</f>
        <v>62520</v>
      </c>
      <c r="Z3325" s="115">
        <f>_xll.qlCalendarAdvance(Calendar,Y3325,NDays&amp;"D")</f>
        <v>62520</v>
      </c>
      <c r="AA3325" s="116" t="e">
        <v>#N/A</v>
      </c>
      <c r="AB3325" s="113" t="e">
        <v>#N/A</v>
      </c>
    </row>
    <row r="3326" spans="17:28" x14ac:dyDescent="0.2">
      <c r="Q3326" s="72"/>
      <c r="T3326" s="72"/>
      <c r="U3326" s="93"/>
      <c r="X3326" s="114" t="str">
        <f t="shared" si="64"/>
        <v>1w</v>
      </c>
      <c r="Y3326" s="112">
        <f>_xll.qlCalendarAdvance(Calendar,Y3325,X3326,"f",FALSE)</f>
        <v>62527</v>
      </c>
      <c r="Z3326" s="115">
        <f>_xll.qlCalendarAdvance(Calendar,Y3326,NDays&amp;"D")</f>
        <v>62527</v>
      </c>
      <c r="AA3326" s="116" t="e">
        <v>#N/A</v>
      </c>
      <c r="AB3326" s="113" t="e">
        <v>#N/A</v>
      </c>
    </row>
    <row r="3327" spans="17:28" x14ac:dyDescent="0.2">
      <c r="Q3327" s="72"/>
      <c r="T3327" s="72"/>
      <c r="U3327" s="93"/>
      <c r="X3327" s="114" t="str">
        <f t="shared" si="64"/>
        <v>1w</v>
      </c>
      <c r="Y3327" s="112">
        <f>_xll.qlCalendarAdvance(Calendar,Y3326,X3327,"f",FALSE)</f>
        <v>62534</v>
      </c>
      <c r="Z3327" s="115">
        <f>_xll.qlCalendarAdvance(Calendar,Y3327,NDays&amp;"D")</f>
        <v>62534</v>
      </c>
      <c r="AA3327" s="116" t="e">
        <v>#N/A</v>
      </c>
      <c r="AB3327" s="113" t="e">
        <v>#N/A</v>
      </c>
    </row>
    <row r="3328" spans="17:28" x14ac:dyDescent="0.2">
      <c r="Q3328" s="72"/>
      <c r="T3328" s="72"/>
      <c r="U3328" s="93"/>
      <c r="X3328" s="114" t="str">
        <f t="shared" si="64"/>
        <v>1w</v>
      </c>
      <c r="Y3328" s="112">
        <f>_xll.qlCalendarAdvance(Calendar,Y3327,X3328,"f",FALSE)</f>
        <v>62541</v>
      </c>
      <c r="Z3328" s="115">
        <f>_xll.qlCalendarAdvance(Calendar,Y3328,NDays&amp;"D")</f>
        <v>62541</v>
      </c>
      <c r="AA3328" s="116" t="e">
        <v>#N/A</v>
      </c>
      <c r="AB3328" s="113" t="e">
        <v>#N/A</v>
      </c>
    </row>
    <row r="3329" spans="17:28" x14ac:dyDescent="0.2">
      <c r="Q3329" s="72"/>
      <c r="T3329" s="72"/>
      <c r="U3329" s="93"/>
      <c r="X3329" s="114" t="str">
        <f t="shared" si="64"/>
        <v>1w</v>
      </c>
      <c r="Y3329" s="112">
        <f>_xll.qlCalendarAdvance(Calendar,Y3328,X3329,"f",FALSE)</f>
        <v>62548</v>
      </c>
      <c r="Z3329" s="115">
        <f>_xll.qlCalendarAdvance(Calendar,Y3329,NDays&amp;"D")</f>
        <v>62548</v>
      </c>
      <c r="AA3329" s="116" t="e">
        <v>#N/A</v>
      </c>
      <c r="AB3329" s="113" t="e">
        <v>#N/A</v>
      </c>
    </row>
    <row r="3330" spans="17:28" x14ac:dyDescent="0.2">
      <c r="Q3330" s="72"/>
      <c r="T3330" s="72"/>
      <c r="U3330" s="93"/>
      <c r="X3330" s="114" t="str">
        <f t="shared" si="64"/>
        <v>1w</v>
      </c>
      <c r="Y3330" s="112">
        <f>_xll.qlCalendarAdvance(Calendar,Y3329,X3330,"f",FALSE)</f>
        <v>62555</v>
      </c>
      <c r="Z3330" s="115">
        <f>_xll.qlCalendarAdvance(Calendar,Y3330,NDays&amp;"D")</f>
        <v>62555</v>
      </c>
      <c r="AA3330" s="116" t="e">
        <v>#N/A</v>
      </c>
      <c r="AB3330" s="113" t="e">
        <v>#N/A</v>
      </c>
    </row>
    <row r="3331" spans="17:28" x14ac:dyDescent="0.2">
      <c r="Q3331" s="72"/>
      <c r="T3331" s="72"/>
      <c r="U3331" s="93"/>
      <c r="X3331" s="114" t="str">
        <f t="shared" si="64"/>
        <v>1w</v>
      </c>
      <c r="Y3331" s="112">
        <f>_xll.qlCalendarAdvance(Calendar,Y3330,X3331,"f",FALSE)</f>
        <v>62562</v>
      </c>
      <c r="Z3331" s="115">
        <f>_xll.qlCalendarAdvance(Calendar,Y3331,NDays&amp;"D")</f>
        <v>62562</v>
      </c>
      <c r="AA3331" s="116" t="e">
        <v>#N/A</v>
      </c>
      <c r="AB3331" s="113" t="e">
        <v>#N/A</v>
      </c>
    </row>
    <row r="3332" spans="17:28" x14ac:dyDescent="0.2">
      <c r="Q3332" s="72"/>
      <c r="T3332" s="72"/>
      <c r="U3332" s="93"/>
      <c r="X3332" s="114" t="str">
        <f t="shared" si="64"/>
        <v>1w</v>
      </c>
      <c r="Y3332" s="112">
        <f>_xll.qlCalendarAdvance(Calendar,Y3331,X3332,"f",FALSE)</f>
        <v>62569</v>
      </c>
      <c r="Z3332" s="115">
        <f>_xll.qlCalendarAdvance(Calendar,Y3332,NDays&amp;"D")</f>
        <v>62569</v>
      </c>
      <c r="AA3332" s="116" t="e">
        <v>#N/A</v>
      </c>
      <c r="AB3332" s="113" t="e">
        <v>#N/A</v>
      </c>
    </row>
    <row r="3333" spans="17:28" x14ac:dyDescent="0.2">
      <c r="Q3333" s="72"/>
      <c r="T3333" s="72"/>
      <c r="U3333" s="93"/>
      <c r="X3333" s="114" t="str">
        <f t="shared" si="64"/>
        <v>1w</v>
      </c>
      <c r="Y3333" s="112">
        <f>_xll.qlCalendarAdvance(Calendar,Y3332,X3333,"f",FALSE)</f>
        <v>62576</v>
      </c>
      <c r="Z3333" s="115">
        <f>_xll.qlCalendarAdvance(Calendar,Y3333,NDays&amp;"D")</f>
        <v>62576</v>
      </c>
      <c r="AA3333" s="116" t="e">
        <v>#N/A</v>
      </c>
      <c r="AB3333" s="113" t="e">
        <v>#N/A</v>
      </c>
    </row>
    <row r="3334" spans="17:28" x14ac:dyDescent="0.2">
      <c r="Q3334" s="72"/>
      <c r="T3334" s="72"/>
      <c r="U3334" s="93"/>
      <c r="X3334" s="114" t="str">
        <f t="shared" si="64"/>
        <v>1w</v>
      </c>
      <c r="Y3334" s="112">
        <f>_xll.qlCalendarAdvance(Calendar,Y3333,X3334,"f",FALSE)</f>
        <v>62583</v>
      </c>
      <c r="Z3334" s="115">
        <f>_xll.qlCalendarAdvance(Calendar,Y3334,NDays&amp;"D")</f>
        <v>62583</v>
      </c>
      <c r="AA3334" s="116" t="e">
        <v>#N/A</v>
      </c>
      <c r="AB3334" s="113" t="e">
        <v>#N/A</v>
      </c>
    </row>
    <row r="3335" spans="17:28" x14ac:dyDescent="0.2">
      <c r="Q3335" s="72"/>
      <c r="T3335" s="72"/>
      <c r="U3335" s="93"/>
      <c r="X3335" s="114" t="str">
        <f t="shared" si="64"/>
        <v>1w</v>
      </c>
      <c r="Y3335" s="112">
        <f>_xll.qlCalendarAdvance(Calendar,Y3334,X3335,"f",FALSE)</f>
        <v>62590</v>
      </c>
      <c r="Z3335" s="115">
        <f>_xll.qlCalendarAdvance(Calendar,Y3335,NDays&amp;"D")</f>
        <v>62590</v>
      </c>
      <c r="AA3335" s="116" t="e">
        <v>#N/A</v>
      </c>
      <c r="AB3335" s="113" t="e">
        <v>#N/A</v>
      </c>
    </row>
    <row r="3336" spans="17:28" x14ac:dyDescent="0.2">
      <c r="Q3336" s="72"/>
      <c r="T3336" s="72"/>
      <c r="U3336" s="93"/>
      <c r="X3336" s="114" t="str">
        <f t="shared" si="64"/>
        <v>1w</v>
      </c>
      <c r="Y3336" s="112">
        <f>_xll.qlCalendarAdvance(Calendar,Y3335,X3336,"f",FALSE)</f>
        <v>62597</v>
      </c>
      <c r="Z3336" s="115">
        <f>_xll.qlCalendarAdvance(Calendar,Y3336,NDays&amp;"D")</f>
        <v>62597</v>
      </c>
      <c r="AA3336" s="116" t="e">
        <v>#N/A</v>
      </c>
      <c r="AB3336" s="113" t="e">
        <v>#N/A</v>
      </c>
    </row>
    <row r="3337" spans="17:28" x14ac:dyDescent="0.2">
      <c r="Q3337" s="72"/>
      <c r="T3337" s="72"/>
      <c r="U3337" s="93"/>
      <c r="X3337" s="114" t="str">
        <f t="shared" si="64"/>
        <v>1w</v>
      </c>
      <c r="Y3337" s="112">
        <f>_xll.qlCalendarAdvance(Calendar,Y3336,X3337,"f",FALSE)</f>
        <v>62604</v>
      </c>
      <c r="Z3337" s="115">
        <f>_xll.qlCalendarAdvance(Calendar,Y3337,NDays&amp;"D")</f>
        <v>62604</v>
      </c>
      <c r="AA3337" s="116" t="e">
        <v>#N/A</v>
      </c>
      <c r="AB3337" s="113" t="e">
        <v>#N/A</v>
      </c>
    </row>
    <row r="3338" spans="17:28" x14ac:dyDescent="0.2">
      <c r="Q3338" s="72"/>
      <c r="T3338" s="72"/>
      <c r="U3338" s="93"/>
      <c r="X3338" s="114" t="str">
        <f t="shared" si="64"/>
        <v>1w</v>
      </c>
      <c r="Y3338" s="112">
        <f>_xll.qlCalendarAdvance(Calendar,Y3337,X3338,"f",FALSE)</f>
        <v>62611</v>
      </c>
      <c r="Z3338" s="115">
        <f>_xll.qlCalendarAdvance(Calendar,Y3338,NDays&amp;"D")</f>
        <v>62611</v>
      </c>
      <c r="AA3338" s="116" t="e">
        <v>#N/A</v>
      </c>
      <c r="AB3338" s="113" t="e">
        <v>#N/A</v>
      </c>
    </row>
    <row r="3339" spans="17:28" x14ac:dyDescent="0.2">
      <c r="Q3339" s="72"/>
      <c r="T3339" s="72"/>
      <c r="U3339" s="93"/>
      <c r="X3339" s="114" t="str">
        <f t="shared" si="64"/>
        <v>1w</v>
      </c>
      <c r="Y3339" s="112">
        <f>_xll.qlCalendarAdvance(Calendar,Y3338,X3339,"f",FALSE)</f>
        <v>62618</v>
      </c>
      <c r="Z3339" s="115">
        <f>_xll.qlCalendarAdvance(Calendar,Y3339,NDays&amp;"D")</f>
        <v>62618</v>
      </c>
      <c r="AA3339" s="116" t="e">
        <v>#N/A</v>
      </c>
      <c r="AB3339" s="113" t="e">
        <v>#N/A</v>
      </c>
    </row>
    <row r="3340" spans="17:28" x14ac:dyDescent="0.2">
      <c r="Q3340" s="72"/>
      <c r="T3340" s="72"/>
      <c r="U3340" s="93"/>
      <c r="X3340" s="114" t="str">
        <f t="shared" si="64"/>
        <v>1w</v>
      </c>
      <c r="Y3340" s="112">
        <f>_xll.qlCalendarAdvance(Calendar,Y3339,X3340,"f",FALSE)</f>
        <v>62625</v>
      </c>
      <c r="Z3340" s="115">
        <f>_xll.qlCalendarAdvance(Calendar,Y3340,NDays&amp;"D")</f>
        <v>62625</v>
      </c>
      <c r="AA3340" s="116" t="e">
        <v>#N/A</v>
      </c>
      <c r="AB3340" s="113" t="e">
        <v>#N/A</v>
      </c>
    </row>
    <row r="3341" spans="17:28" x14ac:dyDescent="0.2">
      <c r="Q3341" s="72"/>
      <c r="T3341" s="72"/>
      <c r="U3341" s="93"/>
      <c r="X3341" s="114" t="str">
        <f t="shared" si="64"/>
        <v>1w</v>
      </c>
      <c r="Y3341" s="112">
        <f>_xll.qlCalendarAdvance(Calendar,Y3340,X3341,"f",FALSE)</f>
        <v>62632</v>
      </c>
      <c r="Z3341" s="115">
        <f>_xll.qlCalendarAdvance(Calendar,Y3341,NDays&amp;"D")</f>
        <v>62632</v>
      </c>
      <c r="AA3341" s="116" t="e">
        <v>#N/A</v>
      </c>
      <c r="AB3341" s="113" t="e">
        <v>#N/A</v>
      </c>
    </row>
    <row r="3342" spans="17:28" x14ac:dyDescent="0.2">
      <c r="Q3342" s="72"/>
      <c r="T3342" s="72"/>
      <c r="U3342" s="93"/>
      <c r="X3342" s="114" t="str">
        <f t="shared" si="64"/>
        <v>1w</v>
      </c>
      <c r="Y3342" s="112">
        <f>_xll.qlCalendarAdvance(Calendar,Y3341,X3342,"f",FALSE)</f>
        <v>62639</v>
      </c>
      <c r="Z3342" s="115">
        <f>_xll.qlCalendarAdvance(Calendar,Y3342,NDays&amp;"D")</f>
        <v>62639</v>
      </c>
      <c r="AA3342" s="116" t="e">
        <v>#N/A</v>
      </c>
      <c r="AB3342" s="113" t="e">
        <v>#N/A</v>
      </c>
    </row>
    <row r="3343" spans="17:28" x14ac:dyDescent="0.2">
      <c r="Q3343" s="72"/>
      <c r="T3343" s="72"/>
      <c r="U3343" s="93"/>
      <c r="X3343" s="114" t="str">
        <f t="shared" si="64"/>
        <v>1w</v>
      </c>
      <c r="Y3343" s="112">
        <f>_xll.qlCalendarAdvance(Calendar,Y3342,X3343,"f",FALSE)</f>
        <v>62646</v>
      </c>
      <c r="Z3343" s="115">
        <f>_xll.qlCalendarAdvance(Calendar,Y3343,NDays&amp;"D")</f>
        <v>62646</v>
      </c>
      <c r="AA3343" s="116" t="e">
        <v>#N/A</v>
      </c>
      <c r="AB3343" s="113" t="e">
        <v>#N/A</v>
      </c>
    </row>
    <row r="3344" spans="17:28" x14ac:dyDescent="0.2">
      <c r="Q3344" s="72"/>
      <c r="T3344" s="72"/>
      <c r="U3344" s="93"/>
      <c r="X3344" s="114" t="str">
        <f t="shared" si="64"/>
        <v>1w</v>
      </c>
      <c r="Y3344" s="112">
        <f>_xll.qlCalendarAdvance(Calendar,Y3343,X3344,"f",FALSE)</f>
        <v>62653</v>
      </c>
      <c r="Z3344" s="115">
        <f>_xll.qlCalendarAdvance(Calendar,Y3344,NDays&amp;"D")</f>
        <v>62653</v>
      </c>
      <c r="AA3344" s="116" t="e">
        <v>#N/A</v>
      </c>
      <c r="AB3344" s="113" t="e">
        <v>#N/A</v>
      </c>
    </row>
    <row r="3345" spans="17:28" x14ac:dyDescent="0.2">
      <c r="Q3345" s="72"/>
      <c r="T3345" s="72"/>
      <c r="U3345" s="93"/>
      <c r="X3345" s="114" t="str">
        <f t="shared" si="64"/>
        <v>1w</v>
      </c>
      <c r="Y3345" s="112">
        <f>_xll.qlCalendarAdvance(Calendar,Y3344,X3345,"f",FALSE)</f>
        <v>62660</v>
      </c>
      <c r="Z3345" s="115">
        <f>_xll.qlCalendarAdvance(Calendar,Y3345,NDays&amp;"D")</f>
        <v>62660</v>
      </c>
      <c r="AA3345" s="116" t="e">
        <v>#N/A</v>
      </c>
      <c r="AB3345" s="113" t="e">
        <v>#N/A</v>
      </c>
    </row>
    <row r="3346" spans="17:28" x14ac:dyDescent="0.2">
      <c r="Q3346" s="72"/>
      <c r="T3346" s="72"/>
      <c r="U3346" s="93"/>
      <c r="X3346" s="114" t="str">
        <f t="shared" si="64"/>
        <v>1w</v>
      </c>
      <c r="Y3346" s="112">
        <f>_xll.qlCalendarAdvance(Calendar,Y3345,X3346,"f",FALSE)</f>
        <v>62667</v>
      </c>
      <c r="Z3346" s="115">
        <f>_xll.qlCalendarAdvance(Calendar,Y3346,NDays&amp;"D")</f>
        <v>62667</v>
      </c>
      <c r="AA3346" s="116" t="e">
        <v>#N/A</v>
      </c>
      <c r="AB3346" s="113" t="e">
        <v>#N/A</v>
      </c>
    </row>
    <row r="3347" spans="17:28" x14ac:dyDescent="0.2">
      <c r="Q3347" s="72"/>
      <c r="T3347" s="72"/>
      <c r="U3347" s="93"/>
      <c r="X3347" s="114" t="str">
        <f t="shared" si="64"/>
        <v>1w</v>
      </c>
      <c r="Y3347" s="112">
        <f>_xll.qlCalendarAdvance(Calendar,Y3346,X3347,"f",FALSE)</f>
        <v>62674</v>
      </c>
      <c r="Z3347" s="115">
        <f>_xll.qlCalendarAdvance(Calendar,Y3347,NDays&amp;"D")</f>
        <v>62674</v>
      </c>
      <c r="AA3347" s="116" t="e">
        <v>#N/A</v>
      </c>
      <c r="AB3347" s="113" t="e">
        <v>#N/A</v>
      </c>
    </row>
    <row r="3348" spans="17:28" x14ac:dyDescent="0.2">
      <c r="Q3348" s="72"/>
      <c r="T3348" s="72"/>
      <c r="U3348" s="93"/>
      <c r="X3348" s="114" t="str">
        <f t="shared" si="64"/>
        <v>1w</v>
      </c>
      <c r="Y3348" s="112">
        <f>_xll.qlCalendarAdvance(Calendar,Y3347,X3348,"f",FALSE)</f>
        <v>62681</v>
      </c>
      <c r="Z3348" s="115">
        <f>_xll.qlCalendarAdvance(Calendar,Y3348,NDays&amp;"D")</f>
        <v>62681</v>
      </c>
      <c r="AA3348" s="116" t="e">
        <v>#N/A</v>
      </c>
      <c r="AB3348" s="113" t="e">
        <v>#N/A</v>
      </c>
    </row>
    <row r="3349" spans="17:28" x14ac:dyDescent="0.2">
      <c r="Q3349" s="72"/>
      <c r="T3349" s="72"/>
      <c r="U3349" s="93"/>
      <c r="X3349" s="114" t="str">
        <f t="shared" ref="X3349:X3412" si="65">X3348</f>
        <v>1w</v>
      </c>
      <c r="Y3349" s="112">
        <f>_xll.qlCalendarAdvance(Calendar,Y3348,X3349,"f",FALSE)</f>
        <v>62688</v>
      </c>
      <c r="Z3349" s="115">
        <f>_xll.qlCalendarAdvance(Calendar,Y3349,NDays&amp;"D")</f>
        <v>62688</v>
      </c>
      <c r="AA3349" s="116" t="e">
        <v>#N/A</v>
      </c>
      <c r="AB3349" s="113" t="e">
        <v>#N/A</v>
      </c>
    </row>
    <row r="3350" spans="17:28" x14ac:dyDescent="0.2">
      <c r="Q3350" s="72"/>
      <c r="T3350" s="72"/>
      <c r="U3350" s="93"/>
      <c r="X3350" s="114" t="str">
        <f t="shared" si="65"/>
        <v>1w</v>
      </c>
      <c r="Y3350" s="112">
        <f>_xll.qlCalendarAdvance(Calendar,Y3349,X3350,"f",FALSE)</f>
        <v>62695</v>
      </c>
      <c r="Z3350" s="115">
        <f>_xll.qlCalendarAdvance(Calendar,Y3350,NDays&amp;"D")</f>
        <v>62695</v>
      </c>
      <c r="AA3350" s="116" t="e">
        <v>#N/A</v>
      </c>
      <c r="AB3350" s="113" t="e">
        <v>#N/A</v>
      </c>
    </row>
    <row r="3351" spans="17:28" x14ac:dyDescent="0.2">
      <c r="Q3351" s="72"/>
      <c r="T3351" s="72"/>
      <c r="U3351" s="93"/>
      <c r="X3351" s="114" t="str">
        <f t="shared" si="65"/>
        <v>1w</v>
      </c>
      <c r="Y3351" s="112">
        <f>_xll.qlCalendarAdvance(Calendar,Y3350,X3351,"f",FALSE)</f>
        <v>62702</v>
      </c>
      <c r="Z3351" s="115">
        <f>_xll.qlCalendarAdvance(Calendar,Y3351,NDays&amp;"D")</f>
        <v>62702</v>
      </c>
      <c r="AA3351" s="116" t="e">
        <v>#N/A</v>
      </c>
      <c r="AB3351" s="113" t="e">
        <v>#N/A</v>
      </c>
    </row>
    <row r="3352" spans="17:28" x14ac:dyDescent="0.2">
      <c r="Q3352" s="72"/>
      <c r="T3352" s="72"/>
      <c r="U3352" s="93"/>
      <c r="X3352" s="114" t="str">
        <f t="shared" si="65"/>
        <v>1w</v>
      </c>
      <c r="Y3352" s="112">
        <f>_xll.qlCalendarAdvance(Calendar,Y3351,X3352,"f",FALSE)</f>
        <v>62709</v>
      </c>
      <c r="Z3352" s="115">
        <f>_xll.qlCalendarAdvance(Calendar,Y3352,NDays&amp;"D")</f>
        <v>62709</v>
      </c>
      <c r="AA3352" s="116" t="e">
        <v>#N/A</v>
      </c>
      <c r="AB3352" s="113" t="e">
        <v>#N/A</v>
      </c>
    </row>
    <row r="3353" spans="17:28" x14ac:dyDescent="0.2">
      <c r="Q3353" s="72"/>
      <c r="T3353" s="72"/>
      <c r="U3353" s="93"/>
      <c r="X3353" s="114" t="str">
        <f t="shared" si="65"/>
        <v>1w</v>
      </c>
      <c r="Y3353" s="112">
        <f>_xll.qlCalendarAdvance(Calendar,Y3352,X3353,"f",FALSE)</f>
        <v>62716</v>
      </c>
      <c r="Z3353" s="115">
        <f>_xll.qlCalendarAdvance(Calendar,Y3353,NDays&amp;"D")</f>
        <v>62716</v>
      </c>
      <c r="AA3353" s="116" t="e">
        <v>#N/A</v>
      </c>
      <c r="AB3353" s="113" t="e">
        <v>#N/A</v>
      </c>
    </row>
    <row r="3354" spans="17:28" x14ac:dyDescent="0.2">
      <c r="Q3354" s="72"/>
      <c r="T3354" s="72"/>
      <c r="U3354" s="93"/>
      <c r="X3354" s="114" t="str">
        <f t="shared" si="65"/>
        <v>1w</v>
      </c>
      <c r="Y3354" s="112">
        <f>_xll.qlCalendarAdvance(Calendar,Y3353,X3354,"f",FALSE)</f>
        <v>62723</v>
      </c>
      <c r="Z3354" s="115">
        <f>_xll.qlCalendarAdvance(Calendar,Y3354,NDays&amp;"D")</f>
        <v>62723</v>
      </c>
      <c r="AA3354" s="116" t="e">
        <v>#N/A</v>
      </c>
      <c r="AB3354" s="113" t="e">
        <v>#N/A</v>
      </c>
    </row>
    <row r="3355" spans="17:28" x14ac:dyDescent="0.2">
      <c r="Q3355" s="72"/>
      <c r="T3355" s="72"/>
      <c r="U3355" s="93"/>
      <c r="X3355" s="114" t="str">
        <f t="shared" si="65"/>
        <v>1w</v>
      </c>
      <c r="Y3355" s="112">
        <f>_xll.qlCalendarAdvance(Calendar,Y3354,X3355,"f",FALSE)</f>
        <v>62730</v>
      </c>
      <c r="Z3355" s="115">
        <f>_xll.qlCalendarAdvance(Calendar,Y3355,NDays&amp;"D")</f>
        <v>62730</v>
      </c>
      <c r="AA3355" s="116" t="e">
        <v>#N/A</v>
      </c>
      <c r="AB3355" s="113" t="e">
        <v>#N/A</v>
      </c>
    </row>
    <row r="3356" spans="17:28" x14ac:dyDescent="0.2">
      <c r="Q3356" s="72"/>
      <c r="T3356" s="72"/>
      <c r="U3356" s="93"/>
      <c r="X3356" s="114" t="str">
        <f t="shared" si="65"/>
        <v>1w</v>
      </c>
      <c r="Y3356" s="112">
        <f>_xll.qlCalendarAdvance(Calendar,Y3355,X3356,"f",FALSE)</f>
        <v>62737</v>
      </c>
      <c r="Z3356" s="115">
        <f>_xll.qlCalendarAdvance(Calendar,Y3356,NDays&amp;"D")</f>
        <v>62737</v>
      </c>
      <c r="AA3356" s="116" t="e">
        <v>#N/A</v>
      </c>
      <c r="AB3356" s="113" t="e">
        <v>#N/A</v>
      </c>
    </row>
    <row r="3357" spans="17:28" x14ac:dyDescent="0.2">
      <c r="Q3357" s="72"/>
      <c r="T3357" s="72"/>
      <c r="U3357" s="93"/>
      <c r="X3357" s="114" t="str">
        <f t="shared" si="65"/>
        <v>1w</v>
      </c>
      <c r="Y3357" s="112">
        <f>_xll.qlCalendarAdvance(Calendar,Y3356,X3357,"f",FALSE)</f>
        <v>62744</v>
      </c>
      <c r="Z3357" s="115">
        <f>_xll.qlCalendarAdvance(Calendar,Y3357,NDays&amp;"D")</f>
        <v>62744</v>
      </c>
      <c r="AA3357" s="116" t="e">
        <v>#N/A</v>
      </c>
      <c r="AB3357" s="113" t="e">
        <v>#N/A</v>
      </c>
    </row>
    <row r="3358" spans="17:28" x14ac:dyDescent="0.2">
      <c r="Q3358" s="72"/>
      <c r="T3358" s="72"/>
      <c r="U3358" s="93"/>
      <c r="X3358" s="114" t="str">
        <f t="shared" si="65"/>
        <v>1w</v>
      </c>
      <c r="Y3358" s="112">
        <f>_xll.qlCalendarAdvance(Calendar,Y3357,X3358,"f",FALSE)</f>
        <v>62751</v>
      </c>
      <c r="Z3358" s="115">
        <f>_xll.qlCalendarAdvance(Calendar,Y3358,NDays&amp;"D")</f>
        <v>62751</v>
      </c>
      <c r="AA3358" s="116" t="e">
        <v>#N/A</v>
      </c>
      <c r="AB3358" s="113" t="e">
        <v>#N/A</v>
      </c>
    </row>
    <row r="3359" spans="17:28" x14ac:dyDescent="0.2">
      <c r="Q3359" s="72"/>
      <c r="T3359" s="72"/>
      <c r="U3359" s="93"/>
      <c r="X3359" s="114" t="str">
        <f t="shared" si="65"/>
        <v>1w</v>
      </c>
      <c r="Y3359" s="112">
        <f>_xll.qlCalendarAdvance(Calendar,Y3358,X3359,"f",FALSE)</f>
        <v>62758</v>
      </c>
      <c r="Z3359" s="115">
        <f>_xll.qlCalendarAdvance(Calendar,Y3359,NDays&amp;"D")</f>
        <v>62758</v>
      </c>
      <c r="AA3359" s="116" t="e">
        <v>#N/A</v>
      </c>
      <c r="AB3359" s="113" t="e">
        <v>#N/A</v>
      </c>
    </row>
    <row r="3360" spans="17:28" x14ac:dyDescent="0.2">
      <c r="Q3360" s="72"/>
      <c r="T3360" s="72"/>
      <c r="U3360" s="93"/>
      <c r="X3360" s="114" t="str">
        <f t="shared" si="65"/>
        <v>1w</v>
      </c>
      <c r="Y3360" s="112">
        <f>_xll.qlCalendarAdvance(Calendar,Y3359,X3360,"f",FALSE)</f>
        <v>62765</v>
      </c>
      <c r="Z3360" s="115">
        <f>_xll.qlCalendarAdvance(Calendar,Y3360,NDays&amp;"D")</f>
        <v>62765</v>
      </c>
      <c r="AA3360" s="116" t="e">
        <v>#N/A</v>
      </c>
      <c r="AB3360" s="113" t="e">
        <v>#N/A</v>
      </c>
    </row>
    <row r="3361" spans="17:28" x14ac:dyDescent="0.2">
      <c r="Q3361" s="72"/>
      <c r="T3361" s="72"/>
      <c r="U3361" s="93"/>
      <c r="X3361" s="114" t="str">
        <f t="shared" si="65"/>
        <v>1w</v>
      </c>
      <c r="Y3361" s="112">
        <f>_xll.qlCalendarAdvance(Calendar,Y3360,X3361,"f",FALSE)</f>
        <v>62772</v>
      </c>
      <c r="Z3361" s="115">
        <f>_xll.qlCalendarAdvance(Calendar,Y3361,NDays&amp;"D")</f>
        <v>62772</v>
      </c>
      <c r="AA3361" s="116" t="e">
        <v>#N/A</v>
      </c>
      <c r="AB3361" s="113" t="e">
        <v>#N/A</v>
      </c>
    </row>
    <row r="3362" spans="17:28" x14ac:dyDescent="0.2">
      <c r="Q3362" s="72"/>
      <c r="T3362" s="72"/>
      <c r="U3362" s="93"/>
      <c r="X3362" s="114" t="str">
        <f t="shared" si="65"/>
        <v>1w</v>
      </c>
      <c r="Y3362" s="112">
        <f>_xll.qlCalendarAdvance(Calendar,Y3361,X3362,"f",FALSE)</f>
        <v>62779</v>
      </c>
      <c r="Z3362" s="115">
        <f>_xll.qlCalendarAdvance(Calendar,Y3362,NDays&amp;"D")</f>
        <v>62779</v>
      </c>
      <c r="AA3362" s="116" t="e">
        <v>#N/A</v>
      </c>
      <c r="AB3362" s="113" t="e">
        <v>#N/A</v>
      </c>
    </row>
    <row r="3363" spans="17:28" x14ac:dyDescent="0.2">
      <c r="Q3363" s="72"/>
      <c r="T3363" s="72"/>
      <c r="U3363" s="93"/>
      <c r="X3363" s="114" t="str">
        <f t="shared" si="65"/>
        <v>1w</v>
      </c>
      <c r="Y3363" s="112">
        <f>_xll.qlCalendarAdvance(Calendar,Y3362,X3363,"f",FALSE)</f>
        <v>62786</v>
      </c>
      <c r="Z3363" s="115">
        <f>_xll.qlCalendarAdvance(Calendar,Y3363,NDays&amp;"D")</f>
        <v>62786</v>
      </c>
      <c r="AA3363" s="116" t="e">
        <v>#N/A</v>
      </c>
      <c r="AB3363" s="113" t="e">
        <v>#N/A</v>
      </c>
    </row>
    <row r="3364" spans="17:28" x14ac:dyDescent="0.2">
      <c r="Q3364" s="72"/>
      <c r="T3364" s="72"/>
      <c r="U3364" s="93"/>
      <c r="X3364" s="114" t="str">
        <f t="shared" si="65"/>
        <v>1w</v>
      </c>
      <c r="Y3364" s="112">
        <f>_xll.qlCalendarAdvance(Calendar,Y3363,X3364,"f",FALSE)</f>
        <v>62793</v>
      </c>
      <c r="Z3364" s="115">
        <f>_xll.qlCalendarAdvance(Calendar,Y3364,NDays&amp;"D")</f>
        <v>62793</v>
      </c>
      <c r="AA3364" s="116" t="e">
        <v>#N/A</v>
      </c>
      <c r="AB3364" s="113" t="e">
        <v>#N/A</v>
      </c>
    </row>
    <row r="3365" spans="17:28" x14ac:dyDescent="0.2">
      <c r="Q3365" s="72"/>
      <c r="T3365" s="72"/>
      <c r="U3365" s="93"/>
      <c r="X3365" s="114" t="str">
        <f t="shared" si="65"/>
        <v>1w</v>
      </c>
      <c r="Y3365" s="112">
        <f>_xll.qlCalendarAdvance(Calendar,Y3364,X3365,"f",FALSE)</f>
        <v>62800</v>
      </c>
      <c r="Z3365" s="115">
        <f>_xll.qlCalendarAdvance(Calendar,Y3365,NDays&amp;"D")</f>
        <v>62800</v>
      </c>
      <c r="AA3365" s="116" t="e">
        <v>#N/A</v>
      </c>
      <c r="AB3365" s="113" t="e">
        <v>#N/A</v>
      </c>
    </row>
    <row r="3366" spans="17:28" x14ac:dyDescent="0.2">
      <c r="Q3366" s="72"/>
      <c r="T3366" s="72"/>
      <c r="U3366" s="93"/>
      <c r="X3366" s="114" t="str">
        <f t="shared" si="65"/>
        <v>1w</v>
      </c>
      <c r="Y3366" s="112">
        <f>_xll.qlCalendarAdvance(Calendar,Y3365,X3366,"f",FALSE)</f>
        <v>62807</v>
      </c>
      <c r="Z3366" s="115">
        <f>_xll.qlCalendarAdvance(Calendar,Y3366,NDays&amp;"D")</f>
        <v>62807</v>
      </c>
      <c r="AA3366" s="116" t="e">
        <v>#N/A</v>
      </c>
      <c r="AB3366" s="113" t="e">
        <v>#N/A</v>
      </c>
    </row>
    <row r="3367" spans="17:28" x14ac:dyDescent="0.2">
      <c r="Q3367" s="72"/>
      <c r="T3367" s="72"/>
      <c r="U3367" s="93"/>
      <c r="X3367" s="114" t="str">
        <f t="shared" si="65"/>
        <v>1w</v>
      </c>
      <c r="Y3367" s="112">
        <f>_xll.qlCalendarAdvance(Calendar,Y3366,X3367,"f",FALSE)</f>
        <v>62814</v>
      </c>
      <c r="Z3367" s="115">
        <f>_xll.qlCalendarAdvance(Calendar,Y3367,NDays&amp;"D")</f>
        <v>62814</v>
      </c>
      <c r="AA3367" s="116" t="e">
        <v>#N/A</v>
      </c>
      <c r="AB3367" s="113" t="e">
        <v>#N/A</v>
      </c>
    </row>
    <row r="3368" spans="17:28" x14ac:dyDescent="0.2">
      <c r="Q3368" s="72"/>
      <c r="T3368" s="72"/>
      <c r="U3368" s="93"/>
      <c r="X3368" s="114" t="str">
        <f t="shared" si="65"/>
        <v>1w</v>
      </c>
      <c r="Y3368" s="112">
        <f>_xll.qlCalendarAdvance(Calendar,Y3367,X3368,"f",FALSE)</f>
        <v>62821</v>
      </c>
      <c r="Z3368" s="115">
        <f>_xll.qlCalendarAdvance(Calendar,Y3368,NDays&amp;"D")</f>
        <v>62821</v>
      </c>
      <c r="AA3368" s="116" t="e">
        <v>#N/A</v>
      </c>
      <c r="AB3368" s="113" t="e">
        <v>#N/A</v>
      </c>
    </row>
    <row r="3369" spans="17:28" x14ac:dyDescent="0.2">
      <c r="Q3369" s="72"/>
      <c r="T3369" s="72"/>
      <c r="U3369" s="93"/>
      <c r="X3369" s="114" t="str">
        <f t="shared" si="65"/>
        <v>1w</v>
      </c>
      <c r="Y3369" s="112">
        <f>_xll.qlCalendarAdvance(Calendar,Y3368,X3369,"f",FALSE)</f>
        <v>62828</v>
      </c>
      <c r="Z3369" s="115">
        <f>_xll.qlCalendarAdvance(Calendar,Y3369,NDays&amp;"D")</f>
        <v>62828</v>
      </c>
      <c r="AA3369" s="116" t="e">
        <v>#N/A</v>
      </c>
      <c r="AB3369" s="113" t="e">
        <v>#N/A</v>
      </c>
    </row>
    <row r="3370" spans="17:28" x14ac:dyDescent="0.2">
      <c r="Q3370" s="72"/>
      <c r="T3370" s="72"/>
      <c r="U3370" s="93"/>
      <c r="X3370" s="114" t="str">
        <f t="shared" si="65"/>
        <v>1w</v>
      </c>
      <c r="Y3370" s="112">
        <f>_xll.qlCalendarAdvance(Calendar,Y3369,X3370,"f",FALSE)</f>
        <v>62835</v>
      </c>
      <c r="Z3370" s="115">
        <f>_xll.qlCalendarAdvance(Calendar,Y3370,NDays&amp;"D")</f>
        <v>62835</v>
      </c>
      <c r="AA3370" s="116" t="e">
        <v>#N/A</v>
      </c>
      <c r="AB3370" s="113" t="e">
        <v>#N/A</v>
      </c>
    </row>
    <row r="3371" spans="17:28" x14ac:dyDescent="0.2">
      <c r="Q3371" s="72"/>
      <c r="T3371" s="72"/>
      <c r="U3371" s="93"/>
      <c r="X3371" s="114" t="str">
        <f t="shared" si="65"/>
        <v>1w</v>
      </c>
      <c r="Y3371" s="112">
        <f>_xll.qlCalendarAdvance(Calendar,Y3370,X3371,"f",FALSE)</f>
        <v>62842</v>
      </c>
      <c r="Z3371" s="115">
        <f>_xll.qlCalendarAdvance(Calendar,Y3371,NDays&amp;"D")</f>
        <v>62842</v>
      </c>
      <c r="AA3371" s="116" t="e">
        <v>#N/A</v>
      </c>
      <c r="AB3371" s="113" t="e">
        <v>#N/A</v>
      </c>
    </row>
    <row r="3372" spans="17:28" x14ac:dyDescent="0.2">
      <c r="Q3372" s="72"/>
      <c r="T3372" s="72"/>
      <c r="U3372" s="93"/>
      <c r="X3372" s="114" t="str">
        <f t="shared" si="65"/>
        <v>1w</v>
      </c>
      <c r="Y3372" s="112">
        <f>_xll.qlCalendarAdvance(Calendar,Y3371,X3372,"f",FALSE)</f>
        <v>62850</v>
      </c>
      <c r="Z3372" s="115">
        <f>_xll.qlCalendarAdvance(Calendar,Y3372,NDays&amp;"D")</f>
        <v>62850</v>
      </c>
      <c r="AA3372" s="116" t="e">
        <v>#N/A</v>
      </c>
      <c r="AB3372" s="113" t="e">
        <v>#N/A</v>
      </c>
    </row>
    <row r="3373" spans="17:28" x14ac:dyDescent="0.2">
      <c r="Q3373" s="72"/>
      <c r="T3373" s="72"/>
      <c r="U3373" s="93"/>
      <c r="X3373" s="114" t="str">
        <f t="shared" si="65"/>
        <v>1w</v>
      </c>
      <c r="Y3373" s="112">
        <f>_xll.qlCalendarAdvance(Calendar,Y3372,X3373,"f",FALSE)</f>
        <v>62857</v>
      </c>
      <c r="Z3373" s="115">
        <f>_xll.qlCalendarAdvance(Calendar,Y3373,NDays&amp;"D")</f>
        <v>62857</v>
      </c>
      <c r="AA3373" s="116" t="e">
        <v>#N/A</v>
      </c>
      <c r="AB3373" s="113" t="e">
        <v>#N/A</v>
      </c>
    </row>
    <row r="3374" spans="17:28" x14ac:dyDescent="0.2">
      <c r="Q3374" s="72"/>
      <c r="T3374" s="72"/>
      <c r="U3374" s="93"/>
      <c r="X3374" s="114" t="str">
        <f t="shared" si="65"/>
        <v>1w</v>
      </c>
      <c r="Y3374" s="112">
        <f>_xll.qlCalendarAdvance(Calendar,Y3373,X3374,"f",FALSE)</f>
        <v>62864</v>
      </c>
      <c r="Z3374" s="115">
        <f>_xll.qlCalendarAdvance(Calendar,Y3374,NDays&amp;"D")</f>
        <v>62864</v>
      </c>
      <c r="AA3374" s="116" t="e">
        <v>#N/A</v>
      </c>
      <c r="AB3374" s="113" t="e">
        <v>#N/A</v>
      </c>
    </row>
    <row r="3375" spans="17:28" x14ac:dyDescent="0.2">
      <c r="Q3375" s="72"/>
      <c r="T3375" s="72"/>
      <c r="U3375" s="93"/>
      <c r="X3375" s="114" t="str">
        <f t="shared" si="65"/>
        <v>1w</v>
      </c>
      <c r="Y3375" s="112">
        <f>_xll.qlCalendarAdvance(Calendar,Y3374,X3375,"f",FALSE)</f>
        <v>62871</v>
      </c>
      <c r="Z3375" s="115">
        <f>_xll.qlCalendarAdvance(Calendar,Y3375,NDays&amp;"D")</f>
        <v>62871</v>
      </c>
      <c r="AA3375" s="116" t="e">
        <v>#N/A</v>
      </c>
      <c r="AB3375" s="113" t="e">
        <v>#N/A</v>
      </c>
    </row>
    <row r="3376" spans="17:28" x14ac:dyDescent="0.2">
      <c r="Q3376" s="72"/>
      <c r="T3376" s="72"/>
      <c r="U3376" s="93"/>
      <c r="X3376" s="114" t="str">
        <f t="shared" si="65"/>
        <v>1w</v>
      </c>
      <c r="Y3376" s="112">
        <f>_xll.qlCalendarAdvance(Calendar,Y3375,X3376,"f",FALSE)</f>
        <v>62878</v>
      </c>
      <c r="Z3376" s="115">
        <f>_xll.qlCalendarAdvance(Calendar,Y3376,NDays&amp;"D")</f>
        <v>62878</v>
      </c>
      <c r="AA3376" s="116" t="e">
        <v>#N/A</v>
      </c>
      <c r="AB3376" s="113" t="e">
        <v>#N/A</v>
      </c>
    </row>
    <row r="3377" spans="17:28" x14ac:dyDescent="0.2">
      <c r="Q3377" s="72"/>
      <c r="T3377" s="72"/>
      <c r="U3377" s="93"/>
      <c r="X3377" s="114" t="str">
        <f t="shared" si="65"/>
        <v>1w</v>
      </c>
      <c r="Y3377" s="112">
        <f>_xll.qlCalendarAdvance(Calendar,Y3376,X3377,"f",FALSE)</f>
        <v>62885</v>
      </c>
      <c r="Z3377" s="115">
        <f>_xll.qlCalendarAdvance(Calendar,Y3377,NDays&amp;"D")</f>
        <v>62885</v>
      </c>
      <c r="AA3377" s="116" t="e">
        <v>#N/A</v>
      </c>
      <c r="AB3377" s="113" t="e">
        <v>#N/A</v>
      </c>
    </row>
    <row r="3378" spans="17:28" x14ac:dyDescent="0.2">
      <c r="Q3378" s="72"/>
      <c r="T3378" s="72"/>
      <c r="U3378" s="93"/>
      <c r="X3378" s="114" t="str">
        <f t="shared" si="65"/>
        <v>1w</v>
      </c>
      <c r="Y3378" s="112">
        <f>_xll.qlCalendarAdvance(Calendar,Y3377,X3378,"f",FALSE)</f>
        <v>62892</v>
      </c>
      <c r="Z3378" s="115">
        <f>_xll.qlCalendarAdvance(Calendar,Y3378,NDays&amp;"D")</f>
        <v>62892</v>
      </c>
      <c r="AA3378" s="116" t="e">
        <v>#N/A</v>
      </c>
      <c r="AB3378" s="113" t="e">
        <v>#N/A</v>
      </c>
    </row>
    <row r="3379" spans="17:28" x14ac:dyDescent="0.2">
      <c r="Q3379" s="72"/>
      <c r="T3379" s="72"/>
      <c r="U3379" s="93"/>
      <c r="X3379" s="114" t="str">
        <f t="shared" si="65"/>
        <v>1w</v>
      </c>
      <c r="Y3379" s="112">
        <f>_xll.qlCalendarAdvance(Calendar,Y3378,X3379,"f",FALSE)</f>
        <v>62899</v>
      </c>
      <c r="Z3379" s="115">
        <f>_xll.qlCalendarAdvance(Calendar,Y3379,NDays&amp;"D")</f>
        <v>62899</v>
      </c>
      <c r="AA3379" s="116" t="e">
        <v>#N/A</v>
      </c>
      <c r="AB3379" s="113" t="e">
        <v>#N/A</v>
      </c>
    </row>
    <row r="3380" spans="17:28" x14ac:dyDescent="0.2">
      <c r="Q3380" s="72"/>
      <c r="T3380" s="72"/>
      <c r="U3380" s="93"/>
      <c r="X3380" s="114" t="str">
        <f t="shared" si="65"/>
        <v>1w</v>
      </c>
      <c r="Y3380" s="112">
        <f>_xll.qlCalendarAdvance(Calendar,Y3379,X3380,"f",FALSE)</f>
        <v>62906</v>
      </c>
      <c r="Z3380" s="115">
        <f>_xll.qlCalendarAdvance(Calendar,Y3380,NDays&amp;"D")</f>
        <v>62906</v>
      </c>
      <c r="AA3380" s="116" t="e">
        <v>#N/A</v>
      </c>
      <c r="AB3380" s="113" t="e">
        <v>#N/A</v>
      </c>
    </row>
    <row r="3381" spans="17:28" x14ac:dyDescent="0.2">
      <c r="Q3381" s="72"/>
      <c r="T3381" s="72"/>
      <c r="U3381" s="93"/>
      <c r="X3381" s="114" t="str">
        <f t="shared" si="65"/>
        <v>1w</v>
      </c>
      <c r="Y3381" s="112">
        <f>_xll.qlCalendarAdvance(Calendar,Y3380,X3381,"f",FALSE)</f>
        <v>62913</v>
      </c>
      <c r="Z3381" s="115">
        <f>_xll.qlCalendarAdvance(Calendar,Y3381,NDays&amp;"D")</f>
        <v>62913</v>
      </c>
      <c r="AA3381" s="116" t="e">
        <v>#N/A</v>
      </c>
      <c r="AB3381" s="113" t="e">
        <v>#N/A</v>
      </c>
    </row>
    <row r="3382" spans="17:28" x14ac:dyDescent="0.2">
      <c r="Q3382" s="72"/>
      <c r="T3382" s="72"/>
      <c r="U3382" s="93"/>
      <c r="X3382" s="114" t="str">
        <f t="shared" si="65"/>
        <v>1w</v>
      </c>
      <c r="Y3382" s="112">
        <f>_xll.qlCalendarAdvance(Calendar,Y3381,X3382,"f",FALSE)</f>
        <v>62920</v>
      </c>
      <c r="Z3382" s="115">
        <f>_xll.qlCalendarAdvance(Calendar,Y3382,NDays&amp;"D")</f>
        <v>62920</v>
      </c>
      <c r="AA3382" s="116" t="e">
        <v>#N/A</v>
      </c>
      <c r="AB3382" s="113" t="e">
        <v>#N/A</v>
      </c>
    </row>
    <row r="3383" spans="17:28" x14ac:dyDescent="0.2">
      <c r="Q3383" s="72"/>
      <c r="T3383" s="72"/>
      <c r="U3383" s="93"/>
      <c r="X3383" s="114" t="str">
        <f t="shared" si="65"/>
        <v>1w</v>
      </c>
      <c r="Y3383" s="112">
        <f>_xll.qlCalendarAdvance(Calendar,Y3382,X3383,"f",FALSE)</f>
        <v>62927</v>
      </c>
      <c r="Z3383" s="115">
        <f>_xll.qlCalendarAdvance(Calendar,Y3383,NDays&amp;"D")</f>
        <v>62927</v>
      </c>
      <c r="AA3383" s="116" t="e">
        <v>#N/A</v>
      </c>
      <c r="AB3383" s="113" t="e">
        <v>#N/A</v>
      </c>
    </row>
    <row r="3384" spans="17:28" x14ac:dyDescent="0.2">
      <c r="Q3384" s="72"/>
      <c r="T3384" s="72"/>
      <c r="U3384" s="93"/>
      <c r="X3384" s="114" t="str">
        <f t="shared" si="65"/>
        <v>1w</v>
      </c>
      <c r="Y3384" s="112">
        <f>_xll.qlCalendarAdvance(Calendar,Y3383,X3384,"f",FALSE)</f>
        <v>62934</v>
      </c>
      <c r="Z3384" s="115">
        <f>_xll.qlCalendarAdvance(Calendar,Y3384,NDays&amp;"D")</f>
        <v>62934</v>
      </c>
      <c r="AA3384" s="116" t="e">
        <v>#N/A</v>
      </c>
      <c r="AB3384" s="113" t="e">
        <v>#N/A</v>
      </c>
    </row>
    <row r="3385" spans="17:28" x14ac:dyDescent="0.2">
      <c r="Q3385" s="72"/>
      <c r="T3385" s="72"/>
      <c r="U3385" s="93"/>
      <c r="X3385" s="114" t="str">
        <f t="shared" si="65"/>
        <v>1w</v>
      </c>
      <c r="Y3385" s="112">
        <f>_xll.qlCalendarAdvance(Calendar,Y3384,X3385,"f",FALSE)</f>
        <v>62941</v>
      </c>
      <c r="Z3385" s="115">
        <f>_xll.qlCalendarAdvance(Calendar,Y3385,NDays&amp;"D")</f>
        <v>62941</v>
      </c>
      <c r="AA3385" s="116" t="e">
        <v>#N/A</v>
      </c>
      <c r="AB3385" s="113" t="e">
        <v>#N/A</v>
      </c>
    </row>
    <row r="3386" spans="17:28" x14ac:dyDescent="0.2">
      <c r="Q3386" s="72"/>
      <c r="T3386" s="72"/>
      <c r="U3386" s="93"/>
      <c r="X3386" s="114" t="str">
        <f t="shared" si="65"/>
        <v>1w</v>
      </c>
      <c r="Y3386" s="112">
        <f>_xll.qlCalendarAdvance(Calendar,Y3385,X3386,"f",FALSE)</f>
        <v>62948</v>
      </c>
      <c r="Z3386" s="115">
        <f>_xll.qlCalendarAdvance(Calendar,Y3386,NDays&amp;"D")</f>
        <v>62948</v>
      </c>
      <c r="AA3386" s="116" t="e">
        <v>#N/A</v>
      </c>
      <c r="AB3386" s="113" t="e">
        <v>#N/A</v>
      </c>
    </row>
    <row r="3387" spans="17:28" x14ac:dyDescent="0.2">
      <c r="Q3387" s="72"/>
      <c r="T3387" s="72"/>
      <c r="U3387" s="93"/>
      <c r="X3387" s="114" t="str">
        <f t="shared" si="65"/>
        <v>1w</v>
      </c>
      <c r="Y3387" s="112">
        <f>_xll.qlCalendarAdvance(Calendar,Y3386,X3387,"f",FALSE)</f>
        <v>62955</v>
      </c>
      <c r="Z3387" s="115">
        <f>_xll.qlCalendarAdvance(Calendar,Y3387,NDays&amp;"D")</f>
        <v>62955</v>
      </c>
      <c r="AA3387" s="116" t="e">
        <v>#N/A</v>
      </c>
      <c r="AB3387" s="113" t="e">
        <v>#N/A</v>
      </c>
    </row>
    <row r="3388" spans="17:28" x14ac:dyDescent="0.2">
      <c r="Q3388" s="72"/>
      <c r="T3388" s="72"/>
      <c r="U3388" s="93"/>
      <c r="X3388" s="114" t="str">
        <f t="shared" si="65"/>
        <v>1w</v>
      </c>
      <c r="Y3388" s="112">
        <f>_xll.qlCalendarAdvance(Calendar,Y3387,X3388,"f",FALSE)</f>
        <v>62962</v>
      </c>
      <c r="Z3388" s="115">
        <f>_xll.qlCalendarAdvance(Calendar,Y3388,NDays&amp;"D")</f>
        <v>62962</v>
      </c>
      <c r="AA3388" s="116" t="e">
        <v>#N/A</v>
      </c>
      <c r="AB3388" s="113" t="e">
        <v>#N/A</v>
      </c>
    </row>
    <row r="3389" spans="17:28" x14ac:dyDescent="0.2">
      <c r="Q3389" s="72"/>
      <c r="T3389" s="72"/>
      <c r="U3389" s="93"/>
      <c r="X3389" s="114" t="str">
        <f t="shared" si="65"/>
        <v>1w</v>
      </c>
      <c r="Y3389" s="112">
        <f>_xll.qlCalendarAdvance(Calendar,Y3388,X3389,"f",FALSE)</f>
        <v>62969</v>
      </c>
      <c r="Z3389" s="115">
        <f>_xll.qlCalendarAdvance(Calendar,Y3389,NDays&amp;"D")</f>
        <v>62969</v>
      </c>
      <c r="AA3389" s="116" t="e">
        <v>#N/A</v>
      </c>
      <c r="AB3389" s="113" t="e">
        <v>#N/A</v>
      </c>
    </row>
    <row r="3390" spans="17:28" x14ac:dyDescent="0.2">
      <c r="Q3390" s="72"/>
      <c r="T3390" s="72"/>
      <c r="U3390" s="93"/>
      <c r="X3390" s="114" t="str">
        <f t="shared" si="65"/>
        <v>1w</v>
      </c>
      <c r="Y3390" s="112">
        <f>_xll.qlCalendarAdvance(Calendar,Y3389,X3390,"f",FALSE)</f>
        <v>62976</v>
      </c>
      <c r="Z3390" s="115">
        <f>_xll.qlCalendarAdvance(Calendar,Y3390,NDays&amp;"D")</f>
        <v>62976</v>
      </c>
      <c r="AA3390" s="116" t="e">
        <v>#N/A</v>
      </c>
      <c r="AB3390" s="113" t="e">
        <v>#N/A</v>
      </c>
    </row>
    <row r="3391" spans="17:28" x14ac:dyDescent="0.2">
      <c r="Q3391" s="72"/>
      <c r="T3391" s="72"/>
      <c r="U3391" s="93"/>
      <c r="X3391" s="114" t="str">
        <f t="shared" si="65"/>
        <v>1w</v>
      </c>
      <c r="Y3391" s="112">
        <f>_xll.qlCalendarAdvance(Calendar,Y3390,X3391,"f",FALSE)</f>
        <v>62983</v>
      </c>
      <c r="Z3391" s="115">
        <f>_xll.qlCalendarAdvance(Calendar,Y3391,NDays&amp;"D")</f>
        <v>62983</v>
      </c>
      <c r="AA3391" s="116" t="e">
        <v>#N/A</v>
      </c>
      <c r="AB3391" s="113" t="e">
        <v>#N/A</v>
      </c>
    </row>
    <row r="3392" spans="17:28" x14ac:dyDescent="0.2">
      <c r="Q3392" s="72"/>
      <c r="T3392" s="72"/>
      <c r="U3392" s="93"/>
      <c r="X3392" s="114" t="str">
        <f t="shared" si="65"/>
        <v>1w</v>
      </c>
      <c r="Y3392" s="112">
        <f>_xll.qlCalendarAdvance(Calendar,Y3391,X3392,"f",FALSE)</f>
        <v>62990</v>
      </c>
      <c r="Z3392" s="115">
        <f>_xll.qlCalendarAdvance(Calendar,Y3392,NDays&amp;"D")</f>
        <v>62990</v>
      </c>
      <c r="AA3392" s="116" t="e">
        <v>#N/A</v>
      </c>
      <c r="AB3392" s="113" t="e">
        <v>#N/A</v>
      </c>
    </row>
    <row r="3393" spans="17:28" x14ac:dyDescent="0.2">
      <c r="Q3393" s="72"/>
      <c r="T3393" s="72"/>
      <c r="U3393" s="93"/>
      <c r="X3393" s="114" t="str">
        <f t="shared" si="65"/>
        <v>1w</v>
      </c>
      <c r="Y3393" s="112">
        <f>_xll.qlCalendarAdvance(Calendar,Y3392,X3393,"f",FALSE)</f>
        <v>62997</v>
      </c>
      <c r="Z3393" s="115">
        <f>_xll.qlCalendarAdvance(Calendar,Y3393,NDays&amp;"D")</f>
        <v>62997</v>
      </c>
      <c r="AA3393" s="116" t="e">
        <v>#N/A</v>
      </c>
      <c r="AB3393" s="113" t="e">
        <v>#N/A</v>
      </c>
    </row>
    <row r="3394" spans="17:28" x14ac:dyDescent="0.2">
      <c r="Q3394" s="72"/>
      <c r="T3394" s="72"/>
      <c r="U3394" s="93"/>
      <c r="X3394" s="114" t="str">
        <f t="shared" si="65"/>
        <v>1w</v>
      </c>
      <c r="Y3394" s="112">
        <f>_xll.qlCalendarAdvance(Calendar,Y3393,X3394,"f",FALSE)</f>
        <v>63004</v>
      </c>
      <c r="Z3394" s="115">
        <f>_xll.qlCalendarAdvance(Calendar,Y3394,NDays&amp;"D")</f>
        <v>63004</v>
      </c>
      <c r="AA3394" s="116" t="e">
        <v>#N/A</v>
      </c>
      <c r="AB3394" s="113" t="e">
        <v>#N/A</v>
      </c>
    </row>
    <row r="3395" spans="17:28" x14ac:dyDescent="0.2">
      <c r="Q3395" s="72"/>
      <c r="T3395" s="72"/>
      <c r="U3395" s="93"/>
      <c r="X3395" s="114" t="str">
        <f t="shared" si="65"/>
        <v>1w</v>
      </c>
      <c r="Y3395" s="112">
        <f>_xll.qlCalendarAdvance(Calendar,Y3394,X3395,"f",FALSE)</f>
        <v>63011</v>
      </c>
      <c r="Z3395" s="115">
        <f>_xll.qlCalendarAdvance(Calendar,Y3395,NDays&amp;"D")</f>
        <v>63011</v>
      </c>
      <c r="AA3395" s="116" t="e">
        <v>#N/A</v>
      </c>
      <c r="AB3395" s="113" t="e">
        <v>#N/A</v>
      </c>
    </row>
    <row r="3396" spans="17:28" x14ac:dyDescent="0.2">
      <c r="Q3396" s="72"/>
      <c r="T3396" s="72"/>
      <c r="U3396" s="93"/>
      <c r="X3396" s="114" t="str">
        <f t="shared" si="65"/>
        <v>1w</v>
      </c>
      <c r="Y3396" s="112">
        <f>_xll.qlCalendarAdvance(Calendar,Y3395,X3396,"f",FALSE)</f>
        <v>63018</v>
      </c>
      <c r="Z3396" s="115">
        <f>_xll.qlCalendarAdvance(Calendar,Y3396,NDays&amp;"D")</f>
        <v>63018</v>
      </c>
      <c r="AA3396" s="116" t="e">
        <v>#N/A</v>
      </c>
      <c r="AB3396" s="113" t="e">
        <v>#N/A</v>
      </c>
    </row>
    <row r="3397" spans="17:28" x14ac:dyDescent="0.2">
      <c r="Q3397" s="72"/>
      <c r="T3397" s="72"/>
      <c r="U3397" s="93"/>
      <c r="X3397" s="114" t="str">
        <f t="shared" si="65"/>
        <v>1w</v>
      </c>
      <c r="Y3397" s="112">
        <f>_xll.qlCalendarAdvance(Calendar,Y3396,X3397,"f",FALSE)</f>
        <v>63025</v>
      </c>
      <c r="Z3397" s="115">
        <f>_xll.qlCalendarAdvance(Calendar,Y3397,NDays&amp;"D")</f>
        <v>63025</v>
      </c>
      <c r="AA3397" s="116" t="e">
        <v>#N/A</v>
      </c>
      <c r="AB3397" s="113" t="e">
        <v>#N/A</v>
      </c>
    </row>
    <row r="3398" spans="17:28" x14ac:dyDescent="0.2">
      <c r="Q3398" s="72"/>
      <c r="T3398" s="72"/>
      <c r="U3398" s="93"/>
      <c r="X3398" s="114" t="str">
        <f t="shared" si="65"/>
        <v>1w</v>
      </c>
      <c r="Y3398" s="112">
        <f>_xll.qlCalendarAdvance(Calendar,Y3397,X3398,"f",FALSE)</f>
        <v>63032</v>
      </c>
      <c r="Z3398" s="115">
        <f>_xll.qlCalendarAdvance(Calendar,Y3398,NDays&amp;"D")</f>
        <v>63032</v>
      </c>
      <c r="AA3398" s="116" t="e">
        <v>#N/A</v>
      </c>
      <c r="AB3398" s="113" t="e">
        <v>#N/A</v>
      </c>
    </row>
    <row r="3399" spans="17:28" x14ac:dyDescent="0.2">
      <c r="Q3399" s="72"/>
      <c r="T3399" s="72"/>
      <c r="U3399" s="93"/>
      <c r="X3399" s="114" t="str">
        <f t="shared" si="65"/>
        <v>1w</v>
      </c>
      <c r="Y3399" s="112">
        <f>_xll.qlCalendarAdvance(Calendar,Y3398,X3399,"f",FALSE)</f>
        <v>63039</v>
      </c>
      <c r="Z3399" s="115">
        <f>_xll.qlCalendarAdvance(Calendar,Y3399,NDays&amp;"D")</f>
        <v>63039</v>
      </c>
      <c r="AA3399" s="116" t="e">
        <v>#N/A</v>
      </c>
      <c r="AB3399" s="113" t="e">
        <v>#N/A</v>
      </c>
    </row>
    <row r="3400" spans="17:28" x14ac:dyDescent="0.2">
      <c r="Q3400" s="72"/>
      <c r="T3400" s="72"/>
      <c r="U3400" s="93"/>
      <c r="X3400" s="114" t="str">
        <f t="shared" si="65"/>
        <v>1w</v>
      </c>
      <c r="Y3400" s="112">
        <f>_xll.qlCalendarAdvance(Calendar,Y3399,X3400,"f",FALSE)</f>
        <v>63046</v>
      </c>
      <c r="Z3400" s="115">
        <f>_xll.qlCalendarAdvance(Calendar,Y3400,NDays&amp;"D")</f>
        <v>63046</v>
      </c>
      <c r="AA3400" s="116" t="e">
        <v>#N/A</v>
      </c>
      <c r="AB3400" s="113" t="e">
        <v>#N/A</v>
      </c>
    </row>
    <row r="3401" spans="17:28" x14ac:dyDescent="0.2">
      <c r="Q3401" s="72"/>
      <c r="T3401" s="72"/>
      <c r="U3401" s="93"/>
      <c r="X3401" s="114" t="str">
        <f t="shared" si="65"/>
        <v>1w</v>
      </c>
      <c r="Y3401" s="112">
        <f>_xll.qlCalendarAdvance(Calendar,Y3400,X3401,"f",FALSE)</f>
        <v>63053</v>
      </c>
      <c r="Z3401" s="115">
        <f>_xll.qlCalendarAdvance(Calendar,Y3401,NDays&amp;"D")</f>
        <v>63053</v>
      </c>
      <c r="AA3401" s="116" t="e">
        <v>#N/A</v>
      </c>
      <c r="AB3401" s="113" t="e">
        <v>#N/A</v>
      </c>
    </row>
    <row r="3402" spans="17:28" x14ac:dyDescent="0.2">
      <c r="Q3402" s="72"/>
      <c r="T3402" s="72"/>
      <c r="U3402" s="93"/>
      <c r="X3402" s="114" t="str">
        <f t="shared" si="65"/>
        <v>1w</v>
      </c>
      <c r="Y3402" s="112">
        <f>_xll.qlCalendarAdvance(Calendar,Y3401,X3402,"f",FALSE)</f>
        <v>63060</v>
      </c>
      <c r="Z3402" s="115">
        <f>_xll.qlCalendarAdvance(Calendar,Y3402,NDays&amp;"D")</f>
        <v>63060</v>
      </c>
      <c r="AA3402" s="116" t="e">
        <v>#N/A</v>
      </c>
      <c r="AB3402" s="113" t="e">
        <v>#N/A</v>
      </c>
    </row>
    <row r="3403" spans="17:28" x14ac:dyDescent="0.2">
      <c r="Q3403" s="72"/>
      <c r="T3403" s="72"/>
      <c r="U3403" s="93"/>
      <c r="X3403" s="114" t="str">
        <f t="shared" si="65"/>
        <v>1w</v>
      </c>
      <c r="Y3403" s="112">
        <f>_xll.qlCalendarAdvance(Calendar,Y3402,X3403,"f",FALSE)</f>
        <v>63067</v>
      </c>
      <c r="Z3403" s="115">
        <f>_xll.qlCalendarAdvance(Calendar,Y3403,NDays&amp;"D")</f>
        <v>63067</v>
      </c>
      <c r="AA3403" s="116" t="e">
        <v>#N/A</v>
      </c>
      <c r="AB3403" s="113" t="e">
        <v>#N/A</v>
      </c>
    </row>
    <row r="3404" spans="17:28" x14ac:dyDescent="0.2">
      <c r="Q3404" s="72"/>
      <c r="T3404" s="72"/>
      <c r="U3404" s="93"/>
      <c r="X3404" s="114" t="str">
        <f t="shared" si="65"/>
        <v>1w</v>
      </c>
      <c r="Y3404" s="112">
        <f>_xll.qlCalendarAdvance(Calendar,Y3403,X3404,"f",FALSE)</f>
        <v>63074</v>
      </c>
      <c r="Z3404" s="115">
        <f>_xll.qlCalendarAdvance(Calendar,Y3404,NDays&amp;"D")</f>
        <v>63074</v>
      </c>
      <c r="AA3404" s="116" t="e">
        <v>#N/A</v>
      </c>
      <c r="AB3404" s="113" t="e">
        <v>#N/A</v>
      </c>
    </row>
    <row r="3405" spans="17:28" x14ac:dyDescent="0.2">
      <c r="Q3405" s="72"/>
      <c r="T3405" s="72"/>
      <c r="U3405" s="93"/>
      <c r="X3405" s="114" t="str">
        <f t="shared" si="65"/>
        <v>1w</v>
      </c>
      <c r="Y3405" s="112">
        <f>_xll.qlCalendarAdvance(Calendar,Y3404,X3405,"f",FALSE)</f>
        <v>63081</v>
      </c>
      <c r="Z3405" s="115">
        <f>_xll.qlCalendarAdvance(Calendar,Y3405,NDays&amp;"D")</f>
        <v>63081</v>
      </c>
      <c r="AA3405" s="116" t="e">
        <v>#N/A</v>
      </c>
      <c r="AB3405" s="113" t="e">
        <v>#N/A</v>
      </c>
    </row>
    <row r="3406" spans="17:28" x14ac:dyDescent="0.2">
      <c r="Q3406" s="72"/>
      <c r="T3406" s="72"/>
      <c r="U3406" s="93"/>
      <c r="X3406" s="114" t="str">
        <f t="shared" si="65"/>
        <v>1w</v>
      </c>
      <c r="Y3406" s="112">
        <f>_xll.qlCalendarAdvance(Calendar,Y3405,X3406,"f",FALSE)</f>
        <v>63088</v>
      </c>
      <c r="Z3406" s="115">
        <f>_xll.qlCalendarAdvance(Calendar,Y3406,NDays&amp;"D")</f>
        <v>63088</v>
      </c>
      <c r="AA3406" s="116" t="e">
        <v>#N/A</v>
      </c>
      <c r="AB3406" s="113" t="e">
        <v>#N/A</v>
      </c>
    </row>
    <row r="3407" spans="17:28" x14ac:dyDescent="0.2">
      <c r="Q3407" s="72"/>
      <c r="T3407" s="72"/>
      <c r="U3407" s="93"/>
      <c r="X3407" s="114" t="str">
        <f t="shared" si="65"/>
        <v>1w</v>
      </c>
      <c r="Y3407" s="112">
        <f>_xll.qlCalendarAdvance(Calendar,Y3406,X3407,"f",FALSE)</f>
        <v>63095</v>
      </c>
      <c r="Z3407" s="115">
        <f>_xll.qlCalendarAdvance(Calendar,Y3407,NDays&amp;"D")</f>
        <v>63095</v>
      </c>
      <c r="AA3407" s="116" t="e">
        <v>#N/A</v>
      </c>
      <c r="AB3407" s="113" t="e">
        <v>#N/A</v>
      </c>
    </row>
    <row r="3408" spans="17:28" x14ac:dyDescent="0.2">
      <c r="Q3408" s="72"/>
      <c r="T3408" s="72"/>
      <c r="U3408" s="93"/>
      <c r="X3408" s="114" t="str">
        <f t="shared" si="65"/>
        <v>1w</v>
      </c>
      <c r="Y3408" s="112">
        <f>_xll.qlCalendarAdvance(Calendar,Y3407,X3408,"f",FALSE)</f>
        <v>63102</v>
      </c>
      <c r="Z3408" s="115">
        <f>_xll.qlCalendarAdvance(Calendar,Y3408,NDays&amp;"D")</f>
        <v>63102</v>
      </c>
      <c r="AA3408" s="116" t="e">
        <v>#N/A</v>
      </c>
      <c r="AB3408" s="113" t="e">
        <v>#N/A</v>
      </c>
    </row>
    <row r="3409" spans="17:28" x14ac:dyDescent="0.2">
      <c r="Q3409" s="72"/>
      <c r="T3409" s="72"/>
      <c r="U3409" s="93"/>
      <c r="X3409" s="114" t="str">
        <f t="shared" si="65"/>
        <v>1w</v>
      </c>
      <c r="Y3409" s="112">
        <f>_xll.qlCalendarAdvance(Calendar,Y3408,X3409,"f",FALSE)</f>
        <v>63109</v>
      </c>
      <c r="Z3409" s="115">
        <f>_xll.qlCalendarAdvance(Calendar,Y3409,NDays&amp;"D")</f>
        <v>63109</v>
      </c>
      <c r="AA3409" s="116" t="e">
        <v>#N/A</v>
      </c>
      <c r="AB3409" s="113" t="e">
        <v>#N/A</v>
      </c>
    </row>
    <row r="3410" spans="17:28" x14ac:dyDescent="0.2">
      <c r="Q3410" s="72"/>
      <c r="T3410" s="72"/>
      <c r="U3410" s="93"/>
      <c r="X3410" s="114" t="str">
        <f t="shared" si="65"/>
        <v>1w</v>
      </c>
      <c r="Y3410" s="112">
        <f>_xll.qlCalendarAdvance(Calendar,Y3409,X3410,"f",FALSE)</f>
        <v>63116</v>
      </c>
      <c r="Z3410" s="115">
        <f>_xll.qlCalendarAdvance(Calendar,Y3410,NDays&amp;"D")</f>
        <v>63116</v>
      </c>
      <c r="AA3410" s="116" t="e">
        <v>#N/A</v>
      </c>
      <c r="AB3410" s="113" t="e">
        <v>#N/A</v>
      </c>
    </row>
    <row r="3411" spans="17:28" x14ac:dyDescent="0.2">
      <c r="Q3411" s="72"/>
      <c r="T3411" s="72"/>
      <c r="U3411" s="93"/>
      <c r="X3411" s="114" t="str">
        <f t="shared" si="65"/>
        <v>1w</v>
      </c>
      <c r="Y3411" s="112">
        <f>_xll.qlCalendarAdvance(Calendar,Y3410,X3411,"f",FALSE)</f>
        <v>63123</v>
      </c>
      <c r="Z3411" s="115">
        <f>_xll.qlCalendarAdvance(Calendar,Y3411,NDays&amp;"D")</f>
        <v>63123</v>
      </c>
      <c r="AA3411" s="116" t="e">
        <v>#N/A</v>
      </c>
      <c r="AB3411" s="113" t="e">
        <v>#N/A</v>
      </c>
    </row>
    <row r="3412" spans="17:28" x14ac:dyDescent="0.2">
      <c r="Q3412" s="72"/>
      <c r="T3412" s="72"/>
      <c r="U3412" s="93"/>
      <c r="X3412" s="114" t="str">
        <f t="shared" si="65"/>
        <v>1w</v>
      </c>
      <c r="Y3412" s="112">
        <f>_xll.qlCalendarAdvance(Calendar,Y3411,X3412,"f",FALSE)</f>
        <v>63130</v>
      </c>
      <c r="Z3412" s="115">
        <f>_xll.qlCalendarAdvance(Calendar,Y3412,NDays&amp;"D")</f>
        <v>63130</v>
      </c>
      <c r="AA3412" s="116" t="e">
        <v>#N/A</v>
      </c>
      <c r="AB3412" s="113" t="e">
        <v>#N/A</v>
      </c>
    </row>
    <row r="3413" spans="17:28" x14ac:dyDescent="0.2">
      <c r="Q3413" s="72"/>
      <c r="T3413" s="72"/>
      <c r="U3413" s="93"/>
      <c r="X3413" s="114" t="str">
        <f t="shared" ref="X3413:X3476" si="66">X3412</f>
        <v>1w</v>
      </c>
      <c r="Y3413" s="112">
        <f>_xll.qlCalendarAdvance(Calendar,Y3412,X3413,"f",FALSE)</f>
        <v>63137</v>
      </c>
      <c r="Z3413" s="115">
        <f>_xll.qlCalendarAdvance(Calendar,Y3413,NDays&amp;"D")</f>
        <v>63137</v>
      </c>
      <c r="AA3413" s="116" t="e">
        <v>#N/A</v>
      </c>
      <c r="AB3413" s="113" t="e">
        <v>#N/A</v>
      </c>
    </row>
    <row r="3414" spans="17:28" x14ac:dyDescent="0.2">
      <c r="Q3414" s="72"/>
      <c r="T3414" s="72"/>
      <c r="U3414" s="93"/>
      <c r="X3414" s="114" t="str">
        <f t="shared" si="66"/>
        <v>1w</v>
      </c>
      <c r="Y3414" s="112">
        <f>_xll.qlCalendarAdvance(Calendar,Y3413,X3414,"f",FALSE)</f>
        <v>63144</v>
      </c>
      <c r="Z3414" s="115">
        <f>_xll.qlCalendarAdvance(Calendar,Y3414,NDays&amp;"D")</f>
        <v>63144</v>
      </c>
      <c r="AA3414" s="116" t="e">
        <v>#N/A</v>
      </c>
      <c r="AB3414" s="113" t="e">
        <v>#N/A</v>
      </c>
    </row>
    <row r="3415" spans="17:28" x14ac:dyDescent="0.2">
      <c r="Q3415" s="72"/>
      <c r="T3415" s="72"/>
      <c r="U3415" s="93"/>
      <c r="X3415" s="114" t="str">
        <f t="shared" si="66"/>
        <v>1w</v>
      </c>
      <c r="Y3415" s="112">
        <f>_xll.qlCalendarAdvance(Calendar,Y3414,X3415,"f",FALSE)</f>
        <v>63151</v>
      </c>
      <c r="Z3415" s="115">
        <f>_xll.qlCalendarAdvance(Calendar,Y3415,NDays&amp;"D")</f>
        <v>63151</v>
      </c>
      <c r="AA3415" s="116" t="e">
        <v>#N/A</v>
      </c>
      <c r="AB3415" s="113" t="e">
        <v>#N/A</v>
      </c>
    </row>
    <row r="3416" spans="17:28" x14ac:dyDescent="0.2">
      <c r="Q3416" s="72"/>
      <c r="T3416" s="72"/>
      <c r="U3416" s="93"/>
      <c r="X3416" s="114" t="str">
        <f t="shared" si="66"/>
        <v>1w</v>
      </c>
      <c r="Y3416" s="112">
        <f>_xll.qlCalendarAdvance(Calendar,Y3415,X3416,"f",FALSE)</f>
        <v>63158</v>
      </c>
      <c r="Z3416" s="115">
        <f>_xll.qlCalendarAdvance(Calendar,Y3416,NDays&amp;"D")</f>
        <v>63158</v>
      </c>
      <c r="AA3416" s="116" t="e">
        <v>#N/A</v>
      </c>
      <c r="AB3416" s="113" t="e">
        <v>#N/A</v>
      </c>
    </row>
    <row r="3417" spans="17:28" x14ac:dyDescent="0.2">
      <c r="Q3417" s="72"/>
      <c r="T3417" s="72"/>
      <c r="U3417" s="93"/>
      <c r="X3417" s="114" t="str">
        <f t="shared" si="66"/>
        <v>1w</v>
      </c>
      <c r="Y3417" s="112">
        <f>_xll.qlCalendarAdvance(Calendar,Y3416,X3417,"f",FALSE)</f>
        <v>63165</v>
      </c>
      <c r="Z3417" s="115">
        <f>_xll.qlCalendarAdvance(Calendar,Y3417,NDays&amp;"D")</f>
        <v>63165</v>
      </c>
      <c r="AA3417" s="116" t="e">
        <v>#N/A</v>
      </c>
      <c r="AB3417" s="113" t="e">
        <v>#N/A</v>
      </c>
    </row>
    <row r="3418" spans="17:28" x14ac:dyDescent="0.2">
      <c r="Q3418" s="72"/>
      <c r="T3418" s="72"/>
      <c r="U3418" s="93"/>
      <c r="X3418" s="114" t="str">
        <f t="shared" si="66"/>
        <v>1w</v>
      </c>
      <c r="Y3418" s="112">
        <f>_xll.qlCalendarAdvance(Calendar,Y3417,X3418,"f",FALSE)</f>
        <v>63172</v>
      </c>
      <c r="Z3418" s="115">
        <f>_xll.qlCalendarAdvance(Calendar,Y3418,NDays&amp;"D")</f>
        <v>63172</v>
      </c>
      <c r="AA3418" s="116" t="e">
        <v>#N/A</v>
      </c>
      <c r="AB3418" s="113" t="e">
        <v>#N/A</v>
      </c>
    </row>
    <row r="3419" spans="17:28" x14ac:dyDescent="0.2">
      <c r="Q3419" s="72"/>
      <c r="T3419" s="72"/>
      <c r="U3419" s="93"/>
      <c r="X3419" s="114" t="str">
        <f t="shared" si="66"/>
        <v>1w</v>
      </c>
      <c r="Y3419" s="112">
        <f>_xll.qlCalendarAdvance(Calendar,Y3418,X3419,"f",FALSE)</f>
        <v>63179</v>
      </c>
      <c r="Z3419" s="115">
        <f>_xll.qlCalendarAdvance(Calendar,Y3419,NDays&amp;"D")</f>
        <v>63179</v>
      </c>
      <c r="AA3419" s="116" t="e">
        <v>#N/A</v>
      </c>
      <c r="AB3419" s="113" t="e">
        <v>#N/A</v>
      </c>
    </row>
    <row r="3420" spans="17:28" x14ac:dyDescent="0.2">
      <c r="Q3420" s="72"/>
      <c r="T3420" s="72"/>
      <c r="U3420" s="93"/>
      <c r="X3420" s="114" t="str">
        <f t="shared" si="66"/>
        <v>1w</v>
      </c>
      <c r="Y3420" s="112">
        <f>_xll.qlCalendarAdvance(Calendar,Y3419,X3420,"f",FALSE)</f>
        <v>63186</v>
      </c>
      <c r="Z3420" s="115">
        <f>_xll.qlCalendarAdvance(Calendar,Y3420,NDays&amp;"D")</f>
        <v>63186</v>
      </c>
      <c r="AA3420" s="116" t="e">
        <v>#N/A</v>
      </c>
      <c r="AB3420" s="113" t="e">
        <v>#N/A</v>
      </c>
    </row>
    <row r="3421" spans="17:28" x14ac:dyDescent="0.2">
      <c r="Q3421" s="72"/>
      <c r="T3421" s="72"/>
      <c r="U3421" s="93"/>
      <c r="X3421" s="114" t="str">
        <f t="shared" si="66"/>
        <v>1w</v>
      </c>
      <c r="Y3421" s="112">
        <f>_xll.qlCalendarAdvance(Calendar,Y3420,X3421,"f",FALSE)</f>
        <v>63193</v>
      </c>
      <c r="Z3421" s="115">
        <f>_xll.qlCalendarAdvance(Calendar,Y3421,NDays&amp;"D")</f>
        <v>63193</v>
      </c>
      <c r="AA3421" s="116" t="e">
        <v>#N/A</v>
      </c>
      <c r="AB3421" s="113" t="e">
        <v>#N/A</v>
      </c>
    </row>
    <row r="3422" spans="17:28" x14ac:dyDescent="0.2">
      <c r="Q3422" s="72"/>
      <c r="T3422" s="72"/>
      <c r="U3422" s="93"/>
      <c r="X3422" s="114" t="str">
        <f t="shared" si="66"/>
        <v>1w</v>
      </c>
      <c r="Y3422" s="112">
        <f>_xll.qlCalendarAdvance(Calendar,Y3421,X3422,"f",FALSE)</f>
        <v>63200</v>
      </c>
      <c r="Z3422" s="115">
        <f>_xll.qlCalendarAdvance(Calendar,Y3422,NDays&amp;"D")</f>
        <v>63200</v>
      </c>
      <c r="AA3422" s="116" t="e">
        <v>#N/A</v>
      </c>
      <c r="AB3422" s="113" t="e">
        <v>#N/A</v>
      </c>
    </row>
    <row r="3423" spans="17:28" x14ac:dyDescent="0.2">
      <c r="Q3423" s="72"/>
      <c r="T3423" s="72"/>
      <c r="U3423" s="93"/>
      <c r="X3423" s="114" t="str">
        <f t="shared" si="66"/>
        <v>1w</v>
      </c>
      <c r="Y3423" s="112">
        <f>_xll.qlCalendarAdvance(Calendar,Y3422,X3423,"f",FALSE)</f>
        <v>63207</v>
      </c>
      <c r="Z3423" s="115">
        <f>_xll.qlCalendarAdvance(Calendar,Y3423,NDays&amp;"D")</f>
        <v>63207</v>
      </c>
      <c r="AA3423" s="116" t="e">
        <v>#N/A</v>
      </c>
      <c r="AB3423" s="113" t="e">
        <v>#N/A</v>
      </c>
    </row>
    <row r="3424" spans="17:28" x14ac:dyDescent="0.2">
      <c r="Q3424" s="72"/>
      <c r="T3424" s="72"/>
      <c r="U3424" s="93"/>
      <c r="X3424" s="114" t="str">
        <f t="shared" si="66"/>
        <v>1w</v>
      </c>
      <c r="Y3424" s="112">
        <f>_xll.qlCalendarAdvance(Calendar,Y3423,X3424,"f",FALSE)</f>
        <v>63214</v>
      </c>
      <c r="Z3424" s="115">
        <f>_xll.qlCalendarAdvance(Calendar,Y3424,NDays&amp;"D")</f>
        <v>63214</v>
      </c>
      <c r="AA3424" s="116" t="e">
        <v>#N/A</v>
      </c>
      <c r="AB3424" s="113" t="e">
        <v>#N/A</v>
      </c>
    </row>
    <row r="3425" spans="17:28" x14ac:dyDescent="0.2">
      <c r="Q3425" s="72"/>
      <c r="T3425" s="72"/>
      <c r="U3425" s="93"/>
      <c r="X3425" s="114" t="str">
        <f t="shared" si="66"/>
        <v>1w</v>
      </c>
      <c r="Y3425" s="112">
        <f>_xll.qlCalendarAdvance(Calendar,Y3424,X3425,"f",FALSE)</f>
        <v>63221</v>
      </c>
      <c r="Z3425" s="115">
        <f>_xll.qlCalendarAdvance(Calendar,Y3425,NDays&amp;"D")</f>
        <v>63221</v>
      </c>
      <c r="AA3425" s="116" t="e">
        <v>#N/A</v>
      </c>
      <c r="AB3425" s="113" t="e">
        <v>#N/A</v>
      </c>
    </row>
    <row r="3426" spans="17:28" x14ac:dyDescent="0.2">
      <c r="Q3426" s="72"/>
      <c r="T3426" s="72"/>
      <c r="U3426" s="93"/>
      <c r="X3426" s="114" t="str">
        <f t="shared" si="66"/>
        <v>1w</v>
      </c>
      <c r="Y3426" s="112">
        <f>_xll.qlCalendarAdvance(Calendar,Y3425,X3426,"f",FALSE)</f>
        <v>63228</v>
      </c>
      <c r="Z3426" s="115">
        <f>_xll.qlCalendarAdvance(Calendar,Y3426,NDays&amp;"D")</f>
        <v>63228</v>
      </c>
      <c r="AA3426" s="116" t="e">
        <v>#N/A</v>
      </c>
      <c r="AB3426" s="113" t="e">
        <v>#N/A</v>
      </c>
    </row>
    <row r="3427" spans="17:28" x14ac:dyDescent="0.2">
      <c r="Q3427" s="72"/>
      <c r="T3427" s="72"/>
      <c r="U3427" s="93"/>
      <c r="X3427" s="114" t="str">
        <f t="shared" si="66"/>
        <v>1w</v>
      </c>
      <c r="Y3427" s="112">
        <f>_xll.qlCalendarAdvance(Calendar,Y3426,X3427,"f",FALSE)</f>
        <v>63235</v>
      </c>
      <c r="Z3427" s="115">
        <f>_xll.qlCalendarAdvance(Calendar,Y3427,NDays&amp;"D")</f>
        <v>63235</v>
      </c>
      <c r="AA3427" s="116" t="e">
        <v>#N/A</v>
      </c>
      <c r="AB3427" s="113" t="e">
        <v>#N/A</v>
      </c>
    </row>
    <row r="3428" spans="17:28" x14ac:dyDescent="0.2">
      <c r="Q3428" s="72"/>
      <c r="T3428" s="72"/>
      <c r="U3428" s="93"/>
      <c r="X3428" s="114" t="str">
        <f t="shared" si="66"/>
        <v>1w</v>
      </c>
      <c r="Y3428" s="112">
        <f>_xll.qlCalendarAdvance(Calendar,Y3427,X3428,"f",FALSE)</f>
        <v>63242</v>
      </c>
      <c r="Z3428" s="115">
        <f>_xll.qlCalendarAdvance(Calendar,Y3428,NDays&amp;"D")</f>
        <v>63242</v>
      </c>
      <c r="AA3428" s="116" t="e">
        <v>#N/A</v>
      </c>
      <c r="AB3428" s="113" t="e">
        <v>#N/A</v>
      </c>
    </row>
    <row r="3429" spans="17:28" x14ac:dyDescent="0.2">
      <c r="Q3429" s="72"/>
      <c r="T3429" s="72"/>
      <c r="U3429" s="93"/>
      <c r="X3429" s="114" t="str">
        <f t="shared" si="66"/>
        <v>1w</v>
      </c>
      <c r="Y3429" s="112">
        <f>_xll.qlCalendarAdvance(Calendar,Y3428,X3429,"f",FALSE)</f>
        <v>63249</v>
      </c>
      <c r="Z3429" s="115">
        <f>_xll.qlCalendarAdvance(Calendar,Y3429,NDays&amp;"D")</f>
        <v>63249</v>
      </c>
      <c r="AA3429" s="116" t="e">
        <v>#N/A</v>
      </c>
      <c r="AB3429" s="113" t="e">
        <v>#N/A</v>
      </c>
    </row>
    <row r="3430" spans="17:28" x14ac:dyDescent="0.2">
      <c r="Q3430" s="72"/>
      <c r="T3430" s="72"/>
      <c r="U3430" s="93"/>
      <c r="X3430" s="114" t="str">
        <f t="shared" si="66"/>
        <v>1w</v>
      </c>
      <c r="Y3430" s="112">
        <f>_xll.qlCalendarAdvance(Calendar,Y3429,X3430,"f",FALSE)</f>
        <v>63256</v>
      </c>
      <c r="Z3430" s="115">
        <f>_xll.qlCalendarAdvance(Calendar,Y3430,NDays&amp;"D")</f>
        <v>63256</v>
      </c>
      <c r="AA3430" s="116" t="e">
        <v>#N/A</v>
      </c>
      <c r="AB3430" s="113" t="e">
        <v>#N/A</v>
      </c>
    </row>
    <row r="3431" spans="17:28" x14ac:dyDescent="0.2">
      <c r="Q3431" s="72"/>
      <c r="T3431" s="72"/>
      <c r="U3431" s="93"/>
      <c r="X3431" s="114" t="str">
        <f t="shared" si="66"/>
        <v>1w</v>
      </c>
      <c r="Y3431" s="112">
        <f>_xll.qlCalendarAdvance(Calendar,Y3430,X3431,"f",FALSE)</f>
        <v>63263</v>
      </c>
      <c r="Z3431" s="115">
        <f>_xll.qlCalendarAdvance(Calendar,Y3431,NDays&amp;"D")</f>
        <v>63263</v>
      </c>
      <c r="AA3431" s="116" t="e">
        <v>#N/A</v>
      </c>
      <c r="AB3431" s="113" t="e">
        <v>#N/A</v>
      </c>
    </row>
    <row r="3432" spans="17:28" x14ac:dyDescent="0.2">
      <c r="Q3432" s="72"/>
      <c r="T3432" s="72"/>
      <c r="U3432" s="93"/>
      <c r="X3432" s="114" t="str">
        <f t="shared" si="66"/>
        <v>1w</v>
      </c>
      <c r="Y3432" s="112">
        <f>_xll.qlCalendarAdvance(Calendar,Y3431,X3432,"f",FALSE)</f>
        <v>63270</v>
      </c>
      <c r="Z3432" s="115">
        <f>_xll.qlCalendarAdvance(Calendar,Y3432,NDays&amp;"D")</f>
        <v>63270</v>
      </c>
      <c r="AA3432" s="116" t="e">
        <v>#N/A</v>
      </c>
      <c r="AB3432" s="113" t="e">
        <v>#N/A</v>
      </c>
    </row>
    <row r="3433" spans="17:28" x14ac:dyDescent="0.2">
      <c r="Q3433" s="72"/>
      <c r="T3433" s="72"/>
      <c r="U3433" s="93"/>
      <c r="X3433" s="114" t="str">
        <f t="shared" si="66"/>
        <v>1w</v>
      </c>
      <c r="Y3433" s="112">
        <f>_xll.qlCalendarAdvance(Calendar,Y3432,X3433,"f",FALSE)</f>
        <v>63277</v>
      </c>
      <c r="Z3433" s="115">
        <f>_xll.qlCalendarAdvance(Calendar,Y3433,NDays&amp;"D")</f>
        <v>63277</v>
      </c>
      <c r="AA3433" s="116" t="e">
        <v>#N/A</v>
      </c>
      <c r="AB3433" s="113" t="e">
        <v>#N/A</v>
      </c>
    </row>
    <row r="3434" spans="17:28" x14ac:dyDescent="0.2">
      <c r="Q3434" s="72"/>
      <c r="T3434" s="72"/>
      <c r="U3434" s="93"/>
      <c r="X3434" s="114" t="str">
        <f t="shared" si="66"/>
        <v>1w</v>
      </c>
      <c r="Y3434" s="112">
        <f>_xll.qlCalendarAdvance(Calendar,Y3433,X3434,"f",FALSE)</f>
        <v>63284</v>
      </c>
      <c r="Z3434" s="115">
        <f>_xll.qlCalendarAdvance(Calendar,Y3434,NDays&amp;"D")</f>
        <v>63284</v>
      </c>
      <c r="AA3434" s="116" t="e">
        <v>#N/A</v>
      </c>
      <c r="AB3434" s="113" t="e">
        <v>#N/A</v>
      </c>
    </row>
    <row r="3435" spans="17:28" x14ac:dyDescent="0.2">
      <c r="Q3435" s="72"/>
      <c r="T3435" s="72"/>
      <c r="U3435" s="93"/>
      <c r="X3435" s="114" t="str">
        <f t="shared" si="66"/>
        <v>1w</v>
      </c>
      <c r="Y3435" s="112">
        <f>_xll.qlCalendarAdvance(Calendar,Y3434,X3435,"f",FALSE)</f>
        <v>63291</v>
      </c>
      <c r="Z3435" s="115">
        <f>_xll.qlCalendarAdvance(Calendar,Y3435,NDays&amp;"D")</f>
        <v>63291</v>
      </c>
      <c r="AA3435" s="116" t="e">
        <v>#N/A</v>
      </c>
      <c r="AB3435" s="113" t="e">
        <v>#N/A</v>
      </c>
    </row>
    <row r="3436" spans="17:28" x14ac:dyDescent="0.2">
      <c r="Q3436" s="72"/>
      <c r="T3436" s="72"/>
      <c r="U3436" s="93"/>
      <c r="X3436" s="114" t="str">
        <f t="shared" si="66"/>
        <v>1w</v>
      </c>
      <c r="Y3436" s="112">
        <f>_xll.qlCalendarAdvance(Calendar,Y3435,X3436,"f",FALSE)</f>
        <v>63298</v>
      </c>
      <c r="Z3436" s="115">
        <f>_xll.qlCalendarAdvance(Calendar,Y3436,NDays&amp;"D")</f>
        <v>63298</v>
      </c>
      <c r="AA3436" s="116" t="e">
        <v>#N/A</v>
      </c>
      <c r="AB3436" s="113" t="e">
        <v>#N/A</v>
      </c>
    </row>
    <row r="3437" spans="17:28" x14ac:dyDescent="0.2">
      <c r="Q3437" s="72"/>
      <c r="T3437" s="72"/>
      <c r="U3437" s="93"/>
      <c r="X3437" s="114" t="str">
        <f t="shared" si="66"/>
        <v>1w</v>
      </c>
      <c r="Y3437" s="112">
        <f>_xll.qlCalendarAdvance(Calendar,Y3436,X3437,"f",FALSE)</f>
        <v>63305</v>
      </c>
      <c r="Z3437" s="115">
        <f>_xll.qlCalendarAdvance(Calendar,Y3437,NDays&amp;"D")</f>
        <v>63305</v>
      </c>
      <c r="AA3437" s="116" t="e">
        <v>#N/A</v>
      </c>
      <c r="AB3437" s="113" t="e">
        <v>#N/A</v>
      </c>
    </row>
    <row r="3438" spans="17:28" x14ac:dyDescent="0.2">
      <c r="Q3438" s="72"/>
      <c r="T3438" s="72"/>
      <c r="U3438" s="93"/>
      <c r="X3438" s="114" t="str">
        <f t="shared" si="66"/>
        <v>1w</v>
      </c>
      <c r="Y3438" s="112">
        <f>_xll.qlCalendarAdvance(Calendar,Y3437,X3438,"f",FALSE)</f>
        <v>63312</v>
      </c>
      <c r="Z3438" s="115">
        <f>_xll.qlCalendarAdvance(Calendar,Y3438,NDays&amp;"D")</f>
        <v>63312</v>
      </c>
      <c r="AA3438" s="116" t="e">
        <v>#N/A</v>
      </c>
      <c r="AB3438" s="113" t="e">
        <v>#N/A</v>
      </c>
    </row>
    <row r="3439" spans="17:28" x14ac:dyDescent="0.2">
      <c r="Q3439" s="72"/>
      <c r="T3439" s="72"/>
      <c r="U3439" s="93"/>
      <c r="X3439" s="114" t="str">
        <f t="shared" si="66"/>
        <v>1w</v>
      </c>
      <c r="Y3439" s="112">
        <f>_xll.qlCalendarAdvance(Calendar,Y3438,X3439,"f",FALSE)</f>
        <v>63319</v>
      </c>
      <c r="Z3439" s="115">
        <f>_xll.qlCalendarAdvance(Calendar,Y3439,NDays&amp;"D")</f>
        <v>63319</v>
      </c>
      <c r="AA3439" s="116" t="e">
        <v>#N/A</v>
      </c>
      <c r="AB3439" s="113" t="e">
        <v>#N/A</v>
      </c>
    </row>
    <row r="3440" spans="17:28" x14ac:dyDescent="0.2">
      <c r="Q3440" s="72"/>
      <c r="T3440" s="72"/>
      <c r="U3440" s="93"/>
      <c r="X3440" s="114" t="str">
        <f t="shared" si="66"/>
        <v>1w</v>
      </c>
      <c r="Y3440" s="112">
        <f>_xll.qlCalendarAdvance(Calendar,Y3439,X3440,"f",FALSE)</f>
        <v>63326</v>
      </c>
      <c r="Z3440" s="115">
        <f>_xll.qlCalendarAdvance(Calendar,Y3440,NDays&amp;"D")</f>
        <v>63326</v>
      </c>
      <c r="AA3440" s="116" t="e">
        <v>#N/A</v>
      </c>
      <c r="AB3440" s="113" t="e">
        <v>#N/A</v>
      </c>
    </row>
    <row r="3441" spans="17:28" x14ac:dyDescent="0.2">
      <c r="Q3441" s="72"/>
      <c r="T3441" s="72"/>
      <c r="U3441" s="93"/>
      <c r="X3441" s="114" t="str">
        <f t="shared" si="66"/>
        <v>1w</v>
      </c>
      <c r="Y3441" s="112">
        <f>_xll.qlCalendarAdvance(Calendar,Y3440,X3441,"f",FALSE)</f>
        <v>63333</v>
      </c>
      <c r="Z3441" s="115">
        <f>_xll.qlCalendarAdvance(Calendar,Y3441,NDays&amp;"D")</f>
        <v>63333</v>
      </c>
      <c r="AA3441" s="116" t="e">
        <v>#N/A</v>
      </c>
      <c r="AB3441" s="113" t="e">
        <v>#N/A</v>
      </c>
    </row>
    <row r="3442" spans="17:28" x14ac:dyDescent="0.2">
      <c r="Q3442" s="72"/>
      <c r="T3442" s="72"/>
      <c r="U3442" s="93"/>
      <c r="X3442" s="114" t="str">
        <f t="shared" si="66"/>
        <v>1w</v>
      </c>
      <c r="Y3442" s="112">
        <f>_xll.qlCalendarAdvance(Calendar,Y3441,X3442,"f",FALSE)</f>
        <v>63340</v>
      </c>
      <c r="Z3442" s="115">
        <f>_xll.qlCalendarAdvance(Calendar,Y3442,NDays&amp;"D")</f>
        <v>63340</v>
      </c>
      <c r="AA3442" s="116" t="e">
        <v>#N/A</v>
      </c>
      <c r="AB3442" s="113" t="e">
        <v>#N/A</v>
      </c>
    </row>
    <row r="3443" spans="17:28" x14ac:dyDescent="0.2">
      <c r="Q3443" s="72"/>
      <c r="T3443" s="72"/>
      <c r="U3443" s="93"/>
      <c r="X3443" s="114" t="str">
        <f t="shared" si="66"/>
        <v>1w</v>
      </c>
      <c r="Y3443" s="112">
        <f>_xll.qlCalendarAdvance(Calendar,Y3442,X3443,"f",FALSE)</f>
        <v>63347</v>
      </c>
      <c r="Z3443" s="115">
        <f>_xll.qlCalendarAdvance(Calendar,Y3443,NDays&amp;"D")</f>
        <v>63347</v>
      </c>
      <c r="AA3443" s="116" t="e">
        <v>#N/A</v>
      </c>
      <c r="AB3443" s="113" t="e">
        <v>#N/A</v>
      </c>
    </row>
    <row r="3444" spans="17:28" x14ac:dyDescent="0.2">
      <c r="Q3444" s="72"/>
      <c r="T3444" s="72"/>
      <c r="U3444" s="93"/>
      <c r="X3444" s="114" t="str">
        <f t="shared" si="66"/>
        <v>1w</v>
      </c>
      <c r="Y3444" s="112">
        <f>_xll.qlCalendarAdvance(Calendar,Y3443,X3444,"f",FALSE)</f>
        <v>63354</v>
      </c>
      <c r="Z3444" s="115">
        <f>_xll.qlCalendarAdvance(Calendar,Y3444,NDays&amp;"D")</f>
        <v>63354</v>
      </c>
      <c r="AA3444" s="116" t="e">
        <v>#N/A</v>
      </c>
      <c r="AB3444" s="113" t="e">
        <v>#N/A</v>
      </c>
    </row>
    <row r="3445" spans="17:28" x14ac:dyDescent="0.2">
      <c r="Q3445" s="72"/>
      <c r="T3445" s="72"/>
      <c r="U3445" s="93"/>
      <c r="X3445" s="114" t="str">
        <f t="shared" si="66"/>
        <v>1w</v>
      </c>
      <c r="Y3445" s="112">
        <f>_xll.qlCalendarAdvance(Calendar,Y3444,X3445,"f",FALSE)</f>
        <v>63361</v>
      </c>
      <c r="Z3445" s="115">
        <f>_xll.qlCalendarAdvance(Calendar,Y3445,NDays&amp;"D")</f>
        <v>63361</v>
      </c>
      <c r="AA3445" s="116" t="e">
        <v>#N/A</v>
      </c>
      <c r="AB3445" s="113" t="e">
        <v>#N/A</v>
      </c>
    </row>
    <row r="3446" spans="17:28" x14ac:dyDescent="0.2">
      <c r="Q3446" s="72"/>
      <c r="T3446" s="72"/>
      <c r="U3446" s="93"/>
      <c r="X3446" s="114" t="str">
        <f t="shared" si="66"/>
        <v>1w</v>
      </c>
      <c r="Y3446" s="112">
        <f>_xll.qlCalendarAdvance(Calendar,Y3445,X3446,"f",FALSE)</f>
        <v>63368</v>
      </c>
      <c r="Z3446" s="115">
        <f>_xll.qlCalendarAdvance(Calendar,Y3446,NDays&amp;"D")</f>
        <v>63368</v>
      </c>
      <c r="AA3446" s="116" t="e">
        <v>#N/A</v>
      </c>
      <c r="AB3446" s="113" t="e">
        <v>#N/A</v>
      </c>
    </row>
    <row r="3447" spans="17:28" x14ac:dyDescent="0.2">
      <c r="Q3447" s="72"/>
      <c r="T3447" s="72"/>
      <c r="U3447" s="93"/>
      <c r="X3447" s="114" t="str">
        <f t="shared" si="66"/>
        <v>1w</v>
      </c>
      <c r="Y3447" s="112">
        <f>_xll.qlCalendarAdvance(Calendar,Y3446,X3447,"f",FALSE)</f>
        <v>63375</v>
      </c>
      <c r="Z3447" s="115">
        <f>_xll.qlCalendarAdvance(Calendar,Y3447,NDays&amp;"D")</f>
        <v>63375</v>
      </c>
      <c r="AA3447" s="116" t="e">
        <v>#N/A</v>
      </c>
      <c r="AB3447" s="113" t="e">
        <v>#N/A</v>
      </c>
    </row>
    <row r="3448" spans="17:28" x14ac:dyDescent="0.2">
      <c r="Q3448" s="72"/>
      <c r="T3448" s="72"/>
      <c r="U3448" s="93"/>
      <c r="X3448" s="114" t="str">
        <f t="shared" si="66"/>
        <v>1w</v>
      </c>
      <c r="Y3448" s="112">
        <f>_xll.qlCalendarAdvance(Calendar,Y3447,X3448,"f",FALSE)</f>
        <v>63382</v>
      </c>
      <c r="Z3448" s="115">
        <f>_xll.qlCalendarAdvance(Calendar,Y3448,NDays&amp;"D")</f>
        <v>63382</v>
      </c>
      <c r="AA3448" s="116" t="e">
        <v>#N/A</v>
      </c>
      <c r="AB3448" s="113" t="e">
        <v>#N/A</v>
      </c>
    </row>
    <row r="3449" spans="17:28" x14ac:dyDescent="0.2">
      <c r="Q3449" s="72"/>
      <c r="T3449" s="72"/>
      <c r="U3449" s="93"/>
      <c r="X3449" s="114" t="str">
        <f t="shared" si="66"/>
        <v>1w</v>
      </c>
      <c r="Y3449" s="112">
        <f>_xll.qlCalendarAdvance(Calendar,Y3448,X3449,"f",FALSE)</f>
        <v>63389</v>
      </c>
      <c r="Z3449" s="115">
        <f>_xll.qlCalendarAdvance(Calendar,Y3449,NDays&amp;"D")</f>
        <v>63389</v>
      </c>
      <c r="AA3449" s="116" t="e">
        <v>#N/A</v>
      </c>
      <c r="AB3449" s="113" t="e">
        <v>#N/A</v>
      </c>
    </row>
    <row r="3450" spans="17:28" x14ac:dyDescent="0.2">
      <c r="Q3450" s="72"/>
      <c r="T3450" s="72"/>
      <c r="U3450" s="93"/>
      <c r="X3450" s="114" t="str">
        <f t="shared" si="66"/>
        <v>1w</v>
      </c>
      <c r="Y3450" s="112">
        <f>_xll.qlCalendarAdvance(Calendar,Y3449,X3450,"f",FALSE)</f>
        <v>63396</v>
      </c>
      <c r="Z3450" s="115">
        <f>_xll.qlCalendarAdvance(Calendar,Y3450,NDays&amp;"D")</f>
        <v>63396</v>
      </c>
      <c r="AA3450" s="116" t="e">
        <v>#N/A</v>
      </c>
      <c r="AB3450" s="113" t="e">
        <v>#N/A</v>
      </c>
    </row>
    <row r="3451" spans="17:28" x14ac:dyDescent="0.2">
      <c r="Q3451" s="72"/>
      <c r="T3451" s="72"/>
      <c r="U3451" s="93"/>
      <c r="X3451" s="114" t="str">
        <f t="shared" si="66"/>
        <v>1w</v>
      </c>
      <c r="Y3451" s="112">
        <f>_xll.qlCalendarAdvance(Calendar,Y3450,X3451,"f",FALSE)</f>
        <v>63403</v>
      </c>
      <c r="Z3451" s="115">
        <f>_xll.qlCalendarAdvance(Calendar,Y3451,NDays&amp;"D")</f>
        <v>63403</v>
      </c>
      <c r="AA3451" s="116" t="e">
        <v>#N/A</v>
      </c>
      <c r="AB3451" s="113" t="e">
        <v>#N/A</v>
      </c>
    </row>
    <row r="3452" spans="17:28" x14ac:dyDescent="0.2">
      <c r="Q3452" s="72"/>
      <c r="T3452" s="72"/>
      <c r="U3452" s="93"/>
      <c r="X3452" s="114" t="str">
        <f t="shared" si="66"/>
        <v>1w</v>
      </c>
      <c r="Y3452" s="112">
        <f>_xll.qlCalendarAdvance(Calendar,Y3451,X3452,"f",FALSE)</f>
        <v>63410</v>
      </c>
      <c r="Z3452" s="115">
        <f>_xll.qlCalendarAdvance(Calendar,Y3452,NDays&amp;"D")</f>
        <v>63410</v>
      </c>
      <c r="AA3452" s="116" t="e">
        <v>#N/A</v>
      </c>
      <c r="AB3452" s="113" t="e">
        <v>#N/A</v>
      </c>
    </row>
    <row r="3453" spans="17:28" x14ac:dyDescent="0.2">
      <c r="Q3453" s="72"/>
      <c r="T3453" s="72"/>
      <c r="U3453" s="93"/>
      <c r="X3453" s="114" t="str">
        <f t="shared" si="66"/>
        <v>1w</v>
      </c>
      <c r="Y3453" s="112">
        <f>_xll.qlCalendarAdvance(Calendar,Y3452,X3453,"f",FALSE)</f>
        <v>63417</v>
      </c>
      <c r="Z3453" s="115">
        <f>_xll.qlCalendarAdvance(Calendar,Y3453,NDays&amp;"D")</f>
        <v>63417</v>
      </c>
      <c r="AA3453" s="116" t="e">
        <v>#N/A</v>
      </c>
      <c r="AB3453" s="113" t="e">
        <v>#N/A</v>
      </c>
    </row>
    <row r="3454" spans="17:28" x14ac:dyDescent="0.2">
      <c r="Q3454" s="72"/>
      <c r="T3454" s="72"/>
      <c r="U3454" s="93"/>
      <c r="X3454" s="114" t="str">
        <f t="shared" si="66"/>
        <v>1w</v>
      </c>
      <c r="Y3454" s="112">
        <f>_xll.qlCalendarAdvance(Calendar,Y3453,X3454,"f",FALSE)</f>
        <v>63424</v>
      </c>
      <c r="Z3454" s="115">
        <f>_xll.qlCalendarAdvance(Calendar,Y3454,NDays&amp;"D")</f>
        <v>63424</v>
      </c>
      <c r="AA3454" s="116" t="e">
        <v>#N/A</v>
      </c>
      <c r="AB3454" s="113" t="e">
        <v>#N/A</v>
      </c>
    </row>
    <row r="3455" spans="17:28" x14ac:dyDescent="0.2">
      <c r="Q3455" s="72"/>
      <c r="T3455" s="72"/>
      <c r="U3455" s="93"/>
      <c r="X3455" s="114" t="str">
        <f t="shared" si="66"/>
        <v>1w</v>
      </c>
      <c r="Y3455" s="112">
        <f>_xll.qlCalendarAdvance(Calendar,Y3454,X3455,"f",FALSE)</f>
        <v>63431</v>
      </c>
      <c r="Z3455" s="115">
        <f>_xll.qlCalendarAdvance(Calendar,Y3455,NDays&amp;"D")</f>
        <v>63431</v>
      </c>
      <c r="AA3455" s="116" t="e">
        <v>#N/A</v>
      </c>
      <c r="AB3455" s="113" t="e">
        <v>#N/A</v>
      </c>
    </row>
    <row r="3456" spans="17:28" x14ac:dyDescent="0.2">
      <c r="Q3456" s="72"/>
      <c r="T3456" s="72"/>
      <c r="U3456" s="93"/>
      <c r="X3456" s="114" t="str">
        <f t="shared" si="66"/>
        <v>1w</v>
      </c>
      <c r="Y3456" s="112">
        <f>_xll.qlCalendarAdvance(Calendar,Y3455,X3456,"f",FALSE)</f>
        <v>63438</v>
      </c>
      <c r="Z3456" s="115">
        <f>_xll.qlCalendarAdvance(Calendar,Y3456,NDays&amp;"D")</f>
        <v>63438</v>
      </c>
      <c r="AA3456" s="116" t="e">
        <v>#N/A</v>
      </c>
      <c r="AB3456" s="113" t="e">
        <v>#N/A</v>
      </c>
    </row>
    <row r="3457" spans="17:28" x14ac:dyDescent="0.2">
      <c r="Q3457" s="72"/>
      <c r="T3457" s="72"/>
      <c r="U3457" s="93"/>
      <c r="X3457" s="114" t="str">
        <f t="shared" si="66"/>
        <v>1w</v>
      </c>
      <c r="Y3457" s="112">
        <f>_xll.qlCalendarAdvance(Calendar,Y3456,X3457,"f",FALSE)</f>
        <v>63445</v>
      </c>
      <c r="Z3457" s="115">
        <f>_xll.qlCalendarAdvance(Calendar,Y3457,NDays&amp;"D")</f>
        <v>63445</v>
      </c>
      <c r="AA3457" s="116" t="e">
        <v>#N/A</v>
      </c>
      <c r="AB3457" s="113" t="e">
        <v>#N/A</v>
      </c>
    </row>
    <row r="3458" spans="17:28" x14ac:dyDescent="0.2">
      <c r="Q3458" s="72"/>
      <c r="T3458" s="72"/>
      <c r="U3458" s="93"/>
      <c r="X3458" s="114" t="str">
        <f t="shared" si="66"/>
        <v>1w</v>
      </c>
      <c r="Y3458" s="112">
        <f>_xll.qlCalendarAdvance(Calendar,Y3457,X3458,"f",FALSE)</f>
        <v>63452</v>
      </c>
      <c r="Z3458" s="115">
        <f>_xll.qlCalendarAdvance(Calendar,Y3458,NDays&amp;"D")</f>
        <v>63452</v>
      </c>
      <c r="AA3458" s="116" t="e">
        <v>#N/A</v>
      </c>
      <c r="AB3458" s="113" t="e">
        <v>#N/A</v>
      </c>
    </row>
    <row r="3459" spans="17:28" x14ac:dyDescent="0.2">
      <c r="Q3459" s="72"/>
      <c r="T3459" s="72"/>
      <c r="U3459" s="93"/>
      <c r="X3459" s="114" t="str">
        <f t="shared" si="66"/>
        <v>1w</v>
      </c>
      <c r="Y3459" s="112">
        <f>_xll.qlCalendarAdvance(Calendar,Y3458,X3459,"f",FALSE)</f>
        <v>63459</v>
      </c>
      <c r="Z3459" s="115">
        <f>_xll.qlCalendarAdvance(Calendar,Y3459,NDays&amp;"D")</f>
        <v>63459</v>
      </c>
      <c r="AA3459" s="116" t="e">
        <v>#N/A</v>
      </c>
      <c r="AB3459" s="113" t="e">
        <v>#N/A</v>
      </c>
    </row>
    <row r="3460" spans="17:28" x14ac:dyDescent="0.2">
      <c r="Q3460" s="72"/>
      <c r="T3460" s="72"/>
      <c r="U3460" s="93"/>
      <c r="X3460" s="114" t="str">
        <f t="shared" si="66"/>
        <v>1w</v>
      </c>
      <c r="Y3460" s="112">
        <f>_xll.qlCalendarAdvance(Calendar,Y3459,X3460,"f",FALSE)</f>
        <v>63466</v>
      </c>
      <c r="Z3460" s="115">
        <f>_xll.qlCalendarAdvance(Calendar,Y3460,NDays&amp;"D")</f>
        <v>63466</v>
      </c>
      <c r="AA3460" s="116" t="e">
        <v>#N/A</v>
      </c>
      <c r="AB3460" s="113" t="e">
        <v>#N/A</v>
      </c>
    </row>
    <row r="3461" spans="17:28" x14ac:dyDescent="0.2">
      <c r="Q3461" s="72"/>
      <c r="T3461" s="72"/>
      <c r="U3461" s="93"/>
      <c r="X3461" s="114" t="str">
        <f t="shared" si="66"/>
        <v>1w</v>
      </c>
      <c r="Y3461" s="112">
        <f>_xll.qlCalendarAdvance(Calendar,Y3460,X3461,"f",FALSE)</f>
        <v>63473</v>
      </c>
      <c r="Z3461" s="115">
        <f>_xll.qlCalendarAdvance(Calendar,Y3461,NDays&amp;"D")</f>
        <v>63473</v>
      </c>
      <c r="AA3461" s="116" t="e">
        <v>#N/A</v>
      </c>
      <c r="AB3461" s="113" t="e">
        <v>#N/A</v>
      </c>
    </row>
    <row r="3462" spans="17:28" x14ac:dyDescent="0.2">
      <c r="Q3462" s="72"/>
      <c r="T3462" s="72"/>
      <c r="U3462" s="93"/>
      <c r="X3462" s="114" t="str">
        <f t="shared" si="66"/>
        <v>1w</v>
      </c>
      <c r="Y3462" s="112">
        <f>_xll.qlCalendarAdvance(Calendar,Y3461,X3462,"f",FALSE)</f>
        <v>63480</v>
      </c>
      <c r="Z3462" s="115">
        <f>_xll.qlCalendarAdvance(Calendar,Y3462,NDays&amp;"D")</f>
        <v>63480</v>
      </c>
      <c r="AA3462" s="116" t="e">
        <v>#N/A</v>
      </c>
      <c r="AB3462" s="113" t="e">
        <v>#N/A</v>
      </c>
    </row>
    <row r="3463" spans="17:28" x14ac:dyDescent="0.2">
      <c r="Q3463" s="72"/>
      <c r="T3463" s="72"/>
      <c r="U3463" s="93"/>
      <c r="X3463" s="114" t="str">
        <f t="shared" si="66"/>
        <v>1w</v>
      </c>
      <c r="Y3463" s="112">
        <f>_xll.qlCalendarAdvance(Calendar,Y3462,X3463,"f",FALSE)</f>
        <v>63487</v>
      </c>
      <c r="Z3463" s="115">
        <f>_xll.qlCalendarAdvance(Calendar,Y3463,NDays&amp;"D")</f>
        <v>63487</v>
      </c>
      <c r="AA3463" s="116" t="e">
        <v>#N/A</v>
      </c>
      <c r="AB3463" s="113" t="e">
        <v>#N/A</v>
      </c>
    </row>
    <row r="3464" spans="17:28" x14ac:dyDescent="0.2">
      <c r="Q3464" s="72"/>
      <c r="T3464" s="72"/>
      <c r="U3464" s="93"/>
      <c r="X3464" s="114" t="str">
        <f t="shared" si="66"/>
        <v>1w</v>
      </c>
      <c r="Y3464" s="112">
        <f>_xll.qlCalendarAdvance(Calendar,Y3463,X3464,"f",FALSE)</f>
        <v>63494</v>
      </c>
      <c r="Z3464" s="115">
        <f>_xll.qlCalendarAdvance(Calendar,Y3464,NDays&amp;"D")</f>
        <v>63494</v>
      </c>
      <c r="AA3464" s="116" t="e">
        <v>#N/A</v>
      </c>
      <c r="AB3464" s="113" t="e">
        <v>#N/A</v>
      </c>
    </row>
    <row r="3465" spans="17:28" x14ac:dyDescent="0.2">
      <c r="Q3465" s="72"/>
      <c r="T3465" s="72"/>
      <c r="U3465" s="93"/>
      <c r="X3465" s="114" t="str">
        <f t="shared" si="66"/>
        <v>1w</v>
      </c>
      <c r="Y3465" s="112">
        <f>_xll.qlCalendarAdvance(Calendar,Y3464,X3465,"f",FALSE)</f>
        <v>63501</v>
      </c>
      <c r="Z3465" s="115">
        <f>_xll.qlCalendarAdvance(Calendar,Y3465,NDays&amp;"D")</f>
        <v>63501</v>
      </c>
      <c r="AA3465" s="116" t="e">
        <v>#N/A</v>
      </c>
      <c r="AB3465" s="113" t="e">
        <v>#N/A</v>
      </c>
    </row>
    <row r="3466" spans="17:28" x14ac:dyDescent="0.2">
      <c r="Q3466" s="72"/>
      <c r="T3466" s="72"/>
      <c r="U3466" s="93"/>
      <c r="X3466" s="114" t="str">
        <f t="shared" si="66"/>
        <v>1w</v>
      </c>
      <c r="Y3466" s="112">
        <f>_xll.qlCalendarAdvance(Calendar,Y3465,X3466,"f",FALSE)</f>
        <v>63508</v>
      </c>
      <c r="Z3466" s="115">
        <f>_xll.qlCalendarAdvance(Calendar,Y3466,NDays&amp;"D")</f>
        <v>63508</v>
      </c>
      <c r="AA3466" s="116" t="e">
        <v>#N/A</v>
      </c>
      <c r="AB3466" s="113" t="e">
        <v>#N/A</v>
      </c>
    </row>
    <row r="3467" spans="17:28" x14ac:dyDescent="0.2">
      <c r="Q3467" s="72"/>
      <c r="T3467" s="72"/>
      <c r="U3467" s="93"/>
      <c r="X3467" s="114" t="str">
        <f t="shared" si="66"/>
        <v>1w</v>
      </c>
      <c r="Y3467" s="112">
        <f>_xll.qlCalendarAdvance(Calendar,Y3466,X3467,"f",FALSE)</f>
        <v>63515</v>
      </c>
      <c r="Z3467" s="115">
        <f>_xll.qlCalendarAdvance(Calendar,Y3467,NDays&amp;"D")</f>
        <v>63515</v>
      </c>
      <c r="AA3467" s="116" t="e">
        <v>#N/A</v>
      </c>
      <c r="AB3467" s="113" t="e">
        <v>#N/A</v>
      </c>
    </row>
    <row r="3468" spans="17:28" x14ac:dyDescent="0.2">
      <c r="Q3468" s="72"/>
      <c r="T3468" s="72"/>
      <c r="U3468" s="93"/>
      <c r="X3468" s="114" t="str">
        <f t="shared" si="66"/>
        <v>1w</v>
      </c>
      <c r="Y3468" s="112">
        <f>_xll.qlCalendarAdvance(Calendar,Y3467,X3468,"f",FALSE)</f>
        <v>63522</v>
      </c>
      <c r="Z3468" s="115">
        <f>_xll.qlCalendarAdvance(Calendar,Y3468,NDays&amp;"D")</f>
        <v>63522</v>
      </c>
      <c r="AA3468" s="116" t="e">
        <v>#N/A</v>
      </c>
      <c r="AB3468" s="113" t="e">
        <v>#N/A</v>
      </c>
    </row>
    <row r="3469" spans="17:28" x14ac:dyDescent="0.2">
      <c r="Q3469" s="72"/>
      <c r="T3469" s="72"/>
      <c r="U3469" s="93"/>
      <c r="X3469" s="114" t="str">
        <f t="shared" si="66"/>
        <v>1w</v>
      </c>
      <c r="Y3469" s="112">
        <f>_xll.qlCalendarAdvance(Calendar,Y3468,X3469,"f",FALSE)</f>
        <v>63529</v>
      </c>
      <c r="Z3469" s="115">
        <f>_xll.qlCalendarAdvance(Calendar,Y3469,NDays&amp;"D")</f>
        <v>63529</v>
      </c>
      <c r="AA3469" s="116" t="e">
        <v>#N/A</v>
      </c>
      <c r="AB3469" s="113" t="e">
        <v>#N/A</v>
      </c>
    </row>
    <row r="3470" spans="17:28" x14ac:dyDescent="0.2">
      <c r="Q3470" s="72"/>
      <c r="T3470" s="72"/>
      <c r="U3470" s="93"/>
      <c r="X3470" s="114" t="str">
        <f t="shared" si="66"/>
        <v>1w</v>
      </c>
      <c r="Y3470" s="112">
        <f>_xll.qlCalendarAdvance(Calendar,Y3469,X3470,"f",FALSE)</f>
        <v>63536</v>
      </c>
      <c r="Z3470" s="115">
        <f>_xll.qlCalendarAdvance(Calendar,Y3470,NDays&amp;"D")</f>
        <v>63536</v>
      </c>
      <c r="AA3470" s="116" t="e">
        <v>#N/A</v>
      </c>
      <c r="AB3470" s="113" t="e">
        <v>#N/A</v>
      </c>
    </row>
    <row r="3471" spans="17:28" x14ac:dyDescent="0.2">
      <c r="Q3471" s="72"/>
      <c r="T3471" s="72"/>
      <c r="U3471" s="93"/>
      <c r="X3471" s="114" t="str">
        <f t="shared" si="66"/>
        <v>1w</v>
      </c>
      <c r="Y3471" s="112">
        <f>_xll.qlCalendarAdvance(Calendar,Y3470,X3471,"f",FALSE)</f>
        <v>63543</v>
      </c>
      <c r="Z3471" s="115">
        <f>_xll.qlCalendarAdvance(Calendar,Y3471,NDays&amp;"D")</f>
        <v>63543</v>
      </c>
      <c r="AA3471" s="116" t="e">
        <v>#N/A</v>
      </c>
      <c r="AB3471" s="113" t="e">
        <v>#N/A</v>
      </c>
    </row>
    <row r="3472" spans="17:28" x14ac:dyDescent="0.2">
      <c r="Q3472" s="72"/>
      <c r="T3472" s="72"/>
      <c r="U3472" s="93"/>
      <c r="X3472" s="114" t="str">
        <f t="shared" si="66"/>
        <v>1w</v>
      </c>
      <c r="Y3472" s="112">
        <f>_xll.qlCalendarAdvance(Calendar,Y3471,X3472,"f",FALSE)</f>
        <v>63550</v>
      </c>
      <c r="Z3472" s="115">
        <f>_xll.qlCalendarAdvance(Calendar,Y3472,NDays&amp;"D")</f>
        <v>63550</v>
      </c>
      <c r="AA3472" s="116" t="e">
        <v>#N/A</v>
      </c>
      <c r="AB3472" s="113" t="e">
        <v>#N/A</v>
      </c>
    </row>
    <row r="3473" spans="17:28" x14ac:dyDescent="0.2">
      <c r="Q3473" s="72"/>
      <c r="T3473" s="72"/>
      <c r="U3473" s="93"/>
      <c r="X3473" s="114" t="str">
        <f t="shared" si="66"/>
        <v>1w</v>
      </c>
      <c r="Y3473" s="112">
        <f>_xll.qlCalendarAdvance(Calendar,Y3472,X3473,"f",FALSE)</f>
        <v>63557</v>
      </c>
      <c r="Z3473" s="115">
        <f>_xll.qlCalendarAdvance(Calendar,Y3473,NDays&amp;"D")</f>
        <v>63557</v>
      </c>
      <c r="AA3473" s="116" t="e">
        <v>#N/A</v>
      </c>
      <c r="AB3473" s="113" t="e">
        <v>#N/A</v>
      </c>
    </row>
    <row r="3474" spans="17:28" x14ac:dyDescent="0.2">
      <c r="Q3474" s="72"/>
      <c r="T3474" s="72"/>
      <c r="U3474" s="93"/>
      <c r="X3474" s="114" t="str">
        <f t="shared" si="66"/>
        <v>1w</v>
      </c>
      <c r="Y3474" s="112">
        <f>_xll.qlCalendarAdvance(Calendar,Y3473,X3474,"f",FALSE)</f>
        <v>63564</v>
      </c>
      <c r="Z3474" s="115">
        <f>_xll.qlCalendarAdvance(Calendar,Y3474,NDays&amp;"D")</f>
        <v>63564</v>
      </c>
      <c r="AA3474" s="116" t="e">
        <v>#N/A</v>
      </c>
      <c r="AB3474" s="113" t="e">
        <v>#N/A</v>
      </c>
    </row>
    <row r="3475" spans="17:28" x14ac:dyDescent="0.2">
      <c r="Q3475" s="72"/>
      <c r="T3475" s="72"/>
      <c r="U3475" s="93"/>
      <c r="X3475" s="114" t="str">
        <f t="shared" si="66"/>
        <v>1w</v>
      </c>
      <c r="Y3475" s="112">
        <f>_xll.qlCalendarAdvance(Calendar,Y3474,X3475,"f",FALSE)</f>
        <v>63571</v>
      </c>
      <c r="Z3475" s="115">
        <f>_xll.qlCalendarAdvance(Calendar,Y3475,NDays&amp;"D")</f>
        <v>63571</v>
      </c>
      <c r="AA3475" s="116" t="e">
        <v>#N/A</v>
      </c>
      <c r="AB3475" s="113" t="e">
        <v>#N/A</v>
      </c>
    </row>
    <row r="3476" spans="17:28" x14ac:dyDescent="0.2">
      <c r="Q3476" s="72"/>
      <c r="T3476" s="72"/>
      <c r="U3476" s="93"/>
      <c r="X3476" s="114" t="str">
        <f t="shared" si="66"/>
        <v>1w</v>
      </c>
      <c r="Y3476" s="112">
        <f>_xll.qlCalendarAdvance(Calendar,Y3475,X3476,"f",FALSE)</f>
        <v>63578</v>
      </c>
      <c r="Z3476" s="115">
        <f>_xll.qlCalendarAdvance(Calendar,Y3476,NDays&amp;"D")</f>
        <v>63578</v>
      </c>
      <c r="AA3476" s="116" t="e">
        <v>#N/A</v>
      </c>
      <c r="AB3476" s="113" t="e">
        <v>#N/A</v>
      </c>
    </row>
    <row r="3477" spans="17:28" x14ac:dyDescent="0.2">
      <c r="Q3477" s="72"/>
      <c r="T3477" s="72"/>
      <c r="U3477" s="93"/>
      <c r="X3477" s="114" t="str">
        <f t="shared" ref="X3477:X3540" si="67">X3476</f>
        <v>1w</v>
      </c>
      <c r="Y3477" s="112">
        <f>_xll.qlCalendarAdvance(Calendar,Y3476,X3477,"f",FALSE)</f>
        <v>63585</v>
      </c>
      <c r="Z3477" s="115">
        <f>_xll.qlCalendarAdvance(Calendar,Y3477,NDays&amp;"D")</f>
        <v>63585</v>
      </c>
      <c r="AA3477" s="116" t="e">
        <v>#N/A</v>
      </c>
      <c r="AB3477" s="113" t="e">
        <v>#N/A</v>
      </c>
    </row>
    <row r="3478" spans="17:28" x14ac:dyDescent="0.2">
      <c r="Q3478" s="72"/>
      <c r="T3478" s="72"/>
      <c r="U3478" s="93"/>
      <c r="X3478" s="114" t="str">
        <f t="shared" si="67"/>
        <v>1w</v>
      </c>
      <c r="Y3478" s="112">
        <f>_xll.qlCalendarAdvance(Calendar,Y3477,X3478,"f",FALSE)</f>
        <v>63592</v>
      </c>
      <c r="Z3478" s="115">
        <f>_xll.qlCalendarAdvance(Calendar,Y3478,NDays&amp;"D")</f>
        <v>63592</v>
      </c>
      <c r="AA3478" s="116" t="e">
        <v>#N/A</v>
      </c>
      <c r="AB3478" s="113" t="e">
        <v>#N/A</v>
      </c>
    </row>
    <row r="3479" spans="17:28" x14ac:dyDescent="0.2">
      <c r="Q3479" s="72"/>
      <c r="T3479" s="72"/>
      <c r="U3479" s="93"/>
      <c r="X3479" s="114" t="str">
        <f t="shared" si="67"/>
        <v>1w</v>
      </c>
      <c r="Y3479" s="112">
        <f>_xll.qlCalendarAdvance(Calendar,Y3478,X3479,"f",FALSE)</f>
        <v>63599</v>
      </c>
      <c r="Z3479" s="115">
        <f>_xll.qlCalendarAdvance(Calendar,Y3479,NDays&amp;"D")</f>
        <v>63599</v>
      </c>
      <c r="AA3479" s="116" t="e">
        <v>#N/A</v>
      </c>
      <c r="AB3479" s="113" t="e">
        <v>#N/A</v>
      </c>
    </row>
    <row r="3480" spans="17:28" x14ac:dyDescent="0.2">
      <c r="Q3480" s="72"/>
      <c r="T3480" s="72"/>
      <c r="U3480" s="93"/>
      <c r="X3480" s="114" t="str">
        <f t="shared" si="67"/>
        <v>1w</v>
      </c>
      <c r="Y3480" s="112">
        <f>_xll.qlCalendarAdvance(Calendar,Y3479,X3480,"f",FALSE)</f>
        <v>63606</v>
      </c>
      <c r="Z3480" s="115">
        <f>_xll.qlCalendarAdvance(Calendar,Y3480,NDays&amp;"D")</f>
        <v>63606</v>
      </c>
      <c r="AA3480" s="116" t="e">
        <v>#N/A</v>
      </c>
      <c r="AB3480" s="113" t="e">
        <v>#N/A</v>
      </c>
    </row>
    <row r="3481" spans="17:28" x14ac:dyDescent="0.2">
      <c r="Q3481" s="72"/>
      <c r="T3481" s="72"/>
      <c r="U3481" s="93"/>
      <c r="X3481" s="114" t="str">
        <f t="shared" si="67"/>
        <v>1w</v>
      </c>
      <c r="Y3481" s="112">
        <f>_xll.qlCalendarAdvance(Calendar,Y3480,X3481,"f",FALSE)</f>
        <v>63613</v>
      </c>
      <c r="Z3481" s="115">
        <f>_xll.qlCalendarAdvance(Calendar,Y3481,NDays&amp;"D")</f>
        <v>63613</v>
      </c>
      <c r="AA3481" s="116" t="e">
        <v>#N/A</v>
      </c>
      <c r="AB3481" s="113" t="e">
        <v>#N/A</v>
      </c>
    </row>
    <row r="3482" spans="17:28" x14ac:dyDescent="0.2">
      <c r="Q3482" s="72"/>
      <c r="T3482" s="72"/>
      <c r="U3482" s="93"/>
      <c r="X3482" s="114" t="str">
        <f t="shared" si="67"/>
        <v>1w</v>
      </c>
      <c r="Y3482" s="112">
        <f>_xll.qlCalendarAdvance(Calendar,Y3481,X3482,"f",FALSE)</f>
        <v>63620</v>
      </c>
      <c r="Z3482" s="115">
        <f>_xll.qlCalendarAdvance(Calendar,Y3482,NDays&amp;"D")</f>
        <v>63620</v>
      </c>
      <c r="AA3482" s="116" t="e">
        <v>#N/A</v>
      </c>
      <c r="AB3482" s="113" t="e">
        <v>#N/A</v>
      </c>
    </row>
    <row r="3483" spans="17:28" x14ac:dyDescent="0.2">
      <c r="Q3483" s="72"/>
      <c r="T3483" s="72"/>
      <c r="U3483" s="93"/>
      <c r="X3483" s="114" t="str">
        <f t="shared" si="67"/>
        <v>1w</v>
      </c>
      <c r="Y3483" s="112">
        <f>_xll.qlCalendarAdvance(Calendar,Y3482,X3483,"f",FALSE)</f>
        <v>63627</v>
      </c>
      <c r="Z3483" s="115">
        <f>_xll.qlCalendarAdvance(Calendar,Y3483,NDays&amp;"D")</f>
        <v>63627</v>
      </c>
      <c r="AA3483" s="116" t="e">
        <v>#N/A</v>
      </c>
      <c r="AB3483" s="113" t="e">
        <v>#N/A</v>
      </c>
    </row>
    <row r="3484" spans="17:28" x14ac:dyDescent="0.2">
      <c r="Q3484" s="72"/>
      <c r="T3484" s="72"/>
      <c r="U3484" s="93"/>
      <c r="X3484" s="114" t="str">
        <f t="shared" si="67"/>
        <v>1w</v>
      </c>
      <c r="Y3484" s="112">
        <f>_xll.qlCalendarAdvance(Calendar,Y3483,X3484,"f",FALSE)</f>
        <v>63634</v>
      </c>
      <c r="Z3484" s="115">
        <f>_xll.qlCalendarAdvance(Calendar,Y3484,NDays&amp;"D")</f>
        <v>63634</v>
      </c>
      <c r="AA3484" s="116" t="e">
        <v>#N/A</v>
      </c>
      <c r="AB3484" s="113" t="e">
        <v>#N/A</v>
      </c>
    </row>
    <row r="3485" spans="17:28" x14ac:dyDescent="0.2">
      <c r="Q3485" s="72"/>
      <c r="T3485" s="72"/>
      <c r="U3485" s="93"/>
      <c r="X3485" s="114" t="str">
        <f t="shared" si="67"/>
        <v>1w</v>
      </c>
      <c r="Y3485" s="112">
        <f>_xll.qlCalendarAdvance(Calendar,Y3484,X3485,"f",FALSE)</f>
        <v>63641</v>
      </c>
      <c r="Z3485" s="115">
        <f>_xll.qlCalendarAdvance(Calendar,Y3485,NDays&amp;"D")</f>
        <v>63641</v>
      </c>
      <c r="AA3485" s="116" t="e">
        <v>#N/A</v>
      </c>
      <c r="AB3485" s="113" t="e">
        <v>#N/A</v>
      </c>
    </row>
    <row r="3486" spans="17:28" x14ac:dyDescent="0.2">
      <c r="Q3486" s="72"/>
      <c r="T3486" s="72"/>
      <c r="U3486" s="93"/>
      <c r="X3486" s="114" t="str">
        <f t="shared" si="67"/>
        <v>1w</v>
      </c>
      <c r="Y3486" s="112">
        <f>_xll.qlCalendarAdvance(Calendar,Y3485,X3486,"f",FALSE)</f>
        <v>63648</v>
      </c>
      <c r="Z3486" s="115">
        <f>_xll.qlCalendarAdvance(Calendar,Y3486,NDays&amp;"D")</f>
        <v>63648</v>
      </c>
      <c r="AA3486" s="116" t="e">
        <v>#N/A</v>
      </c>
      <c r="AB3486" s="113" t="e">
        <v>#N/A</v>
      </c>
    </row>
    <row r="3487" spans="17:28" x14ac:dyDescent="0.2">
      <c r="Q3487" s="72"/>
      <c r="T3487" s="72"/>
      <c r="U3487" s="93"/>
      <c r="X3487" s="114" t="str">
        <f t="shared" si="67"/>
        <v>1w</v>
      </c>
      <c r="Y3487" s="112">
        <f>_xll.qlCalendarAdvance(Calendar,Y3486,X3487,"f",FALSE)</f>
        <v>63655</v>
      </c>
      <c r="Z3487" s="115">
        <f>_xll.qlCalendarAdvance(Calendar,Y3487,NDays&amp;"D")</f>
        <v>63655</v>
      </c>
      <c r="AA3487" s="116" t="e">
        <v>#N/A</v>
      </c>
      <c r="AB3487" s="113" t="e">
        <v>#N/A</v>
      </c>
    </row>
    <row r="3488" spans="17:28" x14ac:dyDescent="0.2">
      <c r="Q3488" s="72"/>
      <c r="T3488" s="72"/>
      <c r="U3488" s="93"/>
      <c r="X3488" s="114" t="str">
        <f t="shared" si="67"/>
        <v>1w</v>
      </c>
      <c r="Y3488" s="112">
        <f>_xll.qlCalendarAdvance(Calendar,Y3487,X3488,"f",FALSE)</f>
        <v>63662</v>
      </c>
      <c r="Z3488" s="115">
        <f>_xll.qlCalendarAdvance(Calendar,Y3488,NDays&amp;"D")</f>
        <v>63662</v>
      </c>
      <c r="AA3488" s="116" t="e">
        <v>#N/A</v>
      </c>
      <c r="AB3488" s="113" t="e">
        <v>#N/A</v>
      </c>
    </row>
    <row r="3489" spans="17:28" x14ac:dyDescent="0.2">
      <c r="Q3489" s="72"/>
      <c r="T3489" s="72"/>
      <c r="U3489" s="93"/>
      <c r="X3489" s="114" t="str">
        <f t="shared" si="67"/>
        <v>1w</v>
      </c>
      <c r="Y3489" s="112">
        <f>_xll.qlCalendarAdvance(Calendar,Y3488,X3489,"f",FALSE)</f>
        <v>63670</v>
      </c>
      <c r="Z3489" s="115">
        <f>_xll.qlCalendarAdvance(Calendar,Y3489,NDays&amp;"D")</f>
        <v>63670</v>
      </c>
      <c r="AA3489" s="116" t="e">
        <v>#N/A</v>
      </c>
      <c r="AB3489" s="113" t="e">
        <v>#N/A</v>
      </c>
    </row>
    <row r="3490" spans="17:28" x14ac:dyDescent="0.2">
      <c r="Q3490" s="72"/>
      <c r="T3490" s="72"/>
      <c r="U3490" s="93"/>
      <c r="X3490" s="114" t="str">
        <f t="shared" si="67"/>
        <v>1w</v>
      </c>
      <c r="Y3490" s="112">
        <f>_xll.qlCalendarAdvance(Calendar,Y3489,X3490,"f",FALSE)</f>
        <v>63677</v>
      </c>
      <c r="Z3490" s="115">
        <f>_xll.qlCalendarAdvance(Calendar,Y3490,NDays&amp;"D")</f>
        <v>63677</v>
      </c>
      <c r="AA3490" s="116" t="e">
        <v>#N/A</v>
      </c>
      <c r="AB3490" s="113" t="e">
        <v>#N/A</v>
      </c>
    </row>
    <row r="3491" spans="17:28" x14ac:dyDescent="0.2">
      <c r="Q3491" s="72"/>
      <c r="T3491" s="72"/>
      <c r="U3491" s="93"/>
      <c r="X3491" s="114" t="str">
        <f t="shared" si="67"/>
        <v>1w</v>
      </c>
      <c r="Y3491" s="112">
        <f>_xll.qlCalendarAdvance(Calendar,Y3490,X3491,"f",FALSE)</f>
        <v>63684</v>
      </c>
      <c r="Z3491" s="115">
        <f>_xll.qlCalendarAdvance(Calendar,Y3491,NDays&amp;"D")</f>
        <v>63684</v>
      </c>
      <c r="AA3491" s="116" t="e">
        <v>#N/A</v>
      </c>
      <c r="AB3491" s="113" t="e">
        <v>#N/A</v>
      </c>
    </row>
    <row r="3492" spans="17:28" x14ac:dyDescent="0.2">
      <c r="Q3492" s="72"/>
      <c r="T3492" s="72"/>
      <c r="U3492" s="93"/>
      <c r="X3492" s="114" t="str">
        <f t="shared" si="67"/>
        <v>1w</v>
      </c>
      <c r="Y3492" s="112">
        <f>_xll.qlCalendarAdvance(Calendar,Y3491,X3492,"f",FALSE)</f>
        <v>63691</v>
      </c>
      <c r="Z3492" s="115">
        <f>_xll.qlCalendarAdvance(Calendar,Y3492,NDays&amp;"D")</f>
        <v>63691</v>
      </c>
      <c r="AA3492" s="116" t="e">
        <v>#N/A</v>
      </c>
      <c r="AB3492" s="113" t="e">
        <v>#N/A</v>
      </c>
    </row>
    <row r="3493" spans="17:28" x14ac:dyDescent="0.2">
      <c r="Q3493" s="72"/>
      <c r="T3493" s="72"/>
      <c r="U3493" s="93"/>
      <c r="X3493" s="114" t="str">
        <f t="shared" si="67"/>
        <v>1w</v>
      </c>
      <c r="Y3493" s="112">
        <f>_xll.qlCalendarAdvance(Calendar,Y3492,X3493,"f",FALSE)</f>
        <v>63698</v>
      </c>
      <c r="Z3493" s="115">
        <f>_xll.qlCalendarAdvance(Calendar,Y3493,NDays&amp;"D")</f>
        <v>63698</v>
      </c>
      <c r="AA3493" s="116" t="e">
        <v>#N/A</v>
      </c>
      <c r="AB3493" s="113" t="e">
        <v>#N/A</v>
      </c>
    </row>
    <row r="3494" spans="17:28" x14ac:dyDescent="0.2">
      <c r="Q3494" s="72"/>
      <c r="T3494" s="72"/>
      <c r="U3494" s="93"/>
      <c r="X3494" s="114" t="str">
        <f t="shared" si="67"/>
        <v>1w</v>
      </c>
      <c r="Y3494" s="112">
        <f>_xll.qlCalendarAdvance(Calendar,Y3493,X3494,"f",FALSE)</f>
        <v>63705</v>
      </c>
      <c r="Z3494" s="115">
        <f>_xll.qlCalendarAdvance(Calendar,Y3494,NDays&amp;"D")</f>
        <v>63705</v>
      </c>
      <c r="AA3494" s="116" t="e">
        <v>#N/A</v>
      </c>
      <c r="AB3494" s="113" t="e">
        <v>#N/A</v>
      </c>
    </row>
    <row r="3495" spans="17:28" x14ac:dyDescent="0.2">
      <c r="Q3495" s="72"/>
      <c r="T3495" s="72"/>
      <c r="U3495" s="93"/>
      <c r="X3495" s="114" t="str">
        <f t="shared" si="67"/>
        <v>1w</v>
      </c>
      <c r="Y3495" s="112">
        <f>_xll.qlCalendarAdvance(Calendar,Y3494,X3495,"f",FALSE)</f>
        <v>63712</v>
      </c>
      <c r="Z3495" s="115">
        <f>_xll.qlCalendarAdvance(Calendar,Y3495,NDays&amp;"D")</f>
        <v>63712</v>
      </c>
      <c r="AA3495" s="116" t="e">
        <v>#N/A</v>
      </c>
      <c r="AB3495" s="113" t="e">
        <v>#N/A</v>
      </c>
    </row>
    <row r="3496" spans="17:28" x14ac:dyDescent="0.2">
      <c r="Q3496" s="72"/>
      <c r="T3496" s="72"/>
      <c r="U3496" s="93"/>
      <c r="X3496" s="114" t="str">
        <f t="shared" si="67"/>
        <v>1w</v>
      </c>
      <c r="Y3496" s="112">
        <f>_xll.qlCalendarAdvance(Calendar,Y3495,X3496,"f",FALSE)</f>
        <v>63719</v>
      </c>
      <c r="Z3496" s="115">
        <f>_xll.qlCalendarAdvance(Calendar,Y3496,NDays&amp;"D")</f>
        <v>63719</v>
      </c>
      <c r="AA3496" s="116" t="e">
        <v>#N/A</v>
      </c>
      <c r="AB3496" s="113" t="e">
        <v>#N/A</v>
      </c>
    </row>
    <row r="3497" spans="17:28" x14ac:dyDescent="0.2">
      <c r="Q3497" s="72"/>
      <c r="T3497" s="72"/>
      <c r="U3497" s="93"/>
      <c r="X3497" s="114" t="str">
        <f t="shared" si="67"/>
        <v>1w</v>
      </c>
      <c r="Y3497" s="112">
        <f>_xll.qlCalendarAdvance(Calendar,Y3496,X3497,"f",FALSE)</f>
        <v>63726</v>
      </c>
      <c r="Z3497" s="115">
        <f>_xll.qlCalendarAdvance(Calendar,Y3497,NDays&amp;"D")</f>
        <v>63726</v>
      </c>
      <c r="AA3497" s="116" t="e">
        <v>#N/A</v>
      </c>
      <c r="AB3497" s="113" t="e">
        <v>#N/A</v>
      </c>
    </row>
    <row r="3498" spans="17:28" x14ac:dyDescent="0.2">
      <c r="Q3498" s="72"/>
      <c r="T3498" s="72"/>
      <c r="U3498" s="93"/>
      <c r="X3498" s="114" t="str">
        <f t="shared" si="67"/>
        <v>1w</v>
      </c>
      <c r="Y3498" s="112">
        <f>_xll.qlCalendarAdvance(Calendar,Y3497,X3498,"f",FALSE)</f>
        <v>63733</v>
      </c>
      <c r="Z3498" s="115">
        <f>_xll.qlCalendarAdvance(Calendar,Y3498,NDays&amp;"D")</f>
        <v>63733</v>
      </c>
      <c r="AA3498" s="116" t="e">
        <v>#N/A</v>
      </c>
      <c r="AB3498" s="113" t="e">
        <v>#N/A</v>
      </c>
    </row>
    <row r="3499" spans="17:28" x14ac:dyDescent="0.2">
      <c r="Q3499" s="72"/>
      <c r="T3499" s="72"/>
      <c r="U3499" s="93"/>
      <c r="X3499" s="114" t="str">
        <f t="shared" si="67"/>
        <v>1w</v>
      </c>
      <c r="Y3499" s="112">
        <f>_xll.qlCalendarAdvance(Calendar,Y3498,X3499,"f",FALSE)</f>
        <v>63740</v>
      </c>
      <c r="Z3499" s="115">
        <f>_xll.qlCalendarAdvance(Calendar,Y3499,NDays&amp;"D")</f>
        <v>63740</v>
      </c>
      <c r="AA3499" s="116" t="e">
        <v>#N/A</v>
      </c>
      <c r="AB3499" s="113" t="e">
        <v>#N/A</v>
      </c>
    </row>
    <row r="3500" spans="17:28" x14ac:dyDescent="0.2">
      <c r="Q3500" s="72"/>
      <c r="T3500" s="72"/>
      <c r="U3500" s="93"/>
      <c r="X3500" s="114" t="str">
        <f t="shared" si="67"/>
        <v>1w</v>
      </c>
      <c r="Y3500" s="112">
        <f>_xll.qlCalendarAdvance(Calendar,Y3499,X3500,"f",FALSE)</f>
        <v>63747</v>
      </c>
      <c r="Z3500" s="115">
        <f>_xll.qlCalendarAdvance(Calendar,Y3500,NDays&amp;"D")</f>
        <v>63747</v>
      </c>
      <c r="AA3500" s="116" t="e">
        <v>#N/A</v>
      </c>
      <c r="AB3500" s="113" t="e">
        <v>#N/A</v>
      </c>
    </row>
    <row r="3501" spans="17:28" x14ac:dyDescent="0.2">
      <c r="Q3501" s="72"/>
      <c r="T3501" s="72"/>
      <c r="U3501" s="93"/>
      <c r="X3501" s="114" t="str">
        <f t="shared" si="67"/>
        <v>1w</v>
      </c>
      <c r="Y3501" s="112">
        <f>_xll.qlCalendarAdvance(Calendar,Y3500,X3501,"f",FALSE)</f>
        <v>63754</v>
      </c>
      <c r="Z3501" s="115">
        <f>_xll.qlCalendarAdvance(Calendar,Y3501,NDays&amp;"D")</f>
        <v>63754</v>
      </c>
      <c r="AA3501" s="116" t="e">
        <v>#N/A</v>
      </c>
      <c r="AB3501" s="113" t="e">
        <v>#N/A</v>
      </c>
    </row>
    <row r="3502" spans="17:28" x14ac:dyDescent="0.2">
      <c r="Q3502" s="72"/>
      <c r="T3502" s="72"/>
      <c r="U3502" s="93"/>
      <c r="X3502" s="114" t="str">
        <f t="shared" si="67"/>
        <v>1w</v>
      </c>
      <c r="Y3502" s="112">
        <f>_xll.qlCalendarAdvance(Calendar,Y3501,X3502,"f",FALSE)</f>
        <v>63761</v>
      </c>
      <c r="Z3502" s="115">
        <f>_xll.qlCalendarAdvance(Calendar,Y3502,NDays&amp;"D")</f>
        <v>63761</v>
      </c>
      <c r="AA3502" s="116" t="e">
        <v>#N/A</v>
      </c>
      <c r="AB3502" s="113" t="e">
        <v>#N/A</v>
      </c>
    </row>
    <row r="3503" spans="17:28" x14ac:dyDescent="0.2">
      <c r="Q3503" s="72"/>
      <c r="T3503" s="72"/>
      <c r="U3503" s="93"/>
      <c r="X3503" s="114" t="str">
        <f t="shared" si="67"/>
        <v>1w</v>
      </c>
      <c r="Y3503" s="112">
        <f>_xll.qlCalendarAdvance(Calendar,Y3502,X3503,"f",FALSE)</f>
        <v>63768</v>
      </c>
      <c r="Z3503" s="115">
        <f>_xll.qlCalendarAdvance(Calendar,Y3503,NDays&amp;"D")</f>
        <v>63768</v>
      </c>
      <c r="AA3503" s="116" t="e">
        <v>#N/A</v>
      </c>
      <c r="AB3503" s="113" t="e">
        <v>#N/A</v>
      </c>
    </row>
    <row r="3504" spans="17:28" x14ac:dyDescent="0.2">
      <c r="Q3504" s="72"/>
      <c r="T3504" s="72"/>
      <c r="U3504" s="93"/>
      <c r="X3504" s="114" t="str">
        <f t="shared" si="67"/>
        <v>1w</v>
      </c>
      <c r="Y3504" s="112">
        <f>_xll.qlCalendarAdvance(Calendar,Y3503,X3504,"f",FALSE)</f>
        <v>63775</v>
      </c>
      <c r="Z3504" s="115">
        <f>_xll.qlCalendarAdvance(Calendar,Y3504,NDays&amp;"D")</f>
        <v>63775</v>
      </c>
      <c r="AA3504" s="116" t="e">
        <v>#N/A</v>
      </c>
      <c r="AB3504" s="113" t="e">
        <v>#N/A</v>
      </c>
    </row>
    <row r="3505" spans="17:28" x14ac:dyDescent="0.2">
      <c r="Q3505" s="72"/>
      <c r="T3505" s="72"/>
      <c r="U3505" s="93"/>
      <c r="X3505" s="114" t="str">
        <f t="shared" si="67"/>
        <v>1w</v>
      </c>
      <c r="Y3505" s="112">
        <f>_xll.qlCalendarAdvance(Calendar,Y3504,X3505,"f",FALSE)</f>
        <v>63782</v>
      </c>
      <c r="Z3505" s="115">
        <f>_xll.qlCalendarAdvance(Calendar,Y3505,NDays&amp;"D")</f>
        <v>63782</v>
      </c>
      <c r="AA3505" s="116" t="e">
        <v>#N/A</v>
      </c>
      <c r="AB3505" s="113" t="e">
        <v>#N/A</v>
      </c>
    </row>
    <row r="3506" spans="17:28" x14ac:dyDescent="0.2">
      <c r="Q3506" s="72"/>
      <c r="T3506" s="72"/>
      <c r="U3506" s="93"/>
      <c r="X3506" s="114" t="str">
        <f t="shared" si="67"/>
        <v>1w</v>
      </c>
      <c r="Y3506" s="112">
        <f>_xll.qlCalendarAdvance(Calendar,Y3505,X3506,"f",FALSE)</f>
        <v>63789</v>
      </c>
      <c r="Z3506" s="115">
        <f>_xll.qlCalendarAdvance(Calendar,Y3506,NDays&amp;"D")</f>
        <v>63789</v>
      </c>
      <c r="AA3506" s="116" t="e">
        <v>#N/A</v>
      </c>
      <c r="AB3506" s="113" t="e">
        <v>#N/A</v>
      </c>
    </row>
    <row r="3507" spans="17:28" x14ac:dyDescent="0.2">
      <c r="Q3507" s="72"/>
      <c r="T3507" s="72"/>
      <c r="U3507" s="93"/>
      <c r="X3507" s="114" t="str">
        <f t="shared" si="67"/>
        <v>1w</v>
      </c>
      <c r="Y3507" s="112">
        <f>_xll.qlCalendarAdvance(Calendar,Y3506,X3507,"f",FALSE)</f>
        <v>63796</v>
      </c>
      <c r="Z3507" s="115">
        <f>_xll.qlCalendarAdvance(Calendar,Y3507,NDays&amp;"D")</f>
        <v>63796</v>
      </c>
      <c r="AA3507" s="116" t="e">
        <v>#N/A</v>
      </c>
      <c r="AB3507" s="113" t="e">
        <v>#N/A</v>
      </c>
    </row>
    <row r="3508" spans="17:28" x14ac:dyDescent="0.2">
      <c r="Q3508" s="72"/>
      <c r="T3508" s="72"/>
      <c r="U3508" s="93"/>
      <c r="X3508" s="114" t="str">
        <f t="shared" si="67"/>
        <v>1w</v>
      </c>
      <c r="Y3508" s="112">
        <f>_xll.qlCalendarAdvance(Calendar,Y3507,X3508,"f",FALSE)</f>
        <v>63803</v>
      </c>
      <c r="Z3508" s="115">
        <f>_xll.qlCalendarAdvance(Calendar,Y3508,NDays&amp;"D")</f>
        <v>63803</v>
      </c>
      <c r="AA3508" s="116" t="e">
        <v>#N/A</v>
      </c>
      <c r="AB3508" s="113" t="e">
        <v>#N/A</v>
      </c>
    </row>
    <row r="3509" spans="17:28" x14ac:dyDescent="0.2">
      <c r="Q3509" s="72"/>
      <c r="T3509" s="72"/>
      <c r="U3509" s="93"/>
      <c r="X3509" s="114" t="str">
        <f t="shared" si="67"/>
        <v>1w</v>
      </c>
      <c r="Y3509" s="112">
        <f>_xll.qlCalendarAdvance(Calendar,Y3508,X3509,"f",FALSE)</f>
        <v>63810</v>
      </c>
      <c r="Z3509" s="115">
        <f>_xll.qlCalendarAdvance(Calendar,Y3509,NDays&amp;"D")</f>
        <v>63810</v>
      </c>
      <c r="AA3509" s="116" t="e">
        <v>#N/A</v>
      </c>
      <c r="AB3509" s="113" t="e">
        <v>#N/A</v>
      </c>
    </row>
    <row r="3510" spans="17:28" x14ac:dyDescent="0.2">
      <c r="Q3510" s="72"/>
      <c r="T3510" s="72"/>
      <c r="U3510" s="93"/>
      <c r="X3510" s="114" t="str">
        <f t="shared" si="67"/>
        <v>1w</v>
      </c>
      <c r="Y3510" s="112">
        <f>_xll.qlCalendarAdvance(Calendar,Y3509,X3510,"f",FALSE)</f>
        <v>63817</v>
      </c>
      <c r="Z3510" s="115">
        <f>_xll.qlCalendarAdvance(Calendar,Y3510,NDays&amp;"D")</f>
        <v>63817</v>
      </c>
      <c r="AA3510" s="116" t="e">
        <v>#N/A</v>
      </c>
      <c r="AB3510" s="113" t="e">
        <v>#N/A</v>
      </c>
    </row>
    <row r="3511" spans="17:28" x14ac:dyDescent="0.2">
      <c r="Q3511" s="72"/>
      <c r="T3511" s="72"/>
      <c r="U3511" s="93"/>
      <c r="X3511" s="114" t="str">
        <f t="shared" si="67"/>
        <v>1w</v>
      </c>
      <c r="Y3511" s="112">
        <f>_xll.qlCalendarAdvance(Calendar,Y3510,X3511,"f",FALSE)</f>
        <v>63824</v>
      </c>
      <c r="Z3511" s="115">
        <f>_xll.qlCalendarAdvance(Calendar,Y3511,NDays&amp;"D")</f>
        <v>63824</v>
      </c>
      <c r="AA3511" s="116" t="e">
        <v>#N/A</v>
      </c>
      <c r="AB3511" s="113" t="e">
        <v>#N/A</v>
      </c>
    </row>
    <row r="3512" spans="17:28" x14ac:dyDescent="0.2">
      <c r="Q3512" s="72"/>
      <c r="T3512" s="72"/>
      <c r="U3512" s="93"/>
      <c r="X3512" s="114" t="str">
        <f t="shared" si="67"/>
        <v>1w</v>
      </c>
      <c r="Y3512" s="112">
        <f>_xll.qlCalendarAdvance(Calendar,Y3511,X3512,"f",FALSE)</f>
        <v>63831</v>
      </c>
      <c r="Z3512" s="115">
        <f>_xll.qlCalendarAdvance(Calendar,Y3512,NDays&amp;"D")</f>
        <v>63831</v>
      </c>
      <c r="AA3512" s="116" t="e">
        <v>#N/A</v>
      </c>
      <c r="AB3512" s="113" t="e">
        <v>#N/A</v>
      </c>
    </row>
    <row r="3513" spans="17:28" x14ac:dyDescent="0.2">
      <c r="Q3513" s="72"/>
      <c r="T3513" s="72"/>
      <c r="U3513" s="93"/>
      <c r="X3513" s="114" t="str">
        <f t="shared" si="67"/>
        <v>1w</v>
      </c>
      <c r="Y3513" s="112">
        <f>_xll.qlCalendarAdvance(Calendar,Y3512,X3513,"f",FALSE)</f>
        <v>63838</v>
      </c>
      <c r="Z3513" s="115">
        <f>_xll.qlCalendarAdvance(Calendar,Y3513,NDays&amp;"D")</f>
        <v>63838</v>
      </c>
      <c r="AA3513" s="116" t="e">
        <v>#N/A</v>
      </c>
      <c r="AB3513" s="113" t="e">
        <v>#N/A</v>
      </c>
    </row>
    <row r="3514" spans="17:28" x14ac:dyDescent="0.2">
      <c r="Q3514" s="72"/>
      <c r="T3514" s="72"/>
      <c r="U3514" s="93"/>
      <c r="X3514" s="114" t="str">
        <f t="shared" si="67"/>
        <v>1w</v>
      </c>
      <c r="Y3514" s="112">
        <f>_xll.qlCalendarAdvance(Calendar,Y3513,X3514,"f",FALSE)</f>
        <v>63845</v>
      </c>
      <c r="Z3514" s="115">
        <f>_xll.qlCalendarAdvance(Calendar,Y3514,NDays&amp;"D")</f>
        <v>63845</v>
      </c>
      <c r="AA3514" s="116" t="e">
        <v>#N/A</v>
      </c>
      <c r="AB3514" s="113" t="e">
        <v>#N/A</v>
      </c>
    </row>
    <row r="3515" spans="17:28" x14ac:dyDescent="0.2">
      <c r="Q3515" s="72"/>
      <c r="T3515" s="72"/>
      <c r="U3515" s="93"/>
      <c r="X3515" s="114" t="str">
        <f t="shared" si="67"/>
        <v>1w</v>
      </c>
      <c r="Y3515" s="112">
        <f>_xll.qlCalendarAdvance(Calendar,Y3514,X3515,"f",FALSE)</f>
        <v>63852</v>
      </c>
      <c r="Z3515" s="115">
        <f>_xll.qlCalendarAdvance(Calendar,Y3515,NDays&amp;"D")</f>
        <v>63852</v>
      </c>
      <c r="AA3515" s="116" t="e">
        <v>#N/A</v>
      </c>
      <c r="AB3515" s="113" t="e">
        <v>#N/A</v>
      </c>
    </row>
    <row r="3516" spans="17:28" x14ac:dyDescent="0.2">
      <c r="Q3516" s="72"/>
      <c r="T3516" s="72"/>
      <c r="U3516" s="93"/>
      <c r="X3516" s="114" t="str">
        <f t="shared" si="67"/>
        <v>1w</v>
      </c>
      <c r="Y3516" s="112">
        <f>_xll.qlCalendarAdvance(Calendar,Y3515,X3516,"f",FALSE)</f>
        <v>63859</v>
      </c>
      <c r="Z3516" s="115">
        <f>_xll.qlCalendarAdvance(Calendar,Y3516,NDays&amp;"D")</f>
        <v>63859</v>
      </c>
      <c r="AA3516" s="116" t="e">
        <v>#N/A</v>
      </c>
      <c r="AB3516" s="113" t="e">
        <v>#N/A</v>
      </c>
    </row>
    <row r="3517" spans="17:28" x14ac:dyDescent="0.2">
      <c r="Q3517" s="72"/>
      <c r="T3517" s="72"/>
      <c r="U3517" s="93"/>
      <c r="X3517" s="114" t="str">
        <f t="shared" si="67"/>
        <v>1w</v>
      </c>
      <c r="Y3517" s="112">
        <f>_xll.qlCalendarAdvance(Calendar,Y3516,X3517,"f",FALSE)</f>
        <v>63866</v>
      </c>
      <c r="Z3517" s="115">
        <f>_xll.qlCalendarAdvance(Calendar,Y3517,NDays&amp;"D")</f>
        <v>63866</v>
      </c>
      <c r="AA3517" s="116" t="e">
        <v>#N/A</v>
      </c>
      <c r="AB3517" s="113" t="e">
        <v>#N/A</v>
      </c>
    </row>
    <row r="3518" spans="17:28" x14ac:dyDescent="0.2">
      <c r="Q3518" s="72"/>
      <c r="T3518" s="72"/>
      <c r="U3518" s="93"/>
      <c r="X3518" s="114" t="str">
        <f t="shared" si="67"/>
        <v>1w</v>
      </c>
      <c r="Y3518" s="112">
        <f>_xll.qlCalendarAdvance(Calendar,Y3517,X3518,"f",FALSE)</f>
        <v>63873</v>
      </c>
      <c r="Z3518" s="115">
        <f>_xll.qlCalendarAdvance(Calendar,Y3518,NDays&amp;"D")</f>
        <v>63873</v>
      </c>
      <c r="AA3518" s="116" t="e">
        <v>#N/A</v>
      </c>
      <c r="AB3518" s="113" t="e">
        <v>#N/A</v>
      </c>
    </row>
    <row r="3519" spans="17:28" x14ac:dyDescent="0.2">
      <c r="Q3519" s="72"/>
      <c r="T3519" s="72"/>
      <c r="U3519" s="93"/>
      <c r="X3519" s="114" t="str">
        <f t="shared" si="67"/>
        <v>1w</v>
      </c>
      <c r="Y3519" s="112">
        <f>_xll.qlCalendarAdvance(Calendar,Y3518,X3519,"f",FALSE)</f>
        <v>63880</v>
      </c>
      <c r="Z3519" s="115">
        <f>_xll.qlCalendarAdvance(Calendar,Y3519,NDays&amp;"D")</f>
        <v>63880</v>
      </c>
      <c r="AA3519" s="116" t="e">
        <v>#N/A</v>
      </c>
      <c r="AB3519" s="113" t="e">
        <v>#N/A</v>
      </c>
    </row>
    <row r="3520" spans="17:28" x14ac:dyDescent="0.2">
      <c r="Q3520" s="72"/>
      <c r="T3520" s="72"/>
      <c r="U3520" s="93"/>
      <c r="X3520" s="114" t="str">
        <f t="shared" si="67"/>
        <v>1w</v>
      </c>
      <c r="Y3520" s="112">
        <f>_xll.qlCalendarAdvance(Calendar,Y3519,X3520,"f",FALSE)</f>
        <v>63887</v>
      </c>
      <c r="Z3520" s="115">
        <f>_xll.qlCalendarAdvance(Calendar,Y3520,NDays&amp;"D")</f>
        <v>63887</v>
      </c>
      <c r="AA3520" s="116" t="e">
        <v>#N/A</v>
      </c>
      <c r="AB3520" s="113" t="e">
        <v>#N/A</v>
      </c>
    </row>
    <row r="3521" spans="17:28" x14ac:dyDescent="0.2">
      <c r="Q3521" s="72"/>
      <c r="T3521" s="72"/>
      <c r="U3521" s="93"/>
      <c r="X3521" s="114" t="str">
        <f t="shared" si="67"/>
        <v>1w</v>
      </c>
      <c r="Y3521" s="112">
        <f>_xll.qlCalendarAdvance(Calendar,Y3520,X3521,"f",FALSE)</f>
        <v>63894</v>
      </c>
      <c r="Z3521" s="115">
        <f>_xll.qlCalendarAdvance(Calendar,Y3521,NDays&amp;"D")</f>
        <v>63894</v>
      </c>
      <c r="AA3521" s="116" t="e">
        <v>#N/A</v>
      </c>
      <c r="AB3521" s="113" t="e">
        <v>#N/A</v>
      </c>
    </row>
    <row r="3522" spans="17:28" x14ac:dyDescent="0.2">
      <c r="Q3522" s="72"/>
      <c r="T3522" s="72"/>
      <c r="U3522" s="93"/>
      <c r="X3522" s="114" t="str">
        <f t="shared" si="67"/>
        <v>1w</v>
      </c>
      <c r="Y3522" s="112">
        <f>_xll.qlCalendarAdvance(Calendar,Y3521,X3522,"f",FALSE)</f>
        <v>63901</v>
      </c>
      <c r="Z3522" s="115">
        <f>_xll.qlCalendarAdvance(Calendar,Y3522,NDays&amp;"D")</f>
        <v>63901</v>
      </c>
      <c r="AA3522" s="116" t="e">
        <v>#N/A</v>
      </c>
      <c r="AB3522" s="113" t="e">
        <v>#N/A</v>
      </c>
    </row>
    <row r="3523" spans="17:28" x14ac:dyDescent="0.2">
      <c r="Q3523" s="72"/>
      <c r="T3523" s="72"/>
      <c r="U3523" s="93"/>
      <c r="X3523" s="114" t="str">
        <f t="shared" si="67"/>
        <v>1w</v>
      </c>
      <c r="Y3523" s="112">
        <f>_xll.qlCalendarAdvance(Calendar,Y3522,X3523,"f",FALSE)</f>
        <v>63908</v>
      </c>
      <c r="Z3523" s="115">
        <f>_xll.qlCalendarAdvance(Calendar,Y3523,NDays&amp;"D")</f>
        <v>63908</v>
      </c>
      <c r="AA3523" s="116" t="e">
        <v>#N/A</v>
      </c>
      <c r="AB3523" s="113" t="e">
        <v>#N/A</v>
      </c>
    </row>
    <row r="3524" spans="17:28" x14ac:dyDescent="0.2">
      <c r="Q3524" s="72"/>
      <c r="T3524" s="72"/>
      <c r="U3524" s="93"/>
      <c r="X3524" s="114" t="str">
        <f t="shared" si="67"/>
        <v>1w</v>
      </c>
      <c r="Y3524" s="112">
        <f>_xll.qlCalendarAdvance(Calendar,Y3523,X3524,"f",FALSE)</f>
        <v>63915</v>
      </c>
      <c r="Z3524" s="115">
        <f>_xll.qlCalendarAdvance(Calendar,Y3524,NDays&amp;"D")</f>
        <v>63915</v>
      </c>
      <c r="AA3524" s="116" t="e">
        <v>#N/A</v>
      </c>
      <c r="AB3524" s="113" t="e">
        <v>#N/A</v>
      </c>
    </row>
    <row r="3525" spans="17:28" x14ac:dyDescent="0.2">
      <c r="Q3525" s="72"/>
      <c r="T3525" s="72"/>
      <c r="U3525" s="93"/>
      <c r="X3525" s="114" t="str">
        <f t="shared" si="67"/>
        <v>1w</v>
      </c>
      <c r="Y3525" s="112">
        <f>_xll.qlCalendarAdvance(Calendar,Y3524,X3525,"f",FALSE)</f>
        <v>63922</v>
      </c>
      <c r="Z3525" s="115">
        <f>_xll.qlCalendarAdvance(Calendar,Y3525,NDays&amp;"D")</f>
        <v>63922</v>
      </c>
      <c r="AA3525" s="116" t="e">
        <v>#N/A</v>
      </c>
      <c r="AB3525" s="113" t="e">
        <v>#N/A</v>
      </c>
    </row>
    <row r="3526" spans="17:28" x14ac:dyDescent="0.2">
      <c r="Q3526" s="72"/>
      <c r="T3526" s="72"/>
      <c r="U3526" s="93"/>
      <c r="X3526" s="114" t="str">
        <f t="shared" si="67"/>
        <v>1w</v>
      </c>
      <c r="Y3526" s="112">
        <f>_xll.qlCalendarAdvance(Calendar,Y3525,X3526,"f",FALSE)</f>
        <v>63929</v>
      </c>
      <c r="Z3526" s="115">
        <f>_xll.qlCalendarAdvance(Calendar,Y3526,NDays&amp;"D")</f>
        <v>63929</v>
      </c>
      <c r="AA3526" s="116" t="e">
        <v>#N/A</v>
      </c>
      <c r="AB3526" s="113" t="e">
        <v>#N/A</v>
      </c>
    </row>
    <row r="3527" spans="17:28" x14ac:dyDescent="0.2">
      <c r="Q3527" s="72"/>
      <c r="T3527" s="72"/>
      <c r="U3527" s="93"/>
      <c r="X3527" s="114" t="str">
        <f t="shared" si="67"/>
        <v>1w</v>
      </c>
      <c r="Y3527" s="112">
        <f>_xll.qlCalendarAdvance(Calendar,Y3526,X3527,"f",FALSE)</f>
        <v>63936</v>
      </c>
      <c r="Z3527" s="115">
        <f>_xll.qlCalendarAdvance(Calendar,Y3527,NDays&amp;"D")</f>
        <v>63936</v>
      </c>
      <c r="AA3527" s="116" t="e">
        <v>#N/A</v>
      </c>
      <c r="AB3527" s="113" t="e">
        <v>#N/A</v>
      </c>
    </row>
    <row r="3528" spans="17:28" x14ac:dyDescent="0.2">
      <c r="Q3528" s="72"/>
      <c r="T3528" s="72"/>
      <c r="U3528" s="93"/>
      <c r="X3528" s="114" t="str">
        <f t="shared" si="67"/>
        <v>1w</v>
      </c>
      <c r="Y3528" s="112">
        <f>_xll.qlCalendarAdvance(Calendar,Y3527,X3528,"f",FALSE)</f>
        <v>63943</v>
      </c>
      <c r="Z3528" s="115">
        <f>_xll.qlCalendarAdvance(Calendar,Y3528,NDays&amp;"D")</f>
        <v>63943</v>
      </c>
      <c r="AA3528" s="116" t="e">
        <v>#N/A</v>
      </c>
      <c r="AB3528" s="113" t="e">
        <v>#N/A</v>
      </c>
    </row>
    <row r="3529" spans="17:28" x14ac:dyDescent="0.2">
      <c r="Q3529" s="72"/>
      <c r="T3529" s="72"/>
      <c r="U3529" s="93"/>
      <c r="X3529" s="114" t="str">
        <f t="shared" si="67"/>
        <v>1w</v>
      </c>
      <c r="Y3529" s="112">
        <f>_xll.qlCalendarAdvance(Calendar,Y3528,X3529,"f",FALSE)</f>
        <v>63950</v>
      </c>
      <c r="Z3529" s="115">
        <f>_xll.qlCalendarAdvance(Calendar,Y3529,NDays&amp;"D")</f>
        <v>63950</v>
      </c>
      <c r="AA3529" s="116" t="e">
        <v>#N/A</v>
      </c>
      <c r="AB3529" s="113" t="e">
        <v>#N/A</v>
      </c>
    </row>
    <row r="3530" spans="17:28" x14ac:dyDescent="0.2">
      <c r="Q3530" s="72"/>
      <c r="T3530" s="72"/>
      <c r="U3530" s="93"/>
      <c r="X3530" s="114" t="str">
        <f t="shared" si="67"/>
        <v>1w</v>
      </c>
      <c r="Y3530" s="112">
        <f>_xll.qlCalendarAdvance(Calendar,Y3529,X3530,"f",FALSE)</f>
        <v>63957</v>
      </c>
      <c r="Z3530" s="115">
        <f>_xll.qlCalendarAdvance(Calendar,Y3530,NDays&amp;"D")</f>
        <v>63957</v>
      </c>
      <c r="AA3530" s="116" t="e">
        <v>#N/A</v>
      </c>
      <c r="AB3530" s="113" t="e">
        <v>#N/A</v>
      </c>
    </row>
    <row r="3531" spans="17:28" x14ac:dyDescent="0.2">
      <c r="Q3531" s="72"/>
      <c r="T3531" s="72"/>
      <c r="U3531" s="93"/>
      <c r="X3531" s="114" t="str">
        <f t="shared" si="67"/>
        <v>1w</v>
      </c>
      <c r="Y3531" s="112">
        <f>_xll.qlCalendarAdvance(Calendar,Y3530,X3531,"f",FALSE)</f>
        <v>63964</v>
      </c>
      <c r="Z3531" s="115">
        <f>_xll.qlCalendarAdvance(Calendar,Y3531,NDays&amp;"D")</f>
        <v>63964</v>
      </c>
      <c r="AA3531" s="116" t="e">
        <v>#N/A</v>
      </c>
      <c r="AB3531" s="113" t="e">
        <v>#N/A</v>
      </c>
    </row>
    <row r="3532" spans="17:28" x14ac:dyDescent="0.2">
      <c r="Q3532" s="72"/>
      <c r="T3532" s="72"/>
      <c r="U3532" s="93"/>
      <c r="X3532" s="114" t="str">
        <f t="shared" si="67"/>
        <v>1w</v>
      </c>
      <c r="Y3532" s="112">
        <f>_xll.qlCalendarAdvance(Calendar,Y3531,X3532,"f",FALSE)</f>
        <v>63971</v>
      </c>
      <c r="Z3532" s="115">
        <f>_xll.qlCalendarAdvance(Calendar,Y3532,NDays&amp;"D")</f>
        <v>63971</v>
      </c>
      <c r="AA3532" s="116" t="e">
        <v>#N/A</v>
      </c>
      <c r="AB3532" s="113" t="e">
        <v>#N/A</v>
      </c>
    </row>
    <row r="3533" spans="17:28" x14ac:dyDescent="0.2">
      <c r="Q3533" s="72"/>
      <c r="T3533" s="72"/>
      <c r="U3533" s="93"/>
      <c r="X3533" s="114" t="str">
        <f t="shared" si="67"/>
        <v>1w</v>
      </c>
      <c r="Y3533" s="112">
        <f>_xll.qlCalendarAdvance(Calendar,Y3532,X3533,"f",FALSE)</f>
        <v>63978</v>
      </c>
      <c r="Z3533" s="115">
        <f>_xll.qlCalendarAdvance(Calendar,Y3533,NDays&amp;"D")</f>
        <v>63978</v>
      </c>
      <c r="AA3533" s="116" t="e">
        <v>#N/A</v>
      </c>
      <c r="AB3533" s="113" t="e">
        <v>#N/A</v>
      </c>
    </row>
    <row r="3534" spans="17:28" x14ac:dyDescent="0.2">
      <c r="Q3534" s="72"/>
      <c r="T3534" s="72"/>
      <c r="U3534" s="93"/>
      <c r="X3534" s="114" t="str">
        <f t="shared" si="67"/>
        <v>1w</v>
      </c>
      <c r="Y3534" s="112">
        <f>_xll.qlCalendarAdvance(Calendar,Y3533,X3534,"f",FALSE)</f>
        <v>63985</v>
      </c>
      <c r="Z3534" s="115">
        <f>_xll.qlCalendarAdvance(Calendar,Y3534,NDays&amp;"D")</f>
        <v>63985</v>
      </c>
      <c r="AA3534" s="116" t="e">
        <v>#N/A</v>
      </c>
      <c r="AB3534" s="113" t="e">
        <v>#N/A</v>
      </c>
    </row>
    <row r="3535" spans="17:28" x14ac:dyDescent="0.2">
      <c r="Q3535" s="72"/>
      <c r="T3535" s="72"/>
      <c r="U3535" s="93"/>
      <c r="X3535" s="114" t="str">
        <f t="shared" si="67"/>
        <v>1w</v>
      </c>
      <c r="Y3535" s="112">
        <f>_xll.qlCalendarAdvance(Calendar,Y3534,X3535,"f",FALSE)</f>
        <v>63992</v>
      </c>
      <c r="Z3535" s="115">
        <f>_xll.qlCalendarAdvance(Calendar,Y3535,NDays&amp;"D")</f>
        <v>63992</v>
      </c>
      <c r="AA3535" s="116" t="e">
        <v>#N/A</v>
      </c>
      <c r="AB3535" s="113" t="e">
        <v>#N/A</v>
      </c>
    </row>
    <row r="3536" spans="17:28" x14ac:dyDescent="0.2">
      <c r="Q3536" s="72"/>
      <c r="T3536" s="72"/>
      <c r="U3536" s="93"/>
      <c r="X3536" s="114" t="str">
        <f t="shared" si="67"/>
        <v>1w</v>
      </c>
      <c r="Y3536" s="112">
        <f>_xll.qlCalendarAdvance(Calendar,Y3535,X3536,"f",FALSE)</f>
        <v>63999</v>
      </c>
      <c r="Z3536" s="115">
        <f>_xll.qlCalendarAdvance(Calendar,Y3536,NDays&amp;"D")</f>
        <v>63999</v>
      </c>
      <c r="AA3536" s="116" t="e">
        <v>#N/A</v>
      </c>
      <c r="AB3536" s="113" t="e">
        <v>#N/A</v>
      </c>
    </row>
    <row r="3537" spans="2:28" x14ac:dyDescent="0.2">
      <c r="Q3537" s="72"/>
      <c r="T3537" s="72"/>
      <c r="U3537" s="93"/>
      <c r="X3537" s="114" t="str">
        <f t="shared" si="67"/>
        <v>1w</v>
      </c>
      <c r="Y3537" s="112">
        <f>_xll.qlCalendarAdvance(Calendar,Y3536,X3537,"f",FALSE)</f>
        <v>64006</v>
      </c>
      <c r="Z3537" s="115">
        <f>_xll.qlCalendarAdvance(Calendar,Y3537,NDays&amp;"D")</f>
        <v>64006</v>
      </c>
      <c r="AA3537" s="116" t="e">
        <v>#N/A</v>
      </c>
      <c r="AB3537" s="113" t="e">
        <v>#N/A</v>
      </c>
    </row>
    <row r="3538" spans="2:28" x14ac:dyDescent="0.2">
      <c r="Q3538" s="72"/>
      <c r="T3538" s="72"/>
      <c r="U3538" s="93"/>
      <c r="X3538" s="114" t="str">
        <f t="shared" si="67"/>
        <v>1w</v>
      </c>
      <c r="Y3538" s="112">
        <f>_xll.qlCalendarAdvance(Calendar,Y3537,X3538,"f",FALSE)</f>
        <v>64013</v>
      </c>
      <c r="Z3538" s="115">
        <f>_xll.qlCalendarAdvance(Calendar,Y3538,NDays&amp;"D")</f>
        <v>64013</v>
      </c>
      <c r="AA3538" s="116" t="e">
        <v>#N/A</v>
      </c>
      <c r="AB3538" s="113" t="e">
        <v>#N/A</v>
      </c>
    </row>
    <row r="3539" spans="2:28" x14ac:dyDescent="0.2">
      <c r="Q3539" s="72"/>
      <c r="T3539" s="72"/>
      <c r="U3539" s="93"/>
      <c r="X3539" s="114" t="str">
        <f t="shared" si="67"/>
        <v>1w</v>
      </c>
      <c r="Y3539" s="112">
        <f>_xll.qlCalendarAdvance(Calendar,Y3538,X3539,"f",FALSE)</f>
        <v>64020</v>
      </c>
      <c r="Z3539" s="115">
        <f>_xll.qlCalendarAdvance(Calendar,Y3539,NDays&amp;"D")</f>
        <v>64020</v>
      </c>
      <c r="AA3539" s="116" t="e">
        <v>#N/A</v>
      </c>
      <c r="AB3539" s="113" t="e">
        <v>#N/A</v>
      </c>
    </row>
    <row r="3540" spans="2:28" x14ac:dyDescent="0.2">
      <c r="Q3540" s="72"/>
      <c r="T3540" s="72"/>
      <c r="U3540" s="93"/>
      <c r="X3540" s="114" t="str">
        <f t="shared" si="67"/>
        <v>1w</v>
      </c>
      <c r="Y3540" s="112">
        <f>_xll.qlCalendarAdvance(Calendar,Y3539,X3540,"f",FALSE)</f>
        <v>64027</v>
      </c>
      <c r="Z3540" s="115">
        <f>_xll.qlCalendarAdvance(Calendar,Y3540,NDays&amp;"D")</f>
        <v>64027</v>
      </c>
      <c r="AA3540" s="116" t="e">
        <v>#N/A</v>
      </c>
      <c r="AB3540" s="113" t="e">
        <v>#N/A</v>
      </c>
    </row>
    <row r="3541" spans="2:28" x14ac:dyDescent="0.2">
      <c r="Q3541" s="72"/>
      <c r="T3541" s="72"/>
      <c r="U3541" s="93"/>
      <c r="X3541" s="114" t="str">
        <f t="shared" ref="X3541:X3552" si="68">X3540</f>
        <v>1w</v>
      </c>
      <c r="Y3541" s="112">
        <f>_xll.qlCalendarAdvance(Calendar,Y3540,X3541,"f",FALSE)</f>
        <v>64035</v>
      </c>
      <c r="Z3541" s="115">
        <f>_xll.qlCalendarAdvance(Calendar,Y3541,NDays&amp;"D")</f>
        <v>64035</v>
      </c>
      <c r="AA3541" s="116" t="e">
        <v>#N/A</v>
      </c>
      <c r="AB3541" s="113" t="e">
        <v>#N/A</v>
      </c>
    </row>
    <row r="3542" spans="2:28" x14ac:dyDescent="0.2">
      <c r="Q3542" s="72"/>
      <c r="T3542" s="72"/>
      <c r="U3542" s="93"/>
      <c r="X3542" s="114" t="str">
        <f t="shared" si="68"/>
        <v>1w</v>
      </c>
      <c r="Y3542" s="112">
        <f>_xll.qlCalendarAdvance(Calendar,Y3541,X3542,"f",FALSE)</f>
        <v>64042</v>
      </c>
      <c r="Z3542" s="115">
        <f>_xll.qlCalendarAdvance(Calendar,Y3542,NDays&amp;"D")</f>
        <v>64042</v>
      </c>
      <c r="AA3542" s="116" t="e">
        <v>#N/A</v>
      </c>
      <c r="AB3542" s="113" t="e">
        <v>#N/A</v>
      </c>
    </row>
    <row r="3543" spans="2:28" x14ac:dyDescent="0.2">
      <c r="B3543" s="112"/>
      <c r="C3543" s="115"/>
      <c r="D3543" s="116"/>
      <c r="E3543" s="116"/>
      <c r="X3543" s="114" t="str">
        <f t="shared" si="68"/>
        <v>1w</v>
      </c>
      <c r="Y3543" s="112">
        <f>_xll.qlCalendarAdvance(Calendar,Y3542,X3543,"f",FALSE)</f>
        <v>64049</v>
      </c>
      <c r="Z3543" s="115">
        <f>_xll.qlCalendarAdvance(Calendar,Y3543,NDays&amp;"D")</f>
        <v>64049</v>
      </c>
      <c r="AA3543" s="116" t="e">
        <v>#N/A</v>
      </c>
      <c r="AB3543" s="113" t="e">
        <v>#N/A</v>
      </c>
    </row>
    <row r="3544" spans="2:28" x14ac:dyDescent="0.2">
      <c r="B3544" s="112"/>
      <c r="C3544" s="115"/>
      <c r="D3544" s="116"/>
      <c r="E3544" s="116"/>
      <c r="X3544" s="114" t="str">
        <f t="shared" si="68"/>
        <v>1w</v>
      </c>
      <c r="Y3544" s="112">
        <f>_xll.qlCalendarAdvance(Calendar,Y3543,X3544,"f",FALSE)</f>
        <v>64056</v>
      </c>
      <c r="Z3544" s="115">
        <f>_xll.qlCalendarAdvance(Calendar,Y3544,NDays&amp;"D")</f>
        <v>64056</v>
      </c>
      <c r="AA3544" s="116" t="e">
        <v>#N/A</v>
      </c>
      <c r="AB3544" s="113" t="e">
        <v>#N/A</v>
      </c>
    </row>
    <row r="3545" spans="2:28" x14ac:dyDescent="0.2">
      <c r="B3545" s="112"/>
      <c r="C3545" s="115"/>
      <c r="D3545" s="116"/>
      <c r="E3545" s="116"/>
      <c r="X3545" s="114" t="str">
        <f t="shared" si="68"/>
        <v>1w</v>
      </c>
      <c r="Y3545" s="112">
        <f>_xll.qlCalendarAdvance(Calendar,Y3544,X3545,"f",FALSE)</f>
        <v>64063</v>
      </c>
      <c r="Z3545" s="115">
        <f>_xll.qlCalendarAdvance(Calendar,Y3545,NDays&amp;"D")</f>
        <v>64063</v>
      </c>
      <c r="AA3545" s="116" t="e">
        <v>#N/A</v>
      </c>
      <c r="AB3545" s="113" t="e">
        <v>#N/A</v>
      </c>
    </row>
    <row r="3546" spans="2:28" x14ac:dyDescent="0.2">
      <c r="B3546" s="112"/>
      <c r="C3546" s="115"/>
      <c r="D3546" s="116"/>
      <c r="E3546" s="116"/>
      <c r="X3546" s="114" t="str">
        <f t="shared" si="68"/>
        <v>1w</v>
      </c>
      <c r="Y3546" s="112">
        <f>_xll.qlCalendarAdvance(Calendar,Y3545,X3546,"f",FALSE)</f>
        <v>64070</v>
      </c>
      <c r="Z3546" s="115">
        <f>_xll.qlCalendarAdvance(Calendar,Y3546,NDays&amp;"D")</f>
        <v>64070</v>
      </c>
      <c r="AA3546" s="116" t="e">
        <v>#N/A</v>
      </c>
      <c r="AB3546" s="113" t="e">
        <v>#N/A</v>
      </c>
    </row>
    <row r="3547" spans="2:28" x14ac:dyDescent="0.2">
      <c r="B3547" s="112"/>
      <c r="C3547" s="115"/>
      <c r="D3547" s="116"/>
      <c r="E3547" s="116"/>
      <c r="X3547" s="114" t="str">
        <f t="shared" si="68"/>
        <v>1w</v>
      </c>
      <c r="Y3547" s="112">
        <f>_xll.qlCalendarAdvance(Calendar,Y3546,X3547,"f",FALSE)</f>
        <v>64077</v>
      </c>
      <c r="Z3547" s="115">
        <f>_xll.qlCalendarAdvance(Calendar,Y3547,NDays&amp;"D")</f>
        <v>64077</v>
      </c>
      <c r="AA3547" s="116" t="e">
        <v>#N/A</v>
      </c>
      <c r="AB3547" s="113" t="e">
        <v>#N/A</v>
      </c>
    </row>
    <row r="3548" spans="2:28" x14ac:dyDescent="0.2">
      <c r="B3548" s="112"/>
      <c r="C3548" s="115"/>
      <c r="D3548" s="116"/>
      <c r="E3548" s="116"/>
      <c r="X3548" s="114" t="str">
        <f t="shared" si="68"/>
        <v>1w</v>
      </c>
      <c r="Y3548" s="112">
        <f>_xll.qlCalendarAdvance(Calendar,Y3547,X3548,"f",FALSE)</f>
        <v>64084</v>
      </c>
      <c r="Z3548" s="115">
        <f>_xll.qlCalendarAdvance(Calendar,Y3548,NDays&amp;"D")</f>
        <v>64084</v>
      </c>
      <c r="AA3548" s="116" t="e">
        <v>#N/A</v>
      </c>
      <c r="AB3548" s="113" t="e">
        <v>#N/A</v>
      </c>
    </row>
    <row r="3549" spans="2:28" x14ac:dyDescent="0.2">
      <c r="B3549" s="112"/>
      <c r="C3549" s="115"/>
      <c r="D3549" s="116"/>
      <c r="E3549" s="116"/>
      <c r="X3549" s="114" t="str">
        <f t="shared" si="68"/>
        <v>1w</v>
      </c>
      <c r="Y3549" s="112">
        <f>_xll.qlCalendarAdvance(Calendar,Y3548,X3549,"f",FALSE)</f>
        <v>64091</v>
      </c>
      <c r="Z3549" s="115">
        <f>_xll.qlCalendarAdvance(Calendar,Y3549,NDays&amp;"D")</f>
        <v>64091</v>
      </c>
      <c r="AA3549" s="116" t="e">
        <v>#N/A</v>
      </c>
      <c r="AB3549" s="113" t="e">
        <v>#N/A</v>
      </c>
    </row>
    <row r="3550" spans="2:28" x14ac:dyDescent="0.2">
      <c r="B3550" s="112"/>
      <c r="C3550" s="115"/>
      <c r="D3550" s="116"/>
      <c r="E3550" s="116"/>
      <c r="X3550" s="114" t="str">
        <f t="shared" si="68"/>
        <v>1w</v>
      </c>
      <c r="Y3550" s="112">
        <f>_xll.qlCalendarAdvance(Calendar,Y3549,X3550,"f",FALSE)</f>
        <v>64098</v>
      </c>
      <c r="Z3550" s="115">
        <f>_xll.qlCalendarAdvance(Calendar,Y3550,NDays&amp;"D")</f>
        <v>64098</v>
      </c>
      <c r="AA3550" s="116" t="e">
        <v>#N/A</v>
      </c>
      <c r="AB3550" s="113" t="e">
        <v>#N/A</v>
      </c>
    </row>
    <row r="3551" spans="2:28" x14ac:dyDescent="0.2">
      <c r="B3551" s="112"/>
      <c r="C3551" s="115"/>
      <c r="D3551" s="116"/>
      <c r="E3551" s="116"/>
      <c r="X3551" s="114" t="str">
        <f t="shared" si="68"/>
        <v>1w</v>
      </c>
      <c r="Y3551" s="112">
        <f>_xll.qlCalendarAdvance(Calendar,Y3550,X3551,"f",FALSE)</f>
        <v>64105</v>
      </c>
      <c r="Z3551" s="115">
        <f>_xll.qlCalendarAdvance(Calendar,Y3551,NDays&amp;"D")</f>
        <v>64105</v>
      </c>
      <c r="AA3551" s="116" t="e">
        <v>#N/A</v>
      </c>
      <c r="AB3551" s="113" t="e">
        <v>#N/A</v>
      </c>
    </row>
    <row r="3552" spans="2:28" ht="12" thickBot="1" x14ac:dyDescent="0.25">
      <c r="B3552" s="112"/>
      <c r="C3552" s="115"/>
      <c r="D3552" s="116"/>
      <c r="E3552" s="116"/>
      <c r="X3552" s="129" t="str">
        <f t="shared" si="68"/>
        <v>1w</v>
      </c>
      <c r="Y3552" s="119">
        <f>_xll.qlCalendarAdvance(Calendar,Y3551,X3552,"f",FALSE)</f>
        <v>64112</v>
      </c>
      <c r="Z3552" s="131">
        <f>_xll.qlCalendarAdvance(Calendar,Y3552,NDays&amp;"D")</f>
        <v>64112</v>
      </c>
      <c r="AA3552" s="117" t="e">
        <v>#N/A</v>
      </c>
      <c r="AB3552" s="118" t="e">
        <v>#N/A</v>
      </c>
    </row>
    <row r="3553" spans="2:23" x14ac:dyDescent="0.2">
      <c r="B3553" s="112"/>
      <c r="C3553" s="115"/>
      <c r="D3553" s="116"/>
      <c r="E3553" s="116"/>
      <c r="W3553" s="126"/>
    </row>
    <row r="3554" spans="2:23" x14ac:dyDescent="0.2">
      <c r="B3554" s="112"/>
      <c r="C3554" s="115"/>
      <c r="D3554" s="116"/>
      <c r="E3554" s="116"/>
      <c r="W3554" s="126"/>
    </row>
    <row r="3555" spans="2:23" x14ac:dyDescent="0.2">
      <c r="B3555" s="112"/>
      <c r="C3555" s="115"/>
      <c r="D3555" s="116"/>
      <c r="E3555" s="116"/>
      <c r="W3555" s="126"/>
    </row>
    <row r="3556" spans="2:23" x14ac:dyDescent="0.2">
      <c r="B3556" s="112"/>
      <c r="C3556" s="115"/>
      <c r="D3556" s="116"/>
      <c r="E3556" s="116"/>
      <c r="W3556" s="126"/>
    </row>
    <row r="3557" spans="2:23" x14ac:dyDescent="0.2">
      <c r="B3557" s="112"/>
      <c r="C3557" s="115"/>
      <c r="D3557" s="116"/>
      <c r="E3557" s="116"/>
      <c r="W3557" s="126"/>
    </row>
    <row r="3558" spans="2:23" x14ac:dyDescent="0.2">
      <c r="B3558" s="112"/>
      <c r="C3558" s="115"/>
      <c r="D3558" s="116"/>
      <c r="E3558" s="116"/>
      <c r="W3558" s="126"/>
    </row>
    <row r="3559" spans="2:23" x14ac:dyDescent="0.2">
      <c r="B3559" s="112"/>
      <c r="C3559" s="115"/>
      <c r="D3559" s="116"/>
      <c r="E3559" s="116"/>
      <c r="W3559" s="126"/>
    </row>
    <row r="3560" spans="2:23" x14ac:dyDescent="0.2">
      <c r="B3560" s="112"/>
      <c r="C3560" s="115"/>
      <c r="D3560" s="116"/>
      <c r="E3560" s="116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29</xdr:row>
                    <xdr:rowOff>123825</xdr:rowOff>
                  </from>
                  <to>
                    <xdr:col>10</xdr:col>
                    <xdr:colOff>247650</xdr:colOff>
                    <xdr:row>31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523875</xdr:colOff>
                    <xdr:row>27</xdr:row>
                    <xdr:rowOff>47625</xdr:rowOff>
                  </from>
                  <to>
                    <xdr:col>10</xdr:col>
                    <xdr:colOff>247650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32</xdr:row>
                    <xdr:rowOff>47625</xdr:rowOff>
                  </from>
                  <to>
                    <xdr:col>10</xdr:col>
                    <xdr:colOff>247650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533400</xdr:colOff>
                    <xdr:row>53</xdr:row>
                    <xdr:rowOff>66675</xdr:rowOff>
                  </from>
                  <to>
                    <xdr:col>10</xdr:col>
                    <xdr:colOff>257175</xdr:colOff>
                    <xdr:row>55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24</xdr:row>
                    <xdr:rowOff>85725</xdr:rowOff>
                  </from>
                  <to>
                    <xdr:col>10</xdr:col>
                    <xdr:colOff>247650</xdr:colOff>
                    <xdr:row>26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35</xdr:row>
                    <xdr:rowOff>19050</xdr:rowOff>
                  </from>
                  <to>
                    <xdr:col>10</xdr:col>
                    <xdr:colOff>247650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37</xdr:row>
                    <xdr:rowOff>123825</xdr:rowOff>
                  </from>
                  <to>
                    <xdr:col>10</xdr:col>
                    <xdr:colOff>247650</xdr:colOff>
                    <xdr:row>39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40</xdr:row>
                    <xdr:rowOff>85725</xdr:rowOff>
                  </from>
                  <to>
                    <xdr:col>10</xdr:col>
                    <xdr:colOff>247650</xdr:colOff>
                    <xdr:row>42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43</xdr:row>
                    <xdr:rowOff>66675</xdr:rowOff>
                  </from>
                  <to>
                    <xdr:col>10</xdr:col>
                    <xdr:colOff>247650</xdr:colOff>
                    <xdr:row>45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533400</xdr:colOff>
                    <xdr:row>47</xdr:row>
                    <xdr:rowOff>0</xdr:rowOff>
                  </from>
                  <to>
                    <xdr:col>10</xdr:col>
                    <xdr:colOff>257175</xdr:colOff>
                    <xdr:row>48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533400</xdr:colOff>
                    <xdr:row>50</xdr:row>
                    <xdr:rowOff>57150</xdr:rowOff>
                  </from>
                  <to>
                    <xdr:col>10</xdr:col>
                    <xdr:colOff>257175</xdr:colOff>
                    <xdr:row>52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52</vt:i4>
      </vt:variant>
    </vt:vector>
  </HeadingPairs>
  <TitlesOfParts>
    <vt:vector size="60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ZANZI MADDALENA</dc:creator>
  <cp:lastModifiedBy>ZANZI MADDALENA</cp:lastModifiedBy>
  <dcterms:created xsi:type="dcterms:W3CDTF">2014-09-15T09:52:36Z</dcterms:created>
  <dcterms:modified xsi:type="dcterms:W3CDTF">2015-05-11T16:14:24Z</dcterms:modified>
</cp:coreProperties>
</file>
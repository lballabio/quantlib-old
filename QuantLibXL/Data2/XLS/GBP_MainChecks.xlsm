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65" windowHeight="12390"/>
  </bookViews>
  <sheets>
    <sheet name="MainChecks" sheetId="2" r:id="rId1"/>
  </sheets>
  <externalReferences>
    <externalReference r:id="rId2"/>
  </externalReferences>
  <definedNames>
    <definedName name="AllTriggers">MainChecks!$I$8:$I$13</definedName>
    <definedName name="BondCurve">MainChecks!$B$9</definedName>
    <definedName name="CapVolsTrigger">MainChecks!$I$9</definedName>
    <definedName name="CMSBond">MainChecks!$B$25</definedName>
    <definedName name="CmsSpreadsTrigger">MainChecks!$I$13</definedName>
    <definedName name="Currency">MainChecks!$B$1</definedName>
    <definedName name="DigitalBond">MainChecks!$B$26</definedName>
    <definedName name="EvaluationDate">MainChecks!$C$3</definedName>
    <definedName name="FirstIndex">MainChecks!$B$12</definedName>
    <definedName name="FixedRateBond">MainChecks!$B$27</definedName>
    <definedName name="FloatingRateBond">MainChecks!$B$24</definedName>
    <definedName name="FuturesOptionsTrigger">MainChecks!$I$10</definedName>
    <definedName name="InterestRatesTrigger">MainChecks!$I$8</definedName>
    <definedName name="OneYearAhead">MainChecks!$C$17</definedName>
    <definedName name="SecondIMMDate">MainChecks!$C$13</definedName>
    <definedName name="SecondIndex">MainChecks!$B$14</definedName>
    <definedName name="Suffix">MainChecks!$A$5</definedName>
    <definedName name="SwaptionATMVolsTrigger">MainChecks!$I$11</definedName>
    <definedName name="SwaptionSmileVolsTrigger">MainChecks!$I$12</definedName>
    <definedName name="ThirdIndex">MainChecks!$B$16</definedName>
    <definedName name="Trigger">MainChecks!$I$2</definedName>
    <definedName name="Yesterday">MainChecks!$C$10</definedName>
    <definedName name="YieldCurve1M">MainChecks!$B$5</definedName>
    <definedName name="YieldCurve1Y">MainChecks!$B$8</definedName>
    <definedName name="YieldCurve3M">MainChecks!$B$6</definedName>
    <definedName name="YieldCurve6M">MainChecks!$B$7</definedName>
    <definedName name="YieldCurveDiscounting">MainChecks!$B$3</definedName>
    <definedName name="YieldCurveON">MainChecks!$B$4</definedName>
  </definedNames>
  <calcPr calcId="145621"/>
</workbook>
</file>

<file path=xl/calcChain.xml><?xml version="1.0" encoding="utf-8"?>
<calcChain xmlns="http://schemas.openxmlformats.org/spreadsheetml/2006/main">
  <c r="B12" i="2" l="1"/>
  <c r="B16" i="2"/>
  <c r="B8" i="2"/>
  <c r="B7" i="2"/>
  <c r="B6" i="2"/>
  <c r="B5" i="2"/>
  <c r="B4" i="2"/>
  <c r="B14" i="2"/>
  <c r="B21" i="2"/>
  <c r="B20" i="2"/>
  <c r="B3" i="2"/>
  <c r="B19" i="2"/>
  <c r="B18" i="2"/>
  <c r="C25" i="2"/>
  <c r="C11" i="2"/>
  <c r="C10" i="2"/>
  <c r="C1" i="2"/>
  <c r="C17" i="2"/>
  <c r="E17" i="2"/>
  <c r="C24" i="2"/>
  <c r="I15" i="2"/>
  <c r="C27" i="2"/>
  <c r="D27" i="2" s="1"/>
  <c r="E27" i="2"/>
  <c r="I19" i="2"/>
  <c r="C5" i="2"/>
  <c r="E5" i="2"/>
  <c r="E10" i="2"/>
  <c r="I21" i="2"/>
  <c r="E24" i="2"/>
  <c r="C26" i="2"/>
  <c r="D26" i="2"/>
  <c r="I18" i="2"/>
  <c r="C3" i="2"/>
  <c r="I20" i="2"/>
  <c r="E26" i="2"/>
  <c r="H4" i="2"/>
  <c r="E3" i="2"/>
  <c r="E25" i="2"/>
  <c r="C9" i="2"/>
  <c r="F27" i="2"/>
  <c r="F24" i="2"/>
  <c r="I5" i="2"/>
  <c r="I4" i="2"/>
  <c r="F11" i="2"/>
  <c r="F5" i="2"/>
  <c r="F9" i="2"/>
  <c r="F25" i="2"/>
  <c r="F10" i="2"/>
  <c r="F26" i="2"/>
  <c r="C15" i="2" l="1"/>
  <c r="C6" i="2"/>
  <c r="C20" i="2"/>
  <c r="C21" i="2"/>
  <c r="C16" i="2"/>
  <c r="C12" i="2"/>
  <c r="C4" i="2"/>
  <c r="E9" i="2"/>
  <c r="E11" i="2"/>
  <c r="E21" i="2"/>
  <c r="D25" i="2"/>
  <c r="E15" i="2"/>
  <c r="E20" i="2"/>
  <c r="E16" i="2"/>
  <c r="E12" i="2"/>
  <c r="D24" i="2"/>
  <c r="C13" i="2"/>
  <c r="E13" i="2" s="1"/>
  <c r="E4" i="2"/>
  <c r="E6" i="2"/>
  <c r="F3" i="2"/>
  <c r="F6" i="2"/>
  <c r="F20" i="2"/>
  <c r="F21" i="2"/>
  <c r="F12" i="2"/>
  <c r="F15" i="2"/>
  <c r="F17" i="2"/>
  <c r="F13" i="2"/>
  <c r="C18" i="2" l="1"/>
  <c r="C19" i="2"/>
  <c r="C14" i="2"/>
  <c r="C7" i="2"/>
  <c r="E7" i="2"/>
  <c r="E14" i="2"/>
  <c r="E18" i="2"/>
  <c r="F18" i="2"/>
  <c r="F4" i="2"/>
  <c r="F7" i="2"/>
  <c r="F19" i="2"/>
  <c r="F16" i="2"/>
  <c r="C8" i="2" l="1"/>
  <c r="E19" i="2"/>
  <c r="E8" i="2"/>
  <c r="F14" i="2"/>
  <c r="F8" i="2"/>
</calcChain>
</file>

<file path=xl/comments1.xml><?xml version="1.0" encoding="utf-8"?>
<comments xmlns="http://schemas.openxmlformats.org/spreadsheetml/2006/main">
  <authors>
    <author>Ferdinando Ametrano</author>
    <author>Chiara Fornarola</author>
  </authors>
  <commentList>
    <comment ref="B24" authorId="0">
      <text>
        <r>
          <rPr>
            <b/>
            <sz val="8"/>
            <color indexed="81"/>
            <rFont val="Tahoma"/>
            <family val="2"/>
          </rPr>
          <t>FRN</t>
        </r>
      </text>
    </comment>
    <comment ref="B25" authorId="0">
      <text>
        <r>
          <rPr>
            <b/>
            <sz val="8"/>
            <color indexed="81"/>
            <rFont val="Tahoma"/>
            <family val="2"/>
          </rPr>
          <t>CMS bond</t>
        </r>
      </text>
    </comment>
    <comment ref="B26" authorId="1">
      <text>
        <r>
          <rPr>
            <b/>
            <sz val="8"/>
            <color indexed="81"/>
            <rFont val="Tahoma"/>
            <family val="2"/>
          </rPr>
          <t xml:space="preserve">Digital Bond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7" authorId="0">
      <text>
        <r>
          <rPr>
            <b/>
            <sz val="8"/>
            <color indexed="81"/>
            <rFont val="Tahoma"/>
            <family val="2"/>
          </rPr>
          <t>fixed coupon bond</t>
        </r>
      </text>
    </comment>
  </commentList>
</comments>
</file>

<file path=xl/sharedStrings.xml><?xml version="1.0" encoding="utf-8"?>
<sst xmlns="http://schemas.openxmlformats.org/spreadsheetml/2006/main" count="34" uniqueCount="29">
  <si>
    <t>ObjectID</t>
  </si>
  <si>
    <t>Check</t>
  </si>
  <si>
    <t>Error message</t>
  </si>
  <si>
    <t>XS0232989532</t>
  </si>
  <si>
    <t>XS0100221349</t>
  </si>
  <si>
    <t>Trigger</t>
  </si>
  <si>
    <t>Object Count:</t>
  </si>
  <si>
    <t>Asset Swap</t>
  </si>
  <si>
    <t>FGBLc1</t>
  </si>
  <si>
    <t>Real Time</t>
  </si>
  <si>
    <t>Date</t>
  </si>
  <si>
    <t>-</t>
  </si>
  <si>
    <t>Memory Usage</t>
  </si>
  <si>
    <t>InterestRates</t>
  </si>
  <si>
    <t>CapVols</t>
  </si>
  <si>
    <t>FuturesOptions</t>
  </si>
  <si>
    <t>SwaptionATMVols</t>
  </si>
  <si>
    <t>SwaptionSmileVols</t>
  </si>
  <si>
    <t>CmsSpreads</t>
  </si>
  <si>
    <t>IT0001278404</t>
  </si>
  <si>
    <t>OH+QL Functions:</t>
  </si>
  <si>
    <t>Boost</t>
  </si>
  <si>
    <t>QuantLib</t>
  </si>
  <si>
    <t>ObjectHandler</t>
  </si>
  <si>
    <t>IT0004286966</t>
  </si>
  <si>
    <t>BtpStrippable</t>
  </si>
  <si>
    <t>GBP</t>
  </si>
  <si>
    <t>-Mx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</si>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</sst>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"/>
    <numFmt numFmtId="167" formatCode="0.0000%"/>
    <numFmt numFmtId="168" formatCode="ddd\,\ dd\-mmm\-yyyy"/>
    <numFmt numFmtId="169" formatCode="#,##0.0;#,##0.0"/>
    <numFmt numFmtId="170" formatCode="General_)"/>
    <numFmt numFmtId="171" formatCode="ddd\,\ dd\-mmm\-yyyy\,\ hh:mm:ss"/>
    <numFmt numFmtId="172" formatCode="ddd\,\ d\-mmm\-yyyy"/>
    <numFmt numFmtId="173" formatCode="_-* #,##0.000_-;\-* #,##0.000_-;_-* &quot;-&quot;??_-;_-@_-"/>
    <numFmt numFmtId="174" formatCode="yyyy\-mmm\-dd\-hh:mm:ss"/>
  </numFmts>
  <fonts count="13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70" fontId="6" fillId="0" borderId="0"/>
    <xf numFmtId="9" fontId="1" fillId="0" borderId="0" applyFont="0" applyFill="0" applyBorder="0" applyAlignment="0" applyProtection="0"/>
    <xf numFmtId="169" fontId="4" fillId="2" borderId="0">
      <alignment horizontal="center" vertical="center"/>
    </xf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</cellStyleXfs>
  <cellXfs count="85">
    <xf numFmtId="0" fontId="0" fillId="0" borderId="0" xfId="0"/>
    <xf numFmtId="0" fontId="8" fillId="3" borderId="1" xfId="0" applyFont="1" applyFill="1" applyBorder="1"/>
    <xf numFmtId="0" fontId="8" fillId="0" borderId="0" xfId="0" applyFont="1" applyAlignment="1">
      <alignment horizontal="center"/>
    </xf>
    <xf numFmtId="0" fontId="8" fillId="3" borderId="2" xfId="0" applyFont="1" applyFill="1" applyBorder="1"/>
    <xf numFmtId="0" fontId="8" fillId="3" borderId="3" xfId="0" applyFont="1" applyFill="1" applyBorder="1"/>
    <xf numFmtId="0" fontId="8" fillId="4" borderId="0" xfId="0" applyFont="1" applyFill="1"/>
    <xf numFmtId="0" fontId="8" fillId="0" borderId="0" xfId="0" applyFont="1"/>
    <xf numFmtId="15" fontId="8" fillId="3" borderId="4" xfId="0" applyNumberFormat="1" applyFont="1" applyFill="1" applyBorder="1"/>
    <xf numFmtId="0" fontId="9" fillId="3" borderId="5" xfId="0" applyFont="1" applyFill="1" applyBorder="1" applyAlignment="1">
      <alignment horizontal="center"/>
    </xf>
    <xf numFmtId="171" fontId="9" fillId="3" borderId="6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15" fontId="8" fillId="3" borderId="0" xfId="0" applyNumberFormat="1" applyFont="1" applyFill="1" applyBorder="1"/>
    <xf numFmtId="0" fontId="8" fillId="4" borderId="8" xfId="0" applyNumberFormat="1" applyFont="1" applyFill="1" applyBorder="1" applyAlignment="1">
      <alignment horizontal="center"/>
    </xf>
    <xf numFmtId="0" fontId="8" fillId="3" borderId="9" xfId="0" applyFont="1" applyFill="1" applyBorder="1"/>
    <xf numFmtId="0" fontId="8" fillId="4" borderId="10" xfId="0" applyFont="1" applyFill="1" applyBorder="1"/>
    <xf numFmtId="172" fontId="10" fillId="5" borderId="11" xfId="0" applyNumberFormat="1" applyFont="1" applyFill="1" applyBorder="1" applyAlignment="1" applyProtection="1">
      <alignment horizontal="center"/>
    </xf>
    <xf numFmtId="166" fontId="8" fillId="5" borderId="11" xfId="0" applyNumberFormat="1" applyFont="1" applyFill="1" applyBorder="1" applyAlignment="1" applyProtection="1">
      <alignment horizontal="center"/>
    </xf>
    <xf numFmtId="0" fontId="11" fillId="5" borderId="12" xfId="5" applyNumberFormat="1" applyFont="1" applyFill="1" applyBorder="1" applyAlignment="1" applyProtection="1"/>
    <xf numFmtId="0" fontId="8" fillId="4" borderId="13" xfId="0" applyFont="1" applyFill="1" applyBorder="1"/>
    <xf numFmtId="172" fontId="10" fillId="5" borderId="14" xfId="0" applyNumberFormat="1" applyFont="1" applyFill="1" applyBorder="1" applyAlignment="1" applyProtection="1">
      <alignment horizontal="center"/>
    </xf>
    <xf numFmtId="166" fontId="8" fillId="5" borderId="14" xfId="0" applyNumberFormat="1" applyFont="1" applyFill="1" applyBorder="1" applyAlignment="1" applyProtection="1">
      <alignment horizontal="center"/>
    </xf>
    <xf numFmtId="0" fontId="11" fillId="5" borderId="15" xfId="5" applyNumberFormat="1" applyFont="1" applyFill="1" applyBorder="1" applyAlignment="1" applyProtection="1"/>
    <xf numFmtId="0" fontId="8" fillId="4" borderId="10" xfId="0" applyNumberFormat="1" applyFont="1" applyFill="1" applyBorder="1" applyAlignment="1">
      <alignment horizontal="center"/>
    </xf>
    <xf numFmtId="0" fontId="8" fillId="5" borderId="16" xfId="0" applyNumberFormat="1" applyFont="1" applyFill="1" applyBorder="1" applyAlignment="1" applyProtection="1">
      <alignment horizontal="center"/>
    </xf>
    <xf numFmtId="172" fontId="10" fillId="5" borderId="17" xfId="0" applyNumberFormat="1" applyFont="1" applyFill="1" applyBorder="1" applyAlignment="1" applyProtection="1">
      <alignment horizontal="center"/>
    </xf>
    <xf numFmtId="0" fontId="11" fillId="5" borderId="18" xfId="5" applyNumberFormat="1" applyFont="1" applyFill="1" applyBorder="1" applyAlignment="1" applyProtection="1"/>
    <xf numFmtId="0" fontId="8" fillId="4" borderId="13" xfId="0" applyNumberFormat="1" applyFont="1" applyFill="1" applyBorder="1" applyAlignment="1">
      <alignment horizontal="center"/>
    </xf>
    <xf numFmtId="0" fontId="8" fillId="5" borderId="15" xfId="0" applyNumberFormat="1" applyFont="1" applyFill="1" applyBorder="1" applyAlignment="1" applyProtection="1">
      <alignment horizontal="center"/>
    </xf>
    <xf numFmtId="0" fontId="8" fillId="4" borderId="1" xfId="0" applyFont="1" applyFill="1" applyBorder="1"/>
    <xf numFmtId="172" fontId="8" fillId="5" borderId="11" xfId="0" applyNumberFormat="1" applyFont="1" applyFill="1" applyBorder="1" applyAlignment="1" applyProtection="1">
      <alignment horizontal="center"/>
    </xf>
    <xf numFmtId="167" fontId="8" fillId="5" borderId="11" xfId="5" applyNumberFormat="1" applyFont="1" applyFill="1" applyBorder="1" applyAlignment="1" applyProtection="1">
      <alignment horizontal="center"/>
    </xf>
    <xf numFmtId="0" fontId="8" fillId="4" borderId="4" xfId="0" applyFont="1" applyFill="1" applyBorder="1"/>
    <xf numFmtId="172" fontId="8" fillId="5" borderId="14" xfId="0" applyNumberFormat="1" applyFont="1" applyFill="1" applyBorder="1" applyAlignment="1" applyProtection="1">
      <alignment horizontal="center"/>
    </xf>
    <xf numFmtId="167" fontId="8" fillId="5" borderId="14" xfId="5" applyNumberFormat="1" applyFont="1" applyFill="1" applyBorder="1" applyAlignment="1" applyProtection="1">
      <alignment horizontal="center"/>
    </xf>
    <xf numFmtId="0" fontId="8" fillId="4" borderId="19" xfId="0" applyFont="1" applyFill="1" applyBorder="1"/>
    <xf numFmtId="172" fontId="8" fillId="5" borderId="20" xfId="0" applyNumberFormat="1" applyFont="1" applyFill="1" applyBorder="1" applyAlignment="1" applyProtection="1">
      <alignment horizontal="center"/>
    </xf>
    <xf numFmtId="167" fontId="8" fillId="5" borderId="20" xfId="5" applyNumberFormat="1" applyFont="1" applyFill="1" applyBorder="1" applyAlignment="1" applyProtection="1">
      <alignment horizontal="center"/>
    </xf>
    <xf numFmtId="0" fontId="11" fillId="5" borderId="21" xfId="5" applyNumberFormat="1" applyFont="1" applyFill="1" applyBorder="1" applyAlignment="1" applyProtection="1"/>
    <xf numFmtId="172" fontId="8" fillId="5" borderId="22" xfId="0" applyNumberFormat="1" applyFont="1" applyFill="1" applyBorder="1" applyAlignment="1" applyProtection="1">
      <alignment horizontal="center"/>
    </xf>
    <xf numFmtId="167" fontId="8" fillId="5" borderId="22" xfId="5" applyNumberFormat="1" applyFont="1" applyFill="1" applyBorder="1" applyAlignment="1" applyProtection="1">
      <alignment horizontal="center"/>
    </xf>
    <xf numFmtId="0" fontId="11" fillId="5" borderId="23" xfId="5" applyNumberFormat="1" applyFont="1" applyFill="1" applyBorder="1" applyAlignment="1" applyProtection="1"/>
    <xf numFmtId="0" fontId="8" fillId="4" borderId="24" xfId="0" applyNumberFormat="1" applyFont="1" applyFill="1" applyBorder="1" applyAlignment="1">
      <alignment horizontal="center"/>
    </xf>
    <xf numFmtId="0" fontId="8" fillId="5" borderId="21" xfId="0" applyNumberFormat="1" applyFont="1" applyFill="1" applyBorder="1" applyAlignment="1" applyProtection="1">
      <alignment horizontal="center"/>
    </xf>
    <xf numFmtId="0" fontId="8" fillId="3" borderId="4" xfId="0" applyFont="1" applyFill="1" applyBorder="1"/>
    <xf numFmtId="10" fontId="8" fillId="5" borderId="11" xfId="5" applyNumberFormat="1" applyFont="1" applyFill="1" applyBorder="1" applyAlignment="1" applyProtection="1">
      <alignment horizontal="center"/>
    </xf>
    <xf numFmtId="0" fontId="8" fillId="4" borderId="24" xfId="0" applyFont="1" applyFill="1" applyBorder="1"/>
    <xf numFmtId="10" fontId="8" fillId="5" borderId="20" xfId="5" applyNumberFormat="1" applyFont="1" applyFill="1" applyBorder="1" applyAlignment="1" applyProtection="1">
      <alignment horizontal="center"/>
    </xf>
    <xf numFmtId="0" fontId="8" fillId="4" borderId="25" xfId="0" applyFont="1" applyFill="1" applyBorder="1"/>
    <xf numFmtId="172" fontId="8" fillId="5" borderId="26" xfId="0" applyNumberFormat="1" applyFont="1" applyFill="1" applyBorder="1" applyAlignment="1" applyProtection="1">
      <alignment horizontal="center"/>
    </xf>
    <xf numFmtId="10" fontId="8" fillId="5" borderId="26" xfId="5" applyNumberFormat="1" applyFont="1" applyFill="1" applyBorder="1" applyAlignment="1" applyProtection="1">
      <alignment horizontal="center"/>
    </xf>
    <xf numFmtId="0" fontId="11" fillId="5" borderId="27" xfId="5" applyNumberFormat="1" applyFont="1" applyFill="1" applyBorder="1" applyAlignment="1" applyProtection="1"/>
    <xf numFmtId="0" fontId="9" fillId="3" borderId="8" xfId="0" applyFont="1" applyFill="1" applyBorder="1" applyAlignment="1">
      <alignment horizontal="center"/>
    </xf>
    <xf numFmtId="171" fontId="9" fillId="3" borderId="28" xfId="0" applyNumberFormat="1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0" fontId="9" fillId="3" borderId="29" xfId="0" applyFont="1" applyFill="1" applyBorder="1" applyAlignment="1">
      <alignment horizontal="center"/>
    </xf>
    <xf numFmtId="168" fontId="8" fillId="5" borderId="11" xfId="0" applyNumberFormat="1" applyFont="1" applyFill="1" applyBorder="1" applyAlignment="1" applyProtection="1">
      <alignment horizontal="center"/>
    </xf>
    <xf numFmtId="164" fontId="8" fillId="5" borderId="11" xfId="1" applyFont="1" applyFill="1" applyBorder="1" applyAlignment="1" applyProtection="1">
      <alignment horizontal="center"/>
    </xf>
    <xf numFmtId="168" fontId="8" fillId="5" borderId="14" xfId="0" applyNumberFormat="1" applyFont="1" applyFill="1" applyBorder="1" applyAlignment="1" applyProtection="1">
      <alignment horizontal="center"/>
    </xf>
    <xf numFmtId="168" fontId="8" fillId="5" borderId="26" xfId="0" applyNumberFormat="1" applyFont="1" applyFill="1" applyBorder="1" applyAlignment="1" applyProtection="1">
      <alignment horizontal="center"/>
    </xf>
    <xf numFmtId="164" fontId="8" fillId="5" borderId="14" xfId="1" applyFont="1" applyFill="1" applyBorder="1" applyAlignment="1" applyProtection="1">
      <alignment horizontal="center"/>
    </xf>
    <xf numFmtId="168" fontId="8" fillId="5" borderId="20" xfId="0" applyNumberFormat="1" applyFont="1" applyFill="1" applyBorder="1" applyAlignment="1" applyProtection="1">
      <alignment horizontal="center"/>
    </xf>
    <xf numFmtId="168" fontId="8" fillId="5" borderId="22" xfId="0" applyNumberFormat="1" applyFont="1" applyFill="1" applyBorder="1" applyAlignment="1" applyProtection="1">
      <alignment horizontal="center"/>
    </xf>
    <xf numFmtId="173" fontId="8" fillId="5" borderId="20" xfId="1" applyNumberFormat="1" applyFont="1" applyFill="1" applyBorder="1" applyAlignment="1" applyProtection="1">
      <alignment horizontal="center"/>
    </xf>
    <xf numFmtId="0" fontId="8" fillId="3" borderId="19" xfId="0" applyFont="1" applyFill="1" applyBorder="1"/>
    <xf numFmtId="0" fontId="8" fillId="3" borderId="30" xfId="0" applyFont="1" applyFill="1" applyBorder="1"/>
    <xf numFmtId="0" fontId="8" fillId="3" borderId="31" xfId="0" applyFont="1" applyFill="1" applyBorder="1"/>
    <xf numFmtId="174" fontId="8" fillId="5" borderId="32" xfId="0" applyNumberFormat="1" applyFont="1" applyFill="1" applyBorder="1" applyAlignment="1" applyProtection="1">
      <alignment horizontal="center"/>
    </xf>
    <xf numFmtId="168" fontId="10" fillId="5" borderId="11" xfId="0" applyNumberFormat="1" applyFont="1" applyFill="1" applyBorder="1" applyAlignment="1" applyProtection="1">
      <alignment horizontal="right"/>
    </xf>
    <xf numFmtId="168" fontId="10" fillId="5" borderId="14" xfId="0" applyNumberFormat="1" applyFont="1" applyFill="1" applyBorder="1" applyAlignment="1" applyProtection="1">
      <alignment horizontal="right"/>
    </xf>
    <xf numFmtId="168" fontId="10" fillId="5" borderId="17" xfId="0" applyNumberFormat="1" applyFont="1" applyFill="1" applyBorder="1" applyAlignment="1" applyProtection="1">
      <alignment horizontal="right"/>
    </xf>
    <xf numFmtId="168" fontId="8" fillId="5" borderId="33" xfId="0" applyNumberFormat="1" applyFont="1" applyFill="1" applyBorder="1" applyAlignment="1" applyProtection="1">
      <alignment horizontal="right"/>
    </xf>
    <xf numFmtId="168" fontId="8" fillId="5" borderId="34" xfId="0" applyNumberFormat="1" applyFont="1" applyFill="1" applyBorder="1" applyAlignment="1" applyProtection="1">
      <alignment horizontal="right"/>
    </xf>
    <xf numFmtId="168" fontId="8" fillId="5" borderId="35" xfId="0" applyNumberFormat="1" applyFont="1" applyFill="1" applyBorder="1" applyAlignment="1" applyProtection="1">
      <alignment horizontal="right"/>
    </xf>
    <xf numFmtId="168" fontId="8" fillId="5" borderId="36" xfId="0" applyNumberFormat="1" applyFont="1" applyFill="1" applyBorder="1" applyAlignment="1" applyProtection="1">
      <alignment horizontal="right"/>
    </xf>
    <xf numFmtId="168" fontId="8" fillId="5" borderId="11" xfId="0" applyNumberFormat="1" applyFont="1" applyFill="1" applyBorder="1" applyAlignment="1" applyProtection="1">
      <alignment horizontal="right"/>
    </xf>
    <xf numFmtId="168" fontId="8" fillId="5" borderId="20" xfId="0" applyNumberFormat="1" applyFont="1" applyFill="1" applyBorder="1" applyAlignment="1" applyProtection="1">
      <alignment horizontal="right"/>
    </xf>
    <xf numFmtId="168" fontId="8" fillId="5" borderId="26" xfId="0" applyNumberFormat="1" applyFont="1" applyFill="1" applyBorder="1" applyAlignment="1" applyProtection="1">
      <alignment horizontal="right"/>
    </xf>
    <xf numFmtId="2" fontId="12" fillId="3" borderId="31" xfId="0" applyNumberFormat="1" applyFont="1" applyFill="1" applyBorder="1" applyAlignment="1">
      <alignment horizontal="center"/>
    </xf>
    <xf numFmtId="15" fontId="8" fillId="3" borderId="3" xfId="0" applyNumberFormat="1" applyFont="1" applyFill="1" applyBorder="1" applyAlignment="1">
      <alignment horizontal="center"/>
    </xf>
    <xf numFmtId="0" fontId="8" fillId="3" borderId="37" xfId="0" applyFont="1" applyFill="1" applyBorder="1" applyAlignment="1">
      <alignment horizontal="center"/>
    </xf>
    <xf numFmtId="15" fontId="8" fillId="3" borderId="5" xfId="0" applyNumberFormat="1" applyFont="1" applyFill="1" applyBorder="1" applyAlignment="1">
      <alignment horizontal="center"/>
    </xf>
    <xf numFmtId="15" fontId="9" fillId="3" borderId="13" xfId="0" applyNumberFormat="1" applyFont="1" applyFill="1" applyBorder="1" applyAlignment="1">
      <alignment horizontal="center"/>
    </xf>
    <xf numFmtId="0" fontId="8" fillId="3" borderId="38" xfId="0" applyFont="1" applyFill="1" applyBorder="1" applyAlignment="1">
      <alignment horizontal="center"/>
    </xf>
    <xf numFmtId="15" fontId="8" fillId="3" borderId="15" xfId="0" quotePrefix="1" applyNumberFormat="1" applyFont="1" applyFill="1" applyBorder="1"/>
  </cellXfs>
  <cellStyles count="9">
    <cellStyle name="Comma" xfId="1" builtinId="3"/>
    <cellStyle name="Migliaia (0)_AZIONI" xfId="2"/>
    <cellStyle name="Migliaia_AZIONI" xfId="3"/>
    <cellStyle name="Normal" xfId="0" builtinId="0"/>
    <cellStyle name="Normale_AZIONI" xfId="4"/>
    <cellStyle name="Percent" xfId="5" builtinId="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framework/addin/FixedIncome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seikoninstalled"/>
      <definedName name="ispowerplusinstalle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W70"/>
  <sheetViews>
    <sheetView tabSelected="1" workbookViewId="0">
      <selection activeCell="I2" sqref="I2"/>
    </sheetView>
  </sheetViews>
  <sheetFormatPr defaultRowHeight="11.25" x14ac:dyDescent="0.2"/>
  <cols>
    <col min="1" max="1" width="4" style="6" bestFit="1" customWidth="1"/>
    <col min="2" max="2" width="23.42578125" style="6" bestFit="1" customWidth="1"/>
    <col min="3" max="3" width="17" style="6" customWidth="1"/>
    <col min="4" max="4" width="17.140625" style="6" hidden="1" customWidth="1"/>
    <col min="5" max="5" width="10" style="6" bestFit="1" customWidth="1"/>
    <col min="6" max="6" width="62.140625" style="6" customWidth="1"/>
    <col min="7" max="7" width="2.28515625" style="6" customWidth="1"/>
    <col min="8" max="8" width="18.28515625" style="6" bestFit="1" customWidth="1"/>
    <col min="9" max="9" width="21.42578125" style="6" bestFit="1" customWidth="1"/>
    <col min="10" max="10" width="2.85546875" style="6" customWidth="1"/>
    <col min="11" max="16384" width="9.140625" style="6"/>
  </cols>
  <sheetData>
    <row r="1" spans="1:23" ht="12" thickBot="1" x14ac:dyDescent="0.25">
      <c r="A1" s="1"/>
      <c r="B1" s="2" t="s">
        <v>26</v>
      </c>
      <c r="C1" s="3" t="str">
        <f>_xll.qlxlVersion(TRUE,Trigger)</f>
        <v>QuantLibXL 1.3.0 - MS VC++ 9.0 - Multithreaded Static Runtime library - Release Configuration - Dec  5 2013 11:03:51</v>
      </c>
      <c r="D1" s="3"/>
      <c r="E1" s="3"/>
      <c r="F1" s="3"/>
      <c r="G1" s="3"/>
      <c r="H1" s="3"/>
      <c r="I1" s="3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2" thickBot="1" x14ac:dyDescent="0.25">
      <c r="A2" s="7"/>
      <c r="B2" s="8" t="s">
        <v>0</v>
      </c>
      <c r="C2" s="9" t="s">
        <v>10</v>
      </c>
      <c r="D2" s="9"/>
      <c r="E2" s="10" t="s">
        <v>1</v>
      </c>
      <c r="F2" s="11" t="s">
        <v>2</v>
      </c>
      <c r="G2" s="12"/>
      <c r="H2" s="13" t="s">
        <v>5</v>
      </c>
      <c r="I2" s="67">
        <v>41614.48128472222</v>
      </c>
      <c r="J2" s="1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ht="12" thickBot="1" x14ac:dyDescent="0.25">
      <c r="A3" s="7"/>
      <c r="B3" s="15" t="str">
        <f>PROPER(Currency)&amp;"YC"</f>
        <v>GbpYC</v>
      </c>
      <c r="C3" s="68">
        <f>_xll.qlSettingsEvaluationDate(ISERROR(Trigger))</f>
        <v>41614</v>
      </c>
      <c r="D3" s="16"/>
      <c r="E3" s="17" t="e">
        <f>_xll.qlYieldTSDiscount(YieldCurveDiscounting,C3)</f>
        <v>#NUM!</v>
      </c>
      <c r="F3" s="18" t="str">
        <f ca="1">IF(ISERROR(C3),_xll.ohRangeRetrieveError(C3),_xll.ohRangeRetrieveError(E3))</f>
        <v>qlExtrapolatorEnableExtrapolation - ObjectHandler error: attempt to retrieve object with unknown ID 'HKDYCSTD'</v>
      </c>
      <c r="G3" s="12"/>
      <c r="H3" s="12"/>
      <c r="I3" s="12"/>
      <c r="J3" s="1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2">
      <c r="A4" s="7"/>
      <c r="B4" s="19" t="str">
        <f>PROPER(Currency)&amp;IF(Currency&lt;&gt;"EUR","L","")&amp;"iborYCON"</f>
        <v>GbpLiborYCON</v>
      </c>
      <c r="C4" s="69">
        <f>EvaluationDate</f>
        <v>41614</v>
      </c>
      <c r="D4" s="20"/>
      <c r="E4" s="21" t="e">
        <f>_xll.qlYieldTSDiscount(YieldCurveON,C4)</f>
        <v>#NUM!</v>
      </c>
      <c r="F4" s="22" t="str">
        <f ca="1">IF(ISERROR(C4),_xll.ohRangeRetrieveError(C4),_xll.ohRangeRetrieveError(E4))</f>
        <v>qlExtrapolatorEnableExtrapolation - ObjectHandler error: attempt to retrieve object with unknown ID 'HKDYCON'</v>
      </c>
      <c r="G4" s="12"/>
      <c r="H4" s="81" t="str">
        <f>IF(getRealtime(Trigger),"Live feed", "Static feed")</f>
        <v>Static feed</v>
      </c>
      <c r="I4" s="79" t="str">
        <f>IF([1]!iseikoninstalled(Trigger),"Eikon",IF([1]!ispowerplusinstalled(Trigger),"PowerPlus","No feed"))</f>
        <v>Eikon</v>
      </c>
      <c r="J4" s="14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A5" s="84" t="s">
        <v>27</v>
      </c>
      <c r="B5" s="19" t="str">
        <f>PROPER(Currency)&amp;IF(Currency&lt;&gt;"EUR","L","")&amp;"iborYC1M"&amp;Suffix</f>
        <v>GbpLiborYC1M-Mx</v>
      </c>
      <c r="C5" s="69" t="e">
        <f>_xll.qlCalendarAdvance(_xll.qlIndexFixingCalendar(FirstIndex),EvaluationDate,_xll.qlInterestRateIndexFixingDays(FirstIndex)&amp;"D","Following")</f>
        <v>#VALUE!</v>
      </c>
      <c r="D5" s="20"/>
      <c r="E5" s="21" t="e">
        <f>_xll.qlYieldTSDiscount(YieldCurve1M,C5)</f>
        <v>#NUM!</v>
      </c>
      <c r="F5" s="22" t="str">
        <f ca="1">IF(ISERROR(C5),_xll.ohRangeRetrieveError(C5),_xll.ohRangeRetrieveError(E5))</f>
        <v/>
      </c>
      <c r="G5" s="12"/>
      <c r="H5" s="82" t="s">
        <v>9</v>
      </c>
      <c r="I5" s="80" t="e">
        <f ca="1">_xll.RData(H6,"LAST",,"FRQ:1S",,I6)</f>
        <v>#NAME?</v>
      </c>
      <c r="J5" s="14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ht="12" thickBot="1" x14ac:dyDescent="0.25">
      <c r="A6" s="7"/>
      <c r="B6" s="19" t="str">
        <f>PROPER(Currency)&amp;IF(Currency&lt;&gt;"EUR","L","")&amp;"iborYC3M"&amp;Suffix</f>
        <v>GbpLiborYC3M-Mx</v>
      </c>
      <c r="C6" s="69" t="e">
        <f>C5</f>
        <v>#VALUE!</v>
      </c>
      <c r="D6" s="20"/>
      <c r="E6" s="21" t="e">
        <f>_xll.qlYieldTSDiscount(YieldCurve3M,C6)</f>
        <v>#NUM!</v>
      </c>
      <c r="F6" s="22" t="str">
        <f ca="1">IF(ISERROR(C6),_xll.ohRangeRetrieveError(C6),_xll.ohRangeRetrieveError(E6))</f>
        <v/>
      </c>
      <c r="G6" s="12"/>
      <c r="H6" s="83" t="s">
        <v>8</v>
      </c>
      <c r="I6" s="78">
        <v>142.44999999999999</v>
      </c>
      <c r="J6" s="1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ht="12" thickBot="1" x14ac:dyDescent="0.25">
      <c r="A7" s="7"/>
      <c r="B7" s="19" t="str">
        <f>PROPER(Currency)&amp;IF(Currency&lt;&gt;"EUR","L","")&amp;"iborYC6M"&amp;Suffix</f>
        <v>GbpLiborYC6M-Mx</v>
      </c>
      <c r="C7" s="69" t="e">
        <f>C6</f>
        <v>#VALUE!</v>
      </c>
      <c r="D7" s="20"/>
      <c r="E7" s="21" t="e">
        <f>_xll.qlYieldTSDiscount(YieldCurve6M,C7)</f>
        <v>#NUM!</v>
      </c>
      <c r="F7" s="22" t="str">
        <f ca="1">IF(ISERROR(C7),_xll.ohRangeRetrieveError(C7),_xll.ohRangeRetrieveError(E7))</f>
        <v/>
      </c>
      <c r="G7" s="12"/>
      <c r="H7" s="12"/>
      <c r="I7" s="12"/>
      <c r="J7" s="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">
      <c r="A8" s="7"/>
      <c r="B8" s="19" t="str">
        <f>PROPER(Currency)&amp;IF(Currency&lt;&gt;"EUR","L","")&amp;"iborYC1Y"&amp;Suffix</f>
        <v>GbpLiborYC1Y-Mx</v>
      </c>
      <c r="C8" s="69" t="e">
        <f>C7</f>
        <v>#VALUE!</v>
      </c>
      <c r="D8" s="20"/>
      <c r="E8" s="21" t="e">
        <f>_xll.qlYieldTSDiscount(YieldCurve1Y,C8)</f>
        <v>#NUM!</v>
      </c>
      <c r="F8" s="22" t="str">
        <f ca="1">IF(ISERROR(C8),_xll.ohRangeRetrieveError(C8),_xll.ohRangeRetrieveError(E8))</f>
        <v/>
      </c>
      <c r="G8" s="12"/>
      <c r="H8" s="23" t="s">
        <v>13</v>
      </c>
      <c r="I8" s="24" t="s">
        <v>28</v>
      </c>
      <c r="J8" s="1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ht="12" thickBot="1" x14ac:dyDescent="0.25">
      <c r="A9" s="7"/>
      <c r="B9" s="19" t="s">
        <v>25</v>
      </c>
      <c r="C9" s="70" t="e">
        <f>_xll.qlBondSettlementDate(FixedRateBond,,ISERROR(Trigger))</f>
        <v>#NUM!</v>
      </c>
      <c r="D9" s="25"/>
      <c r="E9" s="21" t="e">
        <f>_xll.qlYieldTSDiscount(BondCurve,C9)</f>
        <v>#NUM!</v>
      </c>
      <c r="F9" s="26" t="str">
        <f ca="1">IF(ISERROR(C9),_xll.ohRangeRetrieveError(C9),_xll.ohRangeRetrieveError(E9))</f>
        <v/>
      </c>
      <c r="G9" s="12"/>
      <c r="H9" s="27" t="s">
        <v>14</v>
      </c>
      <c r="I9" s="28" t="s">
        <v>28</v>
      </c>
      <c r="J9" s="1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">
      <c r="A10" s="7"/>
      <c r="B10" s="29"/>
      <c r="C10" s="71" t="e">
        <f>_xll.qlCalendarAdvance(_xll.qlIndexFixingCalendar(FirstIndex),EvaluationDate,"-2D","Preceding")</f>
        <v>#VALUE!</v>
      </c>
      <c r="D10" s="30"/>
      <c r="E10" s="31" t="e">
        <f>_xll.qlIndexFixing(FirstIndex,C10)</f>
        <v>#NUM!</v>
      </c>
      <c r="F10" s="18" t="str">
        <f ca="1">IF(ISERROR(C10),_xll.ohRangeRetrieveError(C10),_xll.ohRangeRetrieveError(E10))</f>
        <v/>
      </c>
      <c r="G10" s="12"/>
      <c r="H10" s="27" t="s">
        <v>15</v>
      </c>
      <c r="I10" s="28" t="s">
        <v>28</v>
      </c>
      <c r="J10" s="14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7"/>
      <c r="B11" s="32"/>
      <c r="C11" s="72" t="e">
        <f>_xll.qlCalendarAdvance(_xll.qlIndexFixingCalendar(FirstIndex),EvaluationDate,"-1D","Preceding")</f>
        <v>#VALUE!</v>
      </c>
      <c r="D11" s="49"/>
      <c r="E11" s="34" t="e">
        <f>_xll.qlIndexFixing(FirstIndex,C11)</f>
        <v>#NUM!</v>
      </c>
      <c r="F11" s="22" t="str">
        <f ca="1">IF(ISERROR(C11),_xll.ohRangeRetrieveError(C11),_xll.ohRangeRetrieveError(E11))</f>
        <v/>
      </c>
      <c r="G11" s="12"/>
      <c r="H11" s="27" t="s">
        <v>16</v>
      </c>
      <c r="I11" s="28" t="s">
        <v>28</v>
      </c>
      <c r="J11" s="14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">
      <c r="A12" s="7"/>
      <c r="B12" s="32" t="str">
        <f>PROPER(Currency)&amp;IF(Currency&lt;&gt;"EUR","L","")&amp;"ibor3M"</f>
        <v>GbpLibor3M</v>
      </c>
      <c r="C12" s="72">
        <f>EvaluationDate</f>
        <v>41614</v>
      </c>
      <c r="D12" s="33"/>
      <c r="E12" s="34" t="e">
        <f>_xll.qlIndexFixing(FirstIndex,C12)</f>
        <v>#NUM!</v>
      </c>
      <c r="F12" s="22" t="str">
        <f ca="1">IF(ISERROR(C12),_xll.ohRangeRetrieveError(C12),_xll.ohRangeRetrieveError(E12))</f>
        <v/>
      </c>
      <c r="G12" s="12"/>
      <c r="H12" s="27" t="s">
        <v>17</v>
      </c>
      <c r="I12" s="28" t="s">
        <v>28</v>
      </c>
      <c r="J12" s="14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ht="12" thickBot="1" x14ac:dyDescent="0.25">
      <c r="A13" s="7"/>
      <c r="B13" s="35"/>
      <c r="C13" s="73" t="e">
        <f>_xll.qlCalendarAdvance(_xll.qlIndexFixingCalendar(FirstIndex),_xll.qlIMMNextDate(_xll.qlIMMNextDate(EvaluationDate+1)+1),-_xll.qlInterestRateIndexFixingDays(FirstIndex)&amp;"D")</f>
        <v>#VALUE!</v>
      </c>
      <c r="D13" s="36"/>
      <c r="E13" s="37" t="e">
        <f>_xll.qlIndexFixing(FirstIndex,C13,TRUE)</f>
        <v>#NUM!</v>
      </c>
      <c r="F13" s="38" t="str">
        <f ca="1">IF(ISERROR(C13),_xll.ohRangeRetrieveError(C13),_xll.ohRangeRetrieveError(E13))</f>
        <v/>
      </c>
      <c r="G13" s="12"/>
      <c r="H13" s="42" t="s">
        <v>18</v>
      </c>
      <c r="I13" s="43" t="s">
        <v>28</v>
      </c>
      <c r="J13" s="14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ht="12" thickBot="1" x14ac:dyDescent="0.25">
      <c r="A14" s="7"/>
      <c r="B14" s="35" t="str">
        <f>PROPER(Currency)&amp;IF(Currency&lt;&gt;"EUR","L","")&amp;"ibor6M"</f>
        <v>GbpLibor6M</v>
      </c>
      <c r="C14" s="74" t="e">
        <f>SecondIMMDate</f>
        <v>#VALUE!</v>
      </c>
      <c r="D14" s="39"/>
      <c r="E14" s="40" t="e">
        <f>_xll.qlIndexFixing(SecondIndex,C14,TRUE)</f>
        <v>#NUM!</v>
      </c>
      <c r="F14" s="41" t="str">
        <f ca="1">IF(ISERROR(C14),_xll.ohRangeRetrieveError(C14),_xll.ohRangeRetrieveError(E14))</f>
        <v/>
      </c>
      <c r="G14" s="12"/>
      <c r="H14" s="12"/>
      <c r="I14" s="12"/>
      <c r="J14" s="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">
      <c r="A15" s="7"/>
      <c r="B15" s="29"/>
      <c r="C15" s="71" t="e">
        <f>Yesterday</f>
        <v>#VALUE!</v>
      </c>
      <c r="D15" s="30"/>
      <c r="E15" s="31" t="e">
        <f>_xll.qlIndexFixing(ThirdIndex,C15)</f>
        <v>#NUM!</v>
      </c>
      <c r="F15" s="18" t="str">
        <f ca="1">IF(ISERROR(C15),_xll.ohRangeRetrieveError(C15),_xll.ohRangeRetrieveError(E15))</f>
        <v/>
      </c>
      <c r="G15" s="12"/>
      <c r="H15" s="23" t="s">
        <v>6</v>
      </c>
      <c r="I15" s="24">
        <f>_xll.ohRepositoryObjectCount(Trigger)</f>
        <v>0</v>
      </c>
      <c r="J15" s="14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ht="12" thickBot="1" x14ac:dyDescent="0.25">
      <c r="A16" s="44"/>
      <c r="B16" s="32" t="str">
        <f>PROPER(Currency)&amp;IF(Currency&lt;&gt;"EUR","L","")&amp;"iborSwapIsda"&amp;IF(Currency="EUR","FixA",IF(Currency="USD","FixAm",""))&amp;"10Y"</f>
        <v>GbpLiborSwapIsda10Y</v>
      </c>
      <c r="C16" s="72">
        <f>EvaluationDate</f>
        <v>41614</v>
      </c>
      <c r="D16" s="33"/>
      <c r="E16" s="34" t="e">
        <f>_xll.qlIndexFixing(ThirdIndex,C16)</f>
        <v>#NUM!</v>
      </c>
      <c r="F16" s="22" t="str">
        <f ca="1">IF(ISERROR(C16),_xll.ohRangeRetrieveError(C16),_xll.ohRangeRetrieveError(E16))</f>
        <v/>
      </c>
      <c r="G16" s="12"/>
      <c r="H16" s="42" t="s">
        <v>12</v>
      </c>
      <c r="I16" s="43" t="s">
        <v>11</v>
      </c>
      <c r="J16" s="14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ht="12" thickBot="1" x14ac:dyDescent="0.25">
      <c r="A17" s="44"/>
      <c r="B17" s="35"/>
      <c r="C17" s="73" t="e">
        <f>_xll.qlCalendarAdvance(_xll.qlIndexFixingCalendar(ThirdIndex),EvaluationDate,"1Y")</f>
        <v>#VALUE!</v>
      </c>
      <c r="D17" s="36"/>
      <c r="E17" s="37" t="e">
        <f>_xll.qlIndexFixing(ThirdIndex,C17,TRUE)</f>
        <v>#NUM!</v>
      </c>
      <c r="F17" s="38" t="str">
        <f ca="1">IF(ISERROR(C17),_xll.ohRangeRetrieveError(C17),_xll.ohRangeRetrieveError(E17))</f>
        <v/>
      </c>
      <c r="G17" s="12"/>
      <c r="H17" s="12"/>
      <c r="I17" s="12"/>
      <c r="J17" s="14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">
      <c r="A18" s="44"/>
      <c r="B18" s="15" t="str">
        <f>PROPER(Currency)&amp;"3MCapletVol"</f>
        <v>Gbp3MCapletVol</v>
      </c>
      <c r="C18" s="75" t="e">
        <f>SecondIMMDate</f>
        <v>#VALUE!</v>
      </c>
      <c r="D18" s="30"/>
      <c r="E18" s="45" t="e">
        <f>_xll.qlOptionletVTSVolatility(B18,C18,E13)</f>
        <v>#NUM!</v>
      </c>
      <c r="F18" s="18" t="str">
        <f ca="1">IF(ISERROR(C18),_xll.ohRangeRetrieveError(C18),_xll.ohRangeRetrieveError(E18))</f>
        <v/>
      </c>
      <c r="G18" s="12"/>
      <c r="H18" s="23" t="s">
        <v>20</v>
      </c>
      <c r="I18" s="24">
        <f>_xll.qlFunctionCount(Trigger)+_xll.ohFunctionCount(Trigger)</f>
        <v>1015</v>
      </c>
      <c r="J18" s="14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ht="12" thickBot="1" x14ac:dyDescent="0.25">
      <c r="A19" s="44"/>
      <c r="B19" s="46" t="str">
        <f>PROPER(Currency)&amp;"6MCapletVol"</f>
        <v>Gbp6MCapletVol</v>
      </c>
      <c r="C19" s="76" t="e">
        <f>SecondIMMDate</f>
        <v>#VALUE!</v>
      </c>
      <c r="D19" s="36"/>
      <c r="E19" s="47" t="e">
        <f>_xll.qlOptionletVTSVolatility(B19,C19,E14)</f>
        <v>#NUM!</v>
      </c>
      <c r="F19" s="38" t="str">
        <f ca="1">IF(ISERROR(C19),_xll.ohRangeRetrieveError(C19),_xll.ohRangeRetrieveError(E19))</f>
        <v/>
      </c>
      <c r="G19" s="12"/>
      <c r="H19" s="27" t="s">
        <v>21</v>
      </c>
      <c r="I19" s="28" t="str">
        <f>_xll.ohBoostVersion(Trigger)</f>
        <v>1_52</v>
      </c>
      <c r="J19" s="14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">
      <c r="A20" s="44"/>
      <c r="B20" s="48" t="str">
        <f>PROPER(Currency)&amp;"SwaptionATMVol"</f>
        <v>GbpSwaptionATMVol</v>
      </c>
      <c r="C20" s="77" t="e">
        <f>OneYearAhead</f>
        <v>#VALUE!</v>
      </c>
      <c r="D20" s="49"/>
      <c r="E20" s="50" t="e">
        <f>_xll.qlSwaptionVTSVolatility(B20,C20, _xll.qlInterestRateIndexTenor(ThirdIndex),$E$17)</f>
        <v>#VALUE!</v>
      </c>
      <c r="F20" s="51" t="str">
        <f ca="1">IF(ISERROR(C20),_xll.ohRangeRetrieveError(C20),_xll.ohRangeRetrieveError(E20))</f>
        <v/>
      </c>
      <c r="G20" s="12"/>
      <c r="H20" s="27" t="s">
        <v>22</v>
      </c>
      <c r="I20" s="28" t="str">
        <f>_xll.qlVersion(Trigger)</f>
        <v>1.4</v>
      </c>
      <c r="J20" s="14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ht="12" thickBot="1" x14ac:dyDescent="0.25">
      <c r="A21" s="44"/>
      <c r="B21" s="46" t="str">
        <f>PROPER(Currency)&amp;"SwaptionVol"</f>
        <v>GbpSwaptionVol</v>
      </c>
      <c r="C21" s="76" t="e">
        <f>OneYearAhead</f>
        <v>#VALUE!</v>
      </c>
      <c r="D21" s="36"/>
      <c r="E21" s="47" t="e">
        <f>_xll.qlSwaptionVTSVolatility(B21,C21, _xll.qlInterestRateIndexTenor(ThirdIndex),$E$17)</f>
        <v>#VALUE!</v>
      </c>
      <c r="F21" s="38" t="str">
        <f ca="1">IF(ISERROR(C21),_xll.ohRangeRetrieveError(C21),_xll.ohRangeRetrieveError(E21))</f>
        <v/>
      </c>
      <c r="G21" s="12"/>
      <c r="H21" s="42" t="s">
        <v>23</v>
      </c>
      <c r="I21" s="43" t="str">
        <f>_xll.ohVersion(Trigger)</f>
        <v>1.3.0</v>
      </c>
      <c r="J21" s="14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ht="12" thickBot="1" x14ac:dyDescent="0.25">
      <c r="A22" s="44"/>
      <c r="B22" s="12"/>
      <c r="C22" s="12"/>
      <c r="D22" s="12"/>
      <c r="E22" s="12"/>
      <c r="F22" s="12"/>
      <c r="G22" s="12"/>
      <c r="J22" s="14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12" thickBot="1" x14ac:dyDescent="0.25">
      <c r="A23" s="7"/>
      <c r="B23" s="52"/>
      <c r="C23" s="53" t="s">
        <v>7</v>
      </c>
      <c r="D23" s="53"/>
      <c r="E23" s="54"/>
      <c r="F23" s="55"/>
      <c r="G23" s="12"/>
      <c r="H23" s="12"/>
      <c r="I23" s="12"/>
      <c r="J23" s="14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">
      <c r="A24" s="44"/>
      <c r="B24" s="15" t="s">
        <v>3</v>
      </c>
      <c r="C24" s="56" t="e">
        <f>_xll.qlAssetSwap(,TRUE,FloatingRateBond,,SecondIndex,0.002646,,_xll.qlInterestRateIndexDayCounter(SecondIndex),TRUE,,ISERROR(Trigger))</f>
        <v>#VALUE!</v>
      </c>
      <c r="D24" s="56" t="e">
        <f>_xll.qlInstrumentSetPricingEngine(C24,Currency&amp;"SwapEngine")</f>
        <v>#VALUE!</v>
      </c>
      <c r="E24" s="57" t="e">
        <f>_xll.qlAssetSwapFairCleanPrice(C24)</f>
        <v>#VALUE!</v>
      </c>
      <c r="F24" s="18" t="str">
        <f ca="1">IF(ISERROR(C24),_xll.ohRangeRetrieveError(C24),_xll.ohRangeRetrieveError(E24))</f>
        <v/>
      </c>
      <c r="G24" s="12"/>
      <c r="H24" s="12"/>
      <c r="I24" s="12"/>
      <c r="J24" s="14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44"/>
      <c r="B25" s="19" t="s">
        <v>4</v>
      </c>
      <c r="C25" s="58" t="e">
        <f>_xll.qlAssetSwap(,TRUE,CMSBond,,SecondIndex,0.003737,,_xll.qlInterestRateIndexDayCounter(SecondIndex),TRUE,,ISERROR(Trigger))</f>
        <v>#VALUE!</v>
      </c>
      <c r="D25" s="59" t="e">
        <f>_xll.qlInstrumentSetPricingEngine(C25,Currency&amp;"SwapEngine")</f>
        <v>#VALUE!</v>
      </c>
      <c r="E25" s="60" t="e">
        <f>_xll.qlAssetSwapFairCleanPrice(C25)</f>
        <v>#VALUE!</v>
      </c>
      <c r="F25" s="22" t="str">
        <f ca="1">IF(ISERROR(C25),_xll.ohRangeRetrieveError(C25),_xll.ohRangeRetrieveError(E25))</f>
        <v/>
      </c>
      <c r="G25" s="12"/>
      <c r="H25" s="12"/>
      <c r="I25" s="12"/>
      <c r="J25" s="14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44"/>
      <c r="B26" s="19" t="s">
        <v>19</v>
      </c>
      <c r="C26" s="58" t="e">
        <f>_xll.qlAssetSwap(,TRUE,DigitalBond,,SecondIndex,0.005,,_xll.qlInterestRateIndexDayCounter(SecondIndex),TRUE,,ISERROR(Trigger))</f>
        <v>#VALUE!</v>
      </c>
      <c r="D26" s="59" t="e">
        <f>_xll.qlInstrumentSetPricingEngine(C26,Currency&amp;"SwapEngine")</f>
        <v>#VALUE!</v>
      </c>
      <c r="E26" s="60" t="e">
        <f>_xll.qlAssetSwapFairCleanPrice(C26)</f>
        <v>#VALUE!</v>
      </c>
      <c r="F26" s="22" t="str">
        <f ca="1">IF(ISERROR(C26),_xll.ohRangeRetrieveError(C26),_xll.ohRangeRetrieveError(E26))</f>
        <v/>
      </c>
      <c r="G26" s="12"/>
      <c r="H26" s="12"/>
      <c r="I26" s="12"/>
      <c r="J26" s="14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ht="12" thickBot="1" x14ac:dyDescent="0.25">
      <c r="A27" s="44"/>
      <c r="B27" s="46" t="s">
        <v>24</v>
      </c>
      <c r="C27" s="61" t="e">
        <f>_xll.qlAssetSwap(,TRUE,FixedRateBond,,SecondIndex,-0.0081,,_xll.qlInterestRateIndexDayCounter(SecondIndex),FALSE,,ISERROR(Trigger))</f>
        <v>#VALUE!</v>
      </c>
      <c r="D27" s="62" t="e">
        <f>_xll.qlInstrumentSetPricingEngine(C27,Currency&amp;"SwapEngine")</f>
        <v>#VALUE!</v>
      </c>
      <c r="E27" s="63" t="e">
        <f>_xll.qlAssetSwapFairCleanPrice(C27,D27)</f>
        <v>#VALUE!</v>
      </c>
      <c r="F27" s="38" t="str">
        <f ca="1">IF(ISERROR(C27),_xll.ohRangeRetrieveError(C27),_xll.ohRangeRetrieveError(E27))</f>
        <v/>
      </c>
      <c r="G27" s="12"/>
      <c r="H27" s="12"/>
      <c r="I27" s="12"/>
      <c r="J27" s="14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t="12" thickBot="1" x14ac:dyDescent="0.25">
      <c r="A28" s="64"/>
      <c r="B28" s="65"/>
      <c r="C28" s="65"/>
      <c r="D28" s="65"/>
      <c r="E28" s="65"/>
      <c r="F28" s="65"/>
      <c r="G28" s="65"/>
      <c r="H28" s="65"/>
      <c r="I28" s="65"/>
      <c r="J28" s="66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x14ac:dyDescent="0.2">
      <c r="A70" s="5"/>
      <c r="J70" s="5"/>
    </row>
  </sheetData>
  <phoneticPr fontId="2" type="noConversion"/>
  <dataValidations count="1">
    <dataValidation type="list" allowBlank="1" showInputMessage="1" showErrorMessage="1" sqref="B1">
      <formula1>"EUR,USD,GBP,JPY,CHF"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MainChecks</vt:lpstr>
      <vt:lpstr>AllTriggers</vt:lpstr>
      <vt:lpstr>BondCurve</vt:lpstr>
      <vt:lpstr>CapVolsTrigger</vt:lpstr>
      <vt:lpstr>CMSBond</vt:lpstr>
      <vt:lpstr>CmsSpreadsTrigger</vt:lpstr>
      <vt:lpstr>Currency</vt:lpstr>
      <vt:lpstr>DigitalBond</vt:lpstr>
      <vt:lpstr>EvaluationDate</vt:lpstr>
      <vt:lpstr>FirstIndex</vt:lpstr>
      <vt:lpstr>FixedRateBond</vt:lpstr>
      <vt:lpstr>FloatingRateBond</vt:lpstr>
      <vt:lpstr>FuturesOptionsTrigger</vt:lpstr>
      <vt:lpstr>InterestRatesTrigger</vt:lpstr>
      <vt:lpstr>OneYearAhead</vt:lpstr>
      <vt:lpstr>SecondIMMDate</vt:lpstr>
      <vt:lpstr>SecondIndex</vt:lpstr>
      <vt:lpstr>Suffix</vt:lpstr>
      <vt:lpstr>SwaptionATMVolsTrigger</vt:lpstr>
      <vt:lpstr>SwaptionSmileVolsTrigger</vt:lpstr>
      <vt:lpstr>ThirdIndex</vt:lpstr>
      <vt:lpstr>Trigger</vt:lpstr>
      <vt:lpstr>Yesterday</vt:lpstr>
      <vt:lpstr>YieldCurve1M</vt:lpstr>
      <vt:lpstr>YieldCurve1Y</vt:lpstr>
      <vt:lpstr>YieldCurve3M</vt:lpstr>
      <vt:lpstr>YieldCurve6M</vt:lpstr>
      <vt:lpstr>YieldCurveDiscounting</vt:lpstr>
      <vt:lpstr>YieldCurveON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2007-04-04T08:40:21Z</cp:lastPrinted>
  <dcterms:created xsi:type="dcterms:W3CDTF">2006-04-26T09:45:07Z</dcterms:created>
  <dcterms:modified xsi:type="dcterms:W3CDTF">2013-12-06T19:33:43Z</dcterms:modified>
</cp:coreProperties>
</file>
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zanzi\quantlib\QuantLibXL\Data2\XLS\"/>
    </mc:Choice>
  </mc:AlternateContent>
  <bookViews>
    <workbookView xWindow="15270" yWindow="-15" windowWidth="15315" windowHeight="828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</sheets>
  <definedNames>
    <definedName name="Accuracy">'General Settings'!$D$23</definedName>
    <definedName name="BondBasisDayCounter">'General Settings'!$M$13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RateHelpers!$G$2:$G$66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RateHelpers!$A$2:$A$66</definedName>
    <definedName name="RateHelpersIncluded">RateHelpers!$E$2:$E$66</definedName>
    <definedName name="RateHelpersPriority">RateHelpers!$F$2:$F$66</definedName>
    <definedName name="RateHelpersSelected">Selected!#REF!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I2" i="11" l="1"/>
  <c r="E1" i="9"/>
  <c r="C1" i="7"/>
  <c r="K4" i="11"/>
  <c r="G11" i="9" l="1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D7" i="7" l="1"/>
  <c r="D8" i="7"/>
  <c r="C8" i="7"/>
  <c r="E8" i="7" s="1"/>
  <c r="C6" i="7"/>
  <c r="C4" i="7"/>
  <c r="C3" i="7"/>
  <c r="C5" i="7"/>
  <c r="C7" i="7"/>
  <c r="E7" i="7" s="1"/>
  <c r="C9" i="7"/>
  <c r="A6" i="4" l="1"/>
  <c r="A7" i="4"/>
  <c r="B7" i="11"/>
  <c r="M16" i="6"/>
  <c r="M15" i="6"/>
  <c r="B7" i="4"/>
  <c r="B6" i="4"/>
  <c r="J2" i="11" l="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G24" i="9" l="1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K6" i="11"/>
  <c r="H24" i="9"/>
  <c r="H16" i="9"/>
  <c r="H23" i="9"/>
  <c r="H15" i="9"/>
  <c r="H4" i="9"/>
  <c r="H8" i="9"/>
  <c r="H26" i="9"/>
  <c r="H12" i="9"/>
  <c r="H22" i="9"/>
  <c r="H10" i="9"/>
  <c r="H3" i="9"/>
  <c r="H7" i="9"/>
  <c r="H14" i="9"/>
  <c r="H11" i="9"/>
  <c r="H9" i="9"/>
  <c r="H17" i="9"/>
  <c r="H18" i="9"/>
  <c r="H19" i="9"/>
  <c r="H6" i="9"/>
  <c r="H13" i="9"/>
  <c r="H25" i="9"/>
  <c r="H21" i="9"/>
  <c r="H5" i="9"/>
  <c r="H20" i="9"/>
  <c r="E6" i="7"/>
  <c r="E9" i="7"/>
  <c r="E4" i="7"/>
  <c r="E5" i="7"/>
  <c r="E3" i="7"/>
  <c r="A2" i="4" l="1"/>
  <c r="A4" i="4"/>
  <c r="A3" i="4"/>
  <c r="A8" i="4"/>
  <c r="A5" i="4"/>
  <c r="A26" i="4"/>
  <c r="A11" i="4"/>
  <c r="A27" i="4"/>
  <c r="A31" i="4"/>
  <c r="A19" i="4"/>
  <c r="A12" i="4"/>
  <c r="A25" i="4"/>
  <c r="A24" i="4"/>
  <c r="A23" i="4"/>
  <c r="A15" i="4"/>
  <c r="A17" i="4"/>
  <c r="A20" i="4"/>
  <c r="A13" i="4"/>
  <c r="A9" i="4"/>
  <c r="A16" i="4"/>
  <c r="A28" i="4"/>
  <c r="A18" i="4"/>
  <c r="A32" i="4"/>
  <c r="A14" i="4"/>
  <c r="A10" i="4"/>
  <c r="A21" i="4"/>
  <c r="A29" i="4"/>
  <c r="A22" i="4"/>
  <c r="A30" i="4"/>
  <c r="A33" i="4"/>
  <c r="H1" i="9"/>
  <c r="E1" i="7"/>
  <c r="E2" i="7"/>
  <c r="B2" i="4"/>
  <c r="B4" i="4"/>
  <c r="B26" i="4"/>
  <c r="B19" i="4"/>
  <c r="B23" i="4"/>
  <c r="B13" i="4"/>
  <c r="B18" i="4"/>
  <c r="B21" i="4"/>
  <c r="C33" i="4"/>
  <c r="B33" i="4"/>
  <c r="B11" i="4"/>
  <c r="B12" i="4"/>
  <c r="B15" i="4"/>
  <c r="B9" i="4"/>
  <c r="B32" i="4"/>
  <c r="B29" i="4"/>
  <c r="B3" i="4"/>
  <c r="B8" i="4"/>
  <c r="B27" i="4"/>
  <c r="B25" i="4"/>
  <c r="B17" i="4"/>
  <c r="B16" i="4"/>
  <c r="B14" i="4"/>
  <c r="B22" i="4"/>
  <c r="B5" i="4"/>
  <c r="B31" i="4"/>
  <c r="B24" i="4"/>
  <c r="B20" i="4"/>
  <c r="B28" i="4"/>
  <c r="B10" i="4"/>
  <c r="B30" i="4"/>
  <c r="I11" i="9"/>
  <c r="I10" i="9"/>
  <c r="I21" i="9"/>
  <c r="I24" i="9"/>
  <c r="I12" i="9"/>
  <c r="I9" i="9"/>
  <c r="I22" i="9"/>
  <c r="I25" i="9"/>
  <c r="L4" i="11"/>
  <c r="I17" i="9"/>
  <c r="I18" i="9"/>
  <c r="I15" i="9"/>
  <c r="I26" i="9"/>
  <c r="I16" i="9"/>
  <c r="I19" i="9"/>
  <c r="I23" i="9"/>
  <c r="F2" i="7"/>
  <c r="H7" i="11" l="1"/>
  <c r="I6" i="9"/>
  <c r="F9" i="7"/>
  <c r="F4" i="7"/>
  <c r="F8" i="7"/>
  <c r="I14" i="9"/>
  <c r="L6" i="11"/>
  <c r="I20" i="9"/>
  <c r="I13" i="9"/>
  <c r="I4" i="9"/>
  <c r="F7" i="7"/>
  <c r="F5" i="7"/>
  <c r="F3" i="7"/>
  <c r="I8" i="9"/>
  <c r="I3" i="9"/>
  <c r="I5" i="9"/>
  <c r="I7" i="9"/>
  <c r="F6" i="7"/>
  <c r="F7" i="11" l="1"/>
  <c r="D8" i="11"/>
  <c r="K7" i="11"/>
  <c r="A34" i="4" l="1"/>
  <c r="D9" i="11"/>
  <c r="J9" i="11" s="1"/>
  <c r="J8" i="11"/>
  <c r="H8" i="11"/>
  <c r="F8" i="11"/>
  <c r="F9" i="11"/>
  <c r="C34" i="4"/>
  <c r="B34" i="4"/>
  <c r="K8" i="11"/>
  <c r="L7" i="11"/>
  <c r="A35" i="4" l="1"/>
  <c r="H9" i="11"/>
  <c r="D10" i="11"/>
  <c r="J10" i="11" s="1"/>
  <c r="H10" i="11"/>
  <c r="C35" i="4"/>
  <c r="B35" i="4"/>
  <c r="K9" i="11"/>
  <c r="L8" i="11"/>
  <c r="L9" i="11"/>
  <c r="A36" i="4" l="1"/>
  <c r="D11" i="11"/>
  <c r="J11" i="11" s="1"/>
  <c r="F10" i="11"/>
  <c r="H11" i="11"/>
  <c r="C36" i="4"/>
  <c r="B36" i="4"/>
  <c r="K10" i="11"/>
  <c r="A37" i="4" l="1"/>
  <c r="D12" i="11"/>
  <c r="J12" i="11" s="1"/>
  <c r="F11" i="11"/>
  <c r="B37" i="4"/>
  <c r="K11" i="11"/>
  <c r="L11" i="11"/>
  <c r="L10" i="11"/>
  <c r="A38" i="4" l="1"/>
  <c r="D13" i="11"/>
  <c r="J13" i="11" s="1"/>
  <c r="H12" i="11"/>
  <c r="F12" i="11"/>
  <c r="H13" i="11"/>
  <c r="F13" i="11"/>
  <c r="B38" i="4"/>
  <c r="K12" i="11"/>
  <c r="K13" i="11"/>
  <c r="L12" i="11"/>
  <c r="A40" i="4" l="1"/>
  <c r="A39" i="4"/>
  <c r="D14" i="11"/>
  <c r="J14" i="11" s="1"/>
  <c r="B39" i="4"/>
  <c r="B40" i="4"/>
  <c r="L13" i="11"/>
  <c r="D15" i="11" l="1"/>
  <c r="J15" i="11" s="1"/>
  <c r="F14" i="11"/>
  <c r="H14" i="11"/>
  <c r="F15" i="11"/>
  <c r="D16" i="11"/>
  <c r="J16" i="11" s="1"/>
  <c r="K14" i="11"/>
  <c r="L14" i="11"/>
  <c r="A41" i="4" l="1"/>
  <c r="H15" i="11"/>
  <c r="F16" i="11"/>
  <c r="H16" i="11"/>
  <c r="D17" i="11"/>
  <c r="J17" i="11" s="1"/>
  <c r="B41" i="4"/>
  <c r="K15" i="11"/>
  <c r="K16" i="11"/>
  <c r="L15" i="11"/>
  <c r="A43" i="4" l="1"/>
  <c r="A42" i="4"/>
  <c r="F17" i="11"/>
  <c r="H17" i="11"/>
  <c r="D18" i="11"/>
  <c r="J18" i="11" s="1"/>
  <c r="B42" i="4"/>
  <c r="B43" i="4"/>
  <c r="K17" i="11"/>
  <c r="L16" i="11"/>
  <c r="A44" i="4" l="1"/>
  <c r="D19" i="11"/>
  <c r="J19" i="11" s="1"/>
  <c r="F18" i="11"/>
  <c r="H18" i="11"/>
  <c r="B44" i="4"/>
  <c r="K18" i="11"/>
  <c r="L17" i="11"/>
  <c r="A45" i="4" l="1"/>
  <c r="F19" i="11"/>
  <c r="H19" i="11"/>
  <c r="D20" i="11"/>
  <c r="J20" i="11" s="1"/>
  <c r="B45" i="4"/>
  <c r="K19" i="11"/>
  <c r="L18" i="11"/>
  <c r="A46" i="4" l="1"/>
  <c r="D21" i="11"/>
  <c r="J21" i="11" s="1"/>
  <c r="F20" i="11"/>
  <c r="H20" i="11"/>
  <c r="B46" i="4"/>
  <c r="K20" i="11"/>
  <c r="L19" i="11"/>
  <c r="A47" i="4" l="1"/>
  <c r="F21" i="11"/>
  <c r="H21" i="11"/>
  <c r="D22" i="11"/>
  <c r="J22" i="11" s="1"/>
  <c r="B47" i="4"/>
  <c r="K21" i="11"/>
  <c r="L20" i="11"/>
  <c r="A48" i="4" l="1"/>
  <c r="F22" i="11"/>
  <c r="H22" i="11"/>
  <c r="D23" i="11"/>
  <c r="J23" i="11" s="1"/>
  <c r="B48" i="4"/>
  <c r="K22" i="11"/>
  <c r="L21" i="11"/>
  <c r="A49" i="4" l="1"/>
  <c r="F23" i="11"/>
  <c r="H23" i="11"/>
  <c r="D24" i="11"/>
  <c r="J24" i="11" s="1"/>
  <c r="B49" i="4"/>
  <c r="K23" i="11"/>
  <c r="L22" i="11"/>
  <c r="A50" i="4" l="1"/>
  <c r="F24" i="11"/>
  <c r="H24" i="11"/>
  <c r="D25" i="11"/>
  <c r="J25" i="11" s="1"/>
  <c r="B50" i="4"/>
  <c r="K24" i="11"/>
  <c r="L23" i="11"/>
  <c r="A51" i="4" l="1"/>
  <c r="D26" i="11"/>
  <c r="J26" i="11" s="1"/>
  <c r="F25" i="11"/>
  <c r="H25" i="11"/>
  <c r="B51" i="4"/>
  <c r="K25" i="11"/>
  <c r="L24" i="11"/>
  <c r="A52" i="4" l="1"/>
  <c r="H26" i="11"/>
  <c r="F26" i="11"/>
  <c r="D27" i="11"/>
  <c r="J27" i="11" s="1"/>
  <c r="B52" i="4"/>
  <c r="K26" i="11"/>
  <c r="L25" i="11"/>
  <c r="A53" i="4" l="1"/>
  <c r="D28" i="11"/>
  <c r="J28" i="11" s="1"/>
  <c r="F27" i="11"/>
  <c r="H27" i="11"/>
  <c r="B53" i="4"/>
  <c r="K27" i="11"/>
  <c r="L26" i="11"/>
  <c r="A54" i="4" l="1"/>
  <c r="F28" i="11"/>
  <c r="H28" i="11"/>
  <c r="D29" i="11"/>
  <c r="J29" i="11" s="1"/>
  <c r="B54" i="4"/>
  <c r="K28" i="11"/>
  <c r="L27" i="11"/>
  <c r="A55" i="4" l="1"/>
  <c r="D30" i="11"/>
  <c r="J30" i="11" s="1"/>
  <c r="F29" i="11"/>
  <c r="H29" i="11"/>
  <c r="B55" i="4"/>
  <c r="K29" i="11"/>
  <c r="L28" i="11"/>
  <c r="A56" i="4" l="1"/>
  <c r="H30" i="11"/>
  <c r="F30" i="11"/>
  <c r="D31" i="11"/>
  <c r="J31" i="11" s="1"/>
  <c r="B56" i="4"/>
  <c r="K30" i="11"/>
  <c r="L29" i="11"/>
  <c r="L30" i="11"/>
  <c r="A57" i="4" l="1"/>
  <c r="H31" i="11"/>
  <c r="F31" i="11"/>
  <c r="D32" i="11"/>
  <c r="J32" i="11" s="1"/>
  <c r="B57" i="4"/>
  <c r="K31" i="11"/>
  <c r="L31" i="11"/>
  <c r="A58" i="4" l="1"/>
  <c r="F32" i="11"/>
  <c r="H32" i="11"/>
  <c r="D33" i="11"/>
  <c r="J33" i="11" s="1"/>
  <c r="B58" i="4"/>
  <c r="K32" i="11"/>
  <c r="A59" i="4" l="1"/>
  <c r="F33" i="11"/>
  <c r="H33" i="11"/>
  <c r="D34" i="11"/>
  <c r="J34" i="11" s="1"/>
  <c r="B59" i="4"/>
  <c r="K33" i="11"/>
  <c r="L32" i="11"/>
  <c r="A60" i="4" l="1"/>
  <c r="D35" i="11"/>
  <c r="J35" i="11" s="1"/>
  <c r="F34" i="11"/>
  <c r="H34" i="11"/>
  <c r="B60" i="4"/>
  <c r="K34" i="11"/>
  <c r="L33" i="11"/>
  <c r="A61" i="4" l="1"/>
  <c r="F35" i="11"/>
  <c r="D36" i="11"/>
  <c r="J36" i="11" s="1"/>
  <c r="H35" i="11"/>
  <c r="B61" i="4"/>
  <c r="K35" i="11"/>
  <c r="L34" i="11"/>
  <c r="A62" i="4" l="1"/>
  <c r="D37" i="11"/>
  <c r="J37" i="11" s="1"/>
  <c r="F36" i="11"/>
  <c r="H36" i="11"/>
  <c r="B62" i="4"/>
  <c r="K36" i="11"/>
  <c r="L35" i="11"/>
  <c r="A63" i="4" l="1"/>
  <c r="D38" i="11"/>
  <c r="J38" i="11" s="1"/>
  <c r="F37" i="11"/>
  <c r="H37" i="11"/>
  <c r="B63" i="4"/>
  <c r="K37" i="11"/>
  <c r="L36" i="11"/>
  <c r="A64" i="4" l="1"/>
  <c r="F38" i="11"/>
  <c r="H38" i="11"/>
  <c r="D39" i="11"/>
  <c r="J39" i="11" s="1"/>
  <c r="B64" i="4"/>
  <c r="K38" i="11"/>
  <c r="L37" i="11"/>
  <c r="A65" i="4" l="1"/>
  <c r="F39" i="11"/>
  <c r="H39" i="11"/>
  <c r="H2" i="9"/>
  <c r="K3" i="11"/>
  <c r="B65" i="4"/>
  <c r="K39" i="11"/>
  <c r="L38" i="11"/>
  <c r="A66" i="4" l="1"/>
  <c r="D7" i="6"/>
  <c r="D8" i="6"/>
  <c r="B66" i="4"/>
  <c r="B1" i="6"/>
  <c r="D6" i="6"/>
  <c r="L39" i="11"/>
  <c r="I2" i="9"/>
  <c r="L3" i="11"/>
  <c r="C30" i="6" l="1"/>
  <c r="D9" i="6"/>
  <c r="D16" i="6"/>
  <c r="D20" i="6"/>
  <c r="E20" i="6"/>
  <c r="D22" i="6"/>
  <c r="E22" i="6"/>
  <c r="D21" i="6"/>
  <c r="E21" i="6" l="1"/>
  <c r="I28" i="4"/>
  <c r="C28" i="4"/>
  <c r="H28" i="4"/>
  <c r="H27" i="4"/>
  <c r="C27" i="4"/>
  <c r="I27" i="4"/>
  <c r="H18" i="4"/>
  <c r="I18" i="4"/>
  <c r="C18" i="4"/>
  <c r="I16" i="4"/>
  <c r="C16" i="4"/>
  <c r="H16" i="4"/>
  <c r="I22" i="4"/>
  <c r="C22" i="4"/>
  <c r="H22" i="4"/>
  <c r="C3" i="4"/>
  <c r="H9" i="4"/>
  <c r="I32" i="4"/>
  <c r="H13" i="4"/>
  <c r="H29" i="4"/>
  <c r="C29" i="4"/>
  <c r="I29" i="4"/>
  <c r="C31" i="4"/>
  <c r="H31" i="4"/>
  <c r="I31" i="4"/>
  <c r="C20" i="4"/>
  <c r="C32" i="4"/>
  <c r="H17" i="4"/>
  <c r="C17" i="4"/>
  <c r="I17" i="4"/>
  <c r="C2" i="4"/>
  <c r="C9" i="4"/>
  <c r="I10" i="4"/>
  <c r="I4" i="4"/>
  <c r="I5" i="4"/>
  <c r="I8" i="4"/>
  <c r="I13" i="4"/>
  <c r="C10" i="4"/>
  <c r="H6" i="4"/>
  <c r="H8" i="4"/>
  <c r="C5" i="4"/>
  <c r="H4" i="4"/>
  <c r="I12" i="4"/>
  <c r="C6" i="4"/>
  <c r="C4" i="4"/>
  <c r="H26" i="4"/>
  <c r="C26" i="4"/>
  <c r="I26" i="4"/>
  <c r="H24" i="4"/>
  <c r="I24" i="4"/>
  <c r="C24" i="4"/>
  <c r="I15" i="4"/>
  <c r="C15" i="4"/>
  <c r="H15" i="4"/>
  <c r="H21" i="4"/>
  <c r="C21" i="4"/>
  <c r="I21" i="4"/>
  <c r="I7" i="4"/>
  <c r="H11" i="4"/>
  <c r="H20" i="4"/>
  <c r="C11" i="4"/>
  <c r="I11" i="4"/>
  <c r="I20" i="4"/>
  <c r="H2" i="4"/>
  <c r="C12" i="4"/>
  <c r="H7" i="4"/>
  <c r="I14" i="4"/>
  <c r="H3" i="4"/>
  <c r="C30" i="4"/>
  <c r="I30" i="4"/>
  <c r="H30" i="4"/>
  <c r="H19" i="4"/>
  <c r="I19" i="4"/>
  <c r="C19" i="4"/>
  <c r="I25" i="4"/>
  <c r="C25" i="4"/>
  <c r="H25" i="4"/>
  <c r="H23" i="4"/>
  <c r="I23" i="4"/>
  <c r="C23" i="4"/>
  <c r="I9" i="4"/>
  <c r="C14" i="4"/>
  <c r="H10" i="4"/>
  <c r="I3" i="4"/>
  <c r="H12" i="4"/>
  <c r="H14" i="4"/>
  <c r="H5" i="4"/>
  <c r="C8" i="4"/>
  <c r="H32" i="4"/>
  <c r="C13" i="4"/>
  <c r="I2" i="4"/>
  <c r="I6" i="4"/>
  <c r="C7" i="4"/>
  <c r="D53" i="4"/>
  <c r="C49" i="4"/>
  <c r="D47" i="4"/>
  <c r="I37" i="4"/>
  <c r="D51" i="4"/>
  <c r="I63" i="4"/>
  <c r="C50" i="4"/>
  <c r="D57" i="4"/>
  <c r="H60" i="4"/>
  <c r="I47" i="4"/>
  <c r="C41" i="4"/>
  <c r="C43" i="4"/>
  <c r="H44" i="4"/>
  <c r="I55" i="4"/>
  <c r="D39" i="4"/>
  <c r="I64" i="4"/>
  <c r="D35" i="4"/>
  <c r="H55" i="4"/>
  <c r="H64" i="4"/>
  <c r="D58" i="4"/>
  <c r="I35" i="4"/>
  <c r="D52" i="4"/>
  <c r="C63" i="4"/>
  <c r="I43" i="4"/>
  <c r="H36" i="4"/>
  <c r="C45" i="4"/>
  <c r="H47" i="4"/>
  <c r="D50" i="4"/>
  <c r="D45" i="4"/>
  <c r="I53" i="4"/>
  <c r="H62" i="4"/>
  <c r="H59" i="4"/>
  <c r="I42" i="4"/>
  <c r="C54" i="4"/>
  <c r="C64" i="4"/>
  <c r="D60" i="4"/>
  <c r="H43" i="4"/>
  <c r="D61" i="4"/>
  <c r="I41" i="4"/>
  <c r="H57" i="4"/>
  <c r="C57" i="4"/>
  <c r="I57" i="4"/>
  <c r="D34" i="4"/>
  <c r="D33" i="4"/>
  <c r="I44" i="4"/>
  <c r="C53" i="4"/>
  <c r="H63" i="4"/>
  <c r="H34" i="4"/>
  <c r="I33" i="4"/>
  <c r="D40" i="4"/>
  <c r="C52" i="4"/>
  <c r="D55" i="4"/>
  <c r="D41" i="4"/>
  <c r="I39" i="4"/>
  <c r="D44" i="4"/>
  <c r="H49" i="4"/>
  <c r="H54" i="4"/>
  <c r="H45" i="4"/>
  <c r="I65" i="4"/>
  <c r="D2" i="5" a="1"/>
  <c r="I61" i="4"/>
  <c r="I50" i="4"/>
  <c r="I49" i="4"/>
  <c r="I36" i="4"/>
  <c r="H42" i="4"/>
  <c r="H33" i="4"/>
  <c r="I38" i="4"/>
  <c r="H48" i="4"/>
  <c r="C58" i="4"/>
  <c r="D46" i="4"/>
  <c r="D65" i="4"/>
  <c r="C46" i="4"/>
  <c r="I59" i="4"/>
  <c r="D62" i="4"/>
  <c r="I66" i="4"/>
  <c r="I45" i="4"/>
  <c r="C62" i="4"/>
  <c r="D66" i="4"/>
  <c r="H66" i="4"/>
  <c r="C42" i="4"/>
  <c r="D37" i="4"/>
  <c r="C59" i="4"/>
  <c r="H38" i="4"/>
  <c r="I40" i="4"/>
  <c r="D56" i="4"/>
  <c r="C39" i="4"/>
  <c r="D54" i="4"/>
  <c r="I51" i="4"/>
  <c r="H46" i="4"/>
  <c r="H58" i="4"/>
  <c r="C51" i="4"/>
  <c r="H51" i="4"/>
  <c r="H56" i="4"/>
  <c r="H41" i="4"/>
  <c r="I58" i="4"/>
  <c r="D38" i="4"/>
  <c r="C61" i="4"/>
  <c r="C38" i="4"/>
  <c r="H37" i="4"/>
  <c r="D63" i="4"/>
  <c r="C60" i="4"/>
  <c r="D64" i="4"/>
  <c r="I60" i="4"/>
  <c r="C40" i="4"/>
  <c r="H65" i="4"/>
  <c r="I54" i="4"/>
  <c r="H53" i="4"/>
  <c r="D49" i="4"/>
  <c r="H39" i="4"/>
  <c r="C48" i="4"/>
  <c r="I62" i="4"/>
  <c r="H40" i="4"/>
  <c r="D48" i="4"/>
  <c r="C37" i="4"/>
  <c r="C47" i="4"/>
  <c r="H61" i="4"/>
  <c r="I48" i="4"/>
  <c r="H35" i="4"/>
  <c r="I56" i="4"/>
  <c r="I34" i="4"/>
  <c r="C44" i="4"/>
  <c r="C56" i="4"/>
  <c r="H50" i="4"/>
  <c r="D42" i="4"/>
  <c r="I46" i="4"/>
  <c r="D59" i="4"/>
  <c r="C66" i="4"/>
  <c r="C65" i="4"/>
  <c r="D36" i="4"/>
  <c r="I52" i="4"/>
  <c r="D43" i="4"/>
  <c r="C55" i="4"/>
  <c r="H52" i="4"/>
  <c r="D5" i="5" l="1"/>
  <c r="D108" i="5"/>
  <c r="D82" i="5"/>
  <c r="D111" i="5"/>
  <c r="D124" i="5"/>
  <c r="D121" i="5"/>
  <c r="D118" i="5"/>
  <c r="D83" i="5"/>
  <c r="D26" i="5"/>
  <c r="D23" i="5"/>
  <c r="D20" i="5"/>
  <c r="D84" i="5"/>
  <c r="D59" i="5"/>
  <c r="D78" i="5"/>
  <c r="D97" i="5"/>
  <c r="D116" i="5"/>
  <c r="D21" i="5"/>
  <c r="D64" i="5"/>
  <c r="D98" i="5"/>
  <c r="D44" i="5"/>
  <c r="D9" i="5"/>
  <c r="D6" i="5"/>
  <c r="D80" i="5"/>
  <c r="D99" i="5"/>
  <c r="D42" i="5"/>
  <c r="D39" i="5"/>
  <c r="D36" i="5"/>
  <c r="D126" i="5"/>
  <c r="D77" i="5"/>
  <c r="D33" i="5"/>
  <c r="D45" i="5"/>
  <c r="D13" i="5"/>
  <c r="D37" i="5"/>
  <c r="D29" i="5"/>
  <c r="D114" i="5"/>
  <c r="D15" i="5"/>
  <c r="D25" i="5"/>
  <c r="D22" i="5"/>
  <c r="D112" i="5"/>
  <c r="D115" i="5"/>
  <c r="D58" i="5"/>
  <c r="D55" i="5"/>
  <c r="D52" i="5"/>
  <c r="D27" i="5"/>
  <c r="D30" i="5"/>
  <c r="D100" i="5"/>
  <c r="D88" i="5"/>
  <c r="D107" i="5"/>
  <c r="D18" i="5"/>
  <c r="D47" i="5"/>
  <c r="D12" i="5"/>
  <c r="D57" i="5"/>
  <c r="D54" i="5"/>
  <c r="D19" i="5"/>
  <c r="D32" i="5"/>
  <c r="D90" i="5"/>
  <c r="D91" i="5"/>
  <c r="D93" i="5"/>
  <c r="D94" i="5"/>
  <c r="D81" i="5"/>
  <c r="D53" i="5"/>
  <c r="D2" i="5"/>
  <c r="D31" i="5"/>
  <c r="D76" i="5"/>
  <c r="D41" i="5"/>
  <c r="D38" i="5"/>
  <c r="D3" i="5"/>
  <c r="D16" i="5"/>
  <c r="D74" i="5"/>
  <c r="D71" i="5"/>
  <c r="D14" i="5"/>
  <c r="D75" i="5"/>
  <c r="D40" i="5"/>
  <c r="D61" i="5"/>
  <c r="D11" i="5"/>
  <c r="D24" i="5"/>
  <c r="D69" i="5"/>
  <c r="D87" i="5"/>
  <c r="D8" i="5"/>
  <c r="D56" i="5"/>
  <c r="D85" i="5"/>
  <c r="D95" i="5"/>
  <c r="D86" i="5"/>
  <c r="D106" i="5"/>
  <c r="D49" i="5"/>
  <c r="D62" i="5"/>
  <c r="D96" i="5"/>
  <c r="D79" i="5"/>
  <c r="D101" i="5"/>
  <c r="D28" i="5"/>
  <c r="D102" i="5"/>
  <c r="D122" i="5"/>
  <c r="D17" i="5"/>
  <c r="D104" i="5"/>
  <c r="D63" i="5"/>
  <c r="D10" i="5"/>
  <c r="D117" i="5"/>
  <c r="D60" i="5"/>
  <c r="D35" i="5"/>
  <c r="D7" i="5"/>
  <c r="D68" i="5"/>
  <c r="D123" i="5"/>
  <c r="D50" i="5"/>
  <c r="D73" i="5"/>
  <c r="D67" i="5"/>
  <c r="D119" i="5"/>
  <c r="D120" i="5"/>
  <c r="D72" i="5"/>
  <c r="D66" i="5"/>
  <c r="D48" i="5"/>
  <c r="D4" i="5"/>
  <c r="D65" i="5"/>
  <c r="D109" i="5"/>
  <c r="D70" i="5"/>
  <c r="D34" i="5"/>
  <c r="D92" i="5"/>
  <c r="D51" i="5"/>
  <c r="D103" i="5"/>
  <c r="D110" i="5"/>
  <c r="D46" i="5"/>
  <c r="D89" i="5"/>
  <c r="D105" i="5"/>
  <c r="D125" i="5"/>
  <c r="D113" i="5"/>
  <c r="D43" i="5"/>
  <c r="E108" i="5"/>
  <c r="E121" i="5"/>
  <c r="E23" i="5"/>
  <c r="E78" i="5"/>
  <c r="E64" i="5"/>
  <c r="E6" i="5"/>
  <c r="E39" i="5"/>
  <c r="E33" i="5"/>
  <c r="E29" i="5"/>
  <c r="E22" i="5"/>
  <c r="E55" i="5"/>
  <c r="E100" i="5"/>
  <c r="E47" i="5"/>
  <c r="E19" i="5"/>
  <c r="E93" i="5"/>
  <c r="E2" i="5"/>
  <c r="E38" i="5"/>
  <c r="E71" i="5"/>
  <c r="E61" i="5"/>
  <c r="E87" i="5"/>
  <c r="E95" i="5"/>
  <c r="E62" i="5"/>
  <c r="E28" i="5"/>
  <c r="E104" i="5"/>
  <c r="E60" i="5"/>
  <c r="E123" i="5"/>
  <c r="E119" i="5"/>
  <c r="E48" i="5"/>
  <c r="E70" i="5"/>
  <c r="E103" i="5"/>
  <c r="E105" i="5"/>
  <c r="E82" i="5"/>
  <c r="E118" i="5"/>
  <c r="E20" i="5"/>
  <c r="E97" i="5"/>
  <c r="E98" i="5"/>
  <c r="E80" i="5"/>
  <c r="E36" i="5"/>
  <c r="E45" i="5"/>
  <c r="E114" i="5"/>
  <c r="E112" i="5"/>
  <c r="E52" i="5"/>
  <c r="E88" i="5"/>
  <c r="E12" i="5"/>
  <c r="E32" i="5"/>
  <c r="E94" i="5"/>
  <c r="E31" i="5"/>
  <c r="E3" i="5"/>
  <c r="E14" i="5"/>
  <c r="E11" i="5"/>
  <c r="E8" i="5"/>
  <c r="E86" i="5"/>
  <c r="E96" i="5"/>
  <c r="E102" i="5"/>
  <c r="E63" i="5"/>
  <c r="E35" i="5"/>
  <c r="E50" i="5"/>
  <c r="E120" i="5"/>
  <c r="E4" i="5"/>
  <c r="E34" i="5"/>
  <c r="E110" i="5"/>
  <c r="E125" i="5"/>
  <c r="E51" i="5"/>
  <c r="E43" i="5"/>
  <c r="E111" i="5"/>
  <c r="E83" i="5"/>
  <c r="E84" i="5"/>
  <c r="E116" i="5"/>
  <c r="E44" i="5"/>
  <c r="E99" i="5"/>
  <c r="E126" i="5"/>
  <c r="E13" i="5"/>
  <c r="E15" i="5"/>
  <c r="E115" i="5"/>
  <c r="E27" i="5"/>
  <c r="E107" i="5"/>
  <c r="E57" i="5"/>
  <c r="E90" i="5"/>
  <c r="E81" i="5"/>
  <c r="E76" i="5"/>
  <c r="E16" i="5"/>
  <c r="E75" i="5"/>
  <c r="E24" i="5"/>
  <c r="E56" i="5"/>
  <c r="E106" i="5"/>
  <c r="E79" i="5"/>
  <c r="E122" i="5"/>
  <c r="E10" i="5"/>
  <c r="E7" i="5"/>
  <c r="E73" i="5"/>
  <c r="E72" i="5"/>
  <c r="E65" i="5"/>
  <c r="E92" i="5"/>
  <c r="E46" i="5"/>
  <c r="E113" i="5"/>
  <c r="E5" i="5"/>
  <c r="E124" i="5"/>
  <c r="E26" i="5"/>
  <c r="E59" i="5"/>
  <c r="E21" i="5"/>
  <c r="E9" i="5"/>
  <c r="E42" i="5"/>
  <c r="E77" i="5"/>
  <c r="E37" i="5"/>
  <c r="E25" i="5"/>
  <c r="E58" i="5"/>
  <c r="E30" i="5"/>
  <c r="E18" i="5"/>
  <c r="E54" i="5"/>
  <c r="E91" i="5"/>
  <c r="E53" i="5"/>
  <c r="E41" i="5"/>
  <c r="E74" i="5"/>
  <c r="E40" i="5"/>
  <c r="E69" i="5"/>
  <c r="E85" i="5"/>
  <c r="E49" i="5"/>
  <c r="E101" i="5"/>
  <c r="E17" i="5"/>
  <c r="E117" i="5"/>
  <c r="E68" i="5"/>
  <c r="E67" i="5"/>
  <c r="E66" i="5"/>
  <c r="E109" i="5"/>
  <c r="E89" i="5"/>
  <c r="H7" i="5" l="1"/>
  <c r="G42" i="5"/>
  <c r="F17" i="5"/>
  <c r="F12" i="5"/>
  <c r="I2" i="5"/>
  <c r="I8" i="5"/>
  <c r="G17" i="5"/>
  <c r="G103" i="5"/>
  <c r="G92" i="5"/>
  <c r="F105" i="5"/>
  <c r="I20" i="5"/>
  <c r="H63" i="5"/>
  <c r="G115" i="5"/>
  <c r="I118" i="5"/>
  <c r="G61" i="5"/>
  <c r="I111" i="5"/>
  <c r="F37" i="5"/>
  <c r="F84" i="5"/>
  <c r="H119" i="5"/>
  <c r="H5" i="5"/>
  <c r="I59" i="5"/>
  <c r="H59" i="5"/>
  <c r="I87" i="5"/>
  <c r="F125" i="5"/>
  <c r="H83" i="5"/>
  <c r="F8" i="5"/>
  <c r="F75" i="5"/>
  <c r="I106" i="5"/>
  <c r="G7" i="5"/>
  <c r="F5" i="5"/>
  <c r="F60" i="5"/>
  <c r="G18" i="5"/>
  <c r="H122" i="5"/>
  <c r="H125" i="5"/>
  <c r="F38" i="5"/>
  <c r="H109" i="5"/>
  <c r="H78" i="5"/>
  <c r="G118" i="5"/>
  <c r="G89" i="5"/>
  <c r="I56" i="5"/>
  <c r="F115" i="5"/>
  <c r="I22" i="5"/>
  <c r="F35" i="5"/>
  <c r="H19" i="5"/>
  <c r="H69" i="5"/>
  <c r="G121" i="5"/>
  <c r="F50" i="5"/>
  <c r="G98" i="5"/>
  <c r="G27" i="5"/>
  <c r="F98" i="5"/>
  <c r="G54" i="5"/>
  <c r="G4" i="5"/>
  <c r="H98" i="5"/>
  <c r="I105" i="5"/>
  <c r="G81" i="5"/>
  <c r="F93" i="5"/>
  <c r="H90" i="5"/>
  <c r="H74" i="5"/>
  <c r="H61" i="5"/>
  <c r="I49" i="5"/>
  <c r="H11" i="5"/>
  <c r="H112" i="5"/>
  <c r="F124" i="5"/>
  <c r="G12" i="5"/>
  <c r="I37" i="5"/>
  <c r="H102" i="5"/>
  <c r="I7" i="5"/>
  <c r="H65" i="5"/>
  <c r="F14" i="5"/>
  <c r="H115" i="5"/>
  <c r="H93" i="5"/>
  <c r="H27" i="5"/>
  <c r="F121" i="5"/>
  <c r="H73" i="5"/>
  <c r="I32" i="5"/>
  <c r="F86" i="5"/>
  <c r="G113" i="5"/>
  <c r="G80" i="5"/>
  <c r="F81" i="5"/>
  <c r="G125" i="5"/>
  <c r="G70" i="5"/>
  <c r="G43" i="5"/>
  <c r="H45" i="5"/>
  <c r="H126" i="5"/>
  <c r="H50" i="5"/>
  <c r="I109" i="5"/>
  <c r="G16" i="5"/>
  <c r="F114" i="5"/>
  <c r="H4" i="5"/>
  <c r="I99" i="5"/>
  <c r="F9" i="5"/>
  <c r="H114" i="5"/>
  <c r="F41" i="5"/>
  <c r="G109" i="5"/>
  <c r="F25" i="5"/>
  <c r="H97" i="5"/>
  <c r="I35" i="5"/>
  <c r="H113" i="5"/>
  <c r="H99" i="5"/>
  <c r="H55" i="5"/>
  <c r="F57" i="5"/>
  <c r="I34" i="5"/>
  <c r="F52" i="5"/>
  <c r="G90" i="5"/>
  <c r="H80" i="5"/>
  <c r="I95" i="5"/>
  <c r="I12" i="5"/>
  <c r="H34" i="5"/>
  <c r="F71" i="5"/>
  <c r="H41" i="5"/>
  <c r="G52" i="5"/>
  <c r="G101" i="5"/>
  <c r="G39" i="5"/>
  <c r="I40" i="5"/>
  <c r="G30" i="5"/>
  <c r="F65" i="5"/>
  <c r="I67" i="5"/>
  <c r="F116" i="5"/>
  <c r="I96" i="5"/>
  <c r="G117" i="5"/>
  <c r="G99" i="5"/>
  <c r="H101" i="5"/>
  <c r="I77" i="5"/>
  <c r="H16" i="5"/>
  <c r="H91" i="5"/>
  <c r="G108" i="5"/>
  <c r="I98" i="5"/>
  <c r="G6" i="5"/>
  <c r="G57" i="5"/>
  <c r="I101" i="5"/>
  <c r="H71" i="5"/>
  <c r="F30" i="5"/>
  <c r="H9" i="5"/>
  <c r="G45" i="5"/>
  <c r="G111" i="5"/>
  <c r="I72" i="5"/>
  <c r="G87" i="5"/>
  <c r="F103" i="5"/>
  <c r="I62" i="5"/>
  <c r="I6" i="5"/>
  <c r="H81" i="5"/>
  <c r="I80" i="5"/>
  <c r="F101" i="5"/>
  <c r="I54" i="5"/>
  <c r="I68" i="5"/>
  <c r="H89" i="5"/>
  <c r="G71" i="5"/>
  <c r="G102" i="5"/>
  <c r="I83" i="5"/>
  <c r="F47" i="5"/>
  <c r="G56" i="5"/>
  <c r="I120" i="5"/>
  <c r="G14" i="5"/>
  <c r="H64" i="5"/>
  <c r="F117" i="5"/>
  <c r="G41" i="5"/>
  <c r="H92" i="5"/>
  <c r="I93" i="5"/>
  <c r="G83" i="5"/>
  <c r="G44" i="5"/>
  <c r="G46" i="5"/>
  <c r="G51" i="5"/>
  <c r="G96" i="5"/>
  <c r="G78" i="5"/>
  <c r="I108" i="5"/>
  <c r="H12" i="5"/>
  <c r="H53" i="5"/>
  <c r="G66" i="5"/>
  <c r="F40" i="5"/>
  <c r="F62" i="5"/>
  <c r="G107" i="5"/>
  <c r="I126" i="5"/>
  <c r="I121" i="5"/>
  <c r="F94" i="5"/>
  <c r="G37" i="5"/>
  <c r="F10" i="5"/>
  <c r="G82" i="5"/>
  <c r="I64" i="5"/>
  <c r="G95" i="5"/>
  <c r="F120" i="5"/>
  <c r="F19" i="5"/>
  <c r="H103" i="5"/>
  <c r="H75" i="5"/>
  <c r="F118" i="5"/>
  <c r="H104" i="5"/>
  <c r="I112" i="5"/>
  <c r="F109" i="5"/>
  <c r="I51" i="5"/>
  <c r="H42" i="5"/>
  <c r="I92" i="5"/>
  <c r="G119" i="5"/>
  <c r="G49" i="5"/>
  <c r="F18" i="5"/>
  <c r="H72" i="5"/>
  <c r="G126" i="5"/>
  <c r="H106" i="5"/>
  <c r="G32" i="5"/>
  <c r="H30" i="5"/>
  <c r="G2" i="5"/>
  <c r="F28" i="5"/>
  <c r="H79" i="5"/>
  <c r="F112" i="5"/>
  <c r="I110" i="5"/>
  <c r="G55" i="5"/>
  <c r="H39" i="5"/>
  <c r="G93" i="5"/>
  <c r="I25" i="5"/>
  <c r="G100" i="5"/>
  <c r="G63" i="5"/>
  <c r="I76" i="5"/>
  <c r="I61" i="5"/>
  <c r="G8" i="5"/>
  <c r="H77" i="5"/>
  <c r="I113" i="5"/>
  <c r="I36" i="5"/>
  <c r="H96" i="5"/>
  <c r="I45" i="5"/>
  <c r="H124" i="5"/>
  <c r="F7" i="5"/>
  <c r="I103" i="5"/>
  <c r="I125" i="5"/>
  <c r="F102" i="5"/>
  <c r="G29" i="5"/>
  <c r="H88" i="5"/>
  <c r="G40" i="5"/>
  <c r="I18" i="5"/>
  <c r="F15" i="5"/>
  <c r="I15" i="5"/>
  <c r="G31" i="5"/>
  <c r="I71" i="5"/>
  <c r="G123" i="5"/>
  <c r="G68" i="5"/>
  <c r="F46" i="5"/>
  <c r="F59" i="5"/>
  <c r="G116" i="5"/>
  <c r="G65" i="5"/>
  <c r="G10" i="5"/>
  <c r="H38" i="5"/>
  <c r="I16" i="5"/>
  <c r="G120" i="5"/>
  <c r="G35" i="5"/>
  <c r="I74" i="5"/>
  <c r="F48" i="5"/>
  <c r="F45" i="5"/>
  <c r="F95" i="5"/>
  <c r="F3" i="5"/>
  <c r="F110" i="5"/>
  <c r="G34" i="5"/>
  <c r="F23" i="5"/>
  <c r="F61" i="5"/>
  <c r="F31" i="5"/>
  <c r="H22" i="5"/>
  <c r="H8" i="5"/>
  <c r="G5" i="5"/>
  <c r="I14" i="5"/>
  <c r="G85" i="5"/>
  <c r="I39" i="5"/>
  <c r="G104" i="5"/>
  <c r="G72" i="5"/>
  <c r="I57" i="5"/>
  <c r="I17" i="5"/>
  <c r="G33" i="5"/>
  <c r="G13" i="5"/>
  <c r="H108" i="5"/>
  <c r="F76" i="5"/>
  <c r="I117" i="5"/>
  <c r="H24" i="5"/>
  <c r="I88" i="5"/>
  <c r="H47" i="5"/>
  <c r="G28" i="5"/>
  <c r="H26" i="5"/>
  <c r="I123" i="5"/>
  <c r="G73" i="5"/>
  <c r="I84" i="5"/>
  <c r="I11" i="5"/>
  <c r="G79" i="5"/>
  <c r="G15" i="5"/>
  <c r="H6" i="5"/>
  <c r="I124" i="5"/>
  <c r="F92" i="5"/>
  <c r="H94" i="5"/>
  <c r="I86" i="5"/>
  <c r="H20" i="5"/>
  <c r="F2" i="5"/>
  <c r="F111" i="5"/>
  <c r="G76" i="5"/>
  <c r="G77" i="5"/>
  <c r="I102" i="5"/>
  <c r="I75" i="5"/>
  <c r="I10" i="5"/>
  <c r="G21" i="5"/>
  <c r="I63" i="5"/>
  <c r="I60" i="5"/>
  <c r="I19" i="5"/>
  <c r="I85" i="5"/>
  <c r="F70" i="5"/>
  <c r="H70" i="5"/>
  <c r="F39" i="5"/>
  <c r="H84" i="5"/>
  <c r="I89" i="5"/>
  <c r="G11" i="5"/>
  <c r="F11" i="5"/>
  <c r="F106" i="5"/>
  <c r="H86" i="5"/>
  <c r="I42" i="5"/>
  <c r="F24" i="5"/>
  <c r="I65" i="5"/>
  <c r="F69" i="5"/>
  <c r="I66" i="5"/>
  <c r="F34" i="5"/>
  <c r="I33" i="5"/>
  <c r="H117" i="5"/>
  <c r="F87" i="5"/>
  <c r="F49" i="5"/>
  <c r="F100" i="5"/>
  <c r="G38" i="5"/>
  <c r="G110" i="5"/>
  <c r="F78" i="5"/>
  <c r="H2" i="5"/>
  <c r="F96" i="5"/>
  <c r="H46" i="5"/>
  <c r="F122" i="5"/>
  <c r="F99" i="5"/>
  <c r="I47" i="5"/>
  <c r="G75" i="5"/>
  <c r="I119" i="5"/>
  <c r="F77" i="5"/>
  <c r="G84" i="5"/>
  <c r="I69" i="5"/>
  <c r="F73" i="5"/>
  <c r="H85" i="5"/>
  <c r="G22" i="5"/>
  <c r="H95" i="5"/>
  <c r="I5" i="5"/>
  <c r="H100" i="5"/>
  <c r="I46" i="5"/>
  <c r="I43" i="5"/>
  <c r="I122" i="5"/>
  <c r="I27" i="5"/>
  <c r="G124" i="5"/>
  <c r="G122" i="5"/>
  <c r="H10" i="5"/>
  <c r="F43" i="5"/>
  <c r="G47" i="5"/>
  <c r="F54" i="5"/>
  <c r="G91" i="5"/>
  <c r="I23" i="5"/>
  <c r="I97" i="5"/>
  <c r="H76" i="5"/>
  <c r="F91" i="5"/>
  <c r="G86" i="5"/>
  <c r="I24" i="5"/>
  <c r="F42" i="5"/>
  <c r="H67" i="5"/>
  <c r="I81" i="5"/>
  <c r="I52" i="5"/>
  <c r="F36" i="5"/>
  <c r="F16" i="5"/>
  <c r="H68" i="5"/>
  <c r="H118" i="5"/>
  <c r="I48" i="5"/>
  <c r="F90" i="5"/>
  <c r="G94" i="5"/>
  <c r="F32" i="5"/>
  <c r="H58" i="5"/>
  <c r="I9" i="5"/>
  <c r="F67" i="5"/>
  <c r="F27" i="5"/>
  <c r="H120" i="5"/>
  <c r="G106" i="5"/>
  <c r="H66" i="5"/>
  <c r="F64" i="5"/>
  <c r="F13" i="5"/>
  <c r="I4" i="5"/>
  <c r="H15" i="5"/>
  <c r="F29" i="5"/>
  <c r="F44" i="5"/>
  <c r="G19" i="5"/>
  <c r="I79" i="5"/>
  <c r="H52" i="5"/>
  <c r="H18" i="5"/>
  <c r="G50" i="5"/>
  <c r="F85" i="5"/>
  <c r="G114" i="5"/>
  <c r="I107" i="5"/>
  <c r="F126" i="5"/>
  <c r="I70" i="5"/>
  <c r="H37" i="5"/>
  <c r="F113" i="5"/>
  <c r="H25" i="5"/>
  <c r="F97" i="5"/>
  <c r="F108" i="5"/>
  <c r="H51" i="5"/>
  <c r="I94" i="5"/>
  <c r="F22" i="5"/>
  <c r="F79" i="5"/>
  <c r="H105" i="5"/>
  <c r="H33" i="5"/>
  <c r="F55" i="5"/>
  <c r="I3" i="5"/>
  <c r="F82" i="5"/>
  <c r="F107" i="5"/>
  <c r="H49" i="5"/>
  <c r="G67" i="5"/>
  <c r="I28" i="5"/>
  <c r="H56" i="5"/>
  <c r="H3" i="5"/>
  <c r="F123" i="5"/>
  <c r="G59" i="5"/>
  <c r="F63" i="5"/>
  <c r="G24" i="5"/>
  <c r="H40" i="5"/>
  <c r="I50" i="5"/>
  <c r="G23" i="5"/>
  <c r="I21" i="5"/>
  <c r="H123" i="5"/>
  <c r="F58" i="5"/>
  <c r="F33" i="5"/>
  <c r="G74" i="5"/>
  <c r="G36" i="5"/>
  <c r="F68" i="5"/>
  <c r="H107" i="5"/>
  <c r="I73" i="5"/>
  <c r="F88" i="5"/>
  <c r="H48" i="5"/>
  <c r="I41" i="5"/>
  <c r="H21" i="5"/>
  <c r="I91" i="5"/>
  <c r="G105" i="5"/>
  <c r="I53" i="5"/>
  <c r="G60" i="5"/>
  <c r="H14" i="5"/>
  <c r="H54" i="5"/>
  <c r="F89" i="5"/>
  <c r="H60" i="5"/>
  <c r="H23" i="5"/>
  <c r="G26" i="5"/>
  <c r="F26" i="5"/>
  <c r="H121" i="5"/>
  <c r="I114" i="5"/>
  <c r="I78" i="5"/>
  <c r="F51" i="5"/>
  <c r="F72" i="5"/>
  <c r="H29" i="5"/>
  <c r="H44" i="5"/>
  <c r="F6" i="5"/>
  <c r="G97" i="5"/>
  <c r="F66" i="5"/>
  <c r="I90" i="5"/>
  <c r="H28" i="5"/>
  <c r="G9" i="5"/>
  <c r="H57" i="5"/>
  <c r="F119" i="5"/>
  <c r="F104" i="5"/>
  <c r="I55" i="5"/>
  <c r="I26" i="5"/>
  <c r="I116" i="5"/>
  <c r="F56" i="5"/>
  <c r="I115" i="5"/>
  <c r="G25" i="5"/>
  <c r="I104" i="5"/>
  <c r="F53" i="5"/>
  <c r="G3" i="5"/>
  <c r="F80" i="5"/>
  <c r="G48" i="5"/>
  <c r="H87" i="5"/>
  <c r="H13" i="5"/>
  <c r="G88" i="5"/>
  <c r="G112" i="5"/>
  <c r="H116" i="5"/>
  <c r="G62" i="5"/>
  <c r="H62" i="5"/>
  <c r="I58" i="5"/>
  <c r="I44" i="5"/>
  <c r="G58" i="5"/>
  <c r="H35" i="5"/>
  <c r="I31" i="5"/>
  <c r="F4" i="5"/>
  <c r="I82" i="5"/>
  <c r="F21" i="5"/>
  <c r="G64" i="5"/>
  <c r="H43" i="5"/>
  <c r="I13" i="5"/>
  <c r="F83" i="5"/>
  <c r="H32" i="5"/>
  <c r="H36" i="5"/>
  <c r="H31" i="5"/>
  <c r="I30" i="5"/>
  <c r="H17" i="5"/>
  <c r="I38" i="5"/>
  <c r="G20" i="5"/>
  <c r="I100" i="5"/>
  <c r="F74" i="5"/>
  <c r="G53" i="5"/>
  <c r="G69" i="5"/>
  <c r="H110" i="5"/>
  <c r="F20" i="5"/>
  <c r="I29" i="5"/>
  <c r="H82" i="5"/>
  <c r="H111" i="5"/>
  <c r="C28" i="6"/>
  <c r="D14" i="6" l="1"/>
  <c r="D30" i="6"/>
  <c r="D31" i="6"/>
  <c r="D15" i="6"/>
  <c r="C27" i="6"/>
  <c r="J1" i="5" a="1"/>
  <c r="J95" i="5"/>
  <c r="J84" i="5"/>
  <c r="J79" i="5"/>
  <c r="J116" i="5"/>
  <c r="J124" i="5"/>
  <c r="J85" i="5"/>
  <c r="J117" i="5"/>
  <c r="J63" i="5"/>
  <c r="J40" i="5"/>
  <c r="J56" i="5"/>
  <c r="J97" i="5"/>
  <c r="J71" i="5"/>
  <c r="J83" i="5"/>
  <c r="J104" i="5"/>
  <c r="J87" i="5"/>
  <c r="J22" i="5"/>
  <c r="J41" i="5"/>
  <c r="J110" i="5"/>
  <c r="J44" i="5"/>
  <c r="J62" i="5"/>
  <c r="J107" i="5"/>
  <c r="J120" i="5"/>
  <c r="J89" i="5"/>
  <c r="J55" i="5"/>
  <c r="J37" i="5"/>
  <c r="J60" i="5"/>
  <c r="J16" i="5"/>
  <c r="J126" i="5"/>
  <c r="J34" i="5"/>
  <c r="J45" i="5"/>
  <c r="J5" i="5"/>
  <c r="J24" i="5"/>
  <c r="J52" i="5"/>
  <c r="J57" i="5"/>
  <c r="J48" i="5"/>
  <c r="J112" i="5"/>
  <c r="J53" i="5"/>
  <c r="J59" i="5"/>
  <c r="J25" i="5"/>
  <c r="J70" i="5"/>
  <c r="J80" i="5"/>
  <c r="J18" i="5"/>
  <c r="J100" i="5"/>
  <c r="J36" i="5"/>
  <c r="J12" i="5"/>
  <c r="J109" i="5"/>
  <c r="J102" i="5"/>
  <c r="J7" i="5"/>
  <c r="J82" i="5"/>
  <c r="J123" i="5"/>
  <c r="J65" i="5"/>
  <c r="J111" i="5"/>
  <c r="J10" i="5"/>
  <c r="J75" i="5"/>
  <c r="J49" i="5"/>
  <c r="J28" i="5"/>
  <c r="J96" i="5"/>
  <c r="J19" i="5"/>
  <c r="J108" i="5"/>
  <c r="J29" i="5"/>
  <c r="J94" i="5"/>
  <c r="J118" i="5"/>
  <c r="J106" i="5"/>
  <c r="J90" i="5"/>
  <c r="J21" i="5"/>
  <c r="J58" i="5"/>
  <c r="J88" i="5"/>
  <c r="J13" i="5"/>
  <c r="J98" i="5"/>
  <c r="J99" i="5"/>
  <c r="J86" i="5"/>
  <c r="J43" i="5"/>
  <c r="J1" i="5"/>
  <c r="J54" i="5"/>
  <c r="J3" i="5"/>
  <c r="J46" i="5"/>
  <c r="J50" i="5"/>
  <c r="J66" i="5"/>
  <c r="J74" i="5"/>
  <c r="J23" i="5"/>
  <c r="J115" i="5"/>
  <c r="J33" i="5"/>
  <c r="J14" i="5"/>
  <c r="J105" i="5"/>
  <c r="J69" i="5"/>
  <c r="J20" i="5"/>
  <c r="J30" i="5"/>
  <c r="J4" i="5"/>
  <c r="J93" i="5"/>
  <c r="J91" i="5"/>
  <c r="J32" i="5"/>
  <c r="J64" i="5"/>
  <c r="J121" i="5"/>
  <c r="J101" i="5"/>
  <c r="J8" i="5"/>
  <c r="J11" i="5"/>
  <c r="J81" i="5"/>
  <c r="J47" i="5"/>
  <c r="J51" i="5"/>
  <c r="J67" i="5"/>
  <c r="J125" i="5"/>
  <c r="J39" i="5"/>
  <c r="J9" i="5"/>
  <c r="J73" i="5"/>
  <c r="J15" i="5"/>
  <c r="J61" i="5"/>
  <c r="J122" i="5"/>
  <c r="J113" i="5"/>
  <c r="J103" i="5"/>
  <c r="J17" i="5"/>
  <c r="J26" i="5"/>
  <c r="J76" i="5"/>
  <c r="J27" i="5"/>
  <c r="J78" i="5"/>
  <c r="J31" i="5"/>
  <c r="J119" i="5"/>
  <c r="J68" i="5"/>
  <c r="J2" i="5"/>
  <c r="J35" i="5"/>
  <c r="J6" i="5"/>
  <c r="J77" i="5"/>
  <c r="J38" i="5"/>
  <c r="J42" i="5"/>
  <c r="J114" i="5"/>
  <c r="J72" i="5"/>
  <c r="J92" i="5"/>
  <c r="D29" i="6"/>
  <c r="D28" i="6"/>
  <c r="D27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<sst xmlns="http://schemas.openxmlformats.org/spreadsheetml/2006/main" count="197" uniqueCount="145">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</sst>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7" formatCode="0.0000"/>
    <numFmt numFmtId="168" formatCode="0.000000000"/>
    <numFmt numFmtId="169" formatCode="ddd\,\ dd\-mmm\-yyyy"/>
    <numFmt numFmtId="170" formatCode="ddd\,\ dd\-mmm\-yyyy\,\ hh:mm:ss"/>
    <numFmt numFmtId="171" formatCode="ddd\,\ d\-mmm\-yy"/>
    <numFmt numFmtId="172" formatCode="ddd\,\ d\-mmm\-yyyy\,\ hh:mm:ss"/>
    <numFmt numFmtId="173" formatCode="[$-409]d\-mmm\-yy;@"/>
    <numFmt numFmtId="174" formatCode="mm/dd/yy;@"/>
    <numFmt numFmtId="175" formatCode="General_)"/>
    <numFmt numFmtId="176" formatCode="#,##0.0;#,##0.0"/>
    <numFmt numFmtId="177" formatCode="&quot;£&quot;#,##0;[Red]\-&quot;£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5"/>
      <name val="Courier New"/>
      <family val="3"/>
    </font>
    <font>
      <sz val="14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5" fontId="7" fillId="0" borderId="0"/>
    <xf numFmtId="176" fontId="8" fillId="9" borderId="0">
      <alignment horizontal="center" vertical="center"/>
    </xf>
    <xf numFmtId="177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70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8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9" fontId="10" fillId="2" borderId="0" xfId="1" applyNumberFormat="1" applyFont="1" applyFill="1" applyBorder="1" applyAlignment="1"/>
    <xf numFmtId="169" fontId="10" fillId="2" borderId="15" xfId="1" applyNumberFormat="1" applyFont="1" applyFill="1" applyBorder="1" applyAlignment="1"/>
    <xf numFmtId="169" fontId="10" fillId="2" borderId="13" xfId="1" applyNumberFormat="1" applyFont="1" applyFill="1" applyBorder="1" applyAlignment="1"/>
    <xf numFmtId="169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9" fontId="10" fillId="2" borderId="0" xfId="1" applyNumberFormat="1" applyFont="1" applyFill="1" applyBorder="1" applyAlignment="1">
      <alignment horizontal="right"/>
    </xf>
    <xf numFmtId="169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9" fontId="10" fillId="2" borderId="2" xfId="1" applyNumberFormat="1" applyFont="1" applyFill="1" applyBorder="1" applyAlignment="1">
      <alignment horizontal="right"/>
    </xf>
    <xf numFmtId="169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9" fontId="10" fillId="2" borderId="7" xfId="1" applyNumberFormat="1" applyFont="1" applyFill="1" applyBorder="1" applyAlignment="1">
      <alignment horizontal="right"/>
    </xf>
    <xf numFmtId="169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4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3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3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167" fontId="10" fillId="2" borderId="7" xfId="1" applyNumberFormat="1" applyFont="1" applyFill="1" applyBorder="1" applyAlignment="1">
      <alignment horizontal="right"/>
    </xf>
    <xf numFmtId="0" fontId="9" fillId="3" borderId="11" xfId="1" applyFont="1" applyFill="1" applyBorder="1" applyAlignment="1">
      <alignment horizontal="center" vertical="center" wrapText="1"/>
    </xf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10" fillId="10" borderId="0" xfId="3" applyFont="1" applyFill="1"/>
    <xf numFmtId="0" fontId="10" fillId="10" borderId="15" xfId="3" applyFont="1" applyFill="1" applyBorder="1"/>
    <xf numFmtId="0" fontId="16" fillId="7" borderId="25" xfId="3" applyFont="1" applyFill="1" applyBorder="1" applyAlignment="1">
      <alignment horizontal="centerContinuous"/>
    </xf>
    <xf numFmtId="0" fontId="17" fillId="7" borderId="33" xfId="3" applyFont="1" applyFill="1" applyBorder="1" applyAlignment="1">
      <alignment horizontal="centerContinuous"/>
    </xf>
    <xf numFmtId="0" fontId="10" fillId="10" borderId="16" xfId="3" applyFont="1" applyFill="1" applyBorder="1"/>
    <xf numFmtId="0" fontId="16" fillId="7" borderId="33" xfId="3" applyFont="1" applyFill="1" applyBorder="1" applyAlignment="1">
      <alignment horizontal="centerContinuous"/>
    </xf>
    <xf numFmtId="0" fontId="16" fillId="7" borderId="24" xfId="3" applyFont="1" applyFill="1" applyBorder="1" applyAlignment="1">
      <alignment horizontal="centerContinuous"/>
    </xf>
    <xf numFmtId="0" fontId="10" fillId="2" borderId="0" xfId="3" applyFont="1" applyFill="1" applyBorder="1"/>
    <xf numFmtId="0" fontId="9" fillId="2" borderId="0" xfId="3" applyFont="1" applyFill="1" applyBorder="1"/>
    <xf numFmtId="0" fontId="10" fillId="2" borderId="6" xfId="3" applyFont="1" applyFill="1" applyBorder="1" applyAlignment="1">
      <alignment horizontal="center"/>
    </xf>
    <xf numFmtId="0" fontId="10" fillId="11" borderId="30" xfId="3" applyFont="1" applyFill="1" applyBorder="1"/>
    <xf numFmtId="0" fontId="10" fillId="11" borderId="29" xfId="3" applyFont="1" applyFill="1" applyBorder="1"/>
    <xf numFmtId="0" fontId="10" fillId="5" borderId="9" xfId="1" applyNumberFormat="1" applyFont="1" applyFill="1" applyBorder="1"/>
    <xf numFmtId="172" fontId="10" fillId="4" borderId="10" xfId="1" applyNumberFormat="1" applyFont="1" applyFill="1" applyBorder="1" applyAlignment="1" applyProtection="1">
      <alignment horizontal="center"/>
    </xf>
    <xf numFmtId="15" fontId="10" fillId="2" borderId="15" xfId="1" applyNumberFormat="1" applyFont="1" applyFill="1" applyBorder="1"/>
    <xf numFmtId="0" fontId="10" fillId="2" borderId="4" xfId="1" applyFont="1" applyFill="1" applyBorder="1" applyAlignment="1">
      <alignment horizontal="center"/>
    </xf>
    <xf numFmtId="0" fontId="10" fillId="11" borderId="16" xfId="3" applyFont="1" applyFill="1" applyBorder="1"/>
    <xf numFmtId="0" fontId="10" fillId="11" borderId="15" xfId="3" applyFont="1" applyFill="1" applyBorder="1"/>
    <xf numFmtId="172" fontId="10" fillId="4" borderId="10" xfId="1" quotePrefix="1" applyNumberFormat="1" applyFont="1" applyFill="1" applyBorder="1" applyAlignment="1" applyProtection="1">
      <alignment horizontal="left"/>
    </xf>
    <xf numFmtId="172" fontId="10" fillId="4" borderId="10" xfId="1" quotePrefix="1" applyNumberFormat="1" applyFont="1" applyFill="1" applyBorder="1" applyAlignment="1" applyProtection="1">
      <alignment horizontal="center"/>
    </xf>
    <xf numFmtId="0" fontId="10" fillId="11" borderId="14" xfId="3" applyFont="1" applyFill="1" applyBorder="1"/>
    <xf numFmtId="0" fontId="10" fillId="11" borderId="12" xfId="3" applyFont="1" applyFill="1" applyBorder="1"/>
    <xf numFmtId="0" fontId="10" fillId="10" borderId="0" xfId="10" applyFont="1" applyFill="1"/>
    <xf numFmtId="0" fontId="13" fillId="2" borderId="16" xfId="1" applyFont="1" applyFill="1" applyBorder="1"/>
    <xf numFmtId="0" fontId="13" fillId="2" borderId="0" xfId="1" applyFont="1" applyFill="1" applyBorder="1"/>
    <xf numFmtId="0" fontId="13" fillId="2" borderId="15" xfId="1" applyFont="1" applyFill="1" applyBorder="1"/>
    <xf numFmtId="172" fontId="10" fillId="2" borderId="4" xfId="1" applyNumberFormat="1" applyFont="1" applyFill="1" applyBorder="1" applyAlignment="1">
      <alignment horizontal="center"/>
    </xf>
    <xf numFmtId="0" fontId="10" fillId="5" borderId="9" xfId="1" applyFont="1" applyFill="1" applyBorder="1"/>
    <xf numFmtId="0" fontId="10" fillId="2" borderId="1" xfId="1" applyFont="1" applyFill="1" applyBorder="1" applyAlignment="1">
      <alignment horizontal="center"/>
    </xf>
    <xf numFmtId="170" fontId="10" fillId="2" borderId="0" xfId="3" applyNumberFormat="1" applyFont="1" applyFill="1" applyBorder="1" applyAlignment="1">
      <alignment horizontal="center"/>
    </xf>
    <xf numFmtId="0" fontId="9" fillId="5" borderId="28" xfId="1" applyFont="1" applyFill="1" applyBorder="1" applyAlignment="1">
      <alignment horizontal="right"/>
    </xf>
    <xf numFmtId="171" fontId="10" fillId="4" borderId="6" xfId="1" quotePrefix="1" applyNumberFormat="1" applyFont="1" applyFill="1" applyBorder="1" applyAlignment="1">
      <alignment horizontal="center"/>
    </xf>
    <xf numFmtId="0" fontId="9" fillId="5" borderId="26" xfId="1" applyFont="1" applyFill="1" applyBorder="1" applyAlignment="1">
      <alignment horizontal="right"/>
    </xf>
    <xf numFmtId="1" fontId="11" fillId="4" borderId="1" xfId="1" applyNumberFormat="1" applyFont="1" applyFill="1" applyBorder="1" applyAlignment="1">
      <alignment horizontal="left"/>
    </xf>
    <xf numFmtId="0" fontId="10" fillId="2" borderId="0" xfId="3" quotePrefix="1" applyFont="1" applyFill="1" applyBorder="1"/>
    <xf numFmtId="171" fontId="10" fillId="6" borderId="6" xfId="1" applyNumberFormat="1" applyFont="1" applyFill="1" applyBorder="1" applyAlignment="1">
      <alignment horizontal="center"/>
    </xf>
    <xf numFmtId="0" fontId="9" fillId="5" borderId="27" xfId="1" applyFont="1" applyFill="1" applyBorder="1" applyAlignment="1">
      <alignment horizontal="right"/>
    </xf>
    <xf numFmtId="3" fontId="10" fillId="6" borderId="4" xfId="1" applyNumberFormat="1" applyFont="1" applyFill="1" applyBorder="1" applyAlignment="1">
      <alignment horizontal="center"/>
    </xf>
    <xf numFmtId="0" fontId="13" fillId="2" borderId="14" xfId="1" applyFont="1" applyFill="1" applyBorder="1"/>
    <xf numFmtId="0" fontId="13" fillId="2" borderId="13" xfId="1" applyFont="1" applyFill="1" applyBorder="1"/>
    <xf numFmtId="0" fontId="13" fillId="2" borderId="12" xfId="1" applyFont="1" applyFill="1" applyBorder="1"/>
    <xf numFmtId="0" fontId="10" fillId="2" borderId="4" xfId="3" applyFont="1" applyFill="1" applyBorder="1" applyAlignment="1">
      <alignment horizontal="center"/>
    </xf>
    <xf numFmtId="11" fontId="10" fillId="6" borderId="5" xfId="1" applyNumberFormat="1" applyFont="1" applyFill="1" applyBorder="1" applyAlignment="1">
      <alignment horizontal="center"/>
    </xf>
    <xf numFmtId="164" fontId="10" fillId="6" borderId="5" xfId="1" applyNumberFormat="1" applyFont="1" applyFill="1" applyBorder="1" applyAlignment="1">
      <alignment horizontal="center"/>
    </xf>
    <xf numFmtId="164" fontId="10" fillId="2" borderId="4" xfId="3" applyNumberFormat="1" applyFont="1" applyFill="1" applyBorder="1" applyAlignment="1">
      <alignment horizontal="center"/>
    </xf>
    <xf numFmtId="165" fontId="10" fillId="6" borderId="5" xfId="1" applyNumberFormat="1" applyFont="1" applyFill="1" applyBorder="1" applyAlignment="1">
      <alignment horizontal="center"/>
    </xf>
    <xf numFmtId="165" fontId="10" fillId="2" borderId="1" xfId="3" applyNumberFormat="1" applyFont="1" applyFill="1" applyBorder="1" applyAlignment="1">
      <alignment horizontal="center"/>
    </xf>
    <xf numFmtId="11" fontId="10" fillId="6" borderId="4" xfId="1" applyNumberFormat="1" applyFont="1" applyFill="1" applyBorder="1" applyAlignment="1">
      <alignment horizontal="center"/>
    </xf>
    <xf numFmtId="0" fontId="10" fillId="6" borderId="4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4" fontId="10" fillId="2" borderId="28" xfId="1" applyNumberFormat="1" applyFont="1" applyFill="1" applyBorder="1" applyAlignment="1">
      <alignment horizontal="right"/>
    </xf>
    <xf numFmtId="168" fontId="10" fillId="2" borderId="6" xfId="1" applyNumberFormat="1" applyFont="1" applyFill="1" applyBorder="1" applyAlignment="1">
      <alignment horizontal="center"/>
    </xf>
    <xf numFmtId="164" fontId="10" fillId="2" borderId="27" xfId="1" applyNumberFormat="1" applyFont="1" applyFill="1" applyBorder="1" applyAlignment="1">
      <alignment horizontal="right"/>
    </xf>
    <xf numFmtId="169" fontId="10" fillId="2" borderId="27" xfId="1" applyNumberFormat="1" applyFont="1" applyFill="1" applyBorder="1" applyAlignment="1">
      <alignment horizontal="right"/>
    </xf>
    <xf numFmtId="169" fontId="10" fillId="2" borderId="5" xfId="1" applyNumberFormat="1" applyFont="1" applyFill="1" applyBorder="1" applyAlignment="1">
      <alignment horizontal="right"/>
    </xf>
    <xf numFmtId="0" fontId="10" fillId="2" borderId="27" xfId="1" applyFont="1" applyFill="1" applyBorder="1" applyAlignment="1">
      <alignment horizontal="center"/>
    </xf>
    <xf numFmtId="169" fontId="10" fillId="2" borderId="31" xfId="1" applyNumberFormat="1" applyFont="1" applyFill="1" applyBorder="1" applyAlignment="1">
      <alignment horizontal="right"/>
    </xf>
    <xf numFmtId="0" fontId="10" fillId="2" borderId="31" xfId="1" applyFont="1" applyFill="1" applyBorder="1" applyAlignment="1">
      <alignment horizontal="center"/>
    </xf>
    <xf numFmtId="0" fontId="10" fillId="10" borderId="32" xfId="3" applyFont="1" applyFill="1" applyBorder="1"/>
    <xf numFmtId="0" fontId="10" fillId="5" borderId="28" xfId="3" applyFont="1" applyFill="1" applyBorder="1" applyAlignment="1">
      <alignment horizontal="right"/>
    </xf>
    <xf numFmtId="0" fontId="10" fillId="5" borderId="27" xfId="3" applyFont="1" applyFill="1" applyBorder="1" applyAlignment="1">
      <alignment horizontal="right"/>
    </xf>
    <xf numFmtId="0" fontId="10" fillId="5" borderId="27" xfId="1" applyFont="1" applyFill="1" applyBorder="1" applyAlignment="1">
      <alignment horizontal="right"/>
    </xf>
    <xf numFmtId="0" fontId="10" fillId="5" borderId="26" xfId="1" applyFont="1" applyFill="1" applyBorder="1" applyAlignment="1">
      <alignment horizontal="right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</cellXfs>
  <cellStyles count="15">
    <cellStyle name="Migliaia (0)_AZIONI" xfId="4"/>
    <cellStyle name="Migliaia_AZIONI" xfId="5"/>
    <cellStyle name="Normal" xfId="0" builtinId="0"/>
    <cellStyle name="Normal 2" xfId="1"/>
    <cellStyle name="Normal 3" xfId="12"/>
    <cellStyle name="Normal_SwaptionATMVols" xfId="3"/>
    <cellStyle name="Normal_SwaptionATMVols 2" xfId="10"/>
    <cellStyle name="Normale_AZIONI" xfId="6"/>
    <cellStyle name="Percent 2" xfId="2"/>
    <cellStyle name="Percent 2 2" xfId="11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3" customWidth="1"/>
    <col min="3" max="3" width="18.140625" style="103" bestFit="1" customWidth="1"/>
    <col min="4" max="4" width="26.5703125" style="103" bestFit="1" customWidth="1"/>
    <col min="5" max="5" width="22.140625" style="103" bestFit="1" customWidth="1"/>
    <col min="6" max="7" width="2.7109375" style="103" customWidth="1"/>
    <col min="8" max="9" width="8" style="103"/>
    <col min="10" max="11" width="2.7109375" style="103" customWidth="1"/>
    <col min="12" max="12" width="18.5703125" style="103" bestFit="1" customWidth="1"/>
    <col min="13" max="13" width="45.7109375" style="103" customWidth="1"/>
    <col min="14" max="14" width="2.7109375" style="103" customWidth="1"/>
    <col min="15" max="16384" width="8" style="103"/>
  </cols>
  <sheetData>
    <row r="1" spans="1:14" ht="12" thickBot="1" x14ac:dyDescent="0.25">
      <c r="B1" s="103" t="str">
        <f>_xll.qlxlVersion(TRUE,Trigger)</f>
        <v>QuantLibXL 1.4.0 - MS VC++ 9.0 - Multithreaded Dynamic Runtime library - Release Configuration - Apr 29 2014 14:47:17</v>
      </c>
    </row>
    <row r="2" spans="1:14" ht="19.5" customHeight="1" thickBot="1" x14ac:dyDescent="0.35">
      <c r="A2" s="104"/>
      <c r="B2" s="105" t="s">
        <v>88</v>
      </c>
      <c r="C2" s="106"/>
      <c r="D2" s="106"/>
      <c r="E2" s="106"/>
      <c r="F2" s="106"/>
      <c r="G2" s="107"/>
      <c r="K2" s="105" t="s">
        <v>104</v>
      </c>
      <c r="L2" s="108"/>
      <c r="M2" s="108"/>
      <c r="N2" s="109"/>
    </row>
    <row r="3" spans="1:14" ht="12" thickBot="1" x14ac:dyDescent="0.25">
      <c r="A3" s="104"/>
      <c r="B3" s="110"/>
      <c r="C3" s="111"/>
      <c r="D3" s="110"/>
      <c r="E3" s="110"/>
      <c r="F3" s="110"/>
      <c r="G3" s="107"/>
      <c r="K3" s="32"/>
      <c r="L3" s="33"/>
      <c r="M3" s="33"/>
      <c r="N3" s="35"/>
    </row>
    <row r="4" spans="1:14" x14ac:dyDescent="0.2">
      <c r="A4" s="104"/>
      <c r="B4" s="110"/>
      <c r="C4" s="162" t="s">
        <v>87</v>
      </c>
      <c r="D4" s="112" t="s">
        <v>76</v>
      </c>
      <c r="E4" s="110"/>
      <c r="F4" s="110"/>
      <c r="G4" s="107"/>
      <c r="H4" s="113" t="s">
        <v>86</v>
      </c>
      <c r="I4" s="114"/>
      <c r="K4" s="32"/>
      <c r="L4" s="115" t="s">
        <v>103</v>
      </c>
      <c r="M4" s="116" t="b">
        <v>0</v>
      </c>
      <c r="N4" s="117"/>
    </row>
    <row r="5" spans="1:14" x14ac:dyDescent="0.2">
      <c r="A5" s="104"/>
      <c r="B5" s="110"/>
      <c r="C5" s="163" t="s">
        <v>85</v>
      </c>
      <c r="D5" s="118">
        <v>6</v>
      </c>
      <c r="E5" s="110"/>
      <c r="F5" s="110"/>
      <c r="G5" s="107"/>
      <c r="H5" s="119" t="s">
        <v>84</v>
      </c>
      <c r="I5" s="120" t="s">
        <v>83</v>
      </c>
      <c r="K5" s="32"/>
      <c r="L5" s="115" t="s">
        <v>102</v>
      </c>
      <c r="M5" s="121"/>
      <c r="N5" s="117"/>
    </row>
    <row r="6" spans="1:14" x14ac:dyDescent="0.2">
      <c r="A6" s="104"/>
      <c r="B6" s="110"/>
      <c r="C6" s="163" t="s">
        <v>82</v>
      </c>
      <c r="D6" s="118" t="str">
        <f>_xll.qlPeriodEquivalent(D5&amp;"M")</f>
        <v>6M</v>
      </c>
      <c r="E6" s="110"/>
      <c r="F6" s="110"/>
      <c r="G6" s="107"/>
      <c r="H6" s="119" t="s">
        <v>81</v>
      </c>
      <c r="I6" s="120" t="s">
        <v>80</v>
      </c>
      <c r="K6" s="32"/>
      <c r="L6" s="115" t="s">
        <v>101</v>
      </c>
      <c r="M6" s="122" t="b">
        <v>1</v>
      </c>
      <c r="N6" s="117"/>
    </row>
    <row r="7" spans="1:14" ht="12" thickBot="1" x14ac:dyDescent="0.25">
      <c r="A7" s="104"/>
      <c r="B7" s="110"/>
      <c r="C7" s="163" t="s">
        <v>79</v>
      </c>
      <c r="D7" s="118" t="str">
        <f>Months&amp;IF(UPPER(Currency)="EUR","E","L")</f>
        <v>6L</v>
      </c>
      <c r="E7" s="110"/>
      <c r="F7" s="110"/>
      <c r="G7" s="107"/>
      <c r="H7" s="119" t="s">
        <v>78</v>
      </c>
      <c r="I7" s="120"/>
      <c r="K7" s="47"/>
      <c r="L7" s="48"/>
      <c r="M7" s="48"/>
      <c r="N7" s="49"/>
    </row>
    <row r="8" spans="1:14" ht="12" thickBot="1" x14ac:dyDescent="0.25">
      <c r="A8" s="104"/>
      <c r="B8" s="110"/>
      <c r="C8" s="163" t="s">
        <v>77</v>
      </c>
      <c r="D8" s="118" t="str">
        <f>VLOOKUP(Currency,H4:I8,2)</f>
        <v>AM</v>
      </c>
      <c r="E8" s="110"/>
      <c r="F8" s="110"/>
      <c r="G8" s="107"/>
      <c r="H8" s="123" t="s">
        <v>76</v>
      </c>
      <c r="I8" s="124" t="s">
        <v>75</v>
      </c>
      <c r="K8" s="125"/>
      <c r="L8" s="125"/>
      <c r="M8" s="125"/>
      <c r="N8" s="125"/>
    </row>
    <row r="9" spans="1:14" ht="19.5" customHeight="1" thickBot="1" x14ac:dyDescent="0.35">
      <c r="A9" s="104"/>
      <c r="B9" s="110"/>
      <c r="C9" s="163" t="s">
        <v>74</v>
      </c>
      <c r="D9" s="118" t="str">
        <f>Currency&amp;"_YC"&amp;IndexTenor&amp;"RH"</f>
        <v>USD_YC6MRH</v>
      </c>
      <c r="E9" s="110"/>
      <c r="F9" s="110"/>
      <c r="G9" s="107"/>
      <c r="K9" s="105" t="s">
        <v>100</v>
      </c>
      <c r="L9" s="108"/>
      <c r="M9" s="108"/>
      <c r="N9" s="109"/>
    </row>
    <row r="10" spans="1:14" ht="13.5" x14ac:dyDescent="0.25">
      <c r="A10" s="104"/>
      <c r="B10" s="110"/>
      <c r="C10" s="164" t="s">
        <v>73</v>
      </c>
      <c r="D10" s="118" t="b">
        <v>1</v>
      </c>
      <c r="E10" s="110"/>
      <c r="F10" s="110"/>
      <c r="G10" s="107"/>
      <c r="K10" s="126"/>
      <c r="L10" s="127"/>
      <c r="M10" s="127"/>
      <c r="N10" s="128"/>
    </row>
    <row r="11" spans="1:14" ht="13.5" x14ac:dyDescent="0.25">
      <c r="A11" s="104"/>
      <c r="B11" s="110"/>
      <c r="C11" s="164" t="s">
        <v>72</v>
      </c>
      <c r="D11" s="129"/>
      <c r="E11" s="110"/>
      <c r="F11" s="110"/>
      <c r="G11" s="107"/>
      <c r="K11" s="126"/>
      <c r="L11" s="130" t="s">
        <v>99</v>
      </c>
      <c r="M11" s="116" t="s">
        <v>98</v>
      </c>
      <c r="N11" s="128"/>
    </row>
    <row r="12" spans="1:14" ht="13.5" x14ac:dyDescent="0.25">
      <c r="A12" s="104"/>
      <c r="B12" s="110"/>
      <c r="C12" s="165" t="s">
        <v>71</v>
      </c>
      <c r="D12" s="131" t="b">
        <v>1</v>
      </c>
      <c r="E12" s="110"/>
      <c r="F12" s="110"/>
      <c r="G12" s="107"/>
      <c r="K12" s="126"/>
      <c r="L12" s="130" t="s">
        <v>97</v>
      </c>
      <c r="M12" s="122" t="s">
        <v>96</v>
      </c>
      <c r="N12" s="128"/>
    </row>
    <row r="13" spans="1:14" ht="13.5" x14ac:dyDescent="0.25">
      <c r="A13" s="104"/>
      <c r="B13" s="110"/>
      <c r="C13" s="132"/>
      <c r="D13" s="132"/>
      <c r="E13" s="110"/>
      <c r="F13" s="110"/>
      <c r="G13" s="107"/>
      <c r="K13" s="126"/>
      <c r="L13" s="130" t="s">
        <v>121</v>
      </c>
      <c r="M13" s="116" t="s">
        <v>120</v>
      </c>
      <c r="N13" s="128"/>
    </row>
    <row r="14" spans="1:14" ht="13.5" x14ac:dyDescent="0.25">
      <c r="A14" s="104"/>
      <c r="B14" s="110"/>
      <c r="C14" s="133" t="s">
        <v>70</v>
      </c>
      <c r="D14" s="134" t="str">
        <f>_xll.qlPiecewiseYieldCurve(D16,NDays,Calendar,_xll.ohPack(Selected!D2:D126),DayCounter,,,Accuracy,TraitsID,InterpolatorID,Permanent,,ObjectOverwrite)</f>
        <v>_USDYC6M#0030</v>
      </c>
      <c r="E14" s="110"/>
      <c r="F14" s="110"/>
      <c r="G14" s="107"/>
      <c r="K14" s="126"/>
      <c r="L14" s="130" t="s">
        <v>119</v>
      </c>
      <c r="M14" s="116" t="s">
        <v>118</v>
      </c>
      <c r="N14" s="128"/>
    </row>
    <row r="15" spans="1:14" ht="13.5" x14ac:dyDescent="0.25">
      <c r="A15" s="104"/>
      <c r="B15" s="110"/>
      <c r="C15" s="135" t="s">
        <v>48</v>
      </c>
      <c r="D15" s="136" t="str">
        <f>_xll.ohRangeRetrieveError(YieldCurve)</f>
        <v/>
      </c>
      <c r="E15" s="137" t="s">
        <v>123</v>
      </c>
      <c r="F15" s="110"/>
      <c r="G15" s="107"/>
      <c r="K15" s="126"/>
      <c r="L15" s="130" t="s">
        <v>117</v>
      </c>
      <c r="M15" s="122" t="str">
        <f>PROPER(Currency)&amp;"ON"</f>
        <v>UsdON</v>
      </c>
      <c r="N15" s="128"/>
    </row>
    <row r="16" spans="1:14" ht="13.5" x14ac:dyDescent="0.25">
      <c r="A16" s="104"/>
      <c r="B16" s="110"/>
      <c r="C16" s="133" t="s">
        <v>69</v>
      </c>
      <c r="D16" s="138" t="str">
        <f>"_"&amp;Currency&amp;"YC"&amp;IndexTenor</f>
        <v>_USDYC6M</v>
      </c>
      <c r="E16" s="110"/>
      <c r="F16" s="110"/>
      <c r="G16" s="107"/>
      <c r="K16" s="126"/>
      <c r="L16" s="130" t="s">
        <v>116</v>
      </c>
      <c r="M16" s="122" t="str">
        <f>PROPER(Currency)&amp;"STD"</f>
        <v>UsdSTD</v>
      </c>
      <c r="N16" s="128"/>
    </row>
    <row r="17" spans="1:14" ht="14.25" thickBot="1" x14ac:dyDescent="0.3">
      <c r="A17" s="104"/>
      <c r="B17" s="110"/>
      <c r="C17" s="139" t="s">
        <v>68</v>
      </c>
      <c r="D17" s="140">
        <v>2</v>
      </c>
      <c r="E17" s="110"/>
      <c r="F17" s="110"/>
      <c r="G17" s="107"/>
      <c r="K17" s="141"/>
      <c r="L17" s="142"/>
      <c r="M17" s="142"/>
      <c r="N17" s="143"/>
    </row>
    <row r="18" spans="1:14" x14ac:dyDescent="0.2">
      <c r="A18" s="104"/>
      <c r="B18" s="110"/>
      <c r="C18" s="139" t="s">
        <v>67</v>
      </c>
      <c r="D18" s="144" t="s">
        <v>66</v>
      </c>
      <c r="E18" s="110"/>
      <c r="F18" s="110"/>
      <c r="G18" s="107"/>
    </row>
    <row r="19" spans="1:14" x14ac:dyDescent="0.2">
      <c r="A19" s="104"/>
      <c r="B19" s="110"/>
      <c r="C19" s="139" t="s">
        <v>65</v>
      </c>
      <c r="D19" s="144"/>
      <c r="E19" s="110"/>
      <c r="F19" s="110"/>
      <c r="G19" s="107"/>
    </row>
    <row r="20" spans="1:14" x14ac:dyDescent="0.2">
      <c r="A20" s="104"/>
      <c r="B20" s="110"/>
      <c r="C20" s="139" t="s">
        <v>64</v>
      </c>
      <c r="D20" s="145" t="str">
        <f>Currency&amp;"TOY_SYNTH"&amp;IndexTenor&amp;"_Quote"</f>
        <v>USDTOY_SYNTH6M_Quote</v>
      </c>
      <c r="E20" s="112" t="str">
        <f>Currency&amp;"TOY2_SYNTH"&amp;IndexTenor&amp;"_Quote"</f>
        <v>USDTOY2_SYNTH6M_Quote</v>
      </c>
      <c r="F20" s="110"/>
      <c r="G20" s="107"/>
    </row>
    <row r="21" spans="1:14" x14ac:dyDescent="0.2">
      <c r="A21" s="104"/>
      <c r="B21" s="110"/>
      <c r="C21" s="139" t="s">
        <v>63</v>
      </c>
      <c r="D21" s="146">
        <f>DATE(YEAR(_xll.qlCalendarAdvance(Calendar,_xll.qlSettingsEvaluationDate(Trigger),NDays&amp;"D")),12,31)</f>
        <v>42004</v>
      </c>
      <c r="E21" s="147">
        <f>DATE(YEAR(D21+1),12,31)</f>
        <v>42369</v>
      </c>
      <c r="F21" s="110"/>
      <c r="G21" s="107"/>
    </row>
    <row r="22" spans="1:14" x14ac:dyDescent="0.2">
      <c r="A22" s="104"/>
      <c r="B22" s="110"/>
      <c r="C22" s="139" t="s">
        <v>62</v>
      </c>
      <c r="D22" s="148" t="e">
        <f>NA()</f>
        <v>#N/A</v>
      </c>
      <c r="E22" s="149" t="e">
        <f>NA()</f>
        <v>#N/A</v>
      </c>
      <c r="F22" s="110"/>
      <c r="G22" s="107"/>
    </row>
    <row r="23" spans="1:14" x14ac:dyDescent="0.2">
      <c r="A23" s="104"/>
      <c r="B23" s="110"/>
      <c r="C23" s="139" t="s">
        <v>61</v>
      </c>
      <c r="D23" s="150"/>
      <c r="E23" s="110"/>
      <c r="F23" s="110"/>
      <c r="G23" s="107"/>
    </row>
    <row r="24" spans="1:14" x14ac:dyDescent="0.2">
      <c r="A24" s="104"/>
      <c r="B24" s="110"/>
      <c r="C24" s="139" t="s">
        <v>60</v>
      </c>
      <c r="D24" s="151" t="s">
        <v>59</v>
      </c>
      <c r="E24" s="110"/>
      <c r="F24" s="110"/>
      <c r="G24" s="107"/>
    </row>
    <row r="25" spans="1:14" x14ac:dyDescent="0.2">
      <c r="A25" s="104"/>
      <c r="B25" s="110"/>
      <c r="C25" s="135" t="s">
        <v>58</v>
      </c>
      <c r="D25" s="152" t="s">
        <v>57</v>
      </c>
      <c r="E25" s="110"/>
      <c r="F25" s="110"/>
      <c r="G25" s="107"/>
    </row>
    <row r="26" spans="1:14" x14ac:dyDescent="0.2">
      <c r="A26" s="104"/>
      <c r="B26" s="110"/>
      <c r="C26" s="132"/>
      <c r="D26" s="132"/>
      <c r="E26" s="110"/>
      <c r="F26" s="110"/>
      <c r="G26" s="107"/>
    </row>
    <row r="27" spans="1:14" x14ac:dyDescent="0.2">
      <c r="A27" s="104"/>
      <c r="B27" s="110"/>
      <c r="C27" s="153">
        <f>_xll.qlTermStructureReferenceDate(YieldCurve)</f>
        <v>41799</v>
      </c>
      <c r="D27" s="154" t="e">
        <f>MAX(_xll.ohPack(Selected!J1:J126))</f>
        <v>#NUM!</v>
      </c>
      <c r="E27" s="110"/>
      <c r="F27" s="110"/>
      <c r="G27" s="107"/>
    </row>
    <row r="28" spans="1:14" x14ac:dyDescent="0.2">
      <c r="A28" s="104"/>
      <c r="B28" s="110"/>
      <c r="C28" s="155">
        <f>MAX(_xll.ohPack(Selected!I2:I126))</f>
        <v>60062</v>
      </c>
      <c r="D28" s="118" t="e">
        <f>MIN(_xll.ohPack(Selected!J1:J126))</f>
        <v>#NUM!</v>
      </c>
      <c r="E28" s="110"/>
      <c r="F28" s="110"/>
      <c r="G28" s="107"/>
    </row>
    <row r="29" spans="1:14" x14ac:dyDescent="0.2">
      <c r="A29" s="104"/>
      <c r="B29" s="110"/>
      <c r="C29" s="155" t="s">
        <v>48</v>
      </c>
      <c r="D29" s="118" t="str">
        <f ca="1">_xll.ohRangeRetrieveError(Selected!J1)</f>
        <v>qlPiecewiseYieldCurveData - 14th instrument (maturity: June 9th, 2016) has an invalid quote</v>
      </c>
      <c r="E29" s="110"/>
      <c r="F29" s="110"/>
      <c r="G29" s="107"/>
    </row>
    <row r="30" spans="1:14" ht="11.25" customHeight="1" x14ac:dyDescent="0.2">
      <c r="A30" s="104"/>
      <c r="B30" s="110"/>
      <c r="C30" s="156" t="str">
        <f>Currency&amp;IndexTenor</f>
        <v>USD6M</v>
      </c>
      <c r="D30" s="118" t="b">
        <f>_xll.qlRelinkableHandleLinkTo(C30,YieldCurve)</f>
        <v>1</v>
      </c>
      <c r="E30" s="110"/>
      <c r="F30" s="110"/>
      <c r="G30" s="107"/>
    </row>
    <row r="31" spans="1:14" x14ac:dyDescent="0.2">
      <c r="A31" s="104"/>
      <c r="B31" s="110"/>
      <c r="C31" s="157" t="s">
        <v>128</v>
      </c>
      <c r="D31" s="158" t="b">
        <f>_xll.qlExtrapolatorEnableExtrapolation(YieldCurve,TRUE)</f>
        <v>1</v>
      </c>
      <c r="E31" s="110"/>
      <c r="F31" s="110"/>
      <c r="G31" s="107"/>
    </row>
    <row r="32" spans="1:14" ht="12" thickBot="1" x14ac:dyDescent="0.25">
      <c r="A32" s="104"/>
      <c r="B32" s="110"/>
      <c r="C32" s="159"/>
      <c r="D32" s="160"/>
      <c r="E32" s="110"/>
      <c r="F32" s="110"/>
      <c r="G32" s="107"/>
    </row>
    <row r="33" spans="2:6" x14ac:dyDescent="0.2">
      <c r="B33" s="161"/>
      <c r="C33" s="161"/>
      <c r="D33" s="161"/>
      <c r="E33" s="161"/>
      <c r="F33" s="161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66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4.42578125" style="14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customHeight="1" x14ac:dyDescent="0.2">
      <c r="A1" s="100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1" ht="11.25" customHeight="1" x14ac:dyDescent="0.2">
      <c r="A2" s="166" t="str">
        <f>Deposits!E3</f>
        <v>obj_00582#0009</v>
      </c>
      <c r="B2" s="166" t="str">
        <f>_xll.qlRateHelperQuoteName(A2)</f>
        <v>USDSWD_SYNTH6M_Quote</v>
      </c>
      <c r="C2" s="20">
        <f>_xll.qlRateHelperQuoteValue($A2,Trigger)</f>
        <v>3.4610000000000001E-3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41799</v>
      </c>
      <c r="I2" s="23">
        <f>_xll.qlRateHelperLatestDate($A2,Trigger)</f>
        <v>41806</v>
      </c>
      <c r="J2" s="1">
        <v>10</v>
      </c>
      <c r="K2" s="1" t="s">
        <v>39</v>
      </c>
    </row>
    <row r="3" spans="1:11" x14ac:dyDescent="0.2">
      <c r="A3" s="166" t="str">
        <f>Deposits!E4</f>
        <v>obj_0058e#0009</v>
      </c>
      <c r="B3" s="166" t="str">
        <f>_xll.qlRateHelperQuoteName(A3)</f>
        <v>USD1MD_SYNTH6M_Quote</v>
      </c>
      <c r="C3" s="20">
        <f>_xll.qlRateHelperQuoteValue($A3,Trigger)</f>
        <v>3.388E-3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41799</v>
      </c>
      <c r="I3" s="23">
        <f>_xll.qlRateHelperLatestDate($A3,Trigger)</f>
        <v>41829</v>
      </c>
      <c r="J3" s="1">
        <v>20</v>
      </c>
      <c r="K3" s="1" t="s">
        <v>38</v>
      </c>
    </row>
    <row r="4" spans="1:11" x14ac:dyDescent="0.2">
      <c r="A4" s="166" t="str">
        <f>Deposits!E5</f>
        <v>obj_00580#0009</v>
      </c>
      <c r="B4" s="166" t="str">
        <f>_xll.qlRateHelperQuoteName(A4)</f>
        <v>USD2MD_SYNTH6M_Quote</v>
      </c>
      <c r="C4" s="20">
        <f>_xll.qlRateHelperQuoteValue($A4,Trigger)</f>
        <v>3.3279999999999998E-3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41799</v>
      </c>
      <c r="I4" s="23">
        <f>_xll.qlRateHelperLatestDate($A4,Trigger)</f>
        <v>41862</v>
      </c>
      <c r="J4" s="1">
        <v>40</v>
      </c>
      <c r="K4" s="1" t="s">
        <v>37</v>
      </c>
    </row>
    <row r="5" spans="1:11" x14ac:dyDescent="0.2">
      <c r="A5" s="166" t="str">
        <f>Deposits!E6</f>
        <v>obj_00583#0009</v>
      </c>
      <c r="B5" s="166" t="str">
        <f>_xll.qlRateHelperQuoteName(A5)</f>
        <v>USD3MD_SYNTH6M_Quote</v>
      </c>
      <c r="C5" s="20">
        <f>_xll.qlRateHelperQuoteValue($A5,Trigger)</f>
        <v>3.2820000000000002E-3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41799</v>
      </c>
      <c r="I5" s="23">
        <f>_xll.qlRateHelperLatestDate($A5,Trigger)</f>
        <v>41891</v>
      </c>
      <c r="J5" s="1">
        <v>70</v>
      </c>
      <c r="K5" s="1" t="s">
        <v>36</v>
      </c>
    </row>
    <row r="6" spans="1:11" x14ac:dyDescent="0.2">
      <c r="A6" s="166" t="str">
        <f>Deposits!E7</f>
        <v>obj_0057d#0009</v>
      </c>
      <c r="B6" s="166" t="str">
        <f>_xll.qlRateHelperQuoteName(A6)</f>
        <v>USD4MD_SYNTH6M_Quote</v>
      </c>
      <c r="C6" s="20">
        <f>_xll.qlRateHelperQuoteValue($A6,Trigger)</f>
        <v>3.2560000000000002E-3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41799</v>
      </c>
      <c r="I6" s="23">
        <f>_xll.qlRateHelperLatestDate($A6,Trigger)</f>
        <v>41921</v>
      </c>
    </row>
    <row r="7" spans="1:11" x14ac:dyDescent="0.2">
      <c r="A7" s="166" t="str">
        <f>Deposits!E8</f>
        <v>obj_00578#0009</v>
      </c>
      <c r="B7" s="166" t="str">
        <f>_xll.qlRateHelperQuoteName(A7)</f>
        <v>USD5MD_SYNTH6M_Quote</v>
      </c>
      <c r="C7" s="20">
        <f>_xll.qlRateHelperQuoteValue($A7,Trigger)</f>
        <v>3.2330000000000002E-3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41799</v>
      </c>
      <c r="I7" s="23">
        <f>_xll.qlRateHelperLatestDate($A7,Trigger)</f>
        <v>41953</v>
      </c>
    </row>
    <row r="8" spans="1:11" x14ac:dyDescent="0.2">
      <c r="A8" s="166" t="str">
        <f>Deposits!E9</f>
        <v>obj_00581#0009</v>
      </c>
      <c r="B8" s="166" t="str">
        <f>_xll.qlRateHelperQuoteName(A8)</f>
        <v>USD6MD_SYNTH6M_Quote</v>
      </c>
      <c r="C8" s="20">
        <f>_xll.qlRateHelperQuoteValue($A8,Trigger)</f>
        <v>3.2290000000000001E-3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41799</v>
      </c>
      <c r="I8" s="23">
        <f>_xll.qlRateHelperLatestDate($A8,Trigger)</f>
        <v>41982</v>
      </c>
    </row>
    <row r="9" spans="1:11" x14ac:dyDescent="0.2">
      <c r="A9" s="167" t="str">
        <f>FRAs!H3</f>
        <v>obj_0057f#0009</v>
      </c>
      <c r="B9" s="167" t="str">
        <f>_xll.qlRateHelperQuoteName(A9)</f>
        <v>USD1x7F_Quote</v>
      </c>
      <c r="C9" s="99">
        <f>_xll.qlRateHelperQuoteValue($A9,Trigger)</f>
        <v>3.1800000000000001E-3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41829</v>
      </c>
      <c r="I9" s="31">
        <f>_xll.qlRateHelperLatestDate($A9,Trigger)</f>
        <v>42013</v>
      </c>
    </row>
    <row r="10" spans="1:11" x14ac:dyDescent="0.2">
      <c r="A10" s="166" t="str">
        <f>FRAs!H4</f>
        <v>obj_00592#0009</v>
      </c>
      <c r="B10" s="166" t="str">
        <f>_xll.qlRateHelperQuoteName(A10)</f>
        <v>USD2x8F_Quote</v>
      </c>
      <c r="C10" s="20">
        <f>_xll.qlRateHelperQuoteValue($A10,Trigger)</f>
        <v>3.2300000000000002E-3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41862</v>
      </c>
      <c r="I10" s="23">
        <f>_xll.qlRateHelperLatestDate($A10,Trigger)</f>
        <v>42046</v>
      </c>
    </row>
    <row r="11" spans="1:11" x14ac:dyDescent="0.2">
      <c r="A11" s="166" t="str">
        <f>FRAs!H5</f>
        <v>obj_0057e#0009</v>
      </c>
      <c r="B11" s="166" t="str">
        <f>_xll.qlRateHelperQuoteName(A11)</f>
        <v>USD3x9F_Quote</v>
      </c>
      <c r="C11" s="20">
        <f>_xll.qlRateHelperQuoteValue($A11,Trigger)</f>
        <v>3.3099999999999996E-3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41891</v>
      </c>
      <c r="I11" s="23">
        <f>_xll.qlRateHelperLatestDate($A11,Trigger)</f>
        <v>42072</v>
      </c>
    </row>
    <row r="12" spans="1:11" x14ac:dyDescent="0.2">
      <c r="A12" s="166" t="str">
        <f>FRAs!H6</f>
        <v>obj_0058d#0009</v>
      </c>
      <c r="B12" s="166" t="str">
        <f>_xll.qlRateHelperQuoteName(A12)</f>
        <v>USD4x10F_Quote</v>
      </c>
      <c r="C12" s="20">
        <f>_xll.qlRateHelperQuoteValue($A12,Trigger)</f>
        <v>3.3899999999999998E-3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41921</v>
      </c>
      <c r="I12" s="23">
        <f>_xll.qlRateHelperLatestDate($A12,Trigger)</f>
        <v>42103</v>
      </c>
    </row>
    <row r="13" spans="1:11" x14ac:dyDescent="0.2">
      <c r="A13" s="166" t="str">
        <f>FRAs!H7</f>
        <v>obj_00577#0009</v>
      </c>
      <c r="B13" s="166" t="str">
        <f>_xll.qlRateHelperQuoteName(A13)</f>
        <v>USD5x11F_Quote</v>
      </c>
      <c r="C13" s="20">
        <f>_xll.qlRateHelperQuoteValue($A13,Trigger)</f>
        <v>3.4999999999999996E-3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41953</v>
      </c>
      <c r="I13" s="23">
        <f>_xll.qlRateHelperLatestDate($A13,Trigger)</f>
        <v>42135</v>
      </c>
    </row>
    <row r="14" spans="1:11" x14ac:dyDescent="0.2">
      <c r="A14" s="166" t="str">
        <f>FRAs!H8</f>
        <v>obj_0058f#0009</v>
      </c>
      <c r="B14" s="166" t="str">
        <f>_xll.qlRateHelperQuoteName(A14)</f>
        <v>USD6x12F_Quote</v>
      </c>
      <c r="C14" s="20">
        <f>_xll.qlRateHelperQuoteValue($A14,Trigger)</f>
        <v>3.6900000000000001E-3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41982</v>
      </c>
      <c r="I14" s="23">
        <f>_xll.qlRateHelperLatestDate($A14,Trigger)</f>
        <v>42164</v>
      </c>
    </row>
    <row r="15" spans="1:11" x14ac:dyDescent="0.2">
      <c r="A15" s="166" t="str">
        <f>FRAs!H9</f>
        <v>obj_0057a#0009</v>
      </c>
      <c r="B15" s="166" t="str">
        <f>_xll.qlRateHelperQuoteName(A15)</f>
        <v>USD7x13F_SYNTH6M_Quote</v>
      </c>
      <c r="C15" s="20">
        <f>_xll.qlRateHelperQuoteValue($A15,Trigger)</f>
        <v>7.221E-3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42013</v>
      </c>
      <c r="I15" s="23">
        <f>_xll.qlRateHelperLatestDate($A15,Trigger)</f>
        <v>42194</v>
      </c>
    </row>
    <row r="16" spans="1:11" x14ac:dyDescent="0.2">
      <c r="A16" s="166" t="str">
        <f>FRAs!H10</f>
        <v>obj_00574#0009</v>
      </c>
      <c r="B16" s="166" t="str">
        <f>_xll.qlRateHelperQuoteName(A16)</f>
        <v>USD8x14F_SYNTH6M_Quote</v>
      </c>
      <c r="C16" s="20">
        <f>_xll.qlRateHelperQuoteValue($A16,Trigger)</f>
        <v>7.6819999999999996E-3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42044</v>
      </c>
      <c r="I16" s="23">
        <f>_xll.qlRateHelperLatestDate($A16,Trigger)</f>
        <v>42226</v>
      </c>
    </row>
    <row r="17" spans="1:9" x14ac:dyDescent="0.2">
      <c r="A17" s="166" t="str">
        <f>FRAs!H11</f>
        <v>obj_00573#0009</v>
      </c>
      <c r="B17" s="166" t="str">
        <f>_xll.qlRateHelperQuoteName(A17)</f>
        <v>USD9x15F_Quote</v>
      </c>
      <c r="C17" s="20">
        <f>_xll.qlRateHelperQuoteValue($A17,Trigger)</f>
        <v>4.6099999999999995E-3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42072</v>
      </c>
      <c r="I17" s="23">
        <f>_xll.qlRateHelperLatestDate($A17,Trigger)</f>
        <v>42256</v>
      </c>
    </row>
    <row r="18" spans="1:9" x14ac:dyDescent="0.2">
      <c r="A18" s="166" t="str">
        <f>FRAs!H12</f>
        <v>obj_00579#0009</v>
      </c>
      <c r="B18" s="166" t="str">
        <f>_xll.qlRateHelperQuoteName(A18)</f>
        <v>USD10x16F_SYNTH6M_Quote</v>
      </c>
      <c r="C18" s="20">
        <f>_xll.qlRateHelperQuoteValue($A18,Trigger)</f>
        <v>8.7749999999999998E-3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42103</v>
      </c>
      <c r="I18" s="23">
        <f>_xll.qlRateHelperLatestDate($A18,Trigger)</f>
        <v>42286</v>
      </c>
    </row>
    <row r="19" spans="1:9" x14ac:dyDescent="0.2">
      <c r="A19" s="166" t="str">
        <f>FRAs!H13</f>
        <v>obj_00589#0009</v>
      </c>
      <c r="B19" s="166" t="str">
        <f>_xll.qlRateHelperQuoteName(A19)</f>
        <v>USD11x17F_SYNTH6M_Quote</v>
      </c>
      <c r="C19" s="20">
        <f>_xll.qlRateHelperQuoteValue($A19,Trigger)</f>
        <v>9.3749999999999997E-3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42135</v>
      </c>
      <c r="I19" s="23">
        <f>_xll.qlRateHelperLatestDate($A19,Trigger)</f>
        <v>42320</v>
      </c>
    </row>
    <row r="20" spans="1:9" x14ac:dyDescent="0.2">
      <c r="A20" s="166" t="str">
        <f>FRAs!H14</f>
        <v>obj_00588#0009</v>
      </c>
      <c r="B20" s="166" t="str">
        <f>_xll.qlRateHelperQuoteName(A20)</f>
        <v>USD12x18F_Quote</v>
      </c>
      <c r="C20" s="20">
        <f>_xll.qlRateHelperQuoteValue($A20,Trigger)</f>
        <v>6.1399999999999996E-3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42164</v>
      </c>
      <c r="I20" s="23">
        <f>_xll.qlRateHelperLatestDate($A20,Trigger)</f>
        <v>42347</v>
      </c>
    </row>
    <row r="21" spans="1:9" x14ac:dyDescent="0.2">
      <c r="A21" s="166" t="str">
        <f>FRAs!H15</f>
        <v>obj_00586#0009</v>
      </c>
      <c r="B21" s="166" t="str">
        <f>_xll.qlRateHelperQuoteName(A21)</f>
        <v>USD13x19F_SYNTH6M_Quote</v>
      </c>
      <c r="C21" s="20">
        <f>_xll.qlRateHelperQuoteValue($A21,Trigger)</f>
        <v>1.0761E-2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42194</v>
      </c>
      <c r="I21" s="23">
        <f>_xll.qlRateHelperLatestDate($A21,Trigger)</f>
        <v>42380</v>
      </c>
    </row>
    <row r="22" spans="1:9" ht="11.25" customHeight="1" x14ac:dyDescent="0.2">
      <c r="A22" s="166" t="str">
        <f>FRAs!H16</f>
        <v>obj_0058a#0009</v>
      </c>
      <c r="B22" s="166" t="str">
        <f>_xll.qlRateHelperQuoteName(A22)</f>
        <v>USD14x20F_SYNTH6M_Quote</v>
      </c>
      <c r="C22" s="20">
        <f>_xll.qlRateHelperQuoteValue($A22,Trigger)</f>
        <v>1.1455E-2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42226</v>
      </c>
      <c r="I22" s="23">
        <f>_xll.qlRateHelperLatestDate($A22,Trigger)</f>
        <v>42410</v>
      </c>
    </row>
    <row r="23" spans="1:9" x14ac:dyDescent="0.2">
      <c r="A23" s="166" t="str">
        <f>FRAs!H17</f>
        <v>obj_00584#0009</v>
      </c>
      <c r="B23" s="166" t="str">
        <f>_xll.qlRateHelperQuoteName(A23)</f>
        <v>USD15x21F_SYNTH6M_Quote</v>
      </c>
      <c r="C23" s="20">
        <f>_xll.qlRateHelperQuoteValue($A23,Trigger)</f>
        <v>1.2232E-2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42256</v>
      </c>
      <c r="I23" s="23">
        <f>_xll.qlRateHelperLatestDate($A23,Trigger)</f>
        <v>42438</v>
      </c>
    </row>
    <row r="24" spans="1:9" x14ac:dyDescent="0.2">
      <c r="A24" s="166" t="str">
        <f>FRAs!H18</f>
        <v>obj_00585#0009</v>
      </c>
      <c r="B24" s="166" t="str">
        <f>_xll.qlRateHelperQuoteName(A24)</f>
        <v>USD16x22F_SYNTH6M_Quote</v>
      </c>
      <c r="C24" s="20">
        <f>_xll.qlRateHelperQuoteValue($A24,Trigger)</f>
        <v>1.3017000000000001E-2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42286</v>
      </c>
      <c r="I24" s="23">
        <f>_xll.qlRateHelperLatestDate($A24,Trigger)</f>
        <v>42471</v>
      </c>
    </row>
    <row r="25" spans="1:9" x14ac:dyDescent="0.2">
      <c r="A25" s="166" t="str">
        <f>FRAs!H19</f>
        <v>obj_0058b#0009</v>
      </c>
      <c r="B25" s="166" t="str">
        <f>_xll.qlRateHelperQuoteName(A25)</f>
        <v>USD17x23F_SYNTH6M_Quote</v>
      </c>
      <c r="C25" s="20">
        <f>_xll.qlRateHelperQuoteValue($A25,Trigger)</f>
        <v>1.3809E-2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42317</v>
      </c>
      <c r="I25" s="23">
        <f>_xll.qlRateHelperLatestDate($A25,Trigger)</f>
        <v>42499</v>
      </c>
    </row>
    <row r="26" spans="1:9" x14ac:dyDescent="0.2">
      <c r="A26" s="166" t="str">
        <f>FRAs!H20</f>
        <v>obj_00591#0009</v>
      </c>
      <c r="B26" s="166" t="str">
        <f>_xll.qlRateHelperQuoteName(A26)</f>
        <v>USD18x24F_Quote</v>
      </c>
      <c r="C26" s="20">
        <f>_xll.qlRateHelperQuoteValue($A26,Trigger)</f>
        <v>1.047E-2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42347</v>
      </c>
      <c r="I26" s="23">
        <f>_xll.qlRateHelperLatestDate($A26,Trigger)</f>
        <v>42530</v>
      </c>
    </row>
    <row r="27" spans="1:9" x14ac:dyDescent="0.2">
      <c r="A27" s="166" t="str">
        <f>FRAs!H21</f>
        <v>obj_00575#0009</v>
      </c>
      <c r="B27" s="166" t="str">
        <f>_xll.qlRateHelperQuoteName(A27)</f>
        <v>USD19x25F_SYNTH6M_Quote</v>
      </c>
      <c r="C27" s="20">
        <f>_xll.qlRateHelperQuoteValue($A27,Trigger)</f>
        <v>1.5446E-2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42380</v>
      </c>
      <c r="I27" s="23">
        <f>_xll.qlRateHelperLatestDate($A27,Trigger)</f>
        <v>42562</v>
      </c>
    </row>
    <row r="28" spans="1:9" x14ac:dyDescent="0.2">
      <c r="A28" s="166" t="str">
        <f>FRAs!H22</f>
        <v>obj_0057b#0009</v>
      </c>
      <c r="B28" s="166" t="str">
        <f>_xll.qlRateHelperQuoteName(A28)</f>
        <v>USD20x26F_SYNTH6M_Quote</v>
      </c>
      <c r="C28" s="20">
        <f>_xll.qlRateHelperQuoteValue($A28,Trigger)</f>
        <v>1.6306000000000001E-2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42409</v>
      </c>
      <c r="I28" s="23">
        <f>_xll.qlRateHelperLatestDate($A28,Trigger)</f>
        <v>42591</v>
      </c>
    </row>
    <row r="29" spans="1:9" x14ac:dyDescent="0.2">
      <c r="A29" s="166" t="str">
        <f>FRAs!H23</f>
        <v>obj_0058c#0009</v>
      </c>
      <c r="B29" s="166" t="str">
        <f>_xll.qlRateHelperQuoteName(A29)</f>
        <v>USD21x27F_SYNTH6M_Quote</v>
      </c>
      <c r="C29" s="20">
        <f>_xll.qlRateHelperQuoteValue($A29,Trigger)</f>
        <v>1.7125999999999999E-2</v>
      </c>
      <c r="D29" s="20"/>
      <c r="E29" s="21" t="b">
        <v>0</v>
      </c>
      <c r="F29" s="21">
        <v>20</v>
      </c>
      <c r="G29" s="21">
        <v>1</v>
      </c>
      <c r="H29" s="22">
        <f>_xll.qlRateHelperEarliestDate($A29,Trigger)</f>
        <v>42438</v>
      </c>
      <c r="I29" s="23">
        <f>_xll.qlRateHelperLatestDate($A29,Trigger)</f>
        <v>42622</v>
      </c>
    </row>
    <row r="30" spans="1:9" x14ac:dyDescent="0.2">
      <c r="A30" s="166" t="str">
        <f>FRAs!H24</f>
        <v>obj_00576#0009</v>
      </c>
      <c r="B30" s="166" t="str">
        <f>_xll.qlRateHelperQuoteName(A30)</f>
        <v>USD22x28F_SYNTH6M_Quote</v>
      </c>
      <c r="C30" s="20">
        <f>_xll.qlRateHelperQuoteValue($A30,Trigger)</f>
        <v>1.7867999999999998E-2</v>
      </c>
      <c r="D30" s="20"/>
      <c r="E30" s="21" t="b">
        <v>0</v>
      </c>
      <c r="F30" s="21">
        <v>20</v>
      </c>
      <c r="G30" s="21">
        <v>1</v>
      </c>
      <c r="H30" s="22">
        <f>_xll.qlRateHelperEarliestDate($A30,Trigger)</f>
        <v>42471</v>
      </c>
      <c r="I30" s="23">
        <f>_xll.qlRateHelperLatestDate($A30,Trigger)</f>
        <v>42654</v>
      </c>
    </row>
    <row r="31" spans="1:9" x14ac:dyDescent="0.2">
      <c r="A31" s="166" t="str">
        <f>FRAs!H25</f>
        <v>obj_0057c#0009</v>
      </c>
      <c r="B31" s="166" t="str">
        <f>_xll.qlRateHelperQuoteName(A31)</f>
        <v>USD23x29F_SYNTH6M_Quote</v>
      </c>
      <c r="C31" s="20">
        <f>_xll.qlRateHelperQuoteValue($A31,Trigger)</f>
        <v>1.8669000000000002E-2</v>
      </c>
      <c r="D31" s="20"/>
      <c r="E31" s="21" t="b">
        <v>0</v>
      </c>
      <c r="F31" s="21">
        <v>20</v>
      </c>
      <c r="G31" s="21">
        <v>1</v>
      </c>
      <c r="H31" s="22">
        <f>_xll.qlRateHelperEarliestDate($A31,Trigger)</f>
        <v>42499</v>
      </c>
      <c r="I31" s="23">
        <f>_xll.qlRateHelperLatestDate($A31,Trigger)</f>
        <v>42683</v>
      </c>
    </row>
    <row r="32" spans="1:9" x14ac:dyDescent="0.2">
      <c r="A32" s="166" t="str">
        <f>FRAs!H26</f>
        <v>obj_00587#0009</v>
      </c>
      <c r="B32" s="166" t="str">
        <f>_xll.qlRateHelperQuoteName(A32)</f>
        <v>USD24x30F_SYNTH6M_Quote</v>
      </c>
      <c r="C32" s="20">
        <f>_xll.qlRateHelperQuoteValue($A32,Trigger)</f>
        <v>1.9484999999999999E-2</v>
      </c>
      <c r="D32" s="20"/>
      <c r="E32" s="21" t="b">
        <v>0</v>
      </c>
      <c r="F32" s="21">
        <v>20</v>
      </c>
      <c r="G32" s="21">
        <v>1</v>
      </c>
      <c r="H32" s="22">
        <f>_xll.qlRateHelperEarliestDate($A32,Trigger)</f>
        <v>42530</v>
      </c>
      <c r="I32" s="23">
        <f>_xll.qlRateHelperLatestDate($A32,Trigger)</f>
        <v>42713</v>
      </c>
    </row>
    <row r="33" spans="1:9" x14ac:dyDescent="0.2">
      <c r="A33" s="167" t="str">
        <f>SwapsFromBasis!K6</f>
        <v>obj_00590#0011</v>
      </c>
      <c r="B33" s="167" t="str">
        <f>_xll.qlRateHelperQuoteName(A33)</f>
        <v>USDAM3L1Y_S6L3L_Quote</v>
      </c>
      <c r="C33" s="28" t="e">
        <f>_xll.qlRateHelperQuoteValue($A33,Trigger)</f>
        <v>#NUM!</v>
      </c>
      <c r="D33" s="28">
        <f>_xll.qlSwapRateHelperSpread($A33,Trigger)</f>
        <v>0</v>
      </c>
      <c r="E33" s="29" t="b">
        <v>0</v>
      </c>
      <c r="F33" s="29">
        <v>40</v>
      </c>
      <c r="G33" s="29">
        <v>1</v>
      </c>
      <c r="H33" s="30">
        <f>_xll.qlRateHelperEarliestDate($A33,Trigger)</f>
        <v>41799</v>
      </c>
      <c r="I33" s="31">
        <f>_xll.qlRateHelperLatestDate($A33,Trigger)</f>
        <v>42164</v>
      </c>
    </row>
    <row r="34" spans="1:9" x14ac:dyDescent="0.2">
      <c r="A34" s="166" t="str">
        <f>SwapsFromBasis!K7</f>
        <v>obj_00593#0011</v>
      </c>
      <c r="B34" s="166" t="str">
        <f>_xll.qlRateHelperQuoteName(A34)</f>
        <v>USDAM3L2Y_S6L3L_Quote</v>
      </c>
      <c r="C34" s="20" t="e">
        <f>_xll.qlRateHelperQuoteValue($A34,Trigger)</f>
        <v>#NUM!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41799</v>
      </c>
      <c r="I34" s="23">
        <f>_xll.qlRateHelperLatestDate($A34,Trigger)</f>
        <v>42530</v>
      </c>
    </row>
    <row r="35" spans="1:9" x14ac:dyDescent="0.2">
      <c r="A35" s="166" t="str">
        <f>SwapsFromBasis!K8</f>
        <v>obj_00594#0011</v>
      </c>
      <c r="B35" s="166" t="str">
        <f>_xll.qlRateHelperQuoteName(A35)</f>
        <v>USDAM3L3Y_S6L3L_Quote</v>
      </c>
      <c r="C35" s="20" t="e">
        <f>_xll.qlRateHelperQuoteValue($A35,Trigger)</f>
        <v>#NUM!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41799</v>
      </c>
      <c r="I35" s="23">
        <f>_xll.qlRateHelperLatestDate($A35,Trigger)</f>
        <v>42895</v>
      </c>
    </row>
    <row r="36" spans="1:9" x14ac:dyDescent="0.2">
      <c r="A36" s="166" t="str">
        <f>SwapsFromBasis!K9</f>
        <v>obj_00595#0011</v>
      </c>
      <c r="B36" s="166" t="str">
        <f>_xll.qlRateHelperQuoteName(A36)</f>
        <v>USDAM3L4Y_S6L3L_Quote</v>
      </c>
      <c r="C36" s="20" t="e">
        <f>_xll.qlRateHelperQuoteValue($A36,Trigger)</f>
        <v>#NUM!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41799</v>
      </c>
      <c r="I36" s="23">
        <f>_xll.qlRateHelperLatestDate($A36,Trigger)</f>
        <v>43262</v>
      </c>
    </row>
    <row r="37" spans="1:9" x14ac:dyDescent="0.2">
      <c r="A37" s="166" t="str">
        <f>SwapsFromBasis!K10</f>
        <v>obj_00597#0011</v>
      </c>
      <c r="B37" s="166" t="str">
        <f>_xll.qlRateHelperQuoteName(A37)</f>
        <v>USDAM3L5Y_S6L3L_Quote</v>
      </c>
      <c r="C37" s="20" t="e">
        <f>_xll.qlRateHelperQuoteValue($A37,Trigger)</f>
        <v>#NUM!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41799</v>
      </c>
      <c r="I37" s="23">
        <f>_xll.qlRateHelperLatestDate($A37,Trigger)</f>
        <v>43626</v>
      </c>
    </row>
    <row r="38" spans="1:9" x14ac:dyDescent="0.2">
      <c r="A38" s="166" t="str">
        <f>SwapsFromBasis!K11</f>
        <v>obj_00596#0011</v>
      </c>
      <c r="B38" s="166" t="str">
        <f>_xll.qlRateHelperQuoteName(A38)</f>
        <v>USDAM3L6Y_S6L3L_Quote</v>
      </c>
      <c r="C38" s="20" t="e">
        <f>_xll.qlRateHelperQuoteValue($A38,Trigger)</f>
        <v>#NUM!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41799</v>
      </c>
      <c r="I38" s="23">
        <f>_xll.qlRateHelperLatestDate($A38,Trigger)</f>
        <v>43991</v>
      </c>
    </row>
    <row r="39" spans="1:9" x14ac:dyDescent="0.2">
      <c r="A39" s="166" t="str">
        <f>SwapsFromBasis!K12</f>
        <v>obj_00598#0011</v>
      </c>
      <c r="B39" s="166" t="str">
        <f>_xll.qlRateHelperQuoteName(A39)</f>
        <v>USDAM3L7Y_S6L3L_Quote</v>
      </c>
      <c r="C39" s="20" t="e">
        <f>_xll.qlRateHelperQuoteValue($A39,Trigger)</f>
        <v>#NUM!</v>
      </c>
      <c r="D39" s="20">
        <f>_xll.qlSwapRateHelperSpread($A39,Trigger)</f>
        <v>0</v>
      </c>
      <c r="E39" s="21" t="b">
        <v>1</v>
      </c>
      <c r="F39" s="21">
        <v>40</v>
      </c>
      <c r="G39" s="21">
        <v>1</v>
      </c>
      <c r="H39" s="22">
        <f>_xll.qlRateHelperEarliestDate($A39,Trigger)</f>
        <v>41799</v>
      </c>
      <c r="I39" s="23">
        <f>_xll.qlRateHelperLatestDate($A39,Trigger)</f>
        <v>44356</v>
      </c>
    </row>
    <row r="40" spans="1:9" x14ac:dyDescent="0.2">
      <c r="A40" s="166" t="str">
        <f>SwapsFromBasis!K13</f>
        <v>obj_00599#0011</v>
      </c>
      <c r="B40" s="166" t="str">
        <f>_xll.qlRateHelperQuoteName(A40)</f>
        <v>USDAM3L8Y_S6L3L_Quote</v>
      </c>
      <c r="C40" s="20" t="e">
        <f>_xll.qlRateHelperQuoteValue($A40,Trigger)</f>
        <v>#NUM!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41799</v>
      </c>
      <c r="I40" s="23">
        <f>_xll.qlRateHelperLatestDate($A40,Trigger)</f>
        <v>44721</v>
      </c>
    </row>
    <row r="41" spans="1:9" x14ac:dyDescent="0.2">
      <c r="A41" s="166" t="str">
        <f>SwapsFromBasis!K14</f>
        <v>obj_0059a#0011</v>
      </c>
      <c r="B41" s="166" t="str">
        <f>_xll.qlRateHelperQuoteName(A41)</f>
        <v>USDAM3L9Y_S6L3L_Quote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41799</v>
      </c>
      <c r="I41" s="23">
        <f>_xll.qlRateHelperLatestDate($A41,Trigger)</f>
        <v>45086</v>
      </c>
    </row>
    <row r="42" spans="1:9" x14ac:dyDescent="0.2">
      <c r="A42" s="166" t="str">
        <f>SwapsFromBasis!K15</f>
        <v>obj_0059b#0011</v>
      </c>
      <c r="B42" s="166" t="str">
        <f>_xll.qlRateHelperQuoteName(A42)</f>
        <v>USDAM3L10Y_S6L3L_Quote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41799</v>
      </c>
      <c r="I42" s="23">
        <f>_xll.qlRateHelperLatestDate($A42,Trigger)</f>
        <v>45453</v>
      </c>
    </row>
    <row r="43" spans="1:9" x14ac:dyDescent="0.2">
      <c r="A43" s="166" t="str">
        <f>SwapsFromBasis!K16</f>
        <v>obj_0059c#0011</v>
      </c>
      <c r="B43" s="166" t="str">
        <f>_xll.qlRateHelperQuoteName(A43)</f>
        <v>USDAM3L11Y_S6L3L_Quote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41799</v>
      </c>
      <c r="I43" s="23">
        <f>_xll.qlRateHelperLatestDate($A43,Trigger)</f>
        <v>45817</v>
      </c>
    </row>
    <row r="44" spans="1:9" x14ac:dyDescent="0.2">
      <c r="A44" s="166" t="str">
        <f>SwapsFromBasis!K17</f>
        <v>obj_0059d#0011</v>
      </c>
      <c r="B44" s="166" t="str">
        <f>_xll.qlRateHelperQuoteName(A44)</f>
        <v>USDAM3L12Y_S6L3L_Quote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1</v>
      </c>
      <c r="F44" s="21">
        <v>40</v>
      </c>
      <c r="G44" s="21">
        <v>1</v>
      </c>
      <c r="H44" s="22">
        <f>_xll.qlRateHelperEarliestDate($A44,Trigger)</f>
        <v>41799</v>
      </c>
      <c r="I44" s="23">
        <f>_xll.qlRateHelperLatestDate($A44,Trigger)</f>
        <v>46182</v>
      </c>
    </row>
    <row r="45" spans="1:9" x14ac:dyDescent="0.2">
      <c r="A45" s="166" t="str">
        <f>SwapsFromBasis!K18</f>
        <v>obj_0059e#0011</v>
      </c>
      <c r="B45" s="166" t="str">
        <f>_xll.qlRateHelperQuoteName(A45)</f>
        <v>USDAM3L13Y_S6L3L_Quote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41799</v>
      </c>
      <c r="I45" s="23">
        <f>_xll.qlRateHelperLatestDate($A45,Trigger)</f>
        <v>46547</v>
      </c>
    </row>
    <row r="46" spans="1:9" x14ac:dyDescent="0.2">
      <c r="A46" s="166" t="str">
        <f>SwapsFromBasis!K19</f>
        <v>obj_0059f#0011</v>
      </c>
      <c r="B46" s="166" t="str">
        <f>_xll.qlRateHelperQuoteName(A46)</f>
        <v>USDAM3L14Y_S6L3L_Quote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41799</v>
      </c>
      <c r="I46" s="23">
        <f>_xll.qlRateHelperLatestDate($A46,Trigger)</f>
        <v>46913</v>
      </c>
    </row>
    <row r="47" spans="1:9" x14ac:dyDescent="0.2">
      <c r="A47" s="166" t="str">
        <f>SwapsFromBasis!K20</f>
        <v>obj_005a0#0011</v>
      </c>
      <c r="B47" s="166" t="str">
        <f>_xll.qlRateHelperQuoteName(A47)</f>
        <v>USDAM3L15Y_S6L3L_Quote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41799</v>
      </c>
      <c r="I47" s="23">
        <f>_xll.qlRateHelperLatestDate($A47,Trigger)</f>
        <v>47280</v>
      </c>
    </row>
    <row r="48" spans="1:9" x14ac:dyDescent="0.2">
      <c r="A48" s="166" t="str">
        <f>SwapsFromBasis!K21</f>
        <v>obj_005a1#0011</v>
      </c>
      <c r="B48" s="166" t="str">
        <f>_xll.qlRateHelperQuoteName(A48)</f>
        <v>USDAM3L16Y_S6L3L_Quote</v>
      </c>
      <c r="C48" s="20" t="e">
        <f>_xll.qlRateHelperQuoteValue($A48,Trigger)</f>
        <v>#NUM!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41799</v>
      </c>
      <c r="I48" s="23">
        <f>_xll.qlRateHelperLatestDate($A48,Trigger)</f>
        <v>47644</v>
      </c>
    </row>
    <row r="49" spans="1:9" x14ac:dyDescent="0.2">
      <c r="A49" s="166" t="str">
        <f>SwapsFromBasis!K22</f>
        <v>obj_005a2#0011</v>
      </c>
      <c r="B49" s="166" t="str">
        <f>_xll.qlRateHelperQuoteName(A49)</f>
        <v>USDAM3L17Y_S6L3L_Quote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41799</v>
      </c>
      <c r="I49" s="23">
        <f>_xll.qlRateHelperLatestDate($A49,Trigger)</f>
        <v>48008</v>
      </c>
    </row>
    <row r="50" spans="1:9" x14ac:dyDescent="0.2">
      <c r="A50" s="166" t="str">
        <f>SwapsFromBasis!K23</f>
        <v>obj_005a3#0011</v>
      </c>
      <c r="B50" s="166" t="str">
        <f>_xll.qlRateHelperQuoteName(A50)</f>
        <v>USDAM3L18Y_S6L3L_Quote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41799</v>
      </c>
      <c r="I50" s="23">
        <f>_xll.qlRateHelperLatestDate($A50,Trigger)</f>
        <v>48374</v>
      </c>
    </row>
    <row r="51" spans="1:9" x14ac:dyDescent="0.2">
      <c r="A51" s="166" t="str">
        <f>SwapsFromBasis!K24</f>
        <v>obj_005a4#0011</v>
      </c>
      <c r="B51" s="166" t="str">
        <f>_xll.qlRateHelperQuoteName(A51)</f>
        <v>USDAM3L19Y_S6L3L_Quote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41799</v>
      </c>
      <c r="I51" s="23">
        <f>_xll.qlRateHelperLatestDate($A51,Trigger)</f>
        <v>48739</v>
      </c>
    </row>
    <row r="52" spans="1:9" x14ac:dyDescent="0.2">
      <c r="A52" s="166" t="str">
        <f>SwapsFromBasis!K25</f>
        <v>obj_005a5#0011</v>
      </c>
      <c r="B52" s="166" t="str">
        <f>_xll.qlRateHelperQuoteName(A52)</f>
        <v>USDAM3L20Y_S6L3L_Quote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1</v>
      </c>
      <c r="F52" s="21">
        <v>40</v>
      </c>
      <c r="G52" s="21">
        <v>1</v>
      </c>
      <c r="H52" s="22">
        <f>_xll.qlRateHelperEarliestDate($A52,Trigger)</f>
        <v>41799</v>
      </c>
      <c r="I52" s="23">
        <f>_xll.qlRateHelperLatestDate($A52,Trigger)</f>
        <v>49104</v>
      </c>
    </row>
    <row r="53" spans="1:9" x14ac:dyDescent="0.2">
      <c r="A53" s="166" t="str">
        <f>SwapsFromBasis!K26</f>
        <v>obj_005a6#0011</v>
      </c>
      <c r="B53" s="166" t="str">
        <f>_xll.qlRateHelperQuoteName(A53)</f>
        <v>USDAM3L21Y_S6L3L_Quote</v>
      </c>
      <c r="C53" s="20" t="e">
        <f>_xll.qlRateHelperQuoteValue($A53,Trigger)</f>
        <v>#NUM!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41799</v>
      </c>
      <c r="I53" s="23">
        <f>_xll.qlRateHelperLatestDate($A53,Trigger)</f>
        <v>49471</v>
      </c>
    </row>
    <row r="54" spans="1:9" x14ac:dyDescent="0.2">
      <c r="A54" s="166" t="str">
        <f>SwapsFromBasis!K27</f>
        <v>obj_005a7#0011</v>
      </c>
      <c r="B54" s="166" t="str">
        <f>_xll.qlRateHelperQuoteName(A54)</f>
        <v>USDAM3L22Y_S6L3L_Quote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41799</v>
      </c>
      <c r="I54" s="23">
        <f>_xll.qlRateHelperLatestDate($A54,Trigger)</f>
        <v>49835</v>
      </c>
    </row>
    <row r="55" spans="1:9" x14ac:dyDescent="0.2">
      <c r="A55" s="166" t="str">
        <f>SwapsFromBasis!K28</f>
        <v>obj_005a8#0011</v>
      </c>
      <c r="B55" s="166" t="str">
        <f>_xll.qlRateHelperQuoteName(A55)</f>
        <v>USDAM3L23Y_S6L3L_Quote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41799</v>
      </c>
      <c r="I55" s="23">
        <f>_xll.qlRateHelperLatestDate($A55,Trigger)</f>
        <v>50200</v>
      </c>
    </row>
    <row r="56" spans="1:9" x14ac:dyDescent="0.2">
      <c r="A56" s="166" t="str">
        <f>SwapsFromBasis!K29</f>
        <v>obj_005a9#0011</v>
      </c>
      <c r="B56" s="166" t="str">
        <f>_xll.qlRateHelperQuoteName(A56)</f>
        <v>USDAM3L24Y_S6L3L_Quote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41799</v>
      </c>
      <c r="I56" s="23">
        <f>_xll.qlRateHelperLatestDate($A56,Trigger)</f>
        <v>50565</v>
      </c>
    </row>
    <row r="57" spans="1:9" x14ac:dyDescent="0.2">
      <c r="A57" s="166" t="str">
        <f>SwapsFromBasis!K30</f>
        <v>obj_005aa#0011</v>
      </c>
      <c r="B57" s="166" t="str">
        <f>_xll.qlRateHelperQuoteName(A57)</f>
        <v>USDAM3L25Y_S6L3L_Quote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41799</v>
      </c>
      <c r="I57" s="23">
        <f>_xll.qlRateHelperLatestDate($A57,Trigger)</f>
        <v>50930</v>
      </c>
    </row>
    <row r="58" spans="1:9" x14ac:dyDescent="0.2">
      <c r="A58" s="166" t="str">
        <f>SwapsFromBasis!K31</f>
        <v>obj_005ab#0011</v>
      </c>
      <c r="B58" s="166" t="str">
        <f>_xll.qlRateHelperQuoteName(A58)</f>
        <v>USDAM3L26Y_S6L3L_Quote</v>
      </c>
      <c r="C58" s="20" t="e">
        <f>_xll.qlRateHelperQuoteValue($A58,Trigger)</f>
        <v>#NUM!</v>
      </c>
      <c r="D58" s="20">
        <f>_xll.qlSwapRateHelperSpread($A58,Trigger)</f>
        <v>0</v>
      </c>
      <c r="E58" s="21" t="b">
        <v>0</v>
      </c>
      <c r="F58" s="21">
        <v>40</v>
      </c>
      <c r="G58" s="21">
        <v>1</v>
      </c>
      <c r="H58" s="22">
        <f>_xll.qlRateHelperEarliestDate($A58,Trigger)</f>
        <v>41799</v>
      </c>
      <c r="I58" s="23">
        <f>_xll.qlRateHelperLatestDate($A58,Trigger)</f>
        <v>51298</v>
      </c>
    </row>
    <row r="59" spans="1:9" x14ac:dyDescent="0.2">
      <c r="A59" s="166" t="str">
        <f>SwapsFromBasis!K32</f>
        <v>obj_005ac#0011</v>
      </c>
      <c r="B59" s="166" t="str">
        <f>_xll.qlRateHelperQuoteName(A59)</f>
        <v>USDAM3L27Y_S6L3L_Quote</v>
      </c>
      <c r="C59" s="20" t="e">
        <f>_xll.qlRateHelperQuoteValue($A59,Trigger)</f>
        <v>#NUM!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41799</v>
      </c>
      <c r="I59" s="23">
        <f>_xll.qlRateHelperLatestDate($A59,Trigger)</f>
        <v>51662</v>
      </c>
    </row>
    <row r="60" spans="1:9" x14ac:dyDescent="0.2">
      <c r="A60" s="166" t="str">
        <f>SwapsFromBasis!K33</f>
        <v>obj_005ad#0011</v>
      </c>
      <c r="B60" s="166" t="str">
        <f>_xll.qlRateHelperQuoteName(A60)</f>
        <v>USDAM3L28Y_S6L3L_Quote</v>
      </c>
      <c r="C60" s="20" t="e">
        <f>_xll.qlRateHelperQuoteValue($A60,Trigger)</f>
        <v>#NUM!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41799</v>
      </c>
      <c r="I60" s="23">
        <f>_xll.qlRateHelperLatestDate($A60,Trigger)</f>
        <v>52026</v>
      </c>
    </row>
    <row r="61" spans="1:9" x14ac:dyDescent="0.2">
      <c r="A61" s="166" t="str">
        <f>SwapsFromBasis!K34</f>
        <v>obj_005ae#0011</v>
      </c>
      <c r="B61" s="166" t="str">
        <f>_xll.qlRateHelperQuoteName(A61)</f>
        <v>USDAM3L29Y_S6L3L_Quote</v>
      </c>
      <c r="C61" s="20" t="e">
        <f>_xll.qlRateHelperQuoteValue($A61,Trigger)</f>
        <v>#NUM!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41799</v>
      </c>
      <c r="I61" s="23">
        <f>_xll.qlRateHelperLatestDate($A61,Trigger)</f>
        <v>52391</v>
      </c>
    </row>
    <row r="62" spans="1:9" x14ac:dyDescent="0.2">
      <c r="A62" s="166" t="str">
        <f>SwapsFromBasis!K35</f>
        <v>obj_005af#0011</v>
      </c>
      <c r="B62" s="166" t="str">
        <f>_xll.qlRateHelperQuoteName(A62)</f>
        <v>USDAM3L30Y_S6L3L_Quote</v>
      </c>
      <c r="C62" s="20" t="e">
        <f>_xll.qlRateHelperQuoteValue($A62,Trigger)</f>
        <v>#NUM!</v>
      </c>
      <c r="D62" s="20">
        <f>_xll.qlSwapRateHelperSpread($A62,Trigger)</f>
        <v>0</v>
      </c>
      <c r="E62" s="21" t="b">
        <v>1</v>
      </c>
      <c r="F62" s="21">
        <v>40</v>
      </c>
      <c r="G62" s="21">
        <v>1</v>
      </c>
      <c r="H62" s="22">
        <f>_xll.qlRateHelperEarliestDate($A62,Trigger)</f>
        <v>41799</v>
      </c>
      <c r="I62" s="23">
        <f>_xll.qlRateHelperLatestDate($A62,Trigger)</f>
        <v>52757</v>
      </c>
    </row>
    <row r="63" spans="1:9" x14ac:dyDescent="0.2">
      <c r="A63" s="166" t="str">
        <f>SwapsFromBasis!K36</f>
        <v>obj_005b0#0011</v>
      </c>
      <c r="B63" s="166" t="str">
        <f>_xll.qlRateHelperQuoteName(A63)</f>
        <v>USDAM3L35Y_S6L3L_Quote</v>
      </c>
      <c r="C63" s="20" t="e">
        <f>_xll.qlRateHelperQuoteValue($A63,Trigger)</f>
        <v>#NUM!</v>
      </c>
      <c r="D63" s="20">
        <f>_xll.qlSwapRateHelperSpread($A63,Trigger)</f>
        <v>0</v>
      </c>
      <c r="E63" s="21" t="b">
        <v>1</v>
      </c>
      <c r="F63" s="21">
        <v>40</v>
      </c>
      <c r="G63" s="21">
        <v>1</v>
      </c>
      <c r="H63" s="22">
        <f>_xll.qlRateHelperEarliestDate($A63,Trigger)</f>
        <v>41799</v>
      </c>
      <c r="I63" s="23">
        <f>_xll.qlRateHelperLatestDate($A63,Trigger)</f>
        <v>54583</v>
      </c>
    </row>
    <row r="64" spans="1:9" x14ac:dyDescent="0.2">
      <c r="A64" s="166" t="str">
        <f>SwapsFromBasis!K37</f>
        <v>obj_005b1#0011</v>
      </c>
      <c r="B64" s="166" t="str">
        <f>_xll.qlRateHelperQuoteName(A64)</f>
        <v>USDAM3L40Y_S6L3L_Quote</v>
      </c>
      <c r="C64" s="20" t="e">
        <f>_xll.qlRateHelperQuoteValue($A64,Trigger)</f>
        <v>#NUM!</v>
      </c>
      <c r="D64" s="20">
        <f>_xll.qlSwapRateHelperSpread($A64,Trigger)</f>
        <v>0</v>
      </c>
      <c r="E64" s="21" t="b">
        <v>1</v>
      </c>
      <c r="F64" s="21">
        <v>40</v>
      </c>
      <c r="G64" s="21">
        <v>1</v>
      </c>
      <c r="H64" s="22">
        <f>_xll.qlRateHelperEarliestDate($A64,Trigger)</f>
        <v>41799</v>
      </c>
      <c r="I64" s="23">
        <f>_xll.qlRateHelperLatestDate($A64,Trigger)</f>
        <v>56409</v>
      </c>
    </row>
    <row r="65" spans="1:9" x14ac:dyDescent="0.2">
      <c r="A65" s="166" t="str">
        <f>SwapsFromBasis!K38</f>
        <v>obj_005b2#0011</v>
      </c>
      <c r="B65" s="166" t="str">
        <f>_xll.qlRateHelperQuoteName(A65)</f>
        <v>USDAM3L50Y_S6L3L_Quote</v>
      </c>
      <c r="C65" s="20" t="e">
        <f>_xll.qlRateHelperQuoteValue($A65,Trigger)</f>
        <v>#NUM!</v>
      </c>
      <c r="D65" s="20">
        <f>_xll.qlSwapRateHelperSpread($A65,Trigger)</f>
        <v>0</v>
      </c>
      <c r="E65" s="21" t="b">
        <v>1</v>
      </c>
      <c r="F65" s="21">
        <v>40</v>
      </c>
      <c r="G65" s="21">
        <v>1</v>
      </c>
      <c r="H65" s="22">
        <f>_xll.qlRateHelperEarliestDate($A65,Trigger)</f>
        <v>41799</v>
      </c>
      <c r="I65" s="23">
        <f>_xll.qlRateHelperLatestDate($A65,Trigger)</f>
        <v>60062</v>
      </c>
    </row>
    <row r="66" spans="1:9" x14ac:dyDescent="0.2">
      <c r="A66" s="43" t="str">
        <f>SwapsFromBasis!K39</f>
        <v>obj_005b3#0011</v>
      </c>
      <c r="B66" s="43" t="str">
        <f>_xll.qlRateHelperQuoteName(A66)</f>
        <v>USDAM3L60Y_S6L3L_Quote</v>
      </c>
      <c r="C66" s="24" t="e">
        <f>_xll.qlRateHelperQuoteValue($A66,Trigger)</f>
        <v>#NUM!</v>
      </c>
      <c r="D66" s="24">
        <f>_xll.qlSwapRateHelperSpread($A66,Trigger)</f>
        <v>0</v>
      </c>
      <c r="E66" s="25" t="b">
        <v>0</v>
      </c>
      <c r="F66" s="25">
        <v>40</v>
      </c>
      <c r="G66" s="25">
        <v>1</v>
      </c>
      <c r="H66" s="26">
        <f>_xll.qlRateHelperEarliestDate($A66,Trigger)</f>
        <v>41799</v>
      </c>
      <c r="I66" s="27">
        <f>_xll.qlRateHelperLatestDate($A66,Trigger)</f>
        <v>63716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6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0" ht="23.25" customHeight="1" thickBot="1" x14ac:dyDescent="0.25">
      <c r="A1" s="101" t="s">
        <v>56</v>
      </c>
      <c r="B1" s="102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 t="e">
        <f t="array" ref="J1:J126">_xll.qlPiecewiseYieldCurveData(YieldCurve)</f>
        <v>#NUM!</v>
      </c>
    </row>
    <row r="2" spans="1:10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obj_00582</v>
      </c>
      <c r="E2" s="8" t="str">
        <f>_xll.qlRateHelperQuoteName(D2)</f>
        <v>USDSWD_SYNTH6M_Quote</v>
      </c>
      <c r="F2" s="9">
        <f>_xll.qlRateHelperRate($D2)</f>
        <v>3.4610000000000001E-3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41799</v>
      </c>
      <c r="I2" s="16">
        <f>_xll.qlRateHelperLatestDate($D2)</f>
        <v>41806</v>
      </c>
      <c r="J2" s="5" t="e">
        <v>#NUM!</v>
      </c>
    </row>
    <row r="3" spans="1:10" x14ac:dyDescent="0.2">
      <c r="A3" s="10" t="s">
        <v>52</v>
      </c>
      <c r="B3" s="11">
        <v>0</v>
      </c>
      <c r="D3" s="8" t="str">
        <v>obj_0058e</v>
      </c>
      <c r="E3" s="8" t="str">
        <f>_xll.qlRateHelperQuoteName(D3)</f>
        <v>USD1MD_SYNTH6M_Quote</v>
      </c>
      <c r="F3" s="9">
        <f>_xll.qlRateHelperRate($D3)</f>
        <v>3.388E-3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41799</v>
      </c>
      <c r="I3" s="16">
        <f>_xll.qlRateHelperLatestDate($D3)</f>
        <v>41829</v>
      </c>
      <c r="J3" s="5" t="e">
        <v>#NUM!</v>
      </c>
    </row>
    <row r="4" spans="1:10" x14ac:dyDescent="0.2">
      <c r="A4" s="10" t="s">
        <v>51</v>
      </c>
      <c r="B4" s="11">
        <v>1</v>
      </c>
      <c r="D4" s="8" t="str">
        <v>obj_00580</v>
      </c>
      <c r="E4" s="8" t="str">
        <f>_xll.qlRateHelperQuoteName(D4)</f>
        <v>USD2MD_SYNTH6M_Quote</v>
      </c>
      <c r="F4" s="9">
        <f>_xll.qlRateHelperRate($D4)</f>
        <v>3.3279999999999998E-3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41799</v>
      </c>
      <c r="I4" s="16">
        <f>_xll.qlRateHelperLatestDate($D4)</f>
        <v>41862</v>
      </c>
      <c r="J4" s="5" t="e">
        <v>#NUM!</v>
      </c>
    </row>
    <row r="5" spans="1:10" ht="12" thickBot="1" x14ac:dyDescent="0.25">
      <c r="A5" s="168" t="s">
        <v>50</v>
      </c>
      <c r="B5" s="169" t="s">
        <v>49</v>
      </c>
      <c r="D5" s="8" t="str">
        <v>obj_00583</v>
      </c>
      <c r="E5" s="8" t="str">
        <f>_xll.qlRateHelperQuoteName(D5)</f>
        <v>USD3MD_SYNTH6M_Quote</v>
      </c>
      <c r="F5" s="9">
        <f>_xll.qlRateHelperRate($D5)</f>
        <v>3.2820000000000002E-3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41799</v>
      </c>
      <c r="I5" s="16">
        <f>_xll.qlRateHelperLatestDate($D5)</f>
        <v>41891</v>
      </c>
      <c r="J5" s="5" t="e">
        <v>#NUM!</v>
      </c>
    </row>
    <row r="6" spans="1:10" x14ac:dyDescent="0.2">
      <c r="A6" s="54"/>
      <c r="B6" s="54"/>
      <c r="D6" s="8" t="str">
        <v>obj_0057d</v>
      </c>
      <c r="E6" s="8" t="str">
        <f>_xll.qlRateHelperQuoteName(D6)</f>
        <v>USD4MD_SYNTH6M_Quote</v>
      </c>
      <c r="F6" s="9">
        <f>_xll.qlRateHelperRate($D6)</f>
        <v>3.2560000000000002E-3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41799</v>
      </c>
      <c r="I6" s="16">
        <f>_xll.qlRateHelperLatestDate($D6)</f>
        <v>41921</v>
      </c>
      <c r="J6" s="5" t="e">
        <v>#NUM!</v>
      </c>
    </row>
    <row r="7" spans="1:10" x14ac:dyDescent="0.2">
      <c r="D7" s="8" t="str">
        <v>obj_00578</v>
      </c>
      <c r="E7" s="8" t="str">
        <f>_xll.qlRateHelperQuoteName(D7)</f>
        <v>USD5MD_SYNTH6M_Quote</v>
      </c>
      <c r="F7" s="9">
        <f>_xll.qlRateHelperRate($D7)</f>
        <v>3.2330000000000002E-3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41799</v>
      </c>
      <c r="I7" s="16">
        <f>_xll.qlRateHelperLatestDate($D7)</f>
        <v>41953</v>
      </c>
      <c r="J7" s="5" t="e">
        <v>#NUM!</v>
      </c>
    </row>
    <row r="8" spans="1:10" x14ac:dyDescent="0.2">
      <c r="D8" s="8" t="str">
        <v>obj_00581</v>
      </c>
      <c r="E8" s="8" t="str">
        <f>_xll.qlRateHelperQuoteName(D8)</f>
        <v>USD6MD_SYNTH6M_Quote</v>
      </c>
      <c r="F8" s="9">
        <f>_xll.qlRateHelperRate($D8)</f>
        <v>3.2290000000000001E-3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41799</v>
      </c>
      <c r="I8" s="16">
        <f>_xll.qlRateHelperLatestDate($D8)</f>
        <v>41982</v>
      </c>
      <c r="J8" s="5" t="e">
        <v>#NUM!</v>
      </c>
    </row>
    <row r="9" spans="1:10" x14ac:dyDescent="0.2">
      <c r="D9" s="8" t="str">
        <v>obj_0057f</v>
      </c>
      <c r="E9" s="8" t="str">
        <f>_xll.qlRateHelperQuoteName(D9)</f>
        <v>USD1x7F_Quote</v>
      </c>
      <c r="F9" s="9">
        <f>_xll.qlRateHelperRate($D9)</f>
        <v>3.1800000000000001E-3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41829</v>
      </c>
      <c r="I9" s="16">
        <f>_xll.qlRateHelperLatestDate($D9)</f>
        <v>42013</v>
      </c>
      <c r="J9" s="5" t="e">
        <v>#NUM!</v>
      </c>
    </row>
    <row r="10" spans="1:10" x14ac:dyDescent="0.2">
      <c r="D10" s="8" t="str">
        <v>obj_00592</v>
      </c>
      <c r="E10" s="8" t="str">
        <f>_xll.qlRateHelperQuoteName(D10)</f>
        <v>USD2x8F_Quote</v>
      </c>
      <c r="F10" s="9">
        <f>_xll.qlRateHelperRate($D10)</f>
        <v>3.2300000000000002E-3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41862</v>
      </c>
      <c r="I10" s="16">
        <f>_xll.qlRateHelperLatestDate($D10)</f>
        <v>42046</v>
      </c>
      <c r="J10" s="5" t="e">
        <v>#NUM!</v>
      </c>
    </row>
    <row r="11" spans="1:10" x14ac:dyDescent="0.2">
      <c r="D11" s="8" t="str">
        <v>obj_0057e</v>
      </c>
      <c r="E11" s="8" t="str">
        <f>_xll.qlRateHelperQuoteName(D11)</f>
        <v>USD3x9F_Quote</v>
      </c>
      <c r="F11" s="9">
        <f>_xll.qlRateHelperRate($D11)</f>
        <v>3.3099999999999996E-3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41891</v>
      </c>
      <c r="I11" s="16">
        <f>_xll.qlRateHelperLatestDate($D11)</f>
        <v>42072</v>
      </c>
      <c r="J11" s="5" t="e">
        <v>#NUM!</v>
      </c>
    </row>
    <row r="12" spans="1:10" x14ac:dyDescent="0.2">
      <c r="D12" s="8" t="str">
        <v>obj_0058d</v>
      </c>
      <c r="E12" s="8" t="str">
        <f>_xll.qlRateHelperQuoteName(D12)</f>
        <v>USD4x10F_Quote</v>
      </c>
      <c r="F12" s="9">
        <f>_xll.qlRateHelperRate($D12)</f>
        <v>3.3899999999999998E-3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41921</v>
      </c>
      <c r="I12" s="16">
        <f>_xll.qlRateHelperLatestDate($D12)</f>
        <v>42103</v>
      </c>
      <c r="J12" s="5" t="e">
        <v>#NUM!</v>
      </c>
    </row>
    <row r="13" spans="1:10" x14ac:dyDescent="0.2">
      <c r="D13" s="8" t="str">
        <v>obj_00577</v>
      </c>
      <c r="E13" s="8" t="str">
        <f>_xll.qlRateHelperQuoteName(D13)</f>
        <v>USD5x11F_Quote</v>
      </c>
      <c r="F13" s="9">
        <f>_xll.qlRateHelperRate($D13)</f>
        <v>3.4999999999999996E-3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41953</v>
      </c>
      <c r="I13" s="16">
        <f>_xll.qlRateHelperLatestDate($D13)</f>
        <v>42135</v>
      </c>
      <c r="J13" s="5" t="e">
        <v>#NUM!</v>
      </c>
    </row>
    <row r="14" spans="1:10" x14ac:dyDescent="0.2">
      <c r="D14" s="8" t="str">
        <v>obj_0058f</v>
      </c>
      <c r="E14" s="8" t="str">
        <f>_xll.qlRateHelperQuoteName(D14)</f>
        <v>USD6x12F_Quote</v>
      </c>
      <c r="F14" s="9">
        <f>_xll.qlRateHelperRate($D14)</f>
        <v>3.6900000000000001E-3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41982</v>
      </c>
      <c r="I14" s="16">
        <f>_xll.qlRateHelperLatestDate($D14)</f>
        <v>42164</v>
      </c>
      <c r="J14" s="5" t="e">
        <v>#NUM!</v>
      </c>
    </row>
    <row r="15" spans="1:10" x14ac:dyDescent="0.2">
      <c r="D15" s="8" t="str">
        <v>obj_00593</v>
      </c>
      <c r="E15" s="8" t="str">
        <f>_xll.qlRateHelperQuoteName(D15)</f>
        <v>USDAM3L2Y_S6L3L_Quote</v>
      </c>
      <c r="F15" s="9" t="e">
        <f>_xll.qlRateHelperRate($D15)</f>
        <v>#NUM!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41799</v>
      </c>
      <c r="I15" s="16">
        <f>_xll.qlRateHelperLatestDate($D15)</f>
        <v>42530</v>
      </c>
      <c r="J15" s="5" t="e">
        <v>#NUM!</v>
      </c>
    </row>
    <row r="16" spans="1:10" x14ac:dyDescent="0.2">
      <c r="D16" s="8" t="str">
        <v>obj_00594</v>
      </c>
      <c r="E16" s="8" t="str">
        <f>_xll.qlRateHelperQuoteName(D16)</f>
        <v>USDAM3L3Y_S6L3L_Quote</v>
      </c>
      <c r="F16" s="9" t="e">
        <f>_xll.qlRateHelperRate($D16)</f>
        <v>#NUM!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41799</v>
      </c>
      <c r="I16" s="16">
        <f>_xll.qlRateHelperLatestDate($D16)</f>
        <v>42895</v>
      </c>
      <c r="J16" s="5" t="e">
        <v>#NUM!</v>
      </c>
    </row>
    <row r="17" spans="4:10" x14ac:dyDescent="0.2">
      <c r="D17" s="8" t="str">
        <v>obj_00595</v>
      </c>
      <c r="E17" s="8" t="str">
        <f>_xll.qlRateHelperQuoteName(D17)</f>
        <v>USDAM3L4Y_S6L3L_Quote</v>
      </c>
      <c r="F17" s="9" t="e">
        <f>_xll.qlRateHelperRate($D17)</f>
        <v>#NUM!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41799</v>
      </c>
      <c r="I17" s="16">
        <f>_xll.qlRateHelperLatestDate($D17)</f>
        <v>43262</v>
      </c>
      <c r="J17" s="5" t="e">
        <v>#NUM!</v>
      </c>
    </row>
    <row r="18" spans="4:10" x14ac:dyDescent="0.2">
      <c r="D18" s="8" t="str">
        <v>obj_00597</v>
      </c>
      <c r="E18" s="8" t="str">
        <f>_xll.qlRateHelperQuoteName(D18)</f>
        <v>USDAM3L5Y_S6L3L_Quote</v>
      </c>
      <c r="F18" s="9" t="e">
        <f>_xll.qlRateHelperRate($D18)</f>
        <v>#NUM!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41799</v>
      </c>
      <c r="I18" s="16">
        <f>_xll.qlRateHelperLatestDate($D18)</f>
        <v>43626</v>
      </c>
      <c r="J18" s="5" t="e">
        <v>#NUM!</v>
      </c>
    </row>
    <row r="19" spans="4:10" x14ac:dyDescent="0.2">
      <c r="D19" s="8" t="str">
        <v>obj_00596</v>
      </c>
      <c r="E19" s="8" t="str">
        <f>_xll.qlRateHelperQuoteName(D19)</f>
        <v>USDAM3L6Y_S6L3L_Quote</v>
      </c>
      <c r="F19" s="9" t="e">
        <f>_xll.qlRateHelperRate($D19)</f>
        <v>#NUM!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41799</v>
      </c>
      <c r="I19" s="16">
        <f>_xll.qlRateHelperLatestDate($D19)</f>
        <v>43991</v>
      </c>
      <c r="J19" s="5" t="e">
        <v>#NUM!</v>
      </c>
    </row>
    <row r="20" spans="4:10" x14ac:dyDescent="0.2">
      <c r="D20" s="8" t="str">
        <v>obj_00598</v>
      </c>
      <c r="E20" s="8" t="str">
        <f>_xll.qlRateHelperQuoteName(D20)</f>
        <v>USDAM3L7Y_S6L3L_Quote</v>
      </c>
      <c r="F20" s="9" t="e">
        <f>_xll.qlRateHelperRate($D20)</f>
        <v>#NUM!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41799</v>
      </c>
      <c r="I20" s="16">
        <f>_xll.qlRateHelperLatestDate($D20)</f>
        <v>44356</v>
      </c>
      <c r="J20" s="5" t="e">
        <v>#NUM!</v>
      </c>
    </row>
    <row r="21" spans="4:10" x14ac:dyDescent="0.2">
      <c r="D21" s="8" t="str">
        <v>obj_00599</v>
      </c>
      <c r="E21" s="8" t="str">
        <f>_xll.qlRateHelperQuoteName(D21)</f>
        <v>USDAM3L8Y_S6L3L_Quote</v>
      </c>
      <c r="F21" s="9" t="e">
        <f>_xll.qlRateHelperRate($D21)</f>
        <v>#NUM!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41799</v>
      </c>
      <c r="I21" s="16">
        <f>_xll.qlRateHelperLatestDate($D21)</f>
        <v>44721</v>
      </c>
      <c r="J21" s="5" t="e">
        <v>#NUM!</v>
      </c>
    </row>
    <row r="22" spans="4:10" x14ac:dyDescent="0.2">
      <c r="D22" s="8" t="str">
        <v>obj_0059a</v>
      </c>
      <c r="E22" s="8" t="str">
        <f>_xll.qlRateHelperQuoteName(D22)</f>
        <v>USDAM3L9Y_S6L3L_Quote</v>
      </c>
      <c r="F22" s="9" t="e">
        <f>_xll.qlRateHelperRate($D22)</f>
        <v>#NUM!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41799</v>
      </c>
      <c r="I22" s="16">
        <f>_xll.qlRateHelperLatestDate($D22)</f>
        <v>45086</v>
      </c>
      <c r="J22" s="5" t="e">
        <v>#NUM!</v>
      </c>
    </row>
    <row r="23" spans="4:10" x14ac:dyDescent="0.2">
      <c r="D23" s="8" t="str">
        <v>obj_0059b</v>
      </c>
      <c r="E23" s="8" t="str">
        <f>_xll.qlRateHelperQuoteName(D23)</f>
        <v>USDAM3L10Y_S6L3L_Quote</v>
      </c>
      <c r="F23" s="9" t="e">
        <f>_xll.qlRateHelperRate($D23)</f>
        <v>#NUM!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41799</v>
      </c>
      <c r="I23" s="16">
        <f>_xll.qlRateHelperLatestDate($D23)</f>
        <v>45453</v>
      </c>
      <c r="J23" s="5" t="e">
        <v>#NUM!</v>
      </c>
    </row>
    <row r="24" spans="4:10" x14ac:dyDescent="0.2">
      <c r="D24" s="8" t="str">
        <v>obj_0059d</v>
      </c>
      <c r="E24" s="8" t="str">
        <f>_xll.qlRateHelperQuoteName(D24)</f>
        <v>USDAM3L12Y_S6L3L_Quote</v>
      </c>
      <c r="F24" s="9" t="e">
        <f>_xll.qlRateHelperRate($D24)</f>
        <v>#NUM!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41799</v>
      </c>
      <c r="I24" s="16">
        <f>_xll.qlRateHelperLatestDate($D24)</f>
        <v>46182</v>
      </c>
      <c r="J24" s="5" t="e">
        <v>#NUM!</v>
      </c>
    </row>
    <row r="25" spans="4:10" x14ac:dyDescent="0.2">
      <c r="D25" s="8" t="str">
        <v>obj_005a0</v>
      </c>
      <c r="E25" s="8" t="str">
        <f>_xll.qlRateHelperQuoteName(D25)</f>
        <v>USDAM3L15Y_S6L3L_Quote</v>
      </c>
      <c r="F25" s="9" t="e">
        <f>_xll.qlRateHelperRate($D25)</f>
        <v>#NUM!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41799</v>
      </c>
      <c r="I25" s="16">
        <f>_xll.qlRateHelperLatestDate($D25)</f>
        <v>47280</v>
      </c>
      <c r="J25" s="5" t="e">
        <v>#NUM!</v>
      </c>
    </row>
    <row r="26" spans="4:10" x14ac:dyDescent="0.2">
      <c r="D26" s="8" t="str">
        <v>obj_005a5</v>
      </c>
      <c r="E26" s="8" t="str">
        <f>_xll.qlRateHelperQuoteName(D26)</f>
        <v>USDAM3L20Y_S6L3L_Quote</v>
      </c>
      <c r="F26" s="9" t="e">
        <f>_xll.qlRateHelperRate($D26)</f>
        <v>#NUM!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41799</v>
      </c>
      <c r="I26" s="16">
        <f>_xll.qlRateHelperLatestDate($D26)</f>
        <v>49104</v>
      </c>
      <c r="J26" s="5" t="e">
        <v>#NUM!</v>
      </c>
    </row>
    <row r="27" spans="4:10" x14ac:dyDescent="0.2">
      <c r="D27" s="8" t="str">
        <v>obj_005aa</v>
      </c>
      <c r="E27" s="8" t="str">
        <f>_xll.qlRateHelperQuoteName(D27)</f>
        <v>USDAM3L25Y_S6L3L_Quote</v>
      </c>
      <c r="F27" s="9" t="e">
        <f>_xll.qlRateHelperRate($D27)</f>
        <v>#NUM!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41799</v>
      </c>
      <c r="I27" s="16">
        <f>_xll.qlRateHelperLatestDate($D27)</f>
        <v>50930</v>
      </c>
      <c r="J27" s="5" t="e">
        <v>#NUM!</v>
      </c>
    </row>
    <row r="28" spans="4:10" x14ac:dyDescent="0.2">
      <c r="D28" s="8" t="str">
        <v>obj_005af</v>
      </c>
      <c r="E28" s="8" t="str">
        <f>_xll.qlRateHelperQuoteName(D28)</f>
        <v>USDAM3L30Y_S6L3L_Quote</v>
      </c>
      <c r="F28" s="9" t="e">
        <f>_xll.qlRateHelperRate($D28)</f>
        <v>#NUM!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41799</v>
      </c>
      <c r="I28" s="16">
        <f>_xll.qlRateHelperLatestDate($D28)</f>
        <v>52757</v>
      </c>
      <c r="J28" s="5" t="e">
        <v>#NUM!</v>
      </c>
    </row>
    <row r="29" spans="4:10" x14ac:dyDescent="0.2">
      <c r="D29" s="8" t="str">
        <v>obj_005b0</v>
      </c>
      <c r="E29" s="8" t="str">
        <f>_xll.qlRateHelperQuoteName(D29)</f>
        <v>USDAM3L35Y_S6L3L_Quote</v>
      </c>
      <c r="F29" s="9" t="e">
        <f>_xll.qlRateHelperRate($D29)</f>
        <v>#NUM!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41799</v>
      </c>
      <c r="I29" s="16">
        <f>_xll.qlRateHelperLatestDate($D29)</f>
        <v>54583</v>
      </c>
      <c r="J29" s="5" t="e">
        <v>#NUM!</v>
      </c>
    </row>
    <row r="30" spans="4:10" x14ac:dyDescent="0.2">
      <c r="D30" s="8" t="str">
        <v>obj_005b1</v>
      </c>
      <c r="E30" s="8" t="str">
        <f>_xll.qlRateHelperQuoteName(D30)</f>
        <v>USDAM3L40Y_S6L3L_Quote</v>
      </c>
      <c r="F30" s="9" t="e">
        <f>_xll.qlRateHelperRate($D30)</f>
        <v>#NUM!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41799</v>
      </c>
      <c r="I30" s="16">
        <f>_xll.qlRateHelperLatestDate($D30)</f>
        <v>56409</v>
      </c>
      <c r="J30" s="5" t="e">
        <v>#NUM!</v>
      </c>
    </row>
    <row r="31" spans="4:10" x14ac:dyDescent="0.2">
      <c r="D31" s="8" t="str">
        <v>obj_005b2</v>
      </c>
      <c r="E31" s="8" t="str">
        <f>_xll.qlRateHelperQuoteName(D31)</f>
        <v>USDAM3L50Y_S6L3L_Quote</v>
      </c>
      <c r="F31" s="9" t="e">
        <f>_xll.qlRateHelperRate($D31)</f>
        <v>#NUM!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41799</v>
      </c>
      <c r="I31" s="16">
        <f>_xll.qlRateHelperLatestDate($D31)</f>
        <v>60062</v>
      </c>
      <c r="J31" s="5" t="e">
        <v>#NUM!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#NUM!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#NUM!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#NUM!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#NUM!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#NUM!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#NUM!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#NUM!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#NUM!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#NUM!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#NUM!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#NUM!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#NUM!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#NUM!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#NUM!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#NUM!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#NUM!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#NUM!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#NUM!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#NUM!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#NUM!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#NUM!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#NUM!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#NUM!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#NUM!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#NUM!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#NUM!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#NUM!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#NUM!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#NUM!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#NUM!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#NUM!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#NUM!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#NUM!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#NUM!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#NUM!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#NUM!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#NUM!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#NUM!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#NUM!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#NUM!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#NUM!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#NUM!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#NUM!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#NUM!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#NUM!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#NUM!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#NUM!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#NUM!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#NUM!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#NUM!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#NUM!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#NUM!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#NUM!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#NUM!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#NUM!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#NUM!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#NUM!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#NUM!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#NUM!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#NUM!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#NUM!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#NUM!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#NUM!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#NUM!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#NUM!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#NUM!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#NUM!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#NUM!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#NUM!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#NUM!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#NUM!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#NUM!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#NUM!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#NUM!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#NUM!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#NUM!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#NUM!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#NUM!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#NUM!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#NUM!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#NUM!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#NUM!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#NUM!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#NUM!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#NUM!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#NUM!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#NUM!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#NUM!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#NUM!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#NUM!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#NUM!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#NUM!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#NUM!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#NUM!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#NUM!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E2" sqref="E2"/>
    </sheetView>
  </sheetViews>
  <sheetFormatPr defaultRowHeight="13.5" x14ac:dyDescent="0.25"/>
  <cols>
    <col min="1" max="1" width="3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23.5703125" style="36" customWidth="1"/>
    <col min="7" max="7" width="4.7109375" style="36" customWidth="1"/>
    <col min="8" max="16384" width="9.140625" style="36"/>
  </cols>
  <sheetData>
    <row r="1" spans="1:7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x14ac:dyDescent="0.25">
      <c r="A3" s="37"/>
      <c r="B3" s="42" t="s">
        <v>93</v>
      </c>
      <c r="C3" s="43" t="str">
        <f>_xll.qlLibor(,"USD",B3,,,Trigger,ObjectOverwrite)</f>
        <v>obj_0056e#0006</v>
      </c>
      <c r="D3" s="44" t="str">
        <f>Currency&amp;B3&amp;"D_SYNTH"&amp;$C$1&amp;QuoteSuffix</f>
        <v>USDSWD_SYNTH6M_Quote</v>
      </c>
      <c r="E3" s="45" t="str">
        <f>_xll.qlDepositRateHelper(,D3,C3,Permanent,Trigger,ObjectOverwrite)</f>
        <v>obj_00582#0009</v>
      </c>
      <c r="F3" s="46" t="str">
        <f>_xll.ohRangeRetrieveError(E3)</f>
        <v/>
      </c>
      <c r="G3" s="35"/>
    </row>
    <row r="4" spans="1:7" x14ac:dyDescent="0.25">
      <c r="A4" s="37"/>
      <c r="B4" s="42" t="s">
        <v>92</v>
      </c>
      <c r="C4" s="43" t="str">
        <f>_xll.qlLibor(,"USD",B4,,,Trigger,ObjectOverwrite)</f>
        <v>obj_0056d#0006</v>
      </c>
      <c r="D4" s="44" t="str">
        <f>Currency&amp;B4&amp;"D_SYNTH"&amp;$C$1&amp;QuoteSuffix</f>
        <v>USD1MD_SYNTH6M_Quote</v>
      </c>
      <c r="E4" s="45" t="str">
        <f>_xll.qlDepositRateHelper(,D4,C4,Permanent,Trigger,ObjectOverwrite)</f>
        <v>obj_0058e#0009</v>
      </c>
      <c r="F4" s="46" t="str">
        <f>_xll.ohRangeRetrieveError(E4)</f>
        <v/>
      </c>
      <c r="G4" s="35"/>
    </row>
    <row r="5" spans="1:7" x14ac:dyDescent="0.25">
      <c r="A5" s="37"/>
      <c r="B5" s="42" t="s">
        <v>91</v>
      </c>
      <c r="C5" s="43" t="str">
        <f>_xll.qlLibor(,"USD",B5,,,Trigger,ObjectOverwrite)</f>
        <v>obj_0056f#0006</v>
      </c>
      <c r="D5" s="44" t="str">
        <f>Currency&amp;B5&amp;"D_SYNTH"&amp;$C$1&amp;QuoteSuffix</f>
        <v>USD2MD_SYNTH6M_Quote</v>
      </c>
      <c r="E5" s="45" t="str">
        <f>_xll.qlDepositRateHelper(,D5,C5,Permanent,Trigger,ObjectOverwrite)</f>
        <v>obj_00580#0009</v>
      </c>
      <c r="F5" s="46" t="str">
        <f>_xll.ohRangeRetrieveError(E5)</f>
        <v/>
      </c>
      <c r="G5" s="35"/>
    </row>
    <row r="6" spans="1:7" x14ac:dyDescent="0.25">
      <c r="A6" s="37"/>
      <c r="B6" s="42" t="s">
        <v>90</v>
      </c>
      <c r="C6" s="43" t="str">
        <f>_xll.qlLibor(,"USD",B6,,,Trigger,ObjectOverwrite)</f>
        <v>obj_0056c#0006</v>
      </c>
      <c r="D6" s="44" t="str">
        <f>Currency&amp;B6&amp;"D_SYNTH"&amp;$C$1&amp;QuoteSuffix</f>
        <v>USD3MD_SYNTH6M_Quote</v>
      </c>
      <c r="E6" s="45" t="str">
        <f>_xll.qlDepositRateHelper(,D6,C6,Permanent,Trigger,ObjectOverwrite)</f>
        <v>obj_00583#0009</v>
      </c>
      <c r="F6" s="46" t="str">
        <f>_xll.ohRangeRetrieveError(E6)</f>
        <v/>
      </c>
      <c r="G6" s="35"/>
    </row>
    <row r="7" spans="1:7" x14ac:dyDescent="0.25">
      <c r="A7" s="37"/>
      <c r="B7" s="42" t="s">
        <v>126</v>
      </c>
      <c r="C7" s="43" t="str">
        <f>_xll.qlLibor(,"USD",B7,,,Trigger,ObjectOverwrite)</f>
        <v>obj_00570#0006</v>
      </c>
      <c r="D7" s="44" t="str">
        <f>Currency&amp;B7&amp;"D_SYNTH"&amp;$C$1&amp;QuoteSuffix</f>
        <v>USD4MD_SYNTH6M_Quote</v>
      </c>
      <c r="E7" s="45" t="str">
        <f>_xll.qlDepositRateHelper(,D7,C7,Permanent,Trigger,ObjectOverwrite)</f>
        <v>obj_0057d#0009</v>
      </c>
      <c r="F7" s="46" t="str">
        <f>_xll.ohRangeRetrieveError(E7)</f>
        <v/>
      </c>
      <c r="G7" s="35"/>
    </row>
    <row r="8" spans="1:7" x14ac:dyDescent="0.25">
      <c r="A8" s="37"/>
      <c r="B8" s="42" t="s">
        <v>127</v>
      </c>
      <c r="C8" s="43" t="str">
        <f>_xll.qlLibor(,"USD",B8,,,Trigger,ObjectOverwrite)</f>
        <v>obj_0056b#0006</v>
      </c>
      <c r="D8" s="44" t="str">
        <f>Currency&amp;B8&amp;"D_SYNTH"&amp;$C$1&amp;QuoteSuffix</f>
        <v>USD5MD_SYNTH6M_Quote</v>
      </c>
      <c r="E8" s="45" t="str">
        <f>_xll.qlDepositRateHelper(,D8,C8,Permanent,Trigger,ObjectOverwrite)</f>
        <v>obj_00578#0009</v>
      </c>
      <c r="F8" s="46" t="str">
        <f>_xll.ohRangeRetrieveError(E8)</f>
        <v/>
      </c>
      <c r="G8" s="35"/>
    </row>
    <row r="9" spans="1:7" x14ac:dyDescent="0.25">
      <c r="A9" s="37"/>
      <c r="B9" s="42" t="s">
        <v>89</v>
      </c>
      <c r="C9" s="43" t="str">
        <f>_xll.qlLibor(,"USD",B9,,,Trigger,ObjectOverwrite)</f>
        <v>obj_00571#0006</v>
      </c>
      <c r="D9" s="44" t="str">
        <f>Currency&amp;B9&amp;"D_SYNTH"&amp;$C$1&amp;QuoteSuffix</f>
        <v>USD6MD_SYNTH6M_Quote</v>
      </c>
      <c r="E9" s="45" t="str">
        <f>_xll.qlDepositRateHelper(,D9,C9,Permanent,Trigger,ObjectOverwrite)</f>
        <v>obj_00581#0009</v>
      </c>
      <c r="F9" s="46" t="str">
        <f>_xll.ohRangeRetrieveError(E9)</f>
        <v/>
      </c>
      <c r="G9" s="35"/>
    </row>
    <row r="10" spans="1:7" ht="14.25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H2" sqref="H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8.28515625" style="1" bestFit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obj_0057f#0009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obj_00592#0009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obj_0057e#0009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obj_0058d#0009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obj_00577#0009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obj_0058f#0009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 t="str">
        <f>_xll.qlFraRateHelper(,G9,B9,E9,Permanent,Trigger,ObjectOverwrite)</f>
        <v>obj_0057a#0009</v>
      </c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 t="str">
        <f>_xll.qlFraRateHelper(,G10,B10,E10,Permanent,Trigger,ObjectOverwrite)</f>
        <v>obj_00574#0009</v>
      </c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obj_00573#0009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 t="str">
        <f>_xll.qlFraRateHelper(,G12,B12,E12,Permanent,Trigger,ObjectOverwrite)</f>
        <v>obj_00579#0009</v>
      </c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 t="str">
        <f>_xll.qlFraRateHelper(,G13,B13,E13,Permanent,Trigger,ObjectOverwrite)</f>
        <v>obj_00589#0009</v>
      </c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obj_00588#0009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 t="str">
        <f>_xll.qlFraRateHelper(,G15,B15,E15,Permanent,Trigger,ObjectOverwrite)</f>
        <v>obj_00586#0009</v>
      </c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 t="str">
        <f>_xll.qlFraRateHelper(,G16,B16,E16,Permanent,Trigger,ObjectOverwrite)</f>
        <v>obj_0058a#0009</v>
      </c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 t="str">
        <f>_xll.qlFraRateHelper(,G17,B17,E17,Permanent,Trigger,ObjectOverwrite)</f>
        <v>obj_00584#0009</v>
      </c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 t="str">
        <f>_xll.qlFraRateHelper(,G18,B18,E18,Permanent,Trigger,ObjectOverwrite)</f>
        <v>obj_00585#0009</v>
      </c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 t="str">
        <f>_xll.qlFraRateHelper(,G19,B19,E19,Permanent,Trigger,ObjectOverwrite)</f>
        <v>obj_0058b#0009</v>
      </c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obj_00591#0009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 t="str">
        <f>_xll.qlFraRateHelper(,G21,B21,E21,Permanent,Trigger,ObjectOverwrite)</f>
        <v>obj_00575#0009</v>
      </c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 t="str">
        <f>_xll.qlFraRateHelper(,G22,B22,E22,Permanent,Trigger,ObjectOverwrite)</f>
        <v>obj_0057b#0009</v>
      </c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 t="str">
        <f>_xll.qlFraRateHelper(,G23,B23,E23,Permanent,Trigger,ObjectOverwrite)</f>
        <v>obj_0058c#0009</v>
      </c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 t="str">
        <f>_xll.qlFraRateHelper(,G24,B24,E24,Permanent,Trigger,ObjectOverwrite)</f>
        <v>obj_00576#0009</v>
      </c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 t="str">
        <f>_xll.qlFraRateHelper(,G25,B25,E25,Permanent,Trigger,ObjectOverwrite)</f>
        <v>obj_0057c#0009</v>
      </c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 t="str">
        <f>_xll.qlFraRateHelper(,G26,B26,E26,Permanent,Trigger,ObjectOverwrite)</f>
        <v>obj_00587#0009</v>
      </c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3" sqref="K3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IF(UPPER(FamilyName)="IBOR",_xll.qlEuribor(,$I$2,,Permanent,Trigger,ObjectOverwrite),IF(UPPER(FamilyName)="LIBOR",_xll.qlLibor(,Currency,$I$2,,Permanent,Trigger,ObjectOverwrite),"--"))</f>
        <v>obj_00572#0009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obj_00590#0011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obj_00593#0011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obj_00594#0011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obj_00595#0011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obj_00597#0011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obj_00596#0011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obj_00598#0011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obj_00599#0011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obj_0059a#0011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obj_0059b#0011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obj_0059c#0011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obj_0059d#0011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obj_0059e#0011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obj_0059f#0011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obj_005a0#0011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obj_005a1#0011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obj_005a2#0011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obj_005a3#0011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obj_005a4#0011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obj_005a5#0011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obj_005a6#0011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obj_005a7#0011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obj_005a8#0011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obj_005a9#0011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obj_005aa#0011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obj_005ab#0011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obj_005ac#0011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obj_005ad#0011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obj_005ae#0011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obj_005af#0011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obj_005b0#0011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obj_005b1#0011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obj_005b2#0011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obj_005b3#0011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General Settings</vt:lpstr>
      <vt:lpstr>RateHelpers</vt:lpstr>
      <vt:lpstr>Selected</vt:lpstr>
      <vt:lpstr>Deposits</vt:lpstr>
      <vt:lpstr>FRAs</vt:lpstr>
      <vt:lpstr>SwapsFromBasis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Zanzi, Maddalena (IT - Milano)</cp:lastModifiedBy>
  <dcterms:created xsi:type="dcterms:W3CDTF">2014-01-16T15:04:54Z</dcterms:created>
  <dcterms:modified xsi:type="dcterms:W3CDTF">2014-06-05T10:15:37Z</dcterms:modified>
</cp:coreProperties>
</file>
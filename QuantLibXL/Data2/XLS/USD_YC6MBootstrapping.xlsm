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RateHelpers!$G$2:$G$66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RateHelpers!$A$2:$A$66</definedName>
    <definedName name="RateHelpersIncluded">RateHelpers!$E$2:$E$66</definedName>
    <definedName name="RateHelpersPriority">RateHelpers!$F$2:$F$66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K10" i="4" l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3" i="12"/>
  <c r="K4" i="11"/>
  <c r="X19" i="12"/>
  <c r="C4" i="12"/>
  <c r="C5" i="12"/>
  <c r="M23" i="6"/>
  <c r="D18" i="6" l="1"/>
  <c r="C6" i="12"/>
  <c r="C12" i="12"/>
  <c r="C11" i="12"/>
  <c r="C10" i="12"/>
  <c r="F9" i="12"/>
  <c r="I2" i="11"/>
  <c r="E1" i="9"/>
  <c r="C1" i="7"/>
  <c r="C3" i="7"/>
  <c r="X20" i="12"/>
  <c r="K6" i="11"/>
  <c r="C7" i="7"/>
  <c r="C9" i="7"/>
  <c r="C5" i="7"/>
  <c r="C6" i="7"/>
  <c r="C8" i="7"/>
  <c r="C4" i="7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X23" i="12"/>
  <c r="C7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E8" i="7"/>
  <c r="X24" i="12"/>
  <c r="E7" i="7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H8" i="9"/>
  <c r="H18" i="9"/>
  <c r="E4" i="7"/>
  <c r="B6" i="4"/>
  <c r="H24" i="9"/>
  <c r="E6" i="7"/>
  <c r="H4" i="9"/>
  <c r="H22" i="9"/>
  <c r="L4" i="11"/>
  <c r="H21" i="9"/>
  <c r="H9" i="9"/>
  <c r="I9" i="9"/>
  <c r="X26" i="12"/>
  <c r="H25" i="9"/>
  <c r="I24" i="9"/>
  <c r="E9" i="7"/>
  <c r="H20" i="9"/>
  <c r="H7" i="9"/>
  <c r="H15" i="9"/>
  <c r="E5" i="7"/>
  <c r="H5" i="9"/>
  <c r="H26" i="9"/>
  <c r="H13" i="9"/>
  <c r="H6" i="9"/>
  <c r="F2" i="7"/>
  <c r="H12" i="9"/>
  <c r="H23" i="9"/>
  <c r="H14" i="9"/>
  <c r="H17" i="9"/>
  <c r="B7" i="4"/>
  <c r="H11" i="9"/>
  <c r="H3" i="9"/>
  <c r="H19" i="9"/>
  <c r="E3" i="7"/>
  <c r="H16" i="9"/>
  <c r="H10" i="9"/>
  <c r="I26" i="9"/>
  <c r="A25" i="4" l="1"/>
  <c r="A12" i="4"/>
  <c r="A29" i="4"/>
  <c r="A10" i="4"/>
  <c r="A13" i="4"/>
  <c r="A8" i="4"/>
  <c r="A31" i="4"/>
  <c r="A3" i="4"/>
  <c r="A15" i="4"/>
  <c r="A23" i="4"/>
  <c r="A28" i="4"/>
  <c r="A21" i="4"/>
  <c r="A26" i="4"/>
  <c r="A33" i="4"/>
  <c r="A19" i="4"/>
  <c r="A22" i="4"/>
  <c r="A20" i="4"/>
  <c r="A18" i="4"/>
  <c r="A16" i="4"/>
  <c r="A2" i="4"/>
  <c r="A4" i="4"/>
  <c r="A14" i="4"/>
  <c r="A32" i="4"/>
  <c r="A27" i="4"/>
  <c r="A9" i="4"/>
  <c r="A30" i="4"/>
  <c r="A11" i="4"/>
  <c r="A24" i="4"/>
  <c r="A17" i="4"/>
  <c r="A5" i="4"/>
  <c r="H7" i="11"/>
  <c r="I11" i="9"/>
  <c r="X27" i="12"/>
  <c r="I23" i="9"/>
  <c r="I22" i="9"/>
  <c r="I15" i="9"/>
  <c r="I21" i="9"/>
  <c r="I18" i="9"/>
  <c r="I12" i="9"/>
  <c r="I25" i="9"/>
  <c r="I10" i="9"/>
  <c r="I16" i="9"/>
  <c r="I17" i="9"/>
  <c r="I19" i="9"/>
  <c r="F7" i="11" l="1"/>
  <c r="D8" i="11"/>
  <c r="X28" i="12"/>
  <c r="D9" i="11" l="1"/>
  <c r="J9" i="11" s="1"/>
  <c r="J8" i="11"/>
  <c r="H8" i="11"/>
  <c r="F8" i="11"/>
  <c r="F9" i="11"/>
  <c r="B33" i="4"/>
  <c r="B10" i="4"/>
  <c r="B29" i="4"/>
  <c r="I20" i="9"/>
  <c r="B4" i="4"/>
  <c r="F3" i="7"/>
  <c r="B8" i="4"/>
  <c r="B21" i="4"/>
  <c r="I8" i="9"/>
  <c r="I6" i="9"/>
  <c r="F9" i="7"/>
  <c r="K7" i="11"/>
  <c r="L7" i="11" s="1"/>
  <c r="B5" i="4"/>
  <c r="B13" i="4"/>
  <c r="I13" i="9"/>
  <c r="B32" i="4"/>
  <c r="F6" i="7"/>
  <c r="B25" i="4"/>
  <c r="B30" i="4"/>
  <c r="B23" i="4"/>
  <c r="B12" i="4"/>
  <c r="I7" i="9"/>
  <c r="B22" i="4"/>
  <c r="B2" i="4"/>
  <c r="K8" i="11"/>
  <c r="B3" i="4"/>
  <c r="F7" i="7"/>
  <c r="B31" i="4"/>
  <c r="B11" i="4"/>
  <c r="B18" i="4"/>
  <c r="X29" i="12"/>
  <c r="F4" i="7"/>
  <c r="B27" i="4"/>
  <c r="B17" i="4"/>
  <c r="B28" i="4"/>
  <c r="I5" i="9"/>
  <c r="F5" i="7"/>
  <c r="F8" i="7"/>
  <c r="C33" i="4"/>
  <c r="B14" i="4"/>
  <c r="L6" i="11"/>
  <c r="B26" i="4"/>
  <c r="I4" i="9"/>
  <c r="B19" i="4"/>
  <c r="I3" i="9"/>
  <c r="B20" i="4"/>
  <c r="B24" i="4"/>
  <c r="B9" i="4"/>
  <c r="I14" i="9"/>
  <c r="B15" i="4"/>
  <c r="B16" i="4"/>
  <c r="A34" i="4" l="1"/>
  <c r="A35" i="4"/>
  <c r="H9" i="11"/>
  <c r="D10" i="11"/>
  <c r="J10" i="11" s="1"/>
  <c r="C35" i="4"/>
  <c r="C34" i="4"/>
  <c r="B34" i="4"/>
  <c r="X30" i="12"/>
  <c r="B35" i="4"/>
  <c r="K9" i="11"/>
  <c r="L9" i="11" s="1"/>
  <c r="L8" i="11"/>
  <c r="H10" i="11" l="1"/>
  <c r="A36" i="4"/>
  <c r="D11" i="11"/>
  <c r="J11" i="11" s="1"/>
  <c r="F10" i="11"/>
  <c r="H11" i="11"/>
  <c r="B36" i="4"/>
  <c r="X31" i="12"/>
  <c r="K10" i="11"/>
  <c r="C36" i="4"/>
  <c r="A37" i="4" l="1"/>
  <c r="D12" i="11"/>
  <c r="J12" i="11" s="1"/>
  <c r="F11" i="11"/>
  <c r="X32" i="12"/>
  <c r="L10" i="11"/>
  <c r="K11" i="11"/>
  <c r="B37" i="4"/>
  <c r="A38" i="4" l="1"/>
  <c r="D13" i="11"/>
  <c r="J13" i="11" s="1"/>
  <c r="H12" i="11"/>
  <c r="F12" i="11"/>
  <c r="H13" i="11"/>
  <c r="F13" i="11"/>
  <c r="K13" i="11"/>
  <c r="B38" i="4"/>
  <c r="K12" i="11"/>
  <c r="X33" i="12"/>
  <c r="L11" i="11"/>
  <c r="A40" i="4" l="1"/>
  <c r="A39" i="4"/>
  <c r="D14" i="11"/>
  <c r="J14" i="11" s="1"/>
  <c r="X34" i="12"/>
  <c r="L12" i="11"/>
  <c r="B40" i="4"/>
  <c r="B39" i="4"/>
  <c r="L13" i="11"/>
  <c r="D15" i="11" l="1"/>
  <c r="J15" i="11" s="1"/>
  <c r="F14" i="11"/>
  <c r="H14" i="11"/>
  <c r="X35" i="12"/>
  <c r="K14" i="11"/>
  <c r="L14" i="11"/>
  <c r="D16" i="11" l="1"/>
  <c r="J16" i="11" s="1"/>
  <c r="F15" i="11"/>
  <c r="A41" i="4"/>
  <c r="H15" i="11"/>
  <c r="X36" i="12"/>
  <c r="B41" i="4"/>
  <c r="K15" i="11"/>
  <c r="D17" i="11" l="1"/>
  <c r="J17" i="11" s="1"/>
  <c r="H16" i="11"/>
  <c r="F16" i="11"/>
  <c r="A42" i="4"/>
  <c r="X37" i="12"/>
  <c r="B42" i="4"/>
  <c r="L15" i="11"/>
  <c r="K16" i="11"/>
  <c r="A43" i="4" l="1"/>
  <c r="D18" i="11"/>
  <c r="J18" i="11" s="1"/>
  <c r="F17" i="11"/>
  <c r="H17" i="11"/>
  <c r="D19" i="11"/>
  <c r="J19" i="11" s="1"/>
  <c r="F18" i="11"/>
  <c r="H18" i="11"/>
  <c r="B43" i="4"/>
  <c r="K17" i="11"/>
  <c r="L17" i="11"/>
  <c r="L16" i="11"/>
  <c r="K18" i="11"/>
  <c r="X38" i="12"/>
  <c r="A44" i="4" l="1"/>
  <c r="A45" i="4"/>
  <c r="F19" i="11"/>
  <c r="H19" i="11"/>
  <c r="D20" i="11"/>
  <c r="J20" i="11" s="1"/>
  <c r="B44" i="4"/>
  <c r="K19" i="11"/>
  <c r="X39" i="12"/>
  <c r="B45" i="4"/>
  <c r="L18" i="11"/>
  <c r="A46" i="4" l="1"/>
  <c r="D21" i="11"/>
  <c r="J21" i="11" s="1"/>
  <c r="F20" i="11"/>
  <c r="H20" i="11"/>
  <c r="X40" i="12"/>
  <c r="L19" i="11"/>
  <c r="B46" i="4"/>
  <c r="K20" i="11"/>
  <c r="A47" i="4" l="1"/>
  <c r="F21" i="11"/>
  <c r="H21" i="11"/>
  <c r="D22" i="11"/>
  <c r="J22" i="11" s="1"/>
  <c r="X41" i="12"/>
  <c r="K21" i="11"/>
  <c r="L20" i="11"/>
  <c r="B47" i="4"/>
  <c r="A48" i="4" l="1"/>
  <c r="F22" i="11"/>
  <c r="H22" i="11"/>
  <c r="D23" i="11"/>
  <c r="J23" i="11" s="1"/>
  <c r="X42" i="12"/>
  <c r="L21" i="11"/>
  <c r="B48" i="4"/>
  <c r="K22" i="11"/>
  <c r="A49" i="4" l="1"/>
  <c r="F23" i="11"/>
  <c r="H23" i="11"/>
  <c r="D24" i="11"/>
  <c r="J24" i="11" s="1"/>
  <c r="X43" i="12"/>
  <c r="B49" i="4"/>
  <c r="L22" i="11"/>
  <c r="K23" i="11"/>
  <c r="A50" i="4" l="1"/>
  <c r="F24" i="11"/>
  <c r="H24" i="11"/>
  <c r="D25" i="11"/>
  <c r="J25" i="11" s="1"/>
  <c r="X44" i="12"/>
  <c r="K24" i="11"/>
  <c r="B50" i="4"/>
  <c r="L23" i="11"/>
  <c r="A51" i="4" l="1"/>
  <c r="D26" i="11"/>
  <c r="J26" i="11" s="1"/>
  <c r="F25" i="11"/>
  <c r="H25" i="11"/>
  <c r="X45" i="12"/>
  <c r="L24" i="11"/>
  <c r="B51" i="4"/>
  <c r="K25" i="11"/>
  <c r="A52" i="4" l="1"/>
  <c r="H26" i="11"/>
  <c r="F26" i="11"/>
  <c r="D27" i="11"/>
  <c r="J27" i="11" s="1"/>
  <c r="X46" i="12"/>
  <c r="K26" i="11"/>
  <c r="L25" i="11"/>
  <c r="B52" i="4"/>
  <c r="A53" i="4" l="1"/>
  <c r="D28" i="11"/>
  <c r="J28" i="11" s="1"/>
  <c r="F27" i="11"/>
  <c r="H27" i="11"/>
  <c r="X47" i="12"/>
  <c r="B53" i="4"/>
  <c r="K27" i="11"/>
  <c r="L26" i="11"/>
  <c r="A54" i="4" l="1"/>
  <c r="F28" i="11"/>
  <c r="H28" i="11"/>
  <c r="D29" i="11"/>
  <c r="J29" i="11" s="1"/>
  <c r="X48" i="12"/>
  <c r="L27" i="11"/>
  <c r="K28" i="11"/>
  <c r="B54" i="4"/>
  <c r="A55" i="4" l="1"/>
  <c r="D30" i="11"/>
  <c r="J30" i="11" s="1"/>
  <c r="F29" i="11"/>
  <c r="H29" i="11"/>
  <c r="X49" i="12"/>
  <c r="K29" i="11"/>
  <c r="L28" i="11"/>
  <c r="B55" i="4"/>
  <c r="A56" i="4" l="1"/>
  <c r="H30" i="11"/>
  <c r="F30" i="11"/>
  <c r="D31" i="11"/>
  <c r="J31" i="11" s="1"/>
  <c r="X50" i="12"/>
  <c r="L29" i="11"/>
  <c r="K30" i="11"/>
  <c r="B56" i="4"/>
  <c r="A57" i="4" l="1"/>
  <c r="H31" i="11"/>
  <c r="F31" i="11"/>
  <c r="D32" i="11"/>
  <c r="J32" i="11" s="1"/>
  <c r="X51" i="12"/>
  <c r="L30" i="11"/>
  <c r="K31" i="11"/>
  <c r="B57" i="4"/>
  <c r="A58" i="4" l="1"/>
  <c r="F32" i="11"/>
  <c r="H32" i="11"/>
  <c r="D33" i="11"/>
  <c r="J33" i="11" s="1"/>
  <c r="X52" i="12"/>
  <c r="L31" i="11"/>
  <c r="K32" i="11"/>
  <c r="B58" i="4"/>
  <c r="A59" i="4" l="1"/>
  <c r="F33" i="11"/>
  <c r="H33" i="11"/>
  <c r="D34" i="11"/>
  <c r="J34" i="11" s="1"/>
  <c r="X53" i="12"/>
  <c r="B59" i="4"/>
  <c r="L32" i="11"/>
  <c r="K33" i="11"/>
  <c r="A60" i="4" l="1"/>
  <c r="D35" i="11"/>
  <c r="J35" i="11" s="1"/>
  <c r="F34" i="11"/>
  <c r="H34" i="11"/>
  <c r="X54" i="12"/>
  <c r="K34" i="11"/>
  <c r="L33" i="11"/>
  <c r="B60" i="4"/>
  <c r="A61" i="4" l="1"/>
  <c r="F35" i="11"/>
  <c r="D36" i="11"/>
  <c r="J36" i="11" s="1"/>
  <c r="H35" i="11"/>
  <c r="X55" i="12"/>
  <c r="B61" i="4"/>
  <c r="L34" i="11"/>
  <c r="K35" i="11"/>
  <c r="A62" i="4" l="1"/>
  <c r="D37" i="11"/>
  <c r="J37" i="11" s="1"/>
  <c r="F36" i="11"/>
  <c r="H36" i="11"/>
  <c r="X56" i="12"/>
  <c r="B62" i="4"/>
  <c r="L35" i="11"/>
  <c r="K36" i="11"/>
  <c r="A63" i="4" l="1"/>
  <c r="D38" i="11"/>
  <c r="J38" i="11" s="1"/>
  <c r="F37" i="11"/>
  <c r="H37" i="11"/>
  <c r="X57" i="12"/>
  <c r="B63" i="4"/>
  <c r="L36" i="11"/>
  <c r="K37" i="11"/>
  <c r="A64" i="4" l="1"/>
  <c r="F38" i="11"/>
  <c r="H38" i="11"/>
  <c r="D39" i="11"/>
  <c r="J39" i="11" s="1"/>
  <c r="X58" i="12"/>
  <c r="B64" i="4"/>
  <c r="L37" i="11"/>
  <c r="K38" i="11"/>
  <c r="A65" i="4" l="1"/>
  <c r="F39" i="11"/>
  <c r="H39" i="11"/>
  <c r="H2" i="9"/>
  <c r="K3" i="11"/>
  <c r="B65" i="4"/>
  <c r="X59" i="12"/>
  <c r="L38" i="11"/>
  <c r="K39" i="11"/>
  <c r="A66" i="4" l="1"/>
  <c r="D7" i="6"/>
  <c r="D8" i="6"/>
  <c r="D6" i="6"/>
  <c r="L3" i="11"/>
  <c r="I2" i="9"/>
  <c r="X60" i="12"/>
  <c r="B66" i="4"/>
  <c r="B1" i="6"/>
  <c r="L39" i="11"/>
  <c r="D9" i="6" l="1"/>
  <c r="D16" i="6"/>
  <c r="D20" i="6"/>
  <c r="E20" i="6"/>
  <c r="D22" i="6"/>
  <c r="E22" i="6"/>
  <c r="D21" i="6"/>
  <c r="X61" i="12"/>
  <c r="E21" i="6" l="1"/>
  <c r="D57" i="4"/>
  <c r="H5" i="4"/>
  <c r="H25" i="4"/>
  <c r="C27" i="4"/>
  <c r="H8" i="4"/>
  <c r="C48" i="4"/>
  <c r="D63" i="4"/>
  <c r="H44" i="4"/>
  <c r="C3" i="4"/>
  <c r="H37" i="4"/>
  <c r="C50" i="4"/>
  <c r="I35" i="4"/>
  <c r="I63" i="4"/>
  <c r="I55" i="4"/>
  <c r="C42" i="4"/>
  <c r="I24" i="4"/>
  <c r="C11" i="4"/>
  <c r="C21" i="4"/>
  <c r="H58" i="4"/>
  <c r="I14" i="4"/>
  <c r="I26" i="4"/>
  <c r="I45" i="4"/>
  <c r="I29" i="4"/>
  <c r="I10" i="4"/>
  <c r="D54" i="4"/>
  <c r="C63" i="4"/>
  <c r="C20" i="4"/>
  <c r="I53" i="4"/>
  <c r="X62" i="12"/>
  <c r="D59" i="4"/>
  <c r="H20" i="4"/>
  <c r="C64" i="4"/>
  <c r="H50" i="4"/>
  <c r="H45" i="4"/>
  <c r="H52" i="4"/>
  <c r="H12" i="4"/>
  <c r="H24" i="4"/>
  <c r="I47" i="4"/>
  <c r="H22" i="4"/>
  <c r="C49" i="4"/>
  <c r="I20" i="4"/>
  <c r="D56" i="4"/>
  <c r="H13" i="4"/>
  <c r="C45" i="4"/>
  <c r="I30" i="4"/>
  <c r="C54" i="4"/>
  <c r="I65" i="4"/>
  <c r="C16" i="4"/>
  <c r="I2" i="4"/>
  <c r="I56" i="4"/>
  <c r="C13" i="4"/>
  <c r="D62" i="4"/>
  <c r="I60" i="4"/>
  <c r="C15" i="4"/>
  <c r="C56" i="4"/>
  <c r="I32" i="4"/>
  <c r="I27" i="4"/>
  <c r="H57" i="4"/>
  <c r="D39" i="4"/>
  <c r="D55" i="4"/>
  <c r="H19" i="4"/>
  <c r="H34" i="4"/>
  <c r="C38" i="4"/>
  <c r="I12" i="4"/>
  <c r="C51" i="4"/>
  <c r="I37" i="4"/>
  <c r="I9" i="4"/>
  <c r="H63" i="4"/>
  <c r="H51" i="4"/>
  <c r="H43" i="4"/>
  <c r="C19" i="4"/>
  <c r="H56" i="4"/>
  <c r="I42" i="4"/>
  <c r="I31" i="4"/>
  <c r="H2" i="4"/>
  <c r="C39" i="4"/>
  <c r="D50" i="4"/>
  <c r="H32" i="4"/>
  <c r="H3" i="4"/>
  <c r="I43" i="4"/>
  <c r="I64" i="4"/>
  <c r="I40" i="4"/>
  <c r="H48" i="4"/>
  <c r="C62" i="4"/>
  <c r="D2" i="5" a="1"/>
  <c r="C37" i="4"/>
  <c r="C2" i="4"/>
  <c r="C4" i="4"/>
  <c r="D40" i="4"/>
  <c r="C25" i="4"/>
  <c r="I6" i="4"/>
  <c r="H65" i="4"/>
  <c r="I8" i="4"/>
  <c r="C9" i="4"/>
  <c r="D43" i="4"/>
  <c r="H49" i="4"/>
  <c r="D46" i="4"/>
  <c r="C8" i="4"/>
  <c r="I34" i="4"/>
  <c r="H11" i="4"/>
  <c r="D38" i="4"/>
  <c r="H47" i="4"/>
  <c r="C18" i="4"/>
  <c r="I54" i="4"/>
  <c r="C6" i="4"/>
  <c r="I3" i="4"/>
  <c r="C7" i="4"/>
  <c r="C28" i="4"/>
  <c r="H6" i="4"/>
  <c r="C52" i="4"/>
  <c r="H59" i="4"/>
  <c r="D45" i="4"/>
  <c r="D51" i="4"/>
  <c r="I28" i="4"/>
  <c r="I18" i="4"/>
  <c r="H53" i="4"/>
  <c r="D60" i="4"/>
  <c r="I25" i="4"/>
  <c r="D64" i="4"/>
  <c r="I49" i="4"/>
  <c r="D41" i="4"/>
  <c r="C32" i="4"/>
  <c r="I33" i="4"/>
  <c r="I61" i="4"/>
  <c r="C10" i="4"/>
  <c r="H18" i="4"/>
  <c r="C57" i="4"/>
  <c r="H66" i="4"/>
  <c r="I51" i="4"/>
  <c r="C47" i="4"/>
  <c r="H7" i="4"/>
  <c r="C24" i="4"/>
  <c r="I39" i="4"/>
  <c r="H15" i="4"/>
  <c r="C17" i="4"/>
  <c r="C59" i="4"/>
  <c r="D66" i="4"/>
  <c r="H30" i="4"/>
  <c r="C14" i="4"/>
  <c r="D34" i="4"/>
  <c r="C31" i="4"/>
  <c r="H40" i="4"/>
  <c r="C23" i="4"/>
  <c r="I48" i="4"/>
  <c r="I36" i="4"/>
  <c r="H17" i="4"/>
  <c r="H21" i="4"/>
  <c r="I23" i="4"/>
  <c r="H62" i="4"/>
  <c r="H26" i="4"/>
  <c r="I15" i="4"/>
  <c r="C22" i="4"/>
  <c r="I5" i="4"/>
  <c r="D48" i="4"/>
  <c r="H31" i="4"/>
  <c r="H16" i="4"/>
  <c r="C44" i="4"/>
  <c r="C5" i="4"/>
  <c r="I46" i="4"/>
  <c r="H39" i="4"/>
  <c r="I59" i="4"/>
  <c r="D44" i="4"/>
  <c r="I21" i="4"/>
  <c r="H61" i="4"/>
  <c r="H9" i="4"/>
  <c r="I38" i="4"/>
  <c r="C55" i="4"/>
  <c r="C58" i="4"/>
  <c r="H64" i="4"/>
  <c r="C61" i="4"/>
  <c r="D42" i="4"/>
  <c r="H42" i="4"/>
  <c r="H35" i="4"/>
  <c r="D65" i="4"/>
  <c r="H46" i="4"/>
  <c r="I19" i="4"/>
  <c r="D52" i="4"/>
  <c r="C53" i="4"/>
  <c r="I13" i="4"/>
  <c r="H60" i="4"/>
  <c r="I17" i="4"/>
  <c r="C66" i="4"/>
  <c r="H14" i="4"/>
  <c r="I66" i="4"/>
  <c r="C30" i="4"/>
  <c r="D47" i="4"/>
  <c r="H33" i="4"/>
  <c r="H23" i="4"/>
  <c r="C29" i="4"/>
  <c r="C43" i="4"/>
  <c r="H27" i="4"/>
  <c r="C46" i="4"/>
  <c r="H28" i="4"/>
  <c r="I11" i="4"/>
  <c r="I41" i="4"/>
  <c r="C26" i="4"/>
  <c r="D35" i="4"/>
  <c r="H41" i="4"/>
  <c r="I44" i="4"/>
  <c r="D36" i="4"/>
  <c r="I50" i="4"/>
  <c r="H38" i="4"/>
  <c r="C40" i="4"/>
  <c r="I58" i="4"/>
  <c r="I22" i="4"/>
  <c r="I62" i="4"/>
  <c r="I57" i="4"/>
  <c r="I52" i="4"/>
  <c r="C65" i="4"/>
  <c r="H36" i="4"/>
  <c r="H55" i="4"/>
  <c r="I16" i="4"/>
  <c r="H4" i="4"/>
  <c r="D49" i="4"/>
  <c r="I7" i="4"/>
  <c r="D37" i="4"/>
  <c r="D61" i="4"/>
  <c r="H10" i="4"/>
  <c r="C12" i="4"/>
  <c r="H54" i="4"/>
  <c r="D53" i="4"/>
  <c r="D33" i="4"/>
  <c r="C60" i="4"/>
  <c r="C41" i="4"/>
  <c r="M45" i="12" s="1" a="1"/>
  <c r="I4" i="4"/>
  <c r="D58" i="4"/>
  <c r="H29" i="4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 s="1"/>
  <c r="X178" i="12" s="1"/>
  <c r="X179" i="12" s="1"/>
  <c r="X180" i="12"/>
  <c r="X181" i="12" s="1"/>
  <c r="X182" i="12" s="1"/>
  <c r="X183" i="12" s="1"/>
  <c r="X184" i="12" s="1"/>
  <c r="X185" i="12" s="1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X388" i="12"/>
  <c r="X389" i="12"/>
  <c r="X390" i="12"/>
  <c r="X391" i="12"/>
  <c r="X392" i="12"/>
  <c r="X393" i="12"/>
  <c r="X394" i="12"/>
  <c r="X395" i="12"/>
  <c r="X396" i="12"/>
  <c r="X397" i="12"/>
  <c r="X398" i="12"/>
  <c r="X399" i="12"/>
  <c r="X400" i="12"/>
  <c r="X401" i="12"/>
  <c r="X402" i="12"/>
  <c r="X403" i="12"/>
  <c r="X404" i="12"/>
  <c r="X405" i="12"/>
  <c r="X406" i="12"/>
  <c r="X407" i="12"/>
  <c r="X408" i="12"/>
  <c r="X409" i="12"/>
  <c r="X410" i="12"/>
  <c r="X411" i="12"/>
  <c r="X412" i="12"/>
  <c r="X413" i="12"/>
  <c r="X414" i="12"/>
  <c r="X415" i="12"/>
  <c r="X416" i="12"/>
  <c r="X417" i="12"/>
  <c r="X418" i="12"/>
  <c r="X419" i="12"/>
  <c r="X420" i="12"/>
  <c r="X421" i="12"/>
  <c r="X422" i="12"/>
  <c r="X423" i="12"/>
  <c r="X424" i="12"/>
  <c r="X425" i="12"/>
  <c r="X426" i="12"/>
  <c r="X427" i="12"/>
  <c r="X428" i="12"/>
  <c r="X429" i="12"/>
  <c r="X430" i="12"/>
  <c r="X431" i="12"/>
  <c r="X432" i="12"/>
  <c r="X433" i="12"/>
  <c r="X434" i="12"/>
  <c r="X435" i="12"/>
  <c r="X436" i="12"/>
  <c r="X437" i="12"/>
  <c r="X438" i="12"/>
  <c r="X439" i="12"/>
  <c r="X440" i="12"/>
  <c r="X441" i="12"/>
  <c r="X442" i="12"/>
  <c r="X443" i="12"/>
  <c r="X444" i="12"/>
  <c r="X445" i="12"/>
  <c r="X446" i="12"/>
  <c r="X447" i="12"/>
  <c r="X448" i="12"/>
  <c r="X449" i="12"/>
  <c r="X450" i="12"/>
  <c r="X451" i="12"/>
  <c r="X452" i="12"/>
  <c r="X453" i="12"/>
  <c r="X454" i="12"/>
  <c r="X455" i="12"/>
  <c r="X456" i="12"/>
  <c r="X457" i="12"/>
  <c r="X458" i="12"/>
  <c r="X459" i="12"/>
  <c r="X460" i="12"/>
  <c r="X461" i="12"/>
  <c r="X462" i="12"/>
  <c r="X463" i="12"/>
  <c r="X464" i="12"/>
  <c r="X465" i="12"/>
  <c r="X466" i="12"/>
  <c r="X467" i="12"/>
  <c r="X468" i="12"/>
  <c r="X469" i="12"/>
  <c r="X470" i="12"/>
  <c r="X471" i="12"/>
  <c r="X472" i="12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X508" i="12"/>
  <c r="X509" i="12"/>
  <c r="X510" i="12"/>
  <c r="X511" i="12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/>
  <c r="X638" i="12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/>
  <c r="X705" i="12"/>
  <c r="X706" i="12"/>
  <c r="X707" i="12"/>
  <c r="X708" i="12"/>
  <c r="X709" i="12"/>
  <c r="X710" i="12"/>
  <c r="X711" i="12"/>
  <c r="X712" i="12"/>
  <c r="X713" i="12"/>
  <c r="X714" i="12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 s="1"/>
  <c r="X771" i="12" s="1"/>
  <c r="X772" i="12" s="1"/>
  <c r="X773" i="12" s="1"/>
  <c r="X774" i="12" s="1"/>
  <c r="X775" i="12" s="1"/>
  <c r="X776" i="12" s="1"/>
  <c r="X777" i="12"/>
  <c r="X778" i="12" s="1"/>
  <c r="X779" i="12" s="1"/>
  <c r="X780" i="12" s="1"/>
  <c r="X781" i="12" s="1"/>
  <c r="X782" i="12" s="1"/>
  <c r="X783" i="12" s="1"/>
  <c r="X784" i="12" s="1"/>
  <c r="X785" i="12"/>
  <c r="X786" i="12" s="1"/>
  <c r="X787" i="12" s="1"/>
  <c r="X788" i="12" s="1"/>
  <c r="X789" i="12" s="1"/>
  <c r="X790" i="12" s="1"/>
  <c r="X791" i="12" s="1"/>
  <c r="X792" i="12" s="1"/>
  <c r="X793" i="12"/>
  <c r="X794" i="12" s="1"/>
  <c r="X795" i="12" s="1"/>
  <c r="X796" i="12" s="1"/>
  <c r="X797" i="12" s="1"/>
  <c r="X798" i="12" s="1"/>
  <c r="X799" i="12" s="1"/>
  <c r="X800" i="12" s="1"/>
  <c r="X801" i="12"/>
  <c r="X802" i="12" s="1"/>
  <c r="X803" i="12" s="1"/>
  <c r="X804" i="12" s="1"/>
  <c r="X805" i="12" s="1"/>
  <c r="X806" i="12" s="1"/>
  <c r="X807" i="12" s="1"/>
  <c r="X808" i="12" s="1"/>
  <c r="X809" i="12"/>
  <c r="X810" i="12" s="1"/>
  <c r="X811" i="12" s="1"/>
  <c r="X812" i="12" s="1"/>
  <c r="X813" i="12" s="1"/>
  <c r="X814" i="12" s="1"/>
  <c r="X815" i="12" s="1"/>
  <c r="X816" i="12" s="1"/>
  <c r="X817" i="12"/>
  <c r="X818" i="12" s="1"/>
  <c r="X819" i="12" s="1"/>
  <c r="X820" i="12" s="1"/>
  <c r="X821" i="12" s="1"/>
  <c r="X822" i="12" s="1"/>
  <c r="X823" i="12" s="1"/>
  <c r="X824" i="12" s="1"/>
  <c r="X825" i="12"/>
  <c r="X826" i="12" s="1"/>
  <c r="X827" i="12" s="1"/>
  <c r="X828" i="12" s="1"/>
  <c r="X829" i="12" s="1"/>
  <c r="X830" i="12" s="1"/>
  <c r="X831" i="12" s="1"/>
  <c r="X832" i="12" s="1"/>
  <c r="X833" i="12"/>
  <c r="X834" i="12" s="1"/>
  <c r="X835" i="12" s="1"/>
  <c r="X836" i="12" s="1"/>
  <c r="X837" i="12" s="1"/>
  <c r="X838" i="12" s="1"/>
  <c r="X839" i="12" s="1"/>
  <c r="X840" i="12" s="1"/>
  <c r="X841" i="12"/>
  <c r="X842" i="12" s="1"/>
  <c r="X843" i="12" s="1"/>
  <c r="X844" i="12" s="1"/>
  <c r="X845" i="12" s="1"/>
  <c r="X846" i="12" s="1"/>
  <c r="X847" i="12" s="1"/>
  <c r="X848" i="12" s="1"/>
  <c r="X849" i="12"/>
  <c r="X850" i="12" s="1"/>
  <c r="X851" i="12" s="1"/>
  <c r="X852" i="12" s="1"/>
  <c r="X853" i="12" s="1"/>
  <c r="X854" i="12" s="1"/>
  <c r="X855" i="12" s="1"/>
  <c r="X856" i="12" s="1"/>
  <c r="X857" i="12"/>
  <c r="X858" i="12" s="1"/>
  <c r="X859" i="12" s="1"/>
  <c r="X860" i="12" s="1"/>
  <c r="X861" i="12" s="1"/>
  <c r="X862" i="12" s="1"/>
  <c r="X863" i="12" s="1"/>
  <c r="X864" i="12" s="1"/>
  <c r="X865" i="12"/>
  <c r="X866" i="12" s="1"/>
  <c r="X867" i="12" s="1"/>
  <c r="X868" i="12" s="1"/>
  <c r="X869" i="12" s="1"/>
  <c r="X870" i="12" s="1"/>
  <c r="X871" i="12" s="1"/>
  <c r="X872" i="12"/>
  <c r="X873" i="12" s="1"/>
  <c r="X874" i="12" s="1"/>
  <c r="X875" i="12" s="1"/>
  <c r="X876" i="12" s="1"/>
  <c r="X877" i="12" s="1"/>
  <c r="X878" i="12" s="1"/>
  <c r="X879" i="12" s="1"/>
  <c r="X880" i="12"/>
  <c r="X881" i="12" s="1"/>
  <c r="X882" i="12" s="1"/>
  <c r="X883" i="12" s="1"/>
  <c r="X884" i="12" s="1"/>
  <c r="X885" i="12" s="1"/>
  <c r="X886" i="12" s="1"/>
  <c r="X887" i="12" s="1"/>
  <c r="X888" i="12"/>
  <c r="X889" i="12" s="1"/>
  <c r="X890" i="12" s="1"/>
  <c r="X891" i="12" s="1"/>
  <c r="X892" i="12" s="1"/>
  <c r="X893" i="12" s="1"/>
  <c r="X894" i="12" s="1"/>
  <c r="X895" i="12" s="1"/>
  <c r="X896" i="12"/>
  <c r="X897" i="12" s="1"/>
  <c r="X898" i="12" s="1"/>
  <c r="X899" i="12" s="1"/>
  <c r="X900" i="12" s="1"/>
  <c r="X901" i="12" s="1"/>
  <c r="X902" i="12" s="1"/>
  <c r="X903" i="12" s="1"/>
  <c r="X904" i="12"/>
  <c r="X905" i="12" s="1"/>
  <c r="X906" i="12" s="1"/>
  <c r="X907" i="12" s="1"/>
  <c r="X908" i="12" s="1"/>
  <c r="X909" i="12" s="1"/>
  <c r="X910" i="12" s="1"/>
  <c r="X911" i="12" s="1"/>
  <c r="X912" i="12"/>
  <c r="X913" i="12" s="1"/>
  <c r="X914" i="12" s="1"/>
  <c r="X915" i="12" s="1"/>
  <c r="X916" i="12" s="1"/>
  <c r="X917" i="12" s="1"/>
  <c r="X918" i="12" s="1"/>
  <c r="X919" i="12" s="1"/>
  <c r="X920" i="12"/>
  <c r="X921" i="12" s="1"/>
  <c r="X922" i="12" s="1"/>
  <c r="X923" i="12" s="1"/>
  <c r="X924" i="12" s="1"/>
  <c r="X925" i="12" s="1"/>
  <c r="X926" i="12" s="1"/>
  <c r="X927" i="12" s="1"/>
  <c r="X928" i="12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/>
  <c r="X2836" i="12" s="1"/>
  <c r="X2837" i="12" s="1"/>
  <c r="X2838" i="12" s="1"/>
  <c r="X2839" i="12" s="1"/>
  <c r="X2840" i="12" s="1"/>
  <c r="X2841" i="12" s="1"/>
  <c r="X2842" i="12" s="1"/>
  <c r="X2843" i="12" s="1"/>
  <c r="X2844" i="12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L12" i="4" l="1"/>
  <c r="L26" i="4"/>
  <c r="L29" i="4"/>
  <c r="L30" i="4"/>
  <c r="L22" i="4"/>
  <c r="L23" i="4"/>
  <c r="L31" i="4"/>
  <c r="L14" i="4"/>
  <c r="L17" i="4"/>
  <c r="L24" i="4"/>
  <c r="L10" i="4"/>
  <c r="L32" i="4"/>
  <c r="L28" i="4"/>
  <c r="L18" i="4"/>
  <c r="L9" i="4"/>
  <c r="L25" i="4"/>
  <c r="D91" i="5"/>
  <c r="D89" i="5"/>
  <c r="D93" i="5"/>
  <c r="D105" i="5"/>
  <c r="D94" i="5"/>
  <c r="D125" i="5"/>
  <c r="D104" i="5"/>
  <c r="D71" i="5"/>
  <c r="D100" i="5"/>
  <c r="D6" i="5"/>
  <c r="D43" i="5"/>
  <c r="D31" i="5"/>
  <c r="D97" i="5"/>
  <c r="D68" i="5"/>
  <c r="D123" i="5"/>
  <c r="D40" i="5"/>
  <c r="D5" i="5"/>
  <c r="D41" i="5"/>
  <c r="D108" i="5"/>
  <c r="D38" i="5"/>
  <c r="D82" i="5"/>
  <c r="D3" i="5"/>
  <c r="D124" i="5"/>
  <c r="D72" i="5"/>
  <c r="D106" i="5"/>
  <c r="D81" i="5"/>
  <c r="D15" i="5"/>
  <c r="D84" i="5"/>
  <c r="D79" i="5"/>
  <c r="D115" i="5"/>
  <c r="D19" i="5"/>
  <c r="D77" i="5"/>
  <c r="D26" i="5"/>
  <c r="D23" i="5"/>
  <c r="D61" i="5"/>
  <c r="D20" i="5"/>
  <c r="D11" i="5"/>
  <c r="D116" i="5"/>
  <c r="D110" i="5"/>
  <c r="D63" i="5"/>
  <c r="D14" i="5"/>
  <c r="D88" i="5"/>
  <c r="D25" i="5"/>
  <c r="D92" i="5"/>
  <c r="D16" i="5"/>
  <c r="D69" i="5"/>
  <c r="D57" i="5"/>
  <c r="D21" i="5"/>
  <c r="D67" i="5"/>
  <c r="D28" i="5"/>
  <c r="D12" i="5"/>
  <c r="D32" i="5"/>
  <c r="D66" i="5"/>
  <c r="D113" i="5"/>
  <c r="D96" i="5"/>
  <c r="D51" i="5"/>
  <c r="D99" i="5"/>
  <c r="D42" i="5"/>
  <c r="D109" i="5"/>
  <c r="D60" i="5"/>
  <c r="D86" i="5"/>
  <c r="D74" i="5"/>
  <c r="D46" i="5"/>
  <c r="D83" i="5"/>
  <c r="D65" i="5"/>
  <c r="D17" i="5"/>
  <c r="D8" i="5"/>
  <c r="D37" i="5"/>
  <c r="D119" i="5"/>
  <c r="D102" i="5"/>
  <c r="D56" i="5"/>
  <c r="D118" i="5"/>
  <c r="D53" i="5"/>
  <c r="D59" i="5"/>
  <c r="D103" i="5"/>
  <c r="D126" i="5"/>
  <c r="D58" i="5"/>
  <c r="D70" i="5"/>
  <c r="D35" i="5"/>
  <c r="D121" i="5"/>
  <c r="D9" i="5"/>
  <c r="D75" i="5"/>
  <c r="D22" i="5"/>
  <c r="D80" i="5"/>
  <c r="D54" i="5"/>
  <c r="D64" i="5"/>
  <c r="D18" i="5"/>
  <c r="D95" i="5"/>
  <c r="D27" i="5"/>
  <c r="D48" i="5"/>
  <c r="D122" i="5"/>
  <c r="D101" i="5"/>
  <c r="D45" i="5"/>
  <c r="D7" i="5"/>
  <c r="D24" i="5"/>
  <c r="D117" i="5"/>
  <c r="D4" i="5"/>
  <c r="D111" i="5"/>
  <c r="D90" i="5"/>
  <c r="D2" i="5"/>
  <c r="D87" i="5"/>
  <c r="D29" i="5"/>
  <c r="D78" i="5"/>
  <c r="D50" i="5"/>
  <c r="D34" i="5"/>
  <c r="D112" i="5"/>
  <c r="D73" i="5"/>
  <c r="D33" i="5"/>
  <c r="D85" i="5"/>
  <c r="D98" i="5"/>
  <c r="D44" i="5"/>
  <c r="D62" i="5"/>
  <c r="D107" i="5"/>
  <c r="D36" i="5"/>
  <c r="D114" i="5"/>
  <c r="D52" i="5"/>
  <c r="D13" i="5"/>
  <c r="D55" i="5"/>
  <c r="D47" i="5"/>
  <c r="D30" i="5"/>
  <c r="D39" i="5"/>
  <c r="D120" i="5"/>
  <c r="D49" i="5"/>
  <c r="D10" i="5"/>
  <c r="D76" i="5"/>
  <c r="L19" i="4"/>
  <c r="L15" i="4"/>
  <c r="L13" i="4"/>
  <c r="L16" i="4"/>
  <c r="L20" i="4"/>
  <c r="L21" i="4"/>
  <c r="L11" i="4"/>
  <c r="L27" i="4"/>
  <c r="M45" i="12"/>
  <c r="M76" i="12"/>
  <c r="M60" i="12"/>
  <c r="M54" i="12"/>
  <c r="M58" i="12"/>
  <c r="M68" i="12"/>
  <c r="M70" i="12"/>
  <c r="M59" i="12"/>
  <c r="M73" i="12"/>
  <c r="M61" i="12"/>
  <c r="M48" i="12"/>
  <c r="M72" i="12"/>
  <c r="M75" i="12"/>
  <c r="M66" i="12"/>
  <c r="M49" i="12"/>
  <c r="M67" i="12"/>
  <c r="M56" i="12"/>
  <c r="M57" i="12"/>
  <c r="M64" i="12"/>
  <c r="M63" i="12"/>
  <c r="M74" i="12"/>
  <c r="M47" i="12"/>
  <c r="M69" i="12"/>
  <c r="M71" i="12"/>
  <c r="M55" i="12"/>
  <c r="M77" i="12"/>
  <c r="M46" i="12"/>
  <c r="M53" i="12"/>
  <c r="M62" i="12"/>
  <c r="M50" i="12"/>
  <c r="M52" i="12"/>
  <c r="M65" i="12"/>
  <c r="M51" i="12"/>
  <c r="O45" i="12"/>
  <c r="N45" i="12"/>
  <c r="O76" i="12"/>
  <c r="N76" i="12"/>
  <c r="O60" i="12"/>
  <c r="N60" i="12"/>
  <c r="O54" i="12"/>
  <c r="N54" i="12"/>
  <c r="O58" i="12"/>
  <c r="N58" i="12"/>
  <c r="F71" i="5"/>
  <c r="H71" i="5"/>
  <c r="I71" i="5"/>
  <c r="G71" i="5"/>
  <c r="E71" i="5"/>
  <c r="G40" i="5"/>
  <c r="E40" i="5"/>
  <c r="H40" i="5"/>
  <c r="I40" i="5"/>
  <c r="F40" i="5"/>
  <c r="F72" i="5"/>
  <c r="G72" i="5"/>
  <c r="E72" i="5"/>
  <c r="H72" i="5"/>
  <c r="I72" i="5"/>
  <c r="I77" i="5"/>
  <c r="H77" i="5"/>
  <c r="F77" i="5"/>
  <c r="G77" i="5"/>
  <c r="E77" i="5"/>
  <c r="I63" i="5"/>
  <c r="H63" i="5"/>
  <c r="G63" i="5"/>
  <c r="F63" i="5"/>
  <c r="E63" i="5"/>
  <c r="E21" i="5"/>
  <c r="F21" i="5"/>
  <c r="I21" i="5"/>
  <c r="G21" i="5"/>
  <c r="H21" i="5"/>
  <c r="E51" i="5"/>
  <c r="G51" i="5"/>
  <c r="F51" i="5"/>
  <c r="H51" i="5"/>
  <c r="I51" i="5"/>
  <c r="H83" i="5"/>
  <c r="F83" i="5"/>
  <c r="E83" i="5"/>
  <c r="G83" i="5"/>
  <c r="I83" i="5"/>
  <c r="F118" i="5"/>
  <c r="E118" i="5"/>
  <c r="G118" i="5"/>
  <c r="I118" i="5"/>
  <c r="H118" i="5"/>
  <c r="E121" i="5"/>
  <c r="F121" i="5"/>
  <c r="I121" i="5"/>
  <c r="H121" i="5"/>
  <c r="G121" i="5"/>
  <c r="H95" i="5"/>
  <c r="I95" i="5"/>
  <c r="G95" i="5"/>
  <c r="F95" i="5"/>
  <c r="E95" i="5"/>
  <c r="F117" i="5"/>
  <c r="G117" i="5"/>
  <c r="E117" i="5"/>
  <c r="I117" i="5"/>
  <c r="H117" i="5"/>
  <c r="G50" i="5"/>
  <c r="E50" i="5"/>
  <c r="I50" i="5"/>
  <c r="F50" i="5"/>
  <c r="H50" i="5"/>
  <c r="I62" i="5"/>
  <c r="F62" i="5"/>
  <c r="G62" i="5"/>
  <c r="E62" i="5"/>
  <c r="H62" i="5"/>
  <c r="H30" i="5"/>
  <c r="F30" i="5"/>
  <c r="I30" i="5"/>
  <c r="E30" i="5"/>
  <c r="G30" i="5"/>
  <c r="O63" i="12"/>
  <c r="N63" i="12"/>
  <c r="O68" i="12"/>
  <c r="N68" i="12"/>
  <c r="O70" i="12"/>
  <c r="N70" i="12"/>
  <c r="N59" i="12"/>
  <c r="O59" i="12"/>
  <c r="F91" i="5"/>
  <c r="E91" i="5"/>
  <c r="I91" i="5"/>
  <c r="H91" i="5"/>
  <c r="G91" i="5"/>
  <c r="H100" i="5"/>
  <c r="E100" i="5"/>
  <c r="F100" i="5"/>
  <c r="I100" i="5"/>
  <c r="G100" i="5"/>
  <c r="I5" i="5"/>
  <c r="E5" i="5"/>
  <c r="H5" i="5"/>
  <c r="G5" i="5"/>
  <c r="F5" i="5"/>
  <c r="G106" i="5"/>
  <c r="E106" i="5"/>
  <c r="I106" i="5"/>
  <c r="F106" i="5"/>
  <c r="H106" i="5"/>
  <c r="F26" i="5"/>
  <c r="H26" i="5"/>
  <c r="I26" i="5"/>
  <c r="G26" i="5"/>
  <c r="E26" i="5"/>
  <c r="E14" i="5"/>
  <c r="F14" i="5"/>
  <c r="G14" i="5"/>
  <c r="I14" i="5"/>
  <c r="H14" i="5"/>
  <c r="G67" i="5"/>
  <c r="F67" i="5"/>
  <c r="E67" i="5"/>
  <c r="I67" i="5"/>
  <c r="H67" i="5"/>
  <c r="G99" i="5"/>
  <c r="F99" i="5"/>
  <c r="H99" i="5"/>
  <c r="E99" i="5"/>
  <c r="I99" i="5"/>
  <c r="I65" i="5"/>
  <c r="H65" i="5"/>
  <c r="E65" i="5"/>
  <c r="F65" i="5"/>
  <c r="G65" i="5"/>
  <c r="I53" i="5"/>
  <c r="F53" i="5"/>
  <c r="G53" i="5"/>
  <c r="H53" i="5"/>
  <c r="E53" i="5"/>
  <c r="G9" i="5"/>
  <c r="F9" i="5"/>
  <c r="E9" i="5"/>
  <c r="I9" i="5"/>
  <c r="H9" i="5"/>
  <c r="H27" i="5"/>
  <c r="I27" i="5"/>
  <c r="F27" i="5"/>
  <c r="G27" i="5"/>
  <c r="E27" i="5"/>
  <c r="E4" i="5"/>
  <c r="H4" i="5"/>
  <c r="F4" i="5"/>
  <c r="G4" i="5"/>
  <c r="I4" i="5"/>
  <c r="I34" i="5"/>
  <c r="G34" i="5"/>
  <c r="H34" i="5"/>
  <c r="F34" i="5"/>
  <c r="E34" i="5"/>
  <c r="H107" i="5"/>
  <c r="F107" i="5"/>
  <c r="I107" i="5"/>
  <c r="E107" i="5"/>
  <c r="G107" i="5"/>
  <c r="H39" i="5"/>
  <c r="G39" i="5"/>
  <c r="I39" i="5"/>
  <c r="E39" i="5"/>
  <c r="F39" i="5"/>
  <c r="O73" i="12"/>
  <c r="N73" i="12"/>
  <c r="N74" i="12"/>
  <c r="O74" i="12"/>
  <c r="N61" i="12"/>
  <c r="O61" i="12"/>
  <c r="N47" i="12"/>
  <c r="O47" i="12"/>
  <c r="E89" i="5"/>
  <c r="I89" i="5"/>
  <c r="G89" i="5"/>
  <c r="F89" i="5"/>
  <c r="H89" i="5"/>
  <c r="H6" i="5"/>
  <c r="G6" i="5"/>
  <c r="E6" i="5"/>
  <c r="I6" i="5"/>
  <c r="F6" i="5"/>
  <c r="I41" i="5"/>
  <c r="H41" i="5"/>
  <c r="F41" i="5"/>
  <c r="G41" i="5"/>
  <c r="E41" i="5"/>
  <c r="H81" i="5"/>
  <c r="I81" i="5"/>
  <c r="E81" i="5"/>
  <c r="G81" i="5"/>
  <c r="F81" i="5"/>
  <c r="G23" i="5"/>
  <c r="I23" i="5"/>
  <c r="H23" i="5"/>
  <c r="F23" i="5"/>
  <c r="E23" i="5"/>
  <c r="E88" i="5"/>
  <c r="F88" i="5"/>
  <c r="I88" i="5"/>
  <c r="H88" i="5"/>
  <c r="G88" i="5"/>
  <c r="G28" i="5"/>
  <c r="I28" i="5"/>
  <c r="H28" i="5"/>
  <c r="F28" i="5"/>
  <c r="E28" i="5"/>
  <c r="H42" i="5"/>
  <c r="I42" i="5"/>
  <c r="E42" i="5"/>
  <c r="G42" i="5"/>
  <c r="F42" i="5"/>
  <c r="E17" i="5"/>
  <c r="H17" i="5"/>
  <c r="G17" i="5"/>
  <c r="F17" i="5"/>
  <c r="I17" i="5"/>
  <c r="G59" i="5"/>
  <c r="H59" i="5"/>
  <c r="E59" i="5"/>
  <c r="F59" i="5"/>
  <c r="I59" i="5"/>
  <c r="I75" i="5"/>
  <c r="F75" i="5"/>
  <c r="H75" i="5"/>
  <c r="E75" i="5"/>
  <c r="G75" i="5"/>
  <c r="H48" i="5"/>
  <c r="E48" i="5"/>
  <c r="F48" i="5"/>
  <c r="G48" i="5"/>
  <c r="I48" i="5"/>
  <c r="G111" i="5"/>
  <c r="E111" i="5"/>
  <c r="F111" i="5"/>
  <c r="I111" i="5"/>
  <c r="H111" i="5"/>
  <c r="I112" i="5"/>
  <c r="E112" i="5"/>
  <c r="H112" i="5"/>
  <c r="F112" i="5"/>
  <c r="G112" i="5"/>
  <c r="I36" i="5"/>
  <c r="G36" i="5"/>
  <c r="E36" i="5"/>
  <c r="H36" i="5"/>
  <c r="F36" i="5"/>
  <c r="I120" i="5"/>
  <c r="E120" i="5"/>
  <c r="H120" i="5"/>
  <c r="G120" i="5"/>
  <c r="F120" i="5"/>
  <c r="N48" i="12"/>
  <c r="O48" i="12"/>
  <c r="N69" i="12"/>
  <c r="O69" i="12"/>
  <c r="O72" i="12"/>
  <c r="N72" i="12"/>
  <c r="O71" i="12"/>
  <c r="N71" i="12"/>
  <c r="F93" i="5"/>
  <c r="E93" i="5"/>
  <c r="I93" i="5"/>
  <c r="G93" i="5"/>
  <c r="H93" i="5"/>
  <c r="H43" i="5"/>
  <c r="F43" i="5"/>
  <c r="E43" i="5"/>
  <c r="G43" i="5"/>
  <c r="I43" i="5"/>
  <c r="G108" i="5"/>
  <c r="F108" i="5"/>
  <c r="H108" i="5"/>
  <c r="E108" i="5"/>
  <c r="I108" i="5"/>
  <c r="H15" i="5"/>
  <c r="E15" i="5"/>
  <c r="I15" i="5"/>
  <c r="G15" i="5"/>
  <c r="F15" i="5"/>
  <c r="E61" i="5"/>
  <c r="I61" i="5"/>
  <c r="G61" i="5"/>
  <c r="H61" i="5"/>
  <c r="F61" i="5"/>
  <c r="E25" i="5"/>
  <c r="F25" i="5"/>
  <c r="H25" i="5"/>
  <c r="I25" i="5"/>
  <c r="G25" i="5"/>
  <c r="G12" i="5"/>
  <c r="I12" i="5"/>
  <c r="F12" i="5"/>
  <c r="E12" i="5"/>
  <c r="H12" i="5"/>
  <c r="E109" i="5"/>
  <c r="F109" i="5"/>
  <c r="I109" i="5"/>
  <c r="G109" i="5"/>
  <c r="H109" i="5"/>
  <c r="F8" i="5"/>
  <c r="E8" i="5"/>
  <c r="H8" i="5"/>
  <c r="I8" i="5"/>
  <c r="G8" i="5"/>
  <c r="I103" i="5"/>
  <c r="E103" i="5"/>
  <c r="H103" i="5"/>
  <c r="F103" i="5"/>
  <c r="G103" i="5"/>
  <c r="I22" i="5"/>
  <c r="E22" i="5"/>
  <c r="H22" i="5"/>
  <c r="F22" i="5"/>
  <c r="G22" i="5"/>
  <c r="G122" i="5"/>
  <c r="H122" i="5"/>
  <c r="F122" i="5"/>
  <c r="E122" i="5"/>
  <c r="I122" i="5"/>
  <c r="E90" i="5"/>
  <c r="H90" i="5"/>
  <c r="I90" i="5"/>
  <c r="F90" i="5"/>
  <c r="G90" i="5"/>
  <c r="F73" i="5"/>
  <c r="E73" i="5"/>
  <c r="I73" i="5"/>
  <c r="G73" i="5"/>
  <c r="H73" i="5"/>
  <c r="E114" i="5"/>
  <c r="G114" i="5"/>
  <c r="I114" i="5"/>
  <c r="H114" i="5"/>
  <c r="F114" i="5"/>
  <c r="H49" i="5"/>
  <c r="I49" i="5"/>
  <c r="F49" i="5"/>
  <c r="E49" i="5"/>
  <c r="G49" i="5"/>
  <c r="O75" i="12"/>
  <c r="N75" i="12"/>
  <c r="O55" i="12"/>
  <c r="N55" i="12"/>
  <c r="N66" i="12"/>
  <c r="O66" i="12"/>
  <c r="O77" i="12"/>
  <c r="N77" i="12"/>
  <c r="H105" i="5"/>
  <c r="I105" i="5"/>
  <c r="G105" i="5"/>
  <c r="F105" i="5"/>
  <c r="E105" i="5"/>
  <c r="G31" i="5"/>
  <c r="E31" i="5"/>
  <c r="F31" i="5"/>
  <c r="H31" i="5"/>
  <c r="I31" i="5"/>
  <c r="F38" i="5"/>
  <c r="H38" i="5"/>
  <c r="I38" i="5"/>
  <c r="E38" i="5"/>
  <c r="G38" i="5"/>
  <c r="F84" i="5"/>
  <c r="G84" i="5"/>
  <c r="E84" i="5"/>
  <c r="H84" i="5"/>
  <c r="I84" i="5"/>
  <c r="E20" i="5"/>
  <c r="G20" i="5"/>
  <c r="I20" i="5"/>
  <c r="H20" i="5"/>
  <c r="F20" i="5"/>
  <c r="G92" i="5"/>
  <c r="H92" i="5"/>
  <c r="E92" i="5"/>
  <c r="I92" i="5"/>
  <c r="F92" i="5"/>
  <c r="E32" i="5"/>
  <c r="F32" i="5"/>
  <c r="I32" i="5"/>
  <c r="G32" i="5"/>
  <c r="H32" i="5"/>
  <c r="I60" i="5"/>
  <c r="F60" i="5"/>
  <c r="H60" i="5"/>
  <c r="G60" i="5"/>
  <c r="E60" i="5"/>
  <c r="F37" i="5"/>
  <c r="H37" i="5"/>
  <c r="I37" i="5"/>
  <c r="E37" i="5"/>
  <c r="G37" i="5"/>
  <c r="G126" i="5"/>
  <c r="H126" i="5"/>
  <c r="I126" i="5"/>
  <c r="E126" i="5"/>
  <c r="F126" i="5"/>
  <c r="I80" i="5"/>
  <c r="E80" i="5"/>
  <c r="H80" i="5"/>
  <c r="F80" i="5"/>
  <c r="G80" i="5"/>
  <c r="E101" i="5"/>
  <c r="I101" i="5"/>
  <c r="G101" i="5"/>
  <c r="F101" i="5"/>
  <c r="H101" i="5"/>
  <c r="E2" i="5"/>
  <c r="I2" i="5"/>
  <c r="G2" i="5"/>
  <c r="F2" i="5"/>
  <c r="H2" i="5"/>
  <c r="F33" i="5"/>
  <c r="I33" i="5"/>
  <c r="G33" i="5"/>
  <c r="H33" i="5"/>
  <c r="E33" i="5"/>
  <c r="I52" i="5"/>
  <c r="E52" i="5"/>
  <c r="H52" i="5"/>
  <c r="G52" i="5"/>
  <c r="F52" i="5"/>
  <c r="E10" i="5"/>
  <c r="G10" i="5"/>
  <c r="I10" i="5"/>
  <c r="H10" i="5"/>
  <c r="F10" i="5"/>
  <c r="N49" i="12"/>
  <c r="O49" i="12"/>
  <c r="N46" i="12"/>
  <c r="O46" i="12"/>
  <c r="O52" i="12"/>
  <c r="N52" i="12"/>
  <c r="O67" i="12"/>
  <c r="N67" i="12"/>
  <c r="H94" i="5"/>
  <c r="G94" i="5"/>
  <c r="E94" i="5"/>
  <c r="F94" i="5"/>
  <c r="I94" i="5"/>
  <c r="F97" i="5"/>
  <c r="I97" i="5"/>
  <c r="E97" i="5"/>
  <c r="H97" i="5"/>
  <c r="G97" i="5"/>
  <c r="E82" i="5"/>
  <c r="H82" i="5"/>
  <c r="F82" i="5"/>
  <c r="G82" i="5"/>
  <c r="I82" i="5"/>
  <c r="E79" i="5"/>
  <c r="F79" i="5"/>
  <c r="I79" i="5"/>
  <c r="H79" i="5"/>
  <c r="G79" i="5"/>
  <c r="F11" i="5"/>
  <c r="I11" i="5"/>
  <c r="E11" i="5"/>
  <c r="H11" i="5"/>
  <c r="G11" i="5"/>
  <c r="E16" i="5"/>
  <c r="G16" i="5"/>
  <c r="F16" i="5"/>
  <c r="I16" i="5"/>
  <c r="H16" i="5"/>
  <c r="F66" i="5"/>
  <c r="G66" i="5"/>
  <c r="E66" i="5"/>
  <c r="H66" i="5"/>
  <c r="I66" i="5"/>
  <c r="I86" i="5"/>
  <c r="G86" i="5"/>
  <c r="F86" i="5"/>
  <c r="E86" i="5"/>
  <c r="H86" i="5"/>
  <c r="F119" i="5"/>
  <c r="E119" i="5"/>
  <c r="I119" i="5"/>
  <c r="H119" i="5"/>
  <c r="G119" i="5"/>
  <c r="F58" i="5"/>
  <c r="G58" i="5"/>
  <c r="H58" i="5"/>
  <c r="E58" i="5"/>
  <c r="I58" i="5"/>
  <c r="E54" i="5"/>
  <c r="H54" i="5"/>
  <c r="F54" i="5"/>
  <c r="G54" i="5"/>
  <c r="I54" i="5"/>
  <c r="G45" i="5"/>
  <c r="I45" i="5"/>
  <c r="H45" i="5"/>
  <c r="E45" i="5"/>
  <c r="F45" i="5"/>
  <c r="G87" i="5"/>
  <c r="E87" i="5"/>
  <c r="H87" i="5"/>
  <c r="I87" i="5"/>
  <c r="F87" i="5"/>
  <c r="G85" i="5"/>
  <c r="H85" i="5"/>
  <c r="E85" i="5"/>
  <c r="I85" i="5"/>
  <c r="F85" i="5"/>
  <c r="F13" i="5"/>
  <c r="H13" i="5"/>
  <c r="E13" i="5"/>
  <c r="G13" i="5"/>
  <c r="I13" i="5"/>
  <c r="F76" i="5"/>
  <c r="H76" i="5"/>
  <c r="I76" i="5"/>
  <c r="G76" i="5"/>
  <c r="E76" i="5"/>
  <c r="N53" i="12"/>
  <c r="O53" i="12"/>
  <c r="N56" i="12"/>
  <c r="O56" i="12"/>
  <c r="O62" i="12"/>
  <c r="N62" i="12"/>
  <c r="O65" i="12"/>
  <c r="N65" i="12"/>
  <c r="H125" i="5"/>
  <c r="I125" i="5"/>
  <c r="E125" i="5"/>
  <c r="G125" i="5"/>
  <c r="F125" i="5"/>
  <c r="H68" i="5"/>
  <c r="I68" i="5"/>
  <c r="F68" i="5"/>
  <c r="E68" i="5"/>
  <c r="G68" i="5"/>
  <c r="E3" i="5"/>
  <c r="I3" i="5"/>
  <c r="F3" i="5"/>
  <c r="H3" i="5"/>
  <c r="G3" i="5"/>
  <c r="E115" i="5"/>
  <c r="F115" i="5"/>
  <c r="G115" i="5"/>
  <c r="H115" i="5"/>
  <c r="I115" i="5"/>
  <c r="H116" i="5"/>
  <c r="F116" i="5"/>
  <c r="E116" i="5"/>
  <c r="I116" i="5"/>
  <c r="G116" i="5"/>
  <c r="I69" i="5"/>
  <c r="H69" i="5"/>
  <c r="G69" i="5"/>
  <c r="F69" i="5"/>
  <c r="E69" i="5"/>
  <c r="H113" i="5"/>
  <c r="E113" i="5"/>
  <c r="F113" i="5"/>
  <c r="G113" i="5"/>
  <c r="I113" i="5"/>
  <c r="G74" i="5"/>
  <c r="I74" i="5"/>
  <c r="F74" i="5"/>
  <c r="E74" i="5"/>
  <c r="H74" i="5"/>
  <c r="I102" i="5"/>
  <c r="G102" i="5"/>
  <c r="E102" i="5"/>
  <c r="F102" i="5"/>
  <c r="H102" i="5"/>
  <c r="I70" i="5"/>
  <c r="H70" i="5"/>
  <c r="F70" i="5"/>
  <c r="E70" i="5"/>
  <c r="G70" i="5"/>
  <c r="I64" i="5"/>
  <c r="F64" i="5"/>
  <c r="E64" i="5"/>
  <c r="H64" i="5"/>
  <c r="G64" i="5"/>
  <c r="G7" i="5"/>
  <c r="I7" i="5"/>
  <c r="F7" i="5"/>
  <c r="H7" i="5"/>
  <c r="E7" i="5"/>
  <c r="F29" i="5"/>
  <c r="G29" i="5"/>
  <c r="H29" i="5"/>
  <c r="I29" i="5"/>
  <c r="E29" i="5"/>
  <c r="H98" i="5"/>
  <c r="I98" i="5"/>
  <c r="E98" i="5"/>
  <c r="F98" i="5"/>
  <c r="G98" i="5"/>
  <c r="G55" i="5"/>
  <c r="I55" i="5"/>
  <c r="E55" i="5"/>
  <c r="F55" i="5"/>
  <c r="H55" i="5"/>
  <c r="O57" i="12"/>
  <c r="N57" i="12"/>
  <c r="N50" i="12"/>
  <c r="O50" i="12"/>
  <c r="N51" i="12"/>
  <c r="O51" i="12"/>
  <c r="N64" i="12"/>
  <c r="O64" i="12"/>
  <c r="M19" i="12" a="1"/>
  <c r="E104" i="5"/>
  <c r="G104" i="5"/>
  <c r="I104" i="5"/>
  <c r="H104" i="5"/>
  <c r="F104" i="5"/>
  <c r="G123" i="5"/>
  <c r="E123" i="5"/>
  <c r="I123" i="5"/>
  <c r="F123" i="5"/>
  <c r="H123" i="5"/>
  <c r="G124" i="5"/>
  <c r="H124" i="5"/>
  <c r="E124" i="5"/>
  <c r="I124" i="5"/>
  <c r="F124" i="5"/>
  <c r="F19" i="5"/>
  <c r="E19" i="5"/>
  <c r="H19" i="5"/>
  <c r="G19" i="5"/>
  <c r="I19" i="5"/>
  <c r="F110" i="5"/>
  <c r="E110" i="5"/>
  <c r="G110" i="5"/>
  <c r="H110" i="5"/>
  <c r="I110" i="5"/>
  <c r="F57" i="5"/>
  <c r="I57" i="5"/>
  <c r="E57" i="5"/>
  <c r="G57" i="5"/>
  <c r="H57" i="5"/>
  <c r="F96" i="5"/>
  <c r="H96" i="5"/>
  <c r="I96" i="5"/>
  <c r="E96" i="5"/>
  <c r="G96" i="5"/>
  <c r="E46" i="5"/>
  <c r="G46" i="5"/>
  <c r="H46" i="5"/>
  <c r="I46" i="5"/>
  <c r="F46" i="5"/>
  <c r="F56" i="5"/>
  <c r="I56" i="5"/>
  <c r="G56" i="5"/>
  <c r="E56" i="5"/>
  <c r="H56" i="5"/>
  <c r="F35" i="5"/>
  <c r="E35" i="5"/>
  <c r="G35" i="5"/>
  <c r="I35" i="5"/>
  <c r="H35" i="5"/>
  <c r="E18" i="5"/>
  <c r="H18" i="5"/>
  <c r="I18" i="5"/>
  <c r="G18" i="5"/>
  <c r="F18" i="5"/>
  <c r="I24" i="5"/>
  <c r="G24" i="5"/>
  <c r="H24" i="5"/>
  <c r="F24" i="5"/>
  <c r="E24" i="5"/>
  <c r="H78" i="5"/>
  <c r="G78" i="5"/>
  <c r="I78" i="5"/>
  <c r="E78" i="5"/>
  <c r="F78" i="5"/>
  <c r="E44" i="5"/>
  <c r="F44" i="5"/>
  <c r="I44" i="5"/>
  <c r="H44" i="5"/>
  <c r="G44" i="5"/>
  <c r="H47" i="5"/>
  <c r="G47" i="5"/>
  <c r="E47" i="5"/>
  <c r="F47" i="5"/>
  <c r="I47" i="5"/>
  <c r="M29" i="12" l="1"/>
  <c r="M25" i="12"/>
  <c r="M27" i="12"/>
  <c r="M35" i="12"/>
  <c r="M31" i="12"/>
  <c r="M33" i="12"/>
  <c r="M41" i="12"/>
  <c r="M37" i="12"/>
  <c r="M22" i="12"/>
  <c r="M26" i="12"/>
  <c r="M20" i="12"/>
  <c r="M28" i="12"/>
  <c r="M24" i="12"/>
  <c r="M34" i="12"/>
  <c r="M42" i="12"/>
  <c r="M30" i="12"/>
  <c r="M32" i="12"/>
  <c r="M23" i="12"/>
  <c r="M36" i="12"/>
  <c r="M38" i="12"/>
  <c r="M39" i="12"/>
  <c r="M19" i="12"/>
  <c r="M21" i="12"/>
  <c r="M40" i="12"/>
  <c r="Q64" i="12"/>
  <c r="Q51" i="12"/>
  <c r="Q50" i="12"/>
  <c r="Q57" i="12"/>
  <c r="Q65" i="12"/>
  <c r="Q62" i="12"/>
  <c r="Q56" i="12"/>
  <c r="Q53" i="12"/>
  <c r="Q67" i="12"/>
  <c r="Q52" i="12"/>
  <c r="Q46" i="12"/>
  <c r="Q49" i="12"/>
  <c r="Q77" i="12"/>
  <c r="Q66" i="12"/>
  <c r="Q55" i="12"/>
  <c r="Q75" i="12"/>
  <c r="Q71" i="12"/>
  <c r="Q72" i="12"/>
  <c r="Q69" i="12"/>
  <c r="Q48" i="12"/>
  <c r="Q47" i="12"/>
  <c r="Q61" i="12"/>
  <c r="Q74" i="12"/>
  <c r="Q73" i="12"/>
  <c r="Q59" i="12"/>
  <c r="Q70" i="12"/>
  <c r="Q68" i="12"/>
  <c r="Q63" i="12"/>
  <c r="Q58" i="12"/>
  <c r="Q54" i="12"/>
  <c r="Q60" i="12"/>
  <c r="Q76" i="12"/>
  <c r="Q45" i="12"/>
  <c r="O29" i="12"/>
  <c r="N29" i="12"/>
  <c r="P29" i="12"/>
  <c r="O22" i="12"/>
  <c r="P22" i="12"/>
  <c r="N22" i="12"/>
  <c r="N32" i="12"/>
  <c r="P32" i="12"/>
  <c r="O32" i="12"/>
  <c r="N25" i="12"/>
  <c r="O25" i="12"/>
  <c r="P25" i="12"/>
  <c r="N26" i="12"/>
  <c r="P26" i="12"/>
  <c r="O26" i="12"/>
  <c r="N23" i="12"/>
  <c r="P23" i="12"/>
  <c r="O23" i="12"/>
  <c r="O27" i="12"/>
  <c r="P27" i="12"/>
  <c r="N27" i="12"/>
  <c r="N20" i="12"/>
  <c r="O20" i="12"/>
  <c r="P20" i="12"/>
  <c r="P36" i="12"/>
  <c r="O36" i="12"/>
  <c r="N36" i="12"/>
  <c r="N35" i="12"/>
  <c r="O35" i="12"/>
  <c r="P35" i="12"/>
  <c r="P28" i="12"/>
  <c r="N28" i="12"/>
  <c r="O28" i="12"/>
  <c r="P38" i="12"/>
  <c r="N38" i="12"/>
  <c r="O38" i="12"/>
  <c r="O31" i="12"/>
  <c r="N31" i="12"/>
  <c r="P31" i="12"/>
  <c r="P24" i="12"/>
  <c r="N24" i="12"/>
  <c r="O24" i="12"/>
  <c r="P39" i="12"/>
  <c r="N39" i="12"/>
  <c r="O39" i="12"/>
  <c r="O33" i="12"/>
  <c r="N33" i="12"/>
  <c r="P33" i="12"/>
  <c r="N34" i="12"/>
  <c r="P34" i="12"/>
  <c r="O34" i="12"/>
  <c r="P19" i="12"/>
  <c r="O19" i="12"/>
  <c r="N19" i="12"/>
  <c r="P41" i="12"/>
  <c r="N41" i="12"/>
  <c r="O41" i="12"/>
  <c r="O42" i="12"/>
  <c r="P42" i="12"/>
  <c r="N42" i="12"/>
  <c r="P21" i="12"/>
  <c r="O21" i="12"/>
  <c r="N21" i="12"/>
  <c r="O37" i="12"/>
  <c r="P37" i="12"/>
  <c r="N37" i="12"/>
  <c r="O30" i="12"/>
  <c r="P30" i="12"/>
  <c r="N30" i="12"/>
  <c r="P40" i="12"/>
  <c r="N40" i="12"/>
  <c r="O40" i="12"/>
  <c r="D14" i="6" l="1"/>
  <c r="J23" i="12"/>
  <c r="Z17" i="12"/>
  <c r="Y1347" i="12"/>
  <c r="Y2228" i="12"/>
  <c r="Y3369" i="12"/>
  <c r="Y2978" i="12"/>
  <c r="Y2384" i="12"/>
  <c r="Y3110" i="12"/>
  <c r="Y2217" i="12"/>
  <c r="Y1751" i="12"/>
  <c r="Y1605" i="12"/>
  <c r="Y1374" i="12"/>
  <c r="Y1475" i="12"/>
  <c r="Y1822" i="12"/>
  <c r="Y2825" i="12"/>
  <c r="Y1382" i="12"/>
  <c r="Y1237" i="12"/>
  <c r="Y1254" i="12"/>
  <c r="Y2290" i="12"/>
  <c r="Y2543" i="12"/>
  <c r="Y2724" i="12"/>
  <c r="Y3441" i="12"/>
  <c r="Y3343" i="12"/>
  <c r="Y2652" i="12"/>
  <c r="Y3162" i="12"/>
  <c r="Y2559" i="12"/>
  <c r="Y1932" i="12"/>
  <c r="Y3522" i="12"/>
  <c r="Y2404" i="12"/>
  <c r="Y2366" i="12"/>
  <c r="Y2675" i="12"/>
  <c r="Y2727" i="12"/>
  <c r="Y2282" i="12"/>
  <c r="Y3009" i="12"/>
  <c r="Y2961" i="12"/>
  <c r="Y2640" i="12"/>
  <c r="Y3022" i="12"/>
  <c r="Y2242" i="12"/>
  <c r="Y2137" i="12"/>
  <c r="Y1271" i="12"/>
  <c r="Y2394" i="12"/>
  <c r="Y2751" i="12"/>
  <c r="Y2311" i="12"/>
  <c r="Y2984" i="12"/>
  <c r="Y1363" i="12"/>
  <c r="Y2847" i="12"/>
  <c r="Y2524" i="12"/>
  <c r="Y2348" i="12"/>
  <c r="Y2788" i="12"/>
  <c r="Y1902" i="12"/>
  <c r="Y434" i="12"/>
  <c r="Y3184" i="12"/>
  <c r="Y2629" i="12"/>
  <c r="Y1291" i="12"/>
  <c r="Y3459" i="12"/>
  <c r="Y2660" i="12"/>
  <c r="Y1731" i="12"/>
  <c r="Y2821" i="12"/>
  <c r="Y2202" i="12"/>
  <c r="Y2331" i="12"/>
  <c r="Y3523" i="12"/>
  <c r="Y3139" i="12"/>
  <c r="Y3003" i="12"/>
  <c r="Y2303" i="12"/>
  <c r="Y2704" i="12"/>
  <c r="Y2758" i="12"/>
  <c r="Y2249" i="12"/>
  <c r="Y2726" i="12"/>
  <c r="Y3043" i="12"/>
  <c r="Y2587" i="12"/>
  <c r="Y3251" i="12"/>
  <c r="Y2621" i="12"/>
  <c r="Y857" i="12"/>
  <c r="Y2928" i="12"/>
  <c r="Y2130" i="12"/>
  <c r="Y2843" i="12"/>
  <c r="Y1947" i="12"/>
  <c r="Y3080" i="12"/>
  <c r="Y1787" i="12"/>
  <c r="Y3344" i="12"/>
  <c r="Y3358" i="12"/>
  <c r="Y1840" i="12"/>
  <c r="Y2098" i="12"/>
  <c r="Y3093" i="12"/>
  <c r="Y2139" i="12"/>
  <c r="Y2876" i="12"/>
  <c r="Y2852" i="12"/>
  <c r="Y2669" i="12"/>
  <c r="Y2934" i="12"/>
  <c r="Y3027" i="12"/>
  <c r="Y1994" i="12"/>
  <c r="Y1775" i="12"/>
  <c r="Y2607" i="12"/>
  <c r="Y1218" i="12"/>
  <c r="Y2435" i="12"/>
  <c r="Y826" i="12"/>
  <c r="Y2361" i="12"/>
  <c r="Y3202" i="12"/>
  <c r="Y3151" i="12"/>
  <c r="Y2385" i="12"/>
  <c r="Y3450" i="12"/>
  <c r="Y3280" i="12"/>
  <c r="Y2567" i="12"/>
  <c r="Y1474" i="12"/>
  <c r="Y3168" i="12"/>
  <c r="Y1658" i="12"/>
  <c r="Y2918" i="12"/>
  <c r="Y2090" i="12"/>
  <c r="Y2679" i="12"/>
  <c r="Y3349" i="12"/>
  <c r="Y2943" i="12"/>
  <c r="Y3171" i="12"/>
  <c r="Y2853" i="12"/>
  <c r="Y3175" i="12"/>
  <c r="Y2508" i="12"/>
  <c r="Y3065" i="12"/>
  <c r="Y2925" i="12"/>
  <c r="Y2156" i="12"/>
  <c r="Y2051" i="12"/>
  <c r="Y1147" i="12"/>
  <c r="Y2996" i="12"/>
  <c r="Y3454" i="12"/>
  <c r="Y534" i="12"/>
  <c r="Y2175" i="12"/>
  <c r="Y1706" i="12"/>
  <c r="Y2439" i="12"/>
  <c r="Y3155" i="12"/>
  <c r="Y2693" i="12"/>
  <c r="Y2132" i="12"/>
  <c r="Y3546" i="12"/>
  <c r="Y483" i="12"/>
  <c r="Y3370" i="12"/>
  <c r="Y3498" i="12"/>
  <c r="Y3387" i="12"/>
  <c r="Y630" i="12"/>
  <c r="Y3529" i="12"/>
  <c r="Y1943" i="12"/>
  <c r="Y1997" i="12"/>
  <c r="Y3035" i="12"/>
  <c r="Y2889" i="12"/>
  <c r="Y1491" i="12"/>
  <c r="Y2810" i="12"/>
  <c r="Y1355" i="12"/>
  <c r="Y1372" i="12"/>
  <c r="Y336" i="12"/>
  <c r="Y3060" i="12"/>
  <c r="Y2668" i="12"/>
  <c r="Y185" i="12"/>
  <c r="Y1587" i="12"/>
  <c r="Y2328" i="12"/>
  <c r="Y2874" i="12"/>
  <c r="Y1467" i="12"/>
  <c r="Y2223" i="12"/>
  <c r="Y1482" i="12"/>
  <c r="Y1386" i="12"/>
  <c r="Y1182" i="12"/>
  <c r="Y2490" i="12"/>
  <c r="Y3124" i="12"/>
  <c r="Y2923" i="12"/>
  <c r="Y2784" i="12"/>
  <c r="Y2627" i="12"/>
  <c r="Y3224" i="12"/>
  <c r="Y1645" i="12"/>
  <c r="Y3029" i="12"/>
  <c r="Y3034" i="12"/>
  <c r="Y2568" i="12"/>
  <c r="Y3160" i="12"/>
  <c r="Y2128" i="12"/>
  <c r="Y1331" i="12"/>
  <c r="Y3313" i="12"/>
  <c r="Y2767" i="12"/>
  <c r="Y1739" i="12"/>
  <c r="Y3371" i="12"/>
  <c r="Y3008" i="12"/>
  <c r="Y1910" i="12"/>
  <c r="Y3193" i="12"/>
  <c r="Y2620" i="12"/>
  <c r="Y2452" i="12"/>
  <c r="Y3115" i="12"/>
  <c r="Y3259" i="12"/>
  <c r="Y2939" i="12"/>
  <c r="Y2170" i="12"/>
  <c r="Y2235" i="12"/>
  <c r="Y3401" i="12"/>
  <c r="Y2112" i="12"/>
  <c r="Y3451" i="12"/>
  <c r="Y3163" i="12"/>
  <c r="Y2489" i="12"/>
  <c r="Y3243" i="12"/>
  <c r="Y2478" i="12"/>
  <c r="Y2938" i="12"/>
  <c r="Y3457" i="12"/>
  <c r="Y1948" i="12"/>
  <c r="Y3072" i="12"/>
  <c r="Y1788" i="12"/>
  <c r="Y2648" i="12"/>
  <c r="Y1629" i="12"/>
  <c r="Y3016" i="12"/>
  <c r="Y3174" i="12"/>
  <c r="Y1687" i="12"/>
  <c r="Y3321" i="12"/>
  <c r="Y2965" i="12"/>
  <c r="Y1996" i="12"/>
  <c r="Y2367" i="12"/>
  <c r="Y3535" i="12"/>
  <c r="Y2507" i="12"/>
  <c r="Y3339" i="12"/>
  <c r="Y2947" i="12"/>
  <c r="Y1814" i="12"/>
  <c r="Y1584" i="12"/>
  <c r="Y2498" i="12"/>
  <c r="Y227" i="12"/>
  <c r="Y2339" i="12"/>
  <c r="Y3186" i="12"/>
  <c r="Y2212" i="12"/>
  <c r="Y2572" i="12"/>
  <c r="Y2935" i="12"/>
  <c r="Y2259" i="12"/>
  <c r="Y3194" i="12"/>
  <c r="Y3461" i="12"/>
  <c r="Y2468" i="12"/>
  <c r="Y1051" i="12"/>
  <c r="Y3000" i="12"/>
  <c r="Y2080" i="12"/>
  <c r="Y3527" i="12"/>
  <c r="Y3273" i="12"/>
  <c r="Y3399" i="12"/>
  <c r="Y3336" i="12"/>
  <c r="Y1666" i="12"/>
  <c r="Y2667" i="12"/>
  <c r="Y3496" i="12"/>
  <c r="Y1063" i="12"/>
  <c r="Y2614" i="12"/>
  <c r="Y3367" i="12"/>
  <c r="Y809" i="12"/>
  <c r="Y2558" i="12"/>
  <c r="Y1375" i="12"/>
  <c r="Y2570" i="12"/>
  <c r="Y1558" i="12"/>
  <c r="Y2703" i="12"/>
  <c r="Y1949" i="12"/>
  <c r="Y2185" i="12"/>
  <c r="Y2807" i="12"/>
  <c r="Y3032" i="12"/>
  <c r="Y3122" i="12"/>
  <c r="Y2276" i="12"/>
  <c r="Y3221" i="12"/>
  <c r="Y3542" i="12"/>
  <c r="Y2096" i="12"/>
  <c r="Y1431" i="12"/>
  <c r="Y3338" i="12"/>
  <c r="Y3347" i="12"/>
  <c r="Y1535" i="12"/>
  <c r="Y2628" i="12"/>
  <c r="Y2655" i="12"/>
  <c r="Y3508" i="12"/>
  <c r="Y1256" i="12"/>
  <c r="Y2746" i="12"/>
  <c r="Y3536" i="12"/>
  <c r="Y2924" i="12"/>
  <c r="Y2680" i="12"/>
  <c r="Y2343" i="12"/>
  <c r="Y105" i="12"/>
  <c r="Y2140" i="12"/>
  <c r="Y2415" i="12"/>
  <c r="Y2402" i="12"/>
  <c r="Y2835" i="12"/>
  <c r="Y2783" i="12"/>
  <c r="Y3039" i="12"/>
  <c r="Y3081" i="12"/>
  <c r="Y1975" i="12"/>
  <c r="Y2949" i="12"/>
  <c r="Y3289" i="12"/>
  <c r="Y1667" i="12"/>
  <c r="Y3142" i="12"/>
  <c r="Y3159" i="12"/>
  <c r="Y2812" i="12"/>
  <c r="Y2121" i="12"/>
  <c r="Y3077" i="12"/>
  <c r="Y3205" i="12"/>
  <c r="Y3334" i="12"/>
  <c r="Y1766" i="12"/>
  <c r="Y1924" i="12"/>
  <c r="Y2097" i="12"/>
  <c r="Y761" i="12"/>
  <c r="Y3187" i="12"/>
  <c r="Y3167" i="12"/>
  <c r="Y1117" i="12"/>
  <c r="Y3485" i="12"/>
  <c r="Y2279" i="12"/>
  <c r="Y2672" i="12"/>
  <c r="Y3266" i="12"/>
  <c r="Y435" i="12"/>
  <c r="Y1610" i="12"/>
  <c r="Y2955" i="12"/>
  <c r="Y2393" i="12"/>
  <c r="Y3195" i="12"/>
  <c r="Y2462" i="12"/>
  <c r="Y1834" i="12"/>
  <c r="Y2599" i="12"/>
  <c r="Y3379" i="12"/>
  <c r="Y2813" i="12"/>
  <c r="Y1755" i="12"/>
  <c r="Y2234" i="12"/>
  <c r="Y2324" i="12"/>
  <c r="Y2048" i="12"/>
  <c r="Y1693" i="12"/>
  <c r="Y3512" i="12"/>
  <c r="Y3449" i="12"/>
  <c r="Y1765" i="12"/>
  <c r="Y3189" i="12"/>
  <c r="Y3361" i="12"/>
  <c r="Y3342" i="12"/>
  <c r="Y3181" i="12"/>
  <c r="Y2846" i="12"/>
  <c r="Y1520" i="12"/>
  <c r="Y592" i="12"/>
  <c r="Y1956" i="12"/>
  <c r="Y507" i="12"/>
  <c r="Y1978" i="12"/>
  <c r="Y581" i="12"/>
  <c r="Y992" i="12"/>
  <c r="Y3126" i="12"/>
  <c r="Y2676" i="12"/>
  <c r="Y1759" i="12"/>
  <c r="Y1783" i="12"/>
  <c r="Y3206" i="12"/>
  <c r="Y1774" i="12"/>
  <c r="Y3235" i="12"/>
  <c r="Y1014" i="12"/>
  <c r="Y3267" i="12"/>
  <c r="Y3067" i="12"/>
  <c r="Y2471" i="12"/>
  <c r="Y3346" i="12"/>
  <c r="Y3439" i="12"/>
  <c r="Y2588" i="12"/>
  <c r="Y1126" i="12"/>
  <c r="Y1685" i="12"/>
  <c r="Y1837" i="12"/>
  <c r="Y3227" i="12"/>
  <c r="Y2630" i="12"/>
  <c r="Y2887" i="12"/>
  <c r="Y3494" i="12"/>
  <c r="Y2068" i="12"/>
  <c r="Y3316" i="12"/>
  <c r="Y983" i="12"/>
  <c r="Y1264" i="12"/>
  <c r="Y3191" i="12"/>
  <c r="Y2619" i="12"/>
  <c r="Y1875" i="12"/>
  <c r="Y1618" i="12"/>
  <c r="Y2184" i="12"/>
  <c r="Y3464" i="12"/>
  <c r="Y3252" i="12"/>
  <c r="Y1139" i="12"/>
  <c r="Y3337" i="12"/>
  <c r="Y3105" i="12"/>
  <c r="Y1134" i="12"/>
  <c r="Y2152" i="12"/>
  <c r="Y2031" i="12"/>
  <c r="Y2487" i="12"/>
  <c r="Y702" i="12"/>
  <c r="Y2975" i="12"/>
  <c r="Y1859" i="12"/>
  <c r="Y2370" i="12"/>
  <c r="Y1767" i="12"/>
  <c r="Y3179" i="12"/>
  <c r="Y2805" i="12"/>
  <c r="Y2712" i="12"/>
  <c r="Y1677" i="12"/>
  <c r="Y639" i="12"/>
  <c r="Y2271" i="12"/>
  <c r="Y1959" i="12"/>
  <c r="Y2932" i="12"/>
  <c r="Y143" i="12"/>
  <c r="Y3333" i="12"/>
  <c r="Y3518" i="12"/>
  <c r="Y1923" i="12"/>
  <c r="Y2076" i="12"/>
  <c r="Y2267" i="12"/>
  <c r="Y1391" i="12"/>
  <c r="Y3323" i="12"/>
  <c r="Y3295" i="12"/>
  <c r="Y1499" i="12"/>
  <c r="Y3320" i="12"/>
  <c r="Y2396" i="12"/>
  <c r="Y3258" i="12"/>
  <c r="Y922" i="12"/>
  <c r="Y1275" i="12"/>
  <c r="Y1792" i="12"/>
  <c r="Y3091" i="12"/>
  <c r="Y2759" i="12"/>
  <c r="Y3075" i="12"/>
  <c r="Y2560" i="12"/>
  <c r="Y1987" i="12"/>
  <c r="Y2685" i="12"/>
  <c r="Y3483" i="12"/>
  <c r="Y2707" i="12"/>
  <c r="Y1559" i="12"/>
  <c r="Y2079" i="12"/>
  <c r="Y2195" i="12"/>
  <c r="Y2065" i="12"/>
  <c r="Y1335" i="12"/>
  <c r="Y2840" i="12"/>
  <c r="Y2895" i="12"/>
  <c r="Y1548" i="12"/>
  <c r="Y2530" i="12"/>
  <c r="Y3041" i="12"/>
  <c r="Y3230" i="12"/>
  <c r="Y3053" i="12"/>
  <c r="Y2760" i="12"/>
  <c r="Y1128" i="12"/>
  <c r="Y210" i="12"/>
  <c r="Y1858" i="12"/>
  <c r="Y62" i="12"/>
  <c r="Y1879" i="12"/>
  <c r="Y2761" i="12"/>
  <c r="Y1813" i="12"/>
  <c r="Y3071" i="12"/>
  <c r="Y2407" i="12"/>
  <c r="Y3444" i="12"/>
  <c r="Y991" i="12"/>
  <c r="Y2682" i="12"/>
  <c r="Y2697" i="12"/>
  <c r="Y3176" i="12"/>
  <c r="Y1408" i="12"/>
  <c r="Y2931" i="12"/>
  <c r="Y2735" i="12"/>
  <c r="Y2855" i="12"/>
  <c r="Y282" i="12"/>
  <c r="Y1462" i="12"/>
  <c r="Y2755" i="12"/>
  <c r="Y3014" i="12"/>
  <c r="Y800" i="12"/>
  <c r="Y2618" i="12"/>
  <c r="Y2633" i="12"/>
  <c r="Y3395" i="12"/>
  <c r="Y1718" i="12"/>
  <c r="Y2662" i="12"/>
  <c r="Y2281" i="12"/>
  <c r="Y3161" i="12"/>
  <c r="Y2902" i="12"/>
  <c r="Y2153" i="12"/>
  <c r="Y1565" i="12"/>
  <c r="Y2564" i="12"/>
  <c r="Y3418" i="12"/>
  <c r="Y2590" i="12"/>
  <c r="Y2375" i="12"/>
  <c r="Y2011" i="12"/>
  <c r="Y3107" i="12"/>
  <c r="Y2596" i="12"/>
  <c r="Y2695" i="12"/>
  <c r="Y1483" i="12"/>
  <c r="Y3119" i="12"/>
  <c r="Y155" i="12"/>
  <c r="J1" i="5" a="1"/>
  <c r="J84" i="5"/>
  <c r="J118" i="5"/>
  <c r="J96" i="5"/>
  <c r="J73" i="5"/>
  <c r="J1" i="5"/>
  <c r="J60" i="5"/>
  <c r="J61" i="5"/>
  <c r="J42" i="5"/>
  <c r="J112" i="5"/>
  <c r="J35" i="5"/>
  <c r="J66" i="5"/>
  <c r="J120" i="5"/>
  <c r="J17" i="5"/>
  <c r="J75" i="5"/>
  <c r="J22" i="5"/>
  <c r="J39" i="5"/>
  <c r="J24" i="5"/>
  <c r="J117" i="5"/>
  <c r="J7" i="5"/>
  <c r="J86" i="5"/>
  <c r="J31" i="5"/>
  <c r="J34" i="5"/>
  <c r="J53" i="5"/>
  <c r="J71" i="5"/>
  <c r="J97" i="5"/>
  <c r="J9" i="5"/>
  <c r="J101" i="5"/>
  <c r="J87" i="5"/>
  <c r="J102" i="5"/>
  <c r="J109" i="5"/>
  <c r="J95" i="5"/>
  <c r="J52" i="5"/>
  <c r="J82" i="5"/>
  <c r="J21" i="5"/>
  <c r="J81" i="5"/>
  <c r="J91" i="5"/>
  <c r="J8" i="5"/>
  <c r="J57" i="5"/>
  <c r="J40" i="5"/>
  <c r="J58" i="5"/>
  <c r="J15" i="5"/>
  <c r="J78" i="5"/>
  <c r="J19" i="5"/>
  <c r="J48" i="5"/>
  <c r="J38" i="5"/>
  <c r="J14" i="5"/>
  <c r="J83" i="5"/>
  <c r="J89" i="5"/>
  <c r="J74" i="5"/>
  <c r="J70" i="5"/>
  <c r="J104" i="5"/>
  <c r="J23" i="5"/>
  <c r="J76" i="5"/>
  <c r="J92" i="5"/>
  <c r="J116" i="5"/>
  <c r="J119" i="5"/>
  <c r="J100" i="5"/>
  <c r="J65" i="5"/>
  <c r="J32" i="5"/>
  <c r="J13" i="5"/>
  <c r="J18" i="5"/>
  <c r="J124" i="5"/>
  <c r="J50" i="5"/>
  <c r="J10" i="5"/>
  <c r="J121" i="5"/>
  <c r="J125" i="5"/>
  <c r="J103" i="5"/>
  <c r="J85" i="5"/>
  <c r="J72" i="5"/>
  <c r="J99" i="5"/>
  <c r="J5" i="5"/>
  <c r="J56" i="5"/>
  <c r="J20" i="5"/>
  <c r="J26" i="5"/>
  <c r="J33" i="5"/>
  <c r="J49" i="5"/>
  <c r="J69" i="5"/>
  <c r="J4" i="5"/>
  <c r="J111" i="5"/>
  <c r="J11" i="5"/>
  <c r="J79" i="5"/>
  <c r="J3" i="5"/>
  <c r="J62" i="5"/>
  <c r="J90" i="5"/>
  <c r="J88" i="5"/>
  <c r="J55" i="5"/>
  <c r="J115" i="5"/>
  <c r="J28" i="5"/>
  <c r="J27" i="5"/>
  <c r="J6" i="5"/>
  <c r="J110" i="5"/>
  <c r="J80" i="5"/>
  <c r="J47" i="5"/>
  <c r="J93" i="5"/>
  <c r="J44" i="5"/>
  <c r="J113" i="5"/>
  <c r="J77" i="5"/>
  <c r="J2" i="5"/>
  <c r="J43" i="5"/>
  <c r="J114" i="5"/>
  <c r="J41" i="5"/>
  <c r="J30" i="5"/>
  <c r="J63" i="5"/>
  <c r="J37" i="5"/>
  <c r="J12" i="5"/>
  <c r="J54" i="5"/>
  <c r="J108" i="5"/>
  <c r="J51" i="5"/>
  <c r="J122" i="5"/>
  <c r="J105" i="5"/>
  <c r="J126" i="5"/>
  <c r="J67" i="5"/>
  <c r="J36" i="5"/>
  <c r="J107" i="5"/>
  <c r="J29" i="5"/>
  <c r="J98" i="5"/>
  <c r="J46" i="5"/>
  <c r="J68" i="5"/>
  <c r="J64" i="5"/>
  <c r="J59" i="5"/>
  <c r="J106" i="5"/>
  <c r="J45" i="5"/>
  <c r="J16" i="5"/>
  <c r="J94" i="5"/>
  <c r="J123" i="5"/>
  <c r="J25" i="5"/>
  <c r="Y2330" i="12"/>
  <c r="Y2677" i="12"/>
  <c r="Y3391" i="12"/>
  <c r="Y3434" i="12"/>
  <c r="Y3530" i="12"/>
  <c r="Y1348" i="12"/>
  <c r="Y1866" i="12"/>
  <c r="Y3104" i="12"/>
  <c r="Y3437" i="12"/>
  <c r="Y959" i="12"/>
  <c r="Y1925" i="12"/>
  <c r="Y3297" i="12"/>
  <c r="Y2692" i="12"/>
  <c r="Y2289" i="12"/>
  <c r="Y3467" i="12"/>
  <c r="Y2377" i="12"/>
  <c r="Y3026" i="12"/>
  <c r="Y3309" i="12"/>
  <c r="Y822" i="12"/>
  <c r="Y811" i="12"/>
  <c r="Y3271" i="12"/>
  <c r="Y3537" i="12"/>
  <c r="Y2647" i="12"/>
  <c r="Y2075" i="12"/>
  <c r="Y2215" i="12"/>
  <c r="Y2388" i="12"/>
  <c r="Y1640" i="12"/>
  <c r="Y3331" i="12"/>
  <c r="Y3407" i="12"/>
  <c r="Y1683" i="12"/>
  <c r="Y3520" i="12"/>
  <c r="Y2646" i="12"/>
  <c r="Y907" i="12"/>
  <c r="Y1419" i="12"/>
  <c r="Y1583" i="12"/>
  <c r="Y1970" i="12"/>
  <c r="Y3099" i="12"/>
  <c r="Y2845" i="12"/>
  <c r="Y3514" i="12"/>
  <c r="Y2651" i="12"/>
  <c r="Y1230" i="12"/>
  <c r="Y2771" i="12"/>
  <c r="Y3275" i="12"/>
  <c r="Y2576" i="12"/>
  <c r="Y1229" i="12"/>
  <c r="Y1150" i="12"/>
  <c r="Y3083" i="12"/>
  <c r="Y3138" i="12"/>
  <c r="Y3335" i="12"/>
  <c r="Y3456" i="12"/>
  <c r="Y1578" i="12"/>
  <c r="Y1839" i="12"/>
  <c r="Y2958" i="12"/>
  <c r="Y1630" i="12"/>
  <c r="Y2250" i="12"/>
  <c r="Y1544" i="12"/>
  <c r="Y1971" i="12"/>
  <c r="Y2460" i="12"/>
  <c r="Y2240" i="12"/>
  <c r="Y3380" i="12"/>
  <c r="Y1663" i="12"/>
  <c r="Y2995" i="12"/>
  <c r="Y2875" i="12"/>
  <c r="Y1797" i="12"/>
  <c r="Y2297" i="12"/>
  <c r="Y3255" i="12"/>
  <c r="Y566" i="12"/>
  <c r="Y2547" i="12"/>
  <c r="Y2449" i="12"/>
  <c r="Y1096" i="12"/>
  <c r="Y3123" i="12"/>
  <c r="Y3385" i="12"/>
  <c r="Y3270" i="12"/>
  <c r="Y2012" i="12"/>
  <c r="Y1290" i="12"/>
  <c r="Y2582" i="12"/>
  <c r="Y1812" i="12"/>
  <c r="Y3480" i="12"/>
  <c r="Y3074" i="12"/>
  <c r="Y1005" i="12"/>
  <c r="Y2122" i="12"/>
  <c r="Y2832" i="12"/>
  <c r="Y1500" i="12"/>
  <c r="Y2356" i="12"/>
  <c r="Y2503" i="12"/>
  <c r="Y2424" i="12"/>
  <c r="Y3381" i="12"/>
  <c r="Y1702" i="12"/>
  <c r="Y2830" i="12"/>
  <c r="Y2598" i="12"/>
  <c r="Y2992" i="12"/>
  <c r="Y2522" i="12"/>
  <c r="Y3040" i="12"/>
  <c r="Y3305" i="12"/>
  <c r="Y2466" i="12"/>
  <c r="Y3097" i="12"/>
  <c r="Y3410" i="12"/>
  <c r="Y3283" i="12"/>
  <c r="Y3549" i="12"/>
  <c r="Y798" i="12"/>
  <c r="Y2800" i="12"/>
  <c r="Y2203" i="12"/>
  <c r="Y2526" i="12"/>
  <c r="Y555" i="12"/>
  <c r="Y3315" i="12"/>
  <c r="Y2797" i="12"/>
  <c r="Y3098" i="12"/>
  <c r="Y2946" i="12"/>
  <c r="Y3296" i="12"/>
  <c r="Y3024" i="12"/>
  <c r="Y3544" i="12"/>
  <c r="Y2854" i="12"/>
  <c r="Y2611" i="12"/>
  <c r="Y3302" i="12"/>
  <c r="Y3360" i="12"/>
  <c r="Y2480" i="12"/>
  <c r="Y3218" i="12"/>
  <c r="Y2967" i="12"/>
  <c r="Y2227" i="12"/>
  <c r="Y2351" i="12"/>
  <c r="Y2512" i="12"/>
  <c r="Y1459" i="12"/>
  <c r="Y3131" i="12"/>
  <c r="Y3314" i="12"/>
  <c r="Y3403" i="12"/>
  <c r="Y1877" i="12"/>
  <c r="Y2474" i="12"/>
  <c r="Y1980" i="12"/>
  <c r="Y2823" i="12"/>
  <c r="Y2659" i="12"/>
  <c r="Y3019" i="12"/>
  <c r="Y3006" i="12"/>
  <c r="Y995" i="12"/>
  <c r="Y3231" i="12"/>
  <c r="Y2006" i="12"/>
  <c r="Y2072" i="12"/>
  <c r="Y1823" i="12"/>
  <c r="Y2927" i="12"/>
  <c r="Y2831" i="12"/>
  <c r="Y3481" i="12"/>
  <c r="Y482" i="12"/>
  <c r="Y2717" i="12"/>
  <c r="Y3398" i="12"/>
  <c r="Y3552" i="12"/>
  <c r="Y168" i="12"/>
  <c r="Y1655" i="12"/>
  <c r="Y2058" i="12"/>
  <c r="Y1107" i="12"/>
  <c r="Y2258" i="12"/>
  <c r="Y3502" i="12"/>
  <c r="Y2715" i="12"/>
  <c r="Y1486" i="12"/>
  <c r="Y2216" i="12"/>
  <c r="Y3188" i="12"/>
  <c r="Y1968" i="12"/>
  <c r="Y1669" i="12"/>
  <c r="Y765" i="12"/>
  <c r="Y2401" i="12"/>
  <c r="Y1604" i="12"/>
  <c r="Y3055" i="12"/>
  <c r="Y2863" i="12"/>
  <c r="Y2919" i="12"/>
  <c r="Y2684" i="12"/>
  <c r="Y3307" i="12"/>
  <c r="Y1701" i="12"/>
  <c r="Y2757" i="12"/>
  <c r="Y3209" i="12"/>
  <c r="Y1274" i="12"/>
  <c r="Y2108" i="12"/>
  <c r="Y3128" i="12"/>
  <c r="Y2531" i="12"/>
  <c r="Y3002" i="12"/>
  <c r="Y3013" i="12"/>
  <c r="Y1620" i="12"/>
  <c r="Y3200" i="12"/>
  <c r="Y2605" i="12"/>
  <c r="Y2774" i="12"/>
  <c r="Y2901" i="12"/>
  <c r="Y3116" i="12"/>
  <c r="Y2479" i="12"/>
  <c r="Y1116" i="12"/>
  <c r="Y1373" i="12"/>
  <c r="Y1468" i="12"/>
  <c r="Y2211" i="12"/>
  <c r="Y1455" i="12"/>
  <c r="Y2866" i="12"/>
  <c r="Y2316" i="12"/>
  <c r="Y1575" i="12"/>
  <c r="Y3355" i="12"/>
  <c r="Y1102" i="12"/>
  <c r="Y2571" i="12"/>
  <c r="Y2976" i="12"/>
  <c r="Y3394" i="12"/>
  <c r="Y1864" i="12"/>
  <c r="Y3543" i="12"/>
  <c r="Y2308" i="12"/>
  <c r="Y2440" i="12"/>
  <c r="Y2763" i="12"/>
  <c r="Y1246" i="12"/>
  <c r="Y2936" i="12"/>
  <c r="Y3534" i="12"/>
  <c r="Y2636" i="12"/>
  <c r="Y1319" i="12"/>
  <c r="Y3033" i="12"/>
  <c r="Y3375" i="12"/>
  <c r="Y3525" i="12"/>
  <c r="Y3436" i="12"/>
  <c r="Y984" i="12"/>
  <c r="Y1942" i="12"/>
  <c r="Y2674" i="12"/>
  <c r="Y1715" i="12"/>
  <c r="Y2734" i="12"/>
  <c r="Y1727" i="12"/>
  <c r="Y2536" i="12"/>
  <c r="Y3190" i="12"/>
  <c r="Y1846" i="12"/>
  <c r="Y1966" i="12"/>
  <c r="Y3111" i="12"/>
  <c r="Y3446" i="12"/>
  <c r="Y2207" i="12"/>
  <c r="Y3277" i="12"/>
  <c r="Y2514" i="12"/>
  <c r="Y2043" i="12"/>
  <c r="Y1523" i="12"/>
  <c r="Y3103" i="12"/>
  <c r="Y3308" i="12"/>
  <c r="Y773" i="12"/>
  <c r="Y1868" i="12"/>
  <c r="Y2236" i="12"/>
  <c r="Y2423" i="12"/>
  <c r="Y3317" i="12"/>
  <c r="Y2982" i="12"/>
  <c r="Y1848" i="12"/>
  <c r="Y899" i="12"/>
  <c r="Y3017" i="12"/>
  <c r="Y3244" i="12"/>
  <c r="Y154" i="12"/>
  <c r="Y459" i="12"/>
  <c r="Y1933" i="12"/>
  <c r="Y3528" i="12"/>
  <c r="Y3274" i="12"/>
  <c r="Y2765" i="12"/>
  <c r="Y3058" i="12"/>
  <c r="Y2799" i="12"/>
  <c r="Y1860" i="12"/>
  <c r="Y2892" i="12"/>
  <c r="Y2577" i="12"/>
  <c r="Y63" i="12"/>
  <c r="Y2392" i="12"/>
  <c r="Y2747" i="12"/>
  <c r="Y3096" i="12"/>
  <c r="Y2997" i="12"/>
  <c r="Y2594" i="12"/>
  <c r="Y3419" i="12"/>
  <c r="Y1168" i="12"/>
  <c r="Y2585" i="12"/>
  <c r="Y3136" i="12"/>
  <c r="Y226" i="12"/>
  <c r="Y1885" i="12"/>
  <c r="Y2744" i="12"/>
  <c r="Y2335" i="12"/>
  <c r="Y2488" i="12"/>
  <c r="Y2827" i="12"/>
  <c r="Y1303" i="12"/>
  <c r="Y2960" i="12"/>
  <c r="Y3550" i="12"/>
  <c r="Y2656" i="12"/>
  <c r="Y2719" i="12"/>
  <c r="Y3052" i="12"/>
  <c r="Y2380" i="12"/>
  <c r="Y104" i="12"/>
  <c r="Y1255" i="12"/>
  <c r="Y1356" i="12"/>
  <c r="Y2127" i="12"/>
  <c r="Y1339" i="12"/>
  <c r="Y2802" i="12"/>
  <c r="Y2232" i="12"/>
  <c r="Y1477" i="12"/>
  <c r="Y2987" i="12"/>
  <c r="Y2513" i="12"/>
  <c r="Y2414" i="12"/>
  <c r="Y2606" i="12"/>
  <c r="Y2116" i="12"/>
  <c r="Y1668" i="12"/>
  <c r="Y3287" i="12"/>
  <c r="Y2107" i="12"/>
  <c r="Y3377" i="12"/>
  <c r="Y2635" i="12"/>
  <c r="Y3402" i="12"/>
  <c r="Y2497" i="12"/>
  <c r="Y3430" i="12"/>
  <c r="Y2506" i="12"/>
  <c r="Y3328" i="12"/>
  <c r="Y1922" i="12"/>
  <c r="Y3018" i="12"/>
  <c r="Y3310" i="12"/>
  <c r="Y3541" i="12"/>
  <c r="Y1115" i="12"/>
  <c r="Y1092" i="12"/>
  <c r="Y1248" i="12"/>
  <c r="Y1887" i="12"/>
  <c r="Y387" i="12"/>
  <c r="Y3424" i="12"/>
  <c r="Y3223" i="12"/>
  <c r="Y3405" i="12"/>
  <c r="Y936" i="12"/>
  <c r="D15" i="6"/>
  <c r="Y2022" i="12"/>
  <c r="Y1447" i="12"/>
  <c r="Y3257" i="12"/>
  <c r="Y3094" i="12"/>
  <c r="Y1421" i="12"/>
  <c r="Y3279" i="12"/>
  <c r="Y3470" i="12"/>
  <c r="Y2225" i="12"/>
  <c r="Y3293" i="12"/>
  <c r="Y557" i="12"/>
  <c r="Y739" i="12"/>
  <c r="Y3443" i="12"/>
  <c r="Y930" i="12"/>
  <c r="Y3281" i="12"/>
  <c r="Y2034" i="12"/>
  <c r="Y1084" i="12"/>
  <c r="Y3365" i="12"/>
  <c r="Y2959" i="12"/>
  <c r="Y1682" i="12"/>
  <c r="Y509" i="12"/>
  <c r="Y1650" i="12"/>
  <c r="Y3506" i="12"/>
  <c r="Y2260" i="12"/>
  <c r="Y3157" i="12"/>
  <c r="Y2870" i="12"/>
  <c r="Y3538" i="12"/>
  <c r="Y2280" i="12"/>
  <c r="Y3440" i="12"/>
  <c r="Y3180" i="12"/>
  <c r="Y83" i="12"/>
  <c r="Y1554" i="12"/>
  <c r="Y1678" i="12"/>
  <c r="Y2057" i="12"/>
  <c r="Y2896" i="12"/>
  <c r="Y3144" i="12"/>
  <c r="Y3011" i="12"/>
  <c r="Y3050" i="12"/>
  <c r="Y2425" i="12"/>
  <c r="Y2616" i="12"/>
  <c r="Y2550" i="12"/>
  <c r="Y1691" i="12"/>
  <c r="Y3311" i="12"/>
  <c r="Y2160" i="12"/>
  <c r="Y3417" i="12"/>
  <c r="Y2645" i="12"/>
  <c r="Y337" i="12"/>
  <c r="Y2670" i="12"/>
  <c r="Y3438" i="12"/>
  <c r="Y2518" i="12"/>
  <c r="Y3500" i="12"/>
  <c r="Y2988" i="12"/>
  <c r="Y2272" i="12"/>
  <c r="Y1244" i="12"/>
  <c r="Y1127" i="12"/>
  <c r="Y1238" i="12"/>
  <c r="Y2040" i="12"/>
  <c r="Y1221" i="12"/>
  <c r="Y2738" i="12"/>
  <c r="Y2146" i="12"/>
  <c r="Y1366" i="12"/>
  <c r="Y2867" i="12"/>
  <c r="Y2030" i="12"/>
  <c r="Y2183" i="12"/>
  <c r="Y2399" i="12"/>
  <c r="Y3023" i="12"/>
  <c r="Y2505" i="12"/>
  <c r="Y2920" i="12"/>
  <c r="Y1108" i="12"/>
  <c r="Y2060" i="12"/>
  <c r="Y2248" i="12"/>
  <c r="Y2615" i="12"/>
  <c r="Y2359" i="12"/>
  <c r="Y966" i="12"/>
  <c r="Y2441" i="12"/>
  <c r="Y1631" i="12"/>
  <c r="Y2822" i="12"/>
  <c r="Y3517" i="12"/>
  <c r="Y3087" i="12"/>
  <c r="Y1676" i="12"/>
  <c r="Y2954" i="12"/>
  <c r="Y3533" i="12"/>
  <c r="Y3345" i="12"/>
  <c r="Y3102" i="12"/>
  <c r="Y775" i="12"/>
  <c r="Y2538" i="12"/>
  <c r="Y3146" i="12"/>
  <c r="Y801" i="12"/>
  <c r="Y3149" i="12"/>
  <c r="Y3409" i="12"/>
  <c r="Y2055" i="12"/>
  <c r="Y2664" i="12"/>
  <c r="Y2465" i="12"/>
  <c r="Y2994" i="12"/>
  <c r="Y2880" i="12"/>
  <c r="Y19" i="12"/>
  <c r="E5" i="12"/>
  <c r="E9" i="12"/>
  <c r="E13" i="12"/>
  <c r="E11" i="12"/>
  <c r="E3" i="12"/>
  <c r="E7" i="12"/>
  <c r="E14" i="12"/>
  <c r="E15" i="12"/>
  <c r="E10" i="12"/>
  <c r="E4" i="12"/>
  <c r="E6" i="12"/>
  <c r="E8" i="12"/>
  <c r="E12" i="12"/>
  <c r="E16" i="12"/>
  <c r="Y1950" i="12"/>
  <c r="Y3306" i="12"/>
  <c r="Y3037" i="12"/>
  <c r="Y1566" i="12"/>
  <c r="Y3051" i="12"/>
  <c r="Y1216" i="12"/>
  <c r="Y1595" i="12"/>
  <c r="Y2877" i="12"/>
  <c r="Y2047" i="12"/>
  <c r="Y2196" i="12"/>
  <c r="Y2412" i="12"/>
  <c r="Y3416" i="12"/>
  <c r="Y1448" i="12"/>
  <c r="Y3047" i="12"/>
  <c r="Y1939" i="12"/>
  <c r="Y3137" i="12"/>
  <c r="Y2516" i="12"/>
  <c r="Y3042" i="12"/>
  <c r="Y3423" i="12"/>
  <c r="Y3326" i="12"/>
  <c r="Y2138" i="12"/>
  <c r="Y2653" i="12"/>
  <c r="Y1838" i="12"/>
  <c r="Y3222" i="12"/>
  <c r="Y2915" i="12"/>
  <c r="Y2256" i="12"/>
  <c r="Y2448" i="12"/>
  <c r="Y2998" i="12"/>
  <c r="Y3121" i="12"/>
  <c r="Y3521" i="12"/>
  <c r="Y3173" i="12"/>
  <c r="Y1674" i="12"/>
  <c r="Y2663" i="12"/>
  <c r="Y1738" i="12"/>
  <c r="Y1986" i="12"/>
  <c r="Y2266" i="12"/>
  <c r="Y2776" i="12"/>
  <c r="Y570" i="12"/>
  <c r="Y2711" i="12"/>
  <c r="Y1742" i="12"/>
  <c r="Y3448" i="12"/>
  <c r="Y2395" i="12"/>
  <c r="Y2608" i="12"/>
  <c r="Y3247" i="12"/>
  <c r="Y3214" i="12"/>
  <c r="Y3421" i="12"/>
  <c r="Y3372" i="12"/>
  <c r="Y2836" i="12"/>
  <c r="Y1995" i="12"/>
  <c r="Y968" i="12"/>
  <c r="Y799" i="12"/>
  <c r="Y2610" i="12"/>
  <c r="Y1390" i="12"/>
  <c r="Y2750" i="12"/>
  <c r="Y1828" i="12"/>
  <c r="Y2977" i="12"/>
  <c r="Y3482" i="12"/>
  <c r="Y3234" i="12"/>
  <c r="Y3246" i="12"/>
  <c r="Y3165" i="12"/>
  <c r="Y1770" i="12"/>
  <c r="Y1802" i="12"/>
  <c r="Y1654" i="12"/>
  <c r="Y2990" i="12"/>
  <c r="Y1495" i="12"/>
  <c r="Y3129" i="12"/>
  <c r="Y2752" i="12"/>
  <c r="Y1748" i="12"/>
  <c r="Y520" i="12"/>
  <c r="Y1582" i="12"/>
  <c r="Y3408" i="12"/>
  <c r="Y2775" i="12"/>
  <c r="Y2930" i="12"/>
  <c r="Y2495" i="12"/>
  <c r="Y3466" i="12"/>
  <c r="Y3515" i="12"/>
  <c r="Y1656" i="12"/>
  <c r="Y2944" i="12"/>
  <c r="Y2743" i="12"/>
  <c r="Y3127" i="12"/>
  <c r="Y3130" i="12"/>
  <c r="Y2334" i="12"/>
  <c r="Y2916" i="12"/>
  <c r="Y3030" i="12"/>
  <c r="Y3492" i="12"/>
  <c r="Y2782" i="12"/>
  <c r="Y1392" i="12"/>
  <c r="Y1112" i="12"/>
  <c r="Y846" i="12"/>
  <c r="Y1517" i="12"/>
  <c r="Y2730" i="12"/>
  <c r="Y1904" i="12"/>
  <c r="Y616" i="12"/>
  <c r="Y2427" i="12"/>
  <c r="Y1720" i="12"/>
  <c r="Y675" i="12"/>
  <c r="Y565" i="12"/>
  <c r="Y648" i="12"/>
  <c r="Y1279" i="12"/>
  <c r="Y551" i="12"/>
  <c r="Y2118" i="12"/>
  <c r="Y1543" i="12"/>
  <c r="Y902" i="12"/>
  <c r="Y71" i="12"/>
  <c r="Y2109" i="12"/>
  <c r="Y1533" i="12"/>
  <c r="Y889" i="12"/>
  <c r="Y48" i="12"/>
  <c r="Y955" i="12"/>
  <c r="Y834" i="12"/>
  <c r="Y3089" i="12"/>
  <c r="Y3240" i="12"/>
  <c r="Y1621" i="12"/>
  <c r="Y2731" i="12"/>
  <c r="Y2953" i="12"/>
  <c r="Y3350" i="12"/>
  <c r="Y2973" i="12"/>
  <c r="Y2972" i="12"/>
  <c r="Y1876" i="12"/>
  <c r="Y1430" i="12"/>
  <c r="Y1210" i="12"/>
  <c r="Y1773" i="12"/>
  <c r="Y2898" i="12"/>
  <c r="Y2124" i="12"/>
  <c r="Y1038" i="12"/>
  <c r="Y2574" i="12"/>
  <c r="Y1903" i="12"/>
  <c r="Y1032" i="12"/>
  <c r="Y59" i="12"/>
  <c r="Y831" i="12"/>
  <c r="Y1416" i="12"/>
  <c r="Y734" i="12"/>
  <c r="Y2238" i="12"/>
  <c r="Y1680" i="12"/>
  <c r="Y1078" i="12"/>
  <c r="Y303" i="12"/>
  <c r="Y2229" i="12"/>
  <c r="D30" i="6"/>
  <c r="Y2007" i="12"/>
  <c r="Y2164" i="12"/>
  <c r="Y3431" i="12"/>
  <c r="Y3471" i="12"/>
  <c r="Y569" i="12"/>
  <c r="Y2494" i="12"/>
  <c r="Y3248" i="12"/>
  <c r="Y3150" i="12"/>
  <c r="Y2578" i="12"/>
  <c r="Y2868" i="12"/>
  <c r="Y1619" i="12"/>
  <c r="Y1239" i="12"/>
  <c r="Y1021" i="12"/>
  <c r="Y1613" i="12"/>
  <c r="Y2794" i="12"/>
  <c r="Y2003" i="12"/>
  <c r="Y789" i="12"/>
  <c r="Y2482" i="12"/>
  <c r="Y1794" i="12"/>
  <c r="Y1592" i="12"/>
  <c r="Y1714" i="12"/>
  <c r="Y2864" i="12"/>
  <c r="Y3113" i="12"/>
  <c r="Y947" i="12"/>
  <c r="Y2247" i="12"/>
  <c r="Y386" i="12"/>
  <c r="Y3242" i="12"/>
  <c r="Y2860" i="12"/>
  <c r="Y3020" i="12"/>
  <c r="Y1166" i="12"/>
  <c r="Y1003" i="12"/>
  <c r="Y838" i="12"/>
  <c r="Y1806" i="12"/>
  <c r="Y2609" i="12"/>
  <c r="Y1490" i="12"/>
  <c r="Y223" i="12"/>
  <c r="Y685" i="12"/>
  <c r="Y1091" i="12"/>
  <c r="Y2318" i="12"/>
  <c r="Y1571" i="12"/>
  <c r="Y671" i="12"/>
  <c r="Y2309" i="12"/>
  <c r="Y1579" i="12"/>
  <c r="Y839" i="12"/>
  <c r="Y110" i="12"/>
  <c r="Y714" i="12"/>
  <c r="Y97" i="12"/>
  <c r="Y1593" i="12"/>
  <c r="Y1081" i="12"/>
  <c r="Y503" i="12"/>
  <c r="Y197" i="12"/>
  <c r="Y700" i="12"/>
  <c r="Y188" i="12"/>
  <c r="Y850" i="12"/>
  <c r="Y748" i="12"/>
  <c r="Y2913" i="12"/>
  <c r="Y542" i="12"/>
  <c r="Y94" i="12"/>
  <c r="Y27" i="12"/>
  <c r="Y571" i="12"/>
  <c r="Y235" i="12"/>
  <c r="Y695" i="12"/>
  <c r="Y676" i="12"/>
  <c r="Y2288" i="12"/>
  <c r="Y2702" i="12"/>
  <c r="Y1786" i="12"/>
  <c r="Y1522" i="12"/>
  <c r="Y3078" i="12"/>
  <c r="Y3132" i="12"/>
  <c r="Y776" i="12"/>
  <c r="Y1283" i="12"/>
  <c r="Y1125" i="12"/>
  <c r="Y1952" i="12"/>
  <c r="Y2705" i="12"/>
  <c r="Y1636" i="12"/>
  <c r="Y346" i="12"/>
  <c r="Y794" i="12"/>
  <c r="Y1187" i="12"/>
  <c r="Y162" i="12"/>
  <c r="Y1653" i="12"/>
  <c r="Y781" i="12"/>
  <c r="Y2381" i="12"/>
  <c r="Y1652" i="12"/>
  <c r="Y937" i="12"/>
  <c r="Y89" i="12"/>
  <c r="Y778" i="12"/>
  <c r="Y171" i="12"/>
  <c r="Y1649" i="12"/>
  <c r="Y1137" i="12"/>
  <c r="Y567" i="12"/>
  <c r="Y253" i="12"/>
  <c r="Y756" i="12"/>
  <c r="Y244" i="12"/>
  <c r="Y704" i="12"/>
  <c r="Y812" i="12"/>
  <c r="Y2446" i="12"/>
  <c r="Y625" i="12"/>
  <c r="Y2019" i="12"/>
  <c r="Y2349" i="12"/>
  <c r="Y90" i="12"/>
  <c r="Y1825" i="12"/>
  <c r="Y402" i="12"/>
  <c r="Y228" i="12"/>
  <c r="Y2450" i="12"/>
  <c r="Y1135" i="12"/>
  <c r="Y3505" i="12"/>
  <c r="Y3153" i="12"/>
  <c r="Y2458" i="12"/>
  <c r="Y2814" i="12"/>
  <c r="Y691" i="12"/>
  <c r="Y313" i="12"/>
  <c r="Y2914" i="12"/>
  <c r="Y1539" i="12"/>
  <c r="Y2455" i="12"/>
  <c r="Y1320" i="12"/>
  <c r="Y699" i="12"/>
  <c r="Y515" i="12"/>
  <c r="Y953" i="12"/>
  <c r="Y2206" i="12"/>
  <c r="Y1443" i="12"/>
  <c r="Y525" i="12"/>
  <c r="Y2197" i="12"/>
  <c r="Y1478" i="12"/>
  <c r="Y706" i="12"/>
  <c r="Y1186" i="12"/>
  <c r="Y623" i="12"/>
  <c r="Y2025" i="12"/>
  <c r="Y1129" i="12"/>
  <c r="Y2483" i="12"/>
  <c r="Y688" i="12"/>
  <c r="Y877" i="12"/>
  <c r="Y78" i="12"/>
  <c r="Y1185" i="12"/>
  <c r="Y36" i="12"/>
  <c r="Y1510" i="12"/>
  <c r="Y3025" i="12"/>
  <c r="Y3400" i="12"/>
  <c r="Y3056" i="12"/>
  <c r="Y3245" i="12"/>
  <c r="Y2612" i="12"/>
  <c r="Y1402" i="12"/>
  <c r="Y1540" i="12"/>
  <c r="Y1280" i="12"/>
  <c r="Y1485" i="12"/>
  <c r="Y3472" i="12"/>
  <c r="Y3216" i="12"/>
  <c r="Y3048" i="12"/>
  <c r="Y3229" i="12"/>
  <c r="Y2600" i="12"/>
  <c r="Y1357" i="12"/>
  <c r="Y2105" i="12"/>
  <c r="Y2754" i="12"/>
  <c r="Y1236" i="12"/>
  <c r="Y1867" i="12"/>
  <c r="Y40" i="12"/>
  <c r="Y1463" i="12"/>
  <c r="Y3329" i="12"/>
  <c r="Y2056" i="12"/>
  <c r="Y1779" i="12"/>
  <c r="Y3254" i="12"/>
  <c r="Y3204" i="12"/>
  <c r="Y1245" i="12"/>
  <c r="Y1413" i="12"/>
  <c r="Y2963" i="12"/>
  <c r="Y2005" i="12"/>
  <c r="Y3318" i="12"/>
  <c r="Y2613" i="12"/>
  <c r="Y3475" i="12"/>
  <c r="Y2595" i="12"/>
  <c r="Y2829" i="12"/>
  <c r="Y2933" i="12"/>
  <c r="Y3135" i="12"/>
  <c r="Y2815" i="12"/>
  <c r="Y2819" i="12"/>
  <c r="Y2850" i="12"/>
  <c r="Y1672" i="12"/>
  <c r="Y479" i="12"/>
  <c r="Y2166" i="12"/>
  <c r="Y463" i="12"/>
  <c r="Y1442" i="12"/>
  <c r="Y1170" i="12"/>
  <c r="Y2009" i="12"/>
  <c r="Y978" i="12"/>
  <c r="Y101" i="12"/>
  <c r="Y92" i="12"/>
  <c r="Y451" i="12"/>
  <c r="Y656" i="12"/>
  <c r="Y1745" i="12"/>
  <c r="Y93" i="12"/>
  <c r="Y345" i="12"/>
  <c r="Y2317" i="12"/>
  <c r="Y1865" i="12"/>
  <c r="Y76" i="12"/>
  <c r="Y881" i="12"/>
  <c r="Y1707" i="12"/>
  <c r="Y1217" i="12"/>
  <c r="Y1555" i="12"/>
  <c r="Y501" i="12"/>
  <c r="Y70" i="12"/>
  <c r="Y540" i="12"/>
  <c r="Y2254" i="12"/>
  <c r="Y669" i="12"/>
  <c r="Y20" i="12"/>
  <c r="Y1488" i="12"/>
  <c r="Y1417" i="12"/>
  <c r="Y1626" i="12"/>
  <c r="Y1409" i="12"/>
  <c r="Y921" i="12"/>
  <c r="Y1427" i="12"/>
  <c r="Y626" i="12"/>
  <c r="Y880" i="12"/>
  <c r="Y1597" i="12"/>
  <c r="Y1489" i="12"/>
  <c r="Y468" i="12"/>
  <c r="Y2326" i="12"/>
  <c r="Y425" i="12"/>
  <c r="Y42" i="12"/>
  <c r="Y446" i="12"/>
  <c r="Y2437" i="12"/>
  <c r="Y1729" i="12"/>
  <c r="Y2910" i="12"/>
  <c r="Y1013" i="12"/>
  <c r="Y341" i="12"/>
  <c r="Y796" i="12"/>
  <c r="Y319" i="12"/>
  <c r="Y327" i="12"/>
  <c r="Y788" i="12"/>
  <c r="Y2070" i="12"/>
  <c r="Y1673" i="12"/>
  <c r="Y72" i="12"/>
  <c r="Y23" i="12"/>
  <c r="Y471" i="12"/>
  <c r="Y399" i="12"/>
  <c r="Y1781" i="12"/>
  <c r="Y440" i="12"/>
  <c r="Y204" i="12"/>
  <c r="Y611" i="12"/>
  <c r="Y1067" i="12"/>
  <c r="Y658" i="12"/>
  <c r="Y2897" i="12"/>
  <c r="Y1306" i="12"/>
  <c r="Y225" i="12"/>
  <c r="Y2690" i="12"/>
  <c r="Y2069" i="12"/>
  <c r="Y29" i="12"/>
  <c r="Y1287" i="12"/>
  <c r="Y128" i="12"/>
  <c r="Y217" i="12"/>
  <c r="Y141" i="12"/>
  <c r="Y3469" i="12"/>
  <c r="Y660" i="12"/>
  <c r="Y33" i="12"/>
  <c r="Y271" i="12"/>
  <c r="Y1327" i="12"/>
  <c r="Y1297" i="12"/>
  <c r="Y2221" i="12"/>
  <c r="Y731" i="12"/>
  <c r="Y561" i="12"/>
  <c r="Y2517" i="12"/>
  <c r="Y2082" i="12"/>
  <c r="Y810" i="12"/>
  <c r="Y3291" i="12"/>
  <c r="Y3059" i="12"/>
  <c r="Y753" i="12"/>
  <c r="Y2486" i="12"/>
  <c r="Y2176" i="12"/>
  <c r="Y2532" i="12"/>
  <c r="Y2403" i="12"/>
  <c r="Y2088" i="12"/>
  <c r="Y3479" i="12"/>
  <c r="Y2828" i="12"/>
  <c r="Y3412" i="12"/>
  <c r="Y2654" i="12"/>
  <c r="Y665" i="12"/>
  <c r="Y920" i="12"/>
  <c r="Y461" i="12"/>
  <c r="Y1383" i="12"/>
  <c r="Y2650" i="12"/>
  <c r="Y1758" i="12"/>
  <c r="Y127" i="12"/>
  <c r="Y2354" i="12"/>
  <c r="Y1622" i="12"/>
  <c r="Y350" i="12"/>
  <c r="Y469" i="12"/>
  <c r="Y552" i="12"/>
  <c r="Y1206" i="12"/>
  <c r="Y453" i="12"/>
  <c r="Y2054" i="12"/>
  <c r="Y1470" i="12"/>
  <c r="Y803" i="12"/>
  <c r="Y2557" i="12"/>
  <c r="Y2045" i="12"/>
  <c r="Y1460" i="12"/>
  <c r="Y791" i="12"/>
  <c r="Y57" i="12"/>
  <c r="Y2131" i="12"/>
  <c r="Y2314" i="12"/>
  <c r="Y3463" i="12"/>
  <c r="Y3495" i="12"/>
  <c r="Y701" i="12"/>
  <c r="Y2542" i="12"/>
  <c r="Y3272" i="12"/>
  <c r="Y3158" i="12"/>
  <c r="Y2773" i="12"/>
  <c r="Y2878" i="12"/>
  <c r="Y1642" i="12"/>
  <c r="Y1284" i="12"/>
  <c r="Y1040" i="12"/>
  <c r="Y1627" i="12"/>
  <c r="Y2818" i="12"/>
  <c r="Y2014" i="12"/>
  <c r="Y837" i="12"/>
  <c r="Y2491" i="12"/>
  <c r="Y1805" i="12"/>
  <c r="Y858" i="12"/>
  <c r="Y651" i="12"/>
  <c r="Y735" i="12"/>
  <c r="Y1343" i="12"/>
  <c r="Y635" i="12"/>
  <c r="Y2174" i="12"/>
  <c r="Y1607" i="12"/>
  <c r="Y986" i="12"/>
  <c r="Y187" i="12"/>
  <c r="Y2165" i="12"/>
  <c r="Y3147" i="12"/>
  <c r="Y1536" i="12"/>
  <c r="Y2808" i="12"/>
  <c r="Y2398" i="12"/>
  <c r="Y2991" i="12"/>
  <c r="Y3082" i="12"/>
  <c r="Y2307" i="12"/>
  <c r="Y2872" i="12"/>
  <c r="Y2966" i="12"/>
  <c r="Y3476" i="12"/>
  <c r="Y2740" i="12"/>
  <c r="Y1302" i="12"/>
  <c r="Y1076" i="12"/>
  <c r="Y747" i="12"/>
  <c r="Y1492" i="12"/>
  <c r="Y2714" i="12"/>
  <c r="Y1856" i="12"/>
  <c r="Y497" i="12"/>
  <c r="Y2409" i="12"/>
  <c r="Y1695" i="12"/>
  <c r="Y3362" i="12"/>
  <c r="Y606" i="12"/>
  <c r="Y3208" i="12"/>
  <c r="Y3064" i="12"/>
  <c r="Y2661" i="12"/>
  <c r="Y1581" i="12"/>
  <c r="Y2748" i="12"/>
  <c r="Y3201" i="12"/>
  <c r="Y2554" i="12"/>
  <c r="Y2856" i="12"/>
  <c r="Y873" i="12"/>
  <c r="Y618" i="12"/>
  <c r="Y142" i="12"/>
  <c r="Y1564" i="12"/>
  <c r="Y2473" i="12"/>
  <c r="Y1349" i="12"/>
  <c r="Y725" i="12"/>
  <c r="Y563" i="12"/>
  <c r="Y976" i="12"/>
  <c r="Y2222" i="12"/>
  <c r="Y1479" i="12"/>
  <c r="Y547" i="12"/>
  <c r="Y2213" i="12"/>
  <c r="Y1496" i="12"/>
  <c r="Y729" i="12"/>
  <c r="Y24" i="12"/>
  <c r="Y641" i="12"/>
  <c r="Y2041" i="12"/>
  <c r="Y1529" i="12"/>
  <c r="Y1015" i="12"/>
  <c r="Y430" i="12"/>
  <c r="Y133" i="12"/>
  <c r="Y636" i="12"/>
  <c r="Y124" i="12"/>
  <c r="Y631" i="12"/>
  <c r="Y556" i="12"/>
  <c r="Y2681" i="12"/>
  <c r="Y294" i="12"/>
  <c r="Y2102" i="12"/>
  <c r="Y2269" i="12"/>
  <c r="Y230" i="12"/>
  <c r="Y2017" i="12"/>
  <c r="Y475" i="12"/>
  <c r="Y484" i="12"/>
  <c r="Y849" i="12"/>
  <c r="Y2194" i="12"/>
  <c r="Y3426" i="12"/>
  <c r="Y2962" i="12"/>
  <c r="Y2848" i="12"/>
  <c r="Y3012" i="12"/>
  <c r="Y1148" i="12"/>
  <c r="Y944" i="12"/>
  <c r="Y680" i="12"/>
  <c r="Y1795" i="12"/>
  <c r="Y2601" i="12"/>
  <c r="Y1476" i="12"/>
  <c r="Y179" i="12"/>
  <c r="Y673" i="12"/>
  <c r="Y1079" i="12"/>
  <c r="Y2294" i="12"/>
  <c r="Y1562" i="12"/>
  <c r="Y657" i="12"/>
  <c r="Y2285" i="12"/>
  <c r="Y1570" i="12"/>
  <c r="Y827" i="12"/>
  <c r="Y98" i="12"/>
  <c r="Y705" i="12"/>
  <c r="Y87" i="12"/>
  <c r="Y1585" i="12"/>
  <c r="Y1073" i="12"/>
  <c r="Y494" i="12"/>
  <c r="Y189" i="12"/>
  <c r="Y692" i="12"/>
  <c r="Y180" i="12"/>
  <c r="Y558" i="12"/>
  <c r="Y620" i="12"/>
  <c r="Y2199" i="12"/>
  <c r="Y381" i="12"/>
  <c r="Y1726" i="12"/>
  <c r="Y2093" i="12"/>
  <c r="Y1178" i="12"/>
  <c r="Y1697" i="12"/>
  <c r="Y246" i="12"/>
  <c r="Y164" i="12"/>
  <c r="Y1608" i="12"/>
  <c r="Y3073" i="12"/>
  <c r="Y2789" i="12"/>
  <c r="Y3088" i="12"/>
  <c r="Y3261" i="12"/>
  <c r="Y2622" i="12"/>
  <c r="Y1458" i="12"/>
  <c r="Y2179" i="12"/>
  <c r="Y2770" i="12"/>
  <c r="Y1293" i="12"/>
  <c r="Y2327" i="12"/>
  <c r="Y1136" i="12"/>
  <c r="Y578" i="12"/>
  <c r="Y392" i="12"/>
  <c r="Y807" i="12"/>
  <c r="Y2126" i="12"/>
  <c r="Y1351" i="12"/>
  <c r="Y378" i="12"/>
  <c r="Y2117" i="12"/>
  <c r="Y1396" i="12"/>
  <c r="Y583" i="12"/>
  <c r="Y1122" i="12"/>
  <c r="Y550" i="12"/>
  <c r="Y1961" i="12"/>
  <c r="Y777" i="12"/>
  <c r="Y2104" i="12"/>
  <c r="Y893" i="12"/>
  <c r="Y488" i="12"/>
  <c r="Y979" i="12"/>
  <c r="Y841" i="12"/>
  <c r="Y2905" i="12"/>
  <c r="Y3392" i="12"/>
  <c r="Y3263" i="12"/>
  <c r="Y3237" i="12"/>
  <c r="Y3327" i="12"/>
  <c r="Y2941" i="12"/>
  <c r="Y2431" i="12"/>
  <c r="Y1180" i="12"/>
  <c r="Y1294" i="12"/>
  <c r="Y445" i="12"/>
  <c r="Y3304" i="12"/>
  <c r="Y3239" i="12"/>
  <c r="Y3141" i="12"/>
  <c r="Y3319" i="12"/>
  <c r="Y2879" i="12"/>
  <c r="Y2358" i="12"/>
  <c r="Y1160" i="12"/>
  <c r="Y1931" i="12"/>
  <c r="Y2593" i="12"/>
  <c r="Y2777" i="12"/>
  <c r="Y1732" i="12"/>
  <c r="Y433" i="12"/>
  <c r="Y1694" i="12"/>
  <c r="Y2851" i="12"/>
  <c r="Y1364" i="12"/>
  <c r="Y666" i="12"/>
  <c r="Y2950" i="12"/>
  <c r="Y3084" i="12"/>
  <c r="Y1285" i="12"/>
  <c r="Y1144" i="12"/>
  <c r="Y2099" i="12"/>
  <c r="Y1083" i="12"/>
  <c r="Y2408" i="12"/>
  <c r="Y2192" i="12"/>
  <c r="Y2909" i="12"/>
  <c r="Y1984" i="12"/>
  <c r="Y3086" i="12"/>
  <c r="Y2603" i="12"/>
  <c r="Y2733" i="12"/>
  <c r="Y3452" i="12"/>
  <c r="Y3460" i="12"/>
  <c r="Y2520" i="12"/>
  <c r="Y1247" i="12"/>
  <c r="Y191" i="12"/>
  <c r="Y2000" i="12"/>
  <c r="Y175" i="12"/>
  <c r="Y1277" i="12"/>
  <c r="Y1042" i="12"/>
  <c r="Y1881" i="12"/>
  <c r="Y832" i="12"/>
  <c r="Y988" i="12"/>
  <c r="Y371" i="12"/>
  <c r="Y2501" i="12"/>
  <c r="Y200" i="12"/>
  <c r="Y1617" i="12"/>
  <c r="Y852" i="12"/>
  <c r="Y429" i="12"/>
  <c r="Y1771" i="12"/>
  <c r="Y1481" i="12"/>
  <c r="Y3036" i="12"/>
  <c r="Y31" i="12"/>
  <c r="Y1204" i="12"/>
  <c r="Y805" i="12"/>
  <c r="Y863" i="12"/>
  <c r="Y2086" i="12"/>
  <c r="Y970" i="12"/>
  <c r="Y2718" i="12"/>
  <c r="Y1699" i="12"/>
  <c r="Y43" i="12"/>
  <c r="Y2552" i="12"/>
  <c r="Y829" i="12"/>
  <c r="Y741" i="12"/>
  <c r="Y744" i="12"/>
  <c r="Y585" i="12"/>
  <c r="Y690" i="12"/>
  <c r="Y447" i="12"/>
  <c r="Y382" i="12"/>
  <c r="Y610" i="12"/>
  <c r="Y1099" i="12"/>
  <c r="Y1233" i="12"/>
  <c r="Y84" i="12"/>
  <c r="Y1964" i="12"/>
  <c r="Y1154" i="12"/>
  <c r="Y972" i="12"/>
  <c r="Y280" i="12"/>
  <c r="Y1908" i="12"/>
  <c r="Y1345" i="12"/>
  <c r="Y2233" i="12"/>
  <c r="Y2262" i="12"/>
  <c r="Y1106" i="12"/>
  <c r="Y156" i="12"/>
  <c r="Y1001" i="12"/>
  <c r="Y1098" i="12"/>
  <c r="Y276" i="12"/>
  <c r="Y1068" i="12"/>
  <c r="Y1289" i="12"/>
  <c r="Y1424" i="12"/>
  <c r="Y1665" i="12"/>
  <c r="Y654" i="12"/>
  <c r="Y2665" i="12"/>
  <c r="Y950" i="12"/>
  <c r="Y1993" i="12"/>
  <c r="Y1740" i="12"/>
  <c r="Y1252" i="12"/>
  <c r="Y414" i="12"/>
  <c r="Y202" i="12"/>
  <c r="Y1855" i="12"/>
  <c r="Y584" i="12"/>
  <c r="Y1817" i="12"/>
  <c r="Y2528" i="12"/>
  <c r="Y999" i="12"/>
  <c r="Y532" i="12"/>
  <c r="Y2397" i="12"/>
  <c r="Y652" i="12"/>
  <c r="Y1798" i="12"/>
  <c r="Y644" i="12"/>
  <c r="Y2210" i="12"/>
  <c r="Y1311" i="12"/>
  <c r="Y594" i="12"/>
  <c r="Y770" i="12"/>
  <c r="Y2083" i="12"/>
  <c r="Y157" i="12"/>
  <c r="Y974" i="12"/>
  <c r="Y2979" i="12"/>
  <c r="Y3458" i="12"/>
  <c r="Y2945" i="12"/>
  <c r="Y2162" i="12"/>
  <c r="Y1847" i="12"/>
  <c r="Y3294" i="12"/>
  <c r="Y3217" i="12"/>
  <c r="Y1741" i="12"/>
  <c r="Y3199" i="12"/>
  <c r="Y2624" i="12"/>
  <c r="Y3332" i="12"/>
  <c r="Y2540" i="12"/>
  <c r="Y1228" i="12"/>
  <c r="Y655" i="12"/>
  <c r="Y2265" i="12"/>
  <c r="Y1208" i="12"/>
  <c r="Y2566" i="12"/>
  <c r="Y1637" i="12"/>
  <c r="Y2873" i="12"/>
  <c r="Y2273" i="12"/>
  <c r="Y1526" i="12"/>
  <c r="Y518" i="12"/>
  <c r="Y370" i="12"/>
  <c r="Y454" i="12"/>
  <c r="Y1123" i="12"/>
  <c r="Y354" i="12"/>
  <c r="Y1982" i="12"/>
  <c r="Y1397" i="12"/>
  <c r="Y707" i="12"/>
  <c r="Y2493" i="12"/>
  <c r="Y1972" i="12"/>
  <c r="Y1387" i="12"/>
  <c r="Y693" i="12"/>
  <c r="Y3211" i="12"/>
  <c r="Y1632" i="12"/>
  <c r="Y2884" i="12"/>
  <c r="Y2411" i="12"/>
  <c r="Y3095" i="12"/>
  <c r="Y3114" i="12"/>
  <c r="Y2321" i="12"/>
  <c r="Y2894" i="12"/>
  <c r="Y2974" i="12"/>
  <c r="Y3484" i="12"/>
  <c r="Y2772" i="12"/>
  <c r="Y1358" i="12"/>
  <c r="Y1094" i="12"/>
  <c r="Y821" i="12"/>
  <c r="Y1503" i="12"/>
  <c r="Y2722" i="12"/>
  <c r="Y1893" i="12"/>
  <c r="Y545" i="12"/>
  <c r="Y2418" i="12"/>
  <c r="Y1709" i="12"/>
  <c r="Y642" i="12"/>
  <c r="Y553" i="12"/>
  <c r="Y637" i="12"/>
  <c r="Y1270" i="12"/>
  <c r="Y537" i="12"/>
  <c r="Y2110" i="12"/>
  <c r="Y1534" i="12"/>
  <c r="Y890" i="12"/>
  <c r="Y49" i="12"/>
  <c r="Y2101" i="12"/>
  <c r="Y3499" i="12"/>
  <c r="Y3010" i="12"/>
  <c r="Y2387" i="12"/>
  <c r="Y2143" i="12"/>
  <c r="Y2459" i="12"/>
  <c r="Y2300" i="12"/>
  <c r="Y1958" i="12"/>
  <c r="Y3359" i="12"/>
  <c r="Y2796" i="12"/>
  <c r="Y3396" i="12"/>
  <c r="Y2632" i="12"/>
  <c r="Y1346" i="12"/>
  <c r="Y872" i="12"/>
  <c r="Y362" i="12"/>
  <c r="Y1326" i="12"/>
  <c r="Y2634" i="12"/>
  <c r="Y1733" i="12"/>
  <c r="Y2929" i="12"/>
  <c r="Y2336" i="12"/>
  <c r="Y1599" i="12"/>
  <c r="Y1911" i="12"/>
  <c r="Y3057" i="12"/>
  <c r="Y3383" i="12"/>
  <c r="Y3447" i="12"/>
  <c r="Y2023" i="12"/>
  <c r="Y2151" i="12"/>
  <c r="Y2937" i="12"/>
  <c r="Y3120" i="12"/>
  <c r="Y3389" i="12"/>
  <c r="Y2696" i="12"/>
  <c r="Y211" i="12"/>
  <c r="Y2201" i="12"/>
  <c r="Y2786" i="12"/>
  <c r="Y1395" i="12"/>
  <c r="Y2372" i="12"/>
  <c r="Y1203" i="12"/>
  <c r="Y601" i="12"/>
  <c r="Y417" i="12"/>
  <c r="Y855" i="12"/>
  <c r="Y2142" i="12"/>
  <c r="Y1370" i="12"/>
  <c r="Y426" i="12"/>
  <c r="Y2133" i="12"/>
  <c r="Y1414" i="12"/>
  <c r="Y619" i="12"/>
  <c r="Y1138" i="12"/>
  <c r="Y568" i="12"/>
  <c r="Y1977" i="12"/>
  <c r="Y1465" i="12"/>
  <c r="Y942" i="12"/>
  <c r="Y357" i="12"/>
  <c r="Y69" i="12"/>
  <c r="Y572" i="12"/>
  <c r="Y60" i="12"/>
  <c r="Y411" i="12"/>
  <c r="Y428" i="12"/>
  <c r="Y2315" i="12"/>
  <c r="Y771" i="12"/>
  <c r="Y1927" i="12"/>
  <c r="Y2008" i="12"/>
  <c r="Y67" i="12"/>
  <c r="Y1889" i="12"/>
  <c r="Y329" i="12"/>
  <c r="Y292" i="12"/>
  <c r="Y2639" i="12"/>
  <c r="Y1556" i="12"/>
  <c r="Y2694" i="12"/>
  <c r="Y3169" i="12"/>
  <c r="Y2481" i="12"/>
  <c r="Y2824" i="12"/>
  <c r="Y727" i="12"/>
  <c r="Y591" i="12"/>
  <c r="Y2922" i="12"/>
  <c r="Y1550" i="12"/>
  <c r="Y2464" i="12"/>
  <c r="Y1336" i="12"/>
  <c r="Y711" i="12"/>
  <c r="Y527" i="12"/>
  <c r="Y965" i="12"/>
  <c r="Y2214" i="12"/>
  <c r="Y1452" i="12"/>
  <c r="Y536" i="12"/>
  <c r="Y2205" i="12"/>
  <c r="Y1487" i="12"/>
  <c r="Y718" i="12"/>
  <c r="Y1194" i="12"/>
  <c r="Y632" i="12"/>
  <c r="Y2033" i="12"/>
  <c r="Y1521" i="12"/>
  <c r="Y1006" i="12"/>
  <c r="Y421" i="12"/>
  <c r="Y125" i="12"/>
  <c r="Y628" i="12"/>
  <c r="Y116" i="12"/>
  <c r="Y485" i="12"/>
  <c r="Y492" i="12"/>
  <c r="Y1746" i="12"/>
  <c r="Y1371" i="12"/>
  <c r="Y1525" i="12"/>
  <c r="Y1807" i="12"/>
  <c r="Y1050" i="12"/>
  <c r="Y1505" i="12"/>
  <c r="Y301" i="12"/>
  <c r="Y958" i="12"/>
  <c r="Y3001" i="12"/>
  <c r="Y3415" i="12"/>
  <c r="Y3253" i="12"/>
  <c r="Y3351" i="12"/>
  <c r="Y3005" i="12"/>
  <c r="Y2442" i="12"/>
  <c r="Y1198" i="12"/>
  <c r="Y1979" i="12"/>
  <c r="Y2626" i="12"/>
  <c r="Y1071" i="12"/>
  <c r="Y2209" i="12"/>
  <c r="Y957" i="12"/>
  <c r="Y432" i="12"/>
  <c r="Y263" i="12"/>
  <c r="Y683" i="12"/>
  <c r="Y2028" i="12"/>
  <c r="Y1260" i="12"/>
  <c r="Y243" i="12"/>
  <c r="Y2018" i="12"/>
  <c r="Y1304" i="12"/>
  <c r="Y473" i="12"/>
  <c r="Y1058" i="12"/>
  <c r="Y477" i="12"/>
  <c r="Y1897" i="12"/>
  <c r="Y338" i="12"/>
  <c r="Y1527" i="12"/>
  <c r="Y219" i="12"/>
  <c r="Y2445" i="12"/>
  <c r="Y687" i="12"/>
  <c r="Y549" i="12"/>
  <c r="Y3299" i="12"/>
  <c r="Y2312" i="12"/>
  <c r="Y3422" i="12"/>
  <c r="Y2699" i="12"/>
  <c r="Y2999" i="12"/>
  <c r="Y3524" i="12"/>
  <c r="Y2171" i="12"/>
  <c r="Y774" i="12"/>
  <c r="Y1054" i="12"/>
  <c r="Y3491" i="12"/>
  <c r="Y2298" i="12"/>
  <c r="Y3406" i="12"/>
  <c r="Y2687" i="12"/>
  <c r="Y2861" i="12"/>
  <c r="Y3516" i="12"/>
  <c r="Y2120" i="12"/>
  <c r="Y749" i="12"/>
  <c r="Y1711" i="12"/>
  <c r="Y2428" i="12"/>
  <c r="Y2673" i="12"/>
  <c r="Y1563" i="12"/>
  <c r="Y281" i="12"/>
  <c r="Y2803" i="12"/>
  <c r="Y2781" i="12"/>
  <c r="Y2548" i="12"/>
  <c r="Y1886" i="12"/>
  <c r="Y1531" i="12"/>
  <c r="Y2764" i="12"/>
  <c r="Y3368" i="12"/>
  <c r="Y1188" i="12"/>
  <c r="Y2983" i="12"/>
  <c r="Y2422" i="12"/>
  <c r="Y3236" i="12"/>
  <c r="Y2417" i="12"/>
  <c r="Y1062" i="12"/>
  <c r="Y82" i="12"/>
  <c r="Y2159" i="12"/>
  <c r="Y1039" i="12"/>
  <c r="Y2456" i="12"/>
  <c r="Y1514" i="12"/>
  <c r="Y2801" i="12"/>
  <c r="Y2187" i="12"/>
  <c r="Y1422" i="12"/>
  <c r="Y419" i="12"/>
  <c r="Y264" i="12"/>
  <c r="Y355" i="12"/>
  <c r="Y1037" i="12"/>
  <c r="Y248" i="12"/>
  <c r="Y1909" i="12"/>
  <c r="Y1324" i="12"/>
  <c r="Y609" i="12"/>
  <c r="Y2429" i="12"/>
  <c r="Y1899" i="12"/>
  <c r="Y1314" i="12"/>
  <c r="Y597" i="12"/>
  <c r="Y3531" i="12"/>
  <c r="Y3090" i="12"/>
  <c r="Y2472" i="12"/>
  <c r="Y2161" i="12"/>
  <c r="Y2496" i="12"/>
  <c r="Y2378" i="12"/>
  <c r="Y2016" i="12"/>
  <c r="Y3455" i="12"/>
  <c r="Y2816" i="12"/>
  <c r="Y3404" i="12"/>
  <c r="Y2644" i="12"/>
  <c r="Y533" i="12"/>
  <c r="Y895" i="12"/>
  <c r="Y410" i="12"/>
  <c r="Y1367" i="12"/>
  <c r="Y2642" i="12"/>
  <c r="Y1747" i="12"/>
  <c r="Y41" i="12"/>
  <c r="Y2345" i="12"/>
  <c r="Y1611" i="12"/>
  <c r="Y296" i="12"/>
  <c r="Y455" i="12"/>
  <c r="Y538" i="12"/>
  <c r="Y1197" i="12"/>
  <c r="Y441" i="12"/>
  <c r="Y2046" i="12"/>
  <c r="Y1461" i="12"/>
  <c r="Y792" i="12"/>
  <c r="Y2549" i="12"/>
  <c r="Y2036" i="12"/>
  <c r="Y3219" i="12"/>
  <c r="Y2779" i="12"/>
  <c r="Y2129" i="12"/>
  <c r="Y1804" i="12"/>
  <c r="Y3118" i="12"/>
  <c r="Y2985" i="12"/>
  <c r="Y1703" i="12"/>
  <c r="Y3143" i="12"/>
  <c r="Y2591" i="12"/>
  <c r="Y3300" i="12"/>
  <c r="Y2515" i="12"/>
  <c r="Y1199" i="12"/>
  <c r="Y519" i="12"/>
  <c r="Y2243" i="12"/>
  <c r="Y1176" i="12"/>
  <c r="Y2529" i="12"/>
  <c r="Y1612" i="12"/>
  <c r="Y2857" i="12"/>
  <c r="Y2251" i="12"/>
  <c r="Y3539" i="12"/>
  <c r="Y1511" i="12"/>
  <c r="Y2756" i="12"/>
  <c r="Y2386" i="12"/>
  <c r="Y2903" i="12"/>
  <c r="Y2586" i="12"/>
  <c r="Y2862" i="12"/>
  <c r="Y3413" i="12"/>
  <c r="Y3503" i="12"/>
  <c r="Y3069" i="12"/>
  <c r="Y2467" i="12"/>
  <c r="Y1227" i="12"/>
  <c r="Y2063" i="12"/>
  <c r="Y2666" i="12"/>
  <c r="Y1104" i="12"/>
  <c r="Y2231" i="12"/>
  <c r="Y994" i="12"/>
  <c r="Y480" i="12"/>
  <c r="Y291" i="12"/>
  <c r="Y709" i="12"/>
  <c r="Y2062" i="12"/>
  <c r="Y1278" i="12"/>
  <c r="Y273" i="12"/>
  <c r="Y2053" i="12"/>
  <c r="Y1332" i="12"/>
  <c r="Y510" i="12"/>
  <c r="Y1074" i="12"/>
  <c r="Y495" i="12"/>
  <c r="Y1913" i="12"/>
  <c r="Y1401" i="12"/>
  <c r="Y869" i="12"/>
  <c r="Y278" i="12"/>
  <c r="Y1020" i="12"/>
  <c r="Y508" i="12"/>
  <c r="Y1641" i="12"/>
  <c r="Y2643" i="12"/>
  <c r="Y2379" i="12"/>
  <c r="Y2313" i="12"/>
  <c r="Y1509" i="12"/>
  <c r="Y3378" i="12"/>
  <c r="Y2292" i="12"/>
  <c r="Y3397" i="12"/>
  <c r="Y3210" i="12"/>
  <c r="Y2701" i="12"/>
  <c r="Y3373" i="12"/>
  <c r="Y3156" i="12"/>
  <c r="Y2257" i="12"/>
  <c r="Y848" i="12"/>
  <c r="Y1530" i="12"/>
  <c r="Y2029" i="12"/>
  <c r="Y813" i="12"/>
  <c r="Y2364" i="12"/>
  <c r="Y1354" i="12"/>
  <c r="Y2729" i="12"/>
  <c r="Y2103" i="12"/>
  <c r="Y1308" i="12"/>
  <c r="Y323" i="12"/>
  <c r="Y152" i="12"/>
  <c r="Y249" i="12"/>
  <c r="Y939" i="12"/>
  <c r="Y134" i="12"/>
  <c r="Y1836" i="12"/>
  <c r="Y1251" i="12"/>
  <c r="Y511" i="12"/>
  <c r="Y2365" i="12"/>
  <c r="Y1826" i="12"/>
  <c r="Y1240" i="12"/>
  <c r="Y498" i="12"/>
  <c r="Y3411" i="12"/>
  <c r="Y2885" i="12"/>
  <c r="Y2144" i="12"/>
  <c r="Y1824" i="12"/>
  <c r="Y3198" i="12"/>
  <c r="Y3185" i="12"/>
  <c r="Y1724" i="12"/>
  <c r="Y3183" i="12"/>
  <c r="Y2604" i="12"/>
  <c r="Y3324" i="12"/>
  <c r="Y2527" i="12"/>
  <c r="Y1212" i="12"/>
  <c r="Y627" i="12"/>
  <c r="Y2255" i="12"/>
  <c r="Y1191" i="12"/>
  <c r="Y2556" i="12"/>
  <c r="Y1623" i="12"/>
  <c r="Y2865" i="12"/>
  <c r="Y2263" i="12"/>
  <c r="Y1512" i="12"/>
  <c r="Y506" i="12"/>
  <c r="Y359" i="12"/>
  <c r="Y442" i="12"/>
  <c r="Y1111" i="12"/>
  <c r="Y343" i="12"/>
  <c r="Y1973" i="12"/>
  <c r="Y1388" i="12"/>
  <c r="Y694" i="12"/>
  <c r="Y2485" i="12"/>
  <c r="Y1963" i="12"/>
  <c r="Y2739" i="12"/>
  <c r="Y2523" i="12"/>
  <c r="Y1750" i="12"/>
  <c r="Y1262" i="12"/>
  <c r="Y2688" i="12"/>
  <c r="Y3256" i="12"/>
  <c r="Y882" i="12"/>
  <c r="Y2883" i="12"/>
  <c r="Y3509" i="12"/>
  <c r="Y3220" i="12"/>
  <c r="Y2369" i="12"/>
  <c r="Y1029" i="12"/>
  <c r="Y1628" i="12"/>
  <c r="Y2115" i="12"/>
  <c r="Y1002" i="12"/>
  <c r="Y2438" i="12"/>
  <c r="Y1466" i="12"/>
  <c r="Y2785" i="12"/>
  <c r="Y2167" i="12"/>
  <c r="Y3427" i="12"/>
  <c r="Y2561" i="12"/>
  <c r="Y2376" i="12"/>
  <c r="Y2042" i="12"/>
  <c r="Y3442" i="12"/>
  <c r="Y2545" i="12"/>
  <c r="Y2787" i="12"/>
  <c r="Y2911" i="12"/>
  <c r="Y3079" i="12"/>
  <c r="Y3548" i="12"/>
  <c r="Y2304" i="12"/>
  <c r="Y967" i="12"/>
  <c r="Y1821" i="12"/>
  <c r="Y2511" i="12"/>
  <c r="Y763" i="12"/>
  <c r="Y2113" i="12"/>
  <c r="Y762" i="12"/>
  <c r="Y334" i="12"/>
  <c r="Y147" i="12"/>
  <c r="Y587" i="12"/>
  <c r="Y1955" i="12"/>
  <c r="Y1184" i="12"/>
  <c r="Y131" i="12"/>
  <c r="Y1944" i="12"/>
  <c r="Y1250" i="12"/>
  <c r="Y389" i="12"/>
  <c r="Y1007" i="12"/>
  <c r="Y422" i="12"/>
  <c r="Y1849" i="12"/>
  <c r="Y1337" i="12"/>
  <c r="Y795" i="12"/>
  <c r="Y192" i="12"/>
  <c r="Y956" i="12"/>
  <c r="Y444" i="12"/>
  <c r="Y1449" i="12"/>
  <c r="Y309" i="12"/>
  <c r="Y108" i="12"/>
  <c r="Y1574" i="12"/>
  <c r="Y51" i="12"/>
  <c r="Y1342" i="12"/>
  <c r="Y1634" i="12"/>
  <c r="Y906" i="12"/>
  <c r="Y2430" i="12"/>
  <c r="Y1852" i="12"/>
  <c r="Y1850" i="12"/>
  <c r="Y3330" i="12"/>
  <c r="Y3489" i="12"/>
  <c r="Y2035" i="12"/>
  <c r="Y3109" i="12"/>
  <c r="Y3513" i="12"/>
  <c r="Y3526" i="12"/>
  <c r="Y3197" i="12"/>
  <c r="Y3076" i="12"/>
  <c r="Y2087" i="12"/>
  <c r="Y472" i="12"/>
  <c r="Y1400" i="12"/>
  <c r="Y1906" i="12"/>
  <c r="Y409" i="12"/>
  <c r="Y2264" i="12"/>
  <c r="Y1207" i="12"/>
  <c r="Y2657" i="12"/>
  <c r="Y2013" i="12"/>
  <c r="Y1189" i="12"/>
  <c r="Y209" i="12"/>
  <c r="Y941" i="12"/>
  <c r="Y135" i="12"/>
  <c r="Y843" i="12"/>
  <c r="Y2310" i="12"/>
  <c r="Y1763" i="12"/>
  <c r="Y1174" i="12"/>
  <c r="Y415" i="12"/>
  <c r="Y2301" i="12"/>
  <c r="Y1752" i="12"/>
  <c r="Y1163" i="12"/>
  <c r="Y400" i="12"/>
  <c r="Y2749" i="12"/>
  <c r="Y2535" i="12"/>
  <c r="Y1811" i="12"/>
  <c r="Y1508" i="12"/>
  <c r="Y2732" i="12"/>
  <c r="Y3352" i="12"/>
  <c r="Y973" i="12"/>
  <c r="Y2893" i="12"/>
  <c r="Y2322" i="12"/>
  <c r="Y3228" i="12"/>
  <c r="Y2406" i="12"/>
  <c r="Y1044" i="12"/>
  <c r="Y1639" i="12"/>
  <c r="Y2147" i="12"/>
  <c r="Y1019" i="12"/>
  <c r="Y2447" i="12"/>
  <c r="Y1502" i="12"/>
  <c r="Y2793" i="12"/>
  <c r="Y2177" i="12"/>
  <c r="Y1410" i="12"/>
  <c r="Y408" i="12"/>
  <c r="Y250" i="12"/>
  <c r="Y344" i="12"/>
  <c r="Y1026" i="12"/>
  <c r="Y232" i="12"/>
  <c r="Y1900" i="12"/>
  <c r="Y1315" i="12"/>
  <c r="Y598" i="12"/>
  <c r="Y2421" i="12"/>
  <c r="Y1890" i="12"/>
  <c r="Y2319" i="12"/>
  <c r="Y2163" i="12"/>
  <c r="Y1450" i="12"/>
  <c r="Y3154" i="12"/>
  <c r="Y2226" i="12"/>
  <c r="Y3285" i="12"/>
  <c r="Y2986" i="12"/>
  <c r="Y2637" i="12"/>
  <c r="Y3341" i="12"/>
  <c r="Y3140" i="12"/>
  <c r="Y2224" i="12"/>
  <c r="Y752" i="12"/>
  <c r="Y1504" i="12"/>
  <c r="Y2004" i="12"/>
  <c r="Y715" i="12"/>
  <c r="Y2346" i="12"/>
  <c r="Y1322" i="12"/>
  <c r="Y2713" i="12"/>
  <c r="Y2081" i="12"/>
  <c r="Y2971" i="12"/>
  <c r="Y2725" i="12"/>
  <c r="Y2111" i="12"/>
  <c r="Y1749" i="12"/>
  <c r="Y2899" i="12"/>
  <c r="Y1962" i="12"/>
  <c r="Y3062" i="12"/>
  <c r="Y2457" i="12"/>
  <c r="Y2723" i="12"/>
  <c r="Y3428" i="12"/>
  <c r="Y1957" i="12"/>
  <c r="Y423" i="12"/>
  <c r="Y1602" i="12"/>
  <c r="Y2374" i="12"/>
  <c r="Y297" i="12"/>
  <c r="Y1951" i="12"/>
  <c r="Y398" i="12"/>
  <c r="Y194" i="12"/>
  <c r="Y1398" i="12"/>
  <c r="Y464" i="12"/>
  <c r="Y1863" i="12"/>
  <c r="Y1056" i="12"/>
  <c r="Y2565" i="12"/>
  <c r="Y1853" i="12"/>
  <c r="Y1151" i="12"/>
  <c r="Y272" i="12"/>
  <c r="Y934" i="12"/>
  <c r="Y349" i="12"/>
  <c r="Y1785" i="12"/>
  <c r="Y1273" i="12"/>
  <c r="Y722" i="12"/>
  <c r="Y106" i="12"/>
  <c r="Y892" i="12"/>
  <c r="Y380" i="12"/>
  <c r="Y1321" i="12"/>
  <c r="Y181" i="12"/>
  <c r="Y2169" i="12"/>
  <c r="Y1118" i="12"/>
  <c r="Y1261" i="12"/>
  <c r="Y1132" i="12"/>
  <c r="Y1469" i="12"/>
  <c r="Y760" i="12"/>
  <c r="Y3203" i="12"/>
  <c r="Y2218" i="12"/>
  <c r="Y1031" i="12"/>
  <c r="Y1376" i="12"/>
  <c r="Y3225" i="12"/>
  <c r="Y3384" i="12"/>
  <c r="Y1646" i="12"/>
  <c r="Y2741" i="12"/>
  <c r="Y3145" i="12"/>
  <c r="Y3366" i="12"/>
  <c r="Y2989" i="12"/>
  <c r="Y2980" i="12"/>
  <c r="Y1896" i="12"/>
  <c r="Y1446" i="12"/>
  <c r="Y1226" i="12"/>
  <c r="Y1784" i="12"/>
  <c r="Y2906" i="12"/>
  <c r="Y2136" i="12"/>
  <c r="Y1053" i="12"/>
  <c r="Y2583" i="12"/>
  <c r="Y1915" i="12"/>
  <c r="Y1052" i="12"/>
  <c r="Y81" i="12"/>
  <c r="Y845" i="12"/>
  <c r="Y1426" i="12"/>
  <c r="Y745" i="12"/>
  <c r="Y2246" i="12"/>
  <c r="Y1690" i="12"/>
  <c r="Y1088" i="12"/>
  <c r="Y315" i="12"/>
  <c r="Y2237" i="12"/>
  <c r="Y1679" i="12"/>
  <c r="Y1077" i="12"/>
  <c r="Y302" i="12"/>
  <c r="Y2368" i="12"/>
  <c r="Y2299" i="12"/>
  <c r="Y1484" i="12"/>
  <c r="Y3322" i="12"/>
  <c r="Y2244" i="12"/>
  <c r="Y3301" i="12"/>
  <c r="Y3170" i="12"/>
  <c r="Y2691" i="12"/>
  <c r="Y3357" i="12"/>
  <c r="Y3148" i="12"/>
  <c r="Y2239" i="12"/>
  <c r="Y825" i="12"/>
  <c r="Y1518" i="12"/>
  <c r="Y2015" i="12"/>
  <c r="Y790" i="12"/>
  <c r="Y2355" i="12"/>
  <c r="Y1338" i="12"/>
  <c r="Y2721" i="12"/>
  <c r="Y2091" i="12"/>
  <c r="Y1292" i="12"/>
  <c r="Y307" i="12"/>
  <c r="Y136" i="12"/>
  <c r="Y233" i="12"/>
  <c r="Y928" i="12"/>
  <c r="Y114" i="12"/>
  <c r="Y1827" i="12"/>
  <c r="Y1242" i="12"/>
  <c r="Y499" i="12"/>
  <c r="Y2357" i="12"/>
  <c r="Y1816" i="12"/>
  <c r="Y1756" i="12"/>
  <c r="Y1791" i="12"/>
  <c r="Y2970" i="12"/>
  <c r="Y3177" i="12"/>
  <c r="Y1901" i="12"/>
  <c r="Y3045" i="12"/>
  <c r="Y3433" i="12"/>
  <c r="Y3486" i="12"/>
  <c r="Y3117" i="12"/>
  <c r="Y3044" i="12"/>
  <c r="Y2052" i="12"/>
  <c r="Y374" i="12"/>
  <c r="Y1340" i="12"/>
  <c r="Y1883" i="12"/>
  <c r="Y312" i="12"/>
  <c r="Y2220" i="12"/>
  <c r="Y1172" i="12"/>
  <c r="Y2641" i="12"/>
  <c r="Y1988" i="12"/>
  <c r="Y2631" i="12"/>
  <c r="Y3474" i="12"/>
  <c r="Y1912" i="12"/>
  <c r="Y2268" i="12"/>
  <c r="Y2390" i="12"/>
  <c r="Y3511" i="12"/>
  <c r="Y3519" i="12"/>
  <c r="Y1200" i="12"/>
  <c r="Y2553" i="12"/>
  <c r="Y3288" i="12"/>
  <c r="Y3166" i="12"/>
  <c r="Y2795" i="12"/>
  <c r="Y2888" i="12"/>
  <c r="Y1664" i="12"/>
  <c r="Y1300" i="12"/>
  <c r="Y1060" i="12"/>
  <c r="Y1638" i="12"/>
  <c r="Y2826" i="12"/>
  <c r="Y2026" i="12"/>
  <c r="Y862" i="12"/>
  <c r="Y2500" i="12"/>
  <c r="Y1819" i="12"/>
  <c r="Y883" i="12"/>
  <c r="Y663" i="12"/>
  <c r="Y746" i="12"/>
  <c r="Y1352" i="12"/>
  <c r="Y647" i="12"/>
  <c r="Y2182" i="12"/>
  <c r="Y1616" i="12"/>
  <c r="Y1000" i="12"/>
  <c r="Y201" i="12"/>
  <c r="Y2173" i="12"/>
  <c r="Y1606" i="12"/>
  <c r="Y985" i="12"/>
  <c r="Y186" i="12"/>
  <c r="Y1776" i="12"/>
  <c r="Y1829" i="12"/>
  <c r="Y3066" i="12"/>
  <c r="Y3233" i="12"/>
  <c r="Y2020" i="12"/>
  <c r="Y3061" i="12"/>
  <c r="Y3465" i="12"/>
  <c r="Y3510" i="12"/>
  <c r="Y3133" i="12"/>
  <c r="Y3068" i="12"/>
  <c r="Y2067" i="12"/>
  <c r="Y424" i="12"/>
  <c r="Y1384" i="12"/>
  <c r="Y1894" i="12"/>
  <c r="Y361" i="12"/>
  <c r="Y2252" i="12"/>
  <c r="Y1190" i="12"/>
  <c r="Y2649" i="12"/>
  <c r="Y2002" i="12"/>
  <c r="Y1171" i="12"/>
  <c r="Y195" i="12"/>
  <c r="Y929" i="12"/>
  <c r="Y115" i="12"/>
  <c r="Y830" i="12"/>
  <c r="Y2302" i="12"/>
  <c r="Y1754" i="12"/>
  <c r="Y1164" i="12"/>
  <c r="Y401" i="12"/>
  <c r="Y2293" i="12"/>
  <c r="Y1743" i="12"/>
  <c r="Y283" i="12"/>
  <c r="Y736" i="12"/>
  <c r="Y3264" i="12"/>
  <c r="Y3192" i="12"/>
  <c r="Y1596" i="12"/>
  <c r="Y2709" i="12"/>
  <c r="Y2917" i="12"/>
  <c r="Y3286" i="12"/>
  <c r="Y2957" i="12"/>
  <c r="Y2964" i="12"/>
  <c r="Y1815" i="12"/>
  <c r="Y1418" i="12"/>
  <c r="Y1192" i="12"/>
  <c r="Y1736" i="12"/>
  <c r="Y2890" i="12"/>
  <c r="Y2114" i="12"/>
  <c r="Y1018" i="12"/>
  <c r="Y2555" i="12"/>
  <c r="Y1892" i="12"/>
  <c r="Y2119" i="12"/>
  <c r="Y2148" i="12"/>
  <c r="Y1149" i="12"/>
  <c r="Y3106" i="12"/>
  <c r="Y2342" i="12"/>
  <c r="Y2926" i="12"/>
  <c r="Y1803" i="12"/>
  <c r="Y1547" i="12"/>
  <c r="Y3134" i="12"/>
  <c r="Y3164" i="12"/>
  <c r="Y874" i="12"/>
  <c r="Y1299" i="12"/>
  <c r="Y1140" i="12"/>
  <c r="Y1989" i="12"/>
  <c r="Y2737" i="12"/>
  <c r="Y1647" i="12"/>
  <c r="Y360" i="12"/>
  <c r="Y808" i="12"/>
  <c r="Y1215" i="12"/>
  <c r="Y176" i="12"/>
  <c r="Y1662" i="12"/>
  <c r="Y817" i="12"/>
  <c r="Y2389" i="12"/>
  <c r="Y1661" i="12"/>
  <c r="Y949" i="12"/>
  <c r="Y99" i="12"/>
  <c r="Y787" i="12"/>
  <c r="Y183" i="12"/>
  <c r="Y1657" i="12"/>
  <c r="Y1145" i="12"/>
  <c r="Y576" i="12"/>
  <c r="Y2475" i="12"/>
  <c r="Y3284" i="12"/>
  <c r="Y954" i="12"/>
  <c r="Y144" i="12"/>
  <c r="Y828" i="12"/>
  <c r="Y876" i="12"/>
  <c r="Y917" i="12"/>
  <c r="Y1114" i="12"/>
  <c r="Y160" i="12"/>
  <c r="Y2791" i="12"/>
  <c r="Y2820" i="12"/>
  <c r="Y2106" i="12"/>
  <c r="Y3540" i="12"/>
  <c r="Y1471" i="12"/>
  <c r="Y1590" i="12"/>
  <c r="Y1086" i="12"/>
  <c r="Y1768" i="12"/>
  <c r="Y322" i="12"/>
  <c r="Y818" i="12"/>
  <c r="Y1854" i="12"/>
  <c r="Y259" i="12"/>
  <c r="Y1734" i="12"/>
  <c r="Y377" i="12"/>
  <c r="Y559" i="12"/>
  <c r="Y1777" i="12"/>
  <c r="Y859" i="12"/>
  <c r="Y317" i="12"/>
  <c r="Y436" i="12"/>
  <c r="Y256" i="12"/>
  <c r="Y1710" i="12"/>
  <c r="Y793" i="12"/>
  <c r="Y2525" i="12"/>
  <c r="Y394" i="12"/>
  <c r="Y109" i="12"/>
  <c r="Y1888" i="12"/>
  <c r="Y2838" i="12"/>
  <c r="Y2908" i="12"/>
  <c r="Y3268" i="12"/>
  <c r="Y847" i="12"/>
  <c r="Y1072" i="12"/>
  <c r="Y2921" i="12"/>
  <c r="Y1464" i="12"/>
  <c r="Y904" i="12"/>
  <c r="Y562" i="12"/>
  <c r="Y1644" i="12"/>
  <c r="Y2533" i="12"/>
  <c r="Y1560" i="12"/>
  <c r="Y112" i="12"/>
  <c r="Y403" i="12"/>
  <c r="Y1513" i="12"/>
  <c r="Y2546" i="12"/>
  <c r="Y1434" i="12"/>
  <c r="Y1761" i="12"/>
  <c r="Y2551" i="12"/>
  <c r="Y1998" i="12"/>
  <c r="Y1920" i="12"/>
  <c r="Y2444" i="12"/>
  <c r="Y1317" i="12"/>
  <c r="Y617" i="12"/>
  <c r="Y3049" i="12"/>
  <c r="Y2074" i="12"/>
  <c r="Y3504" i="12"/>
  <c r="Y3092" i="12"/>
  <c r="Y1614" i="12"/>
  <c r="Y582" i="12"/>
  <c r="Y2436" i="12"/>
  <c r="Y579" i="12"/>
  <c r="Y1420" i="12"/>
  <c r="Y3382" i="12"/>
  <c r="Y2463" i="12"/>
  <c r="Y3213" i="12"/>
  <c r="Y2100" i="12"/>
  <c r="Y717" i="12"/>
  <c r="Y2683" i="12"/>
  <c r="Y2952" i="12"/>
  <c r="Y1764" i="12"/>
  <c r="Y1030" i="12"/>
  <c r="Y2451" i="12"/>
  <c r="Y2172" i="12"/>
  <c r="Y2912" i="12"/>
  <c r="Y2708" i="12"/>
  <c r="Y2050" i="12"/>
  <c r="Y638" i="12"/>
  <c r="Y379" i="12"/>
  <c r="Y2509" i="12"/>
  <c r="Y670" i="12"/>
  <c r="Y311" i="12"/>
  <c r="Y686" i="12"/>
  <c r="Y604" i="12"/>
  <c r="Y1205" i="12"/>
  <c r="Y35" i="12"/>
  <c r="Y823" i="12"/>
  <c r="Y1976" i="12"/>
  <c r="Y1423" i="12"/>
  <c r="Y375" i="12"/>
  <c r="Y1538" i="12"/>
  <c r="Y633" i="12"/>
  <c r="Y836" i="12"/>
  <c r="Y867" i="12"/>
  <c r="Y531" i="12"/>
  <c r="Y1842" i="12"/>
  <c r="Y766" i="12"/>
  <c r="Y2584" i="12"/>
  <c r="Y314" i="12"/>
  <c r="Y490" i="12"/>
  <c r="Y118" i="12"/>
  <c r="Y1158" i="12"/>
  <c r="Y1235" i="12"/>
  <c r="Y30" i="12"/>
  <c r="Y888" i="12"/>
  <c r="Y980" i="12"/>
  <c r="Y1379" i="12"/>
  <c r="Y1737" i="12"/>
  <c r="Y351" i="12"/>
  <c r="Y1368" i="12"/>
  <c r="Y32" i="12"/>
  <c r="Y238" i="12"/>
  <c r="Y678" i="12"/>
  <c r="Y1660" i="12"/>
  <c r="Y1688" i="12"/>
  <c r="Y3101" i="12"/>
  <c r="Y1173" i="12"/>
  <c r="Y1272" i="12"/>
  <c r="Y878" i="12"/>
  <c r="Y2834" i="12"/>
  <c r="Y1316" i="12"/>
  <c r="Y1609" i="12"/>
  <c r="Y1831" i="12"/>
  <c r="Y2085" i="12"/>
  <c r="Y77" i="12"/>
  <c r="Y600" i="12"/>
  <c r="Y66" i="12"/>
  <c r="Y1394" i="12"/>
  <c r="Y376" i="12"/>
  <c r="Y819" i="12"/>
  <c r="Y140" i="12"/>
  <c r="Y504" i="12"/>
  <c r="Y924" i="12"/>
  <c r="Y254" i="12"/>
  <c r="Y2190" i="12"/>
  <c r="Y668" i="12"/>
  <c r="Y1312" i="12"/>
  <c r="Y21" i="12"/>
  <c r="Y491" i="12"/>
  <c r="Y198" i="12"/>
  <c r="Y1093" i="12"/>
  <c r="Y397" i="12"/>
  <c r="Y523" i="12"/>
  <c r="P55" i="12"/>
  <c r="P64" i="12"/>
  <c r="P54" i="12"/>
  <c r="P70" i="12"/>
  <c r="Y1507" i="12"/>
  <c r="Y1999" i="12"/>
  <c r="Y1406" i="12"/>
  <c r="Y1974" i="12"/>
  <c r="Y369" i="12"/>
  <c r="Y580" i="12"/>
  <c r="Y1689" i="12"/>
  <c r="Y1830" i="12"/>
  <c r="Y1028" i="12"/>
  <c r="Y2477" i="12"/>
  <c r="Y1146" i="12"/>
  <c r="Y218" i="12"/>
  <c r="Y1435" i="12"/>
  <c r="Y758" i="12"/>
  <c r="Y505" i="12"/>
  <c r="Y1537" i="12"/>
  <c r="Y2200" i="12"/>
  <c r="Y1872" i="12"/>
  <c r="Y910" i="12"/>
  <c r="AA17" i="12"/>
  <c r="Y3100" i="12"/>
  <c r="Y2092" i="12"/>
  <c r="Y3547" i="12"/>
  <c r="Y3303" i="12"/>
  <c r="Y1919" i="12"/>
  <c r="Y3226" i="12"/>
  <c r="Y3241" i="12"/>
  <c r="Y1181" i="12"/>
  <c r="Y1990" i="12"/>
  <c r="Y234" i="12"/>
  <c r="Y449" i="12"/>
  <c r="Y599" i="12"/>
  <c r="Y2270" i="12"/>
  <c r="Y854" i="12"/>
  <c r="Y1234" i="12"/>
  <c r="Y1801" i="12"/>
  <c r="Y2039" i="12"/>
  <c r="Y963" i="12"/>
  <c r="Y2141" i="12"/>
  <c r="Y1016" i="12"/>
  <c r="Y1177" i="12"/>
  <c r="Y208" i="12"/>
  <c r="Y516" i="12"/>
  <c r="Y1954" i="12"/>
  <c r="Y723" i="12"/>
  <c r="Y905" i="12"/>
  <c r="Y535" i="12"/>
  <c r="Y206" i="12"/>
  <c r="Y260" i="12"/>
  <c r="Y286" i="12"/>
  <c r="Y2769" i="12"/>
  <c r="Y102" i="12"/>
  <c r="C28" i="6"/>
  <c r="Y1258" i="12"/>
  <c r="Y299" i="12"/>
  <c r="Y733" i="12"/>
  <c r="Y1820" i="12"/>
  <c r="Y603" i="12"/>
  <c r="Y3340" i="12"/>
  <c r="Y969" i="12"/>
  <c r="Y577" i="12"/>
  <c r="Y1882" i="12"/>
  <c r="Y1624" i="12"/>
  <c r="Y1259" i="12"/>
  <c r="Y279" i="12"/>
  <c r="Y320" i="12"/>
  <c r="Y46" i="12"/>
  <c r="Y326" i="12"/>
  <c r="Y1195" i="12"/>
  <c r="Y1090" i="12"/>
  <c r="Y1362" i="12"/>
  <c r="P51" i="12"/>
  <c r="Y229" i="12"/>
  <c r="Y2077" i="12"/>
  <c r="Y138" i="12"/>
  <c r="Y908" i="12"/>
  <c r="Y2391" i="12"/>
  <c r="Y698" i="12"/>
  <c r="Y1918" i="12"/>
  <c r="Y2253" i="12"/>
  <c r="Y720" i="12"/>
  <c r="Y898" i="12"/>
  <c r="Y588" i="12"/>
  <c r="Y2274" i="12"/>
  <c r="Y971" i="12"/>
  <c r="Y2383" i="12"/>
  <c r="Y840" i="12"/>
  <c r="Y1929" i="12"/>
  <c r="P53" i="12"/>
  <c r="Y3432" i="12"/>
  <c r="Y3462" i="12"/>
  <c r="Y785" i="12"/>
  <c r="Y1109" i="12"/>
  <c r="Y860" i="12"/>
  <c r="Y1196" i="12"/>
  <c r="Y366" i="12"/>
  <c r="Y1524" i="12"/>
  <c r="Y193" i="12"/>
  <c r="Y1325" i="12"/>
  <c r="Y163" i="12"/>
  <c r="Y951" i="12"/>
  <c r="Y2573" i="12"/>
  <c r="Y1686" i="12"/>
  <c r="Y1591" i="12"/>
  <c r="Y412" i="12"/>
  <c r="Y215" i="12"/>
  <c r="Y367" i="12"/>
  <c r="Y1033" i="12"/>
  <c r="P76" i="12"/>
  <c r="P75" i="12"/>
  <c r="Y268" i="12"/>
  <c r="Y560" i="12"/>
  <c r="Y887" i="12"/>
  <c r="Y750" i="12"/>
  <c r="Y149" i="12"/>
  <c r="Y2341" i="12"/>
  <c r="P66" i="12"/>
  <c r="Y1730" i="12"/>
  <c r="Y1594" i="12"/>
  <c r="Y1307" i="12"/>
  <c r="Y861" i="12"/>
  <c r="Y764" i="12"/>
  <c r="Y236" i="12"/>
  <c r="Y405" i="12"/>
  <c r="Y541" i="12"/>
  <c r="Y237" i="12"/>
  <c r="Y1895" i="12"/>
  <c r="Y2580" i="12"/>
  <c r="Y3112" i="12"/>
  <c r="Y3420" i="12"/>
  <c r="Y1211" i="12"/>
  <c r="Y1399" i="12"/>
  <c r="Y738" i="12"/>
  <c r="Y1156" i="12"/>
  <c r="Y178" i="12"/>
  <c r="Y697" i="12"/>
  <c r="Y1744" i="12"/>
  <c r="Y113" i="12"/>
  <c r="Y1405" i="12"/>
  <c r="Y258" i="12"/>
  <c r="Y486" i="12"/>
  <c r="Y1713" i="12"/>
  <c r="Y786" i="12"/>
  <c r="Y61" i="12"/>
  <c r="Y372" i="12"/>
  <c r="Y86" i="12"/>
  <c r="Y2809" i="12"/>
  <c r="Y672" i="12"/>
  <c r="Y1551" i="12"/>
  <c r="Y151" i="12"/>
  <c r="Y996" i="12"/>
  <c r="Y2476" i="12"/>
  <c r="Y2193" i="12"/>
  <c r="Y3015" i="12"/>
  <c r="Y3108" i="12"/>
  <c r="Y325" i="12"/>
  <c r="Y653" i="12"/>
  <c r="Y2817" i="12"/>
  <c r="Y703" i="12"/>
  <c r="Y783" i="12"/>
  <c r="Y416" i="12"/>
  <c r="Y1552" i="12"/>
  <c r="Y2453" i="12"/>
  <c r="Y1222" i="12"/>
  <c r="Y79" i="12"/>
  <c r="Y330" i="12"/>
  <c r="Y1385" i="12"/>
  <c r="Y1878" i="12"/>
  <c r="Y2189" i="12"/>
  <c r="Y1569" i="12"/>
  <c r="Y1519" i="12"/>
  <c r="Y1064" i="12"/>
  <c r="Y1403" i="12"/>
  <c r="Y3364" i="12"/>
  <c r="Y1080" i="12"/>
  <c r="Y2882" i="12"/>
  <c r="Y2340" i="12"/>
  <c r="Y1404" i="12"/>
  <c r="Y2484" i="12"/>
  <c r="Y2948" i="12"/>
  <c r="Y1429" i="12"/>
  <c r="Y2858" i="12"/>
  <c r="Y2305" i="12"/>
  <c r="Y137" i="12"/>
  <c r="Y3232" i="12"/>
  <c r="Y2433" i="12"/>
  <c r="Y3488" i="12"/>
  <c r="Y2859" i="12"/>
  <c r="Y1760" i="12"/>
  <c r="Y2287" i="12"/>
  <c r="Y2064" i="12"/>
  <c r="Y2871" i="12"/>
  <c r="Y3354" i="12"/>
  <c r="Y2671" i="12"/>
  <c r="Y2904" i="12"/>
  <c r="Y1572" i="12"/>
  <c r="Y2579" i="12"/>
  <c r="Y2504" i="12"/>
  <c r="Y1439" i="12"/>
  <c r="Y395" i="12"/>
  <c r="Y50" i="12"/>
  <c r="Y2333" i="12"/>
  <c r="Y450" i="12"/>
  <c r="Y139" i="12"/>
  <c r="Y539" i="12"/>
  <c r="Y476" i="12"/>
  <c r="Y719" i="12"/>
  <c r="Y1034" i="12"/>
  <c r="Y530" i="12"/>
  <c r="Y496" i="12"/>
  <c r="Y864" i="12"/>
  <c r="Y213" i="12"/>
  <c r="Y251" i="12"/>
  <c r="Y120" i="12"/>
  <c r="Y452" i="12"/>
  <c r="Y1444" i="12"/>
  <c r="Y1945" i="12"/>
  <c r="Y123" i="12"/>
  <c r="Y56" i="12"/>
  <c r="Y2145" i="12"/>
  <c r="Y952" i="12"/>
  <c r="Y661" i="12"/>
  <c r="Y900" i="12"/>
  <c r="Y2842" i="12"/>
  <c r="Y544" i="12"/>
  <c r="Y1991" i="12"/>
  <c r="Y595" i="12"/>
  <c r="Y724" i="12"/>
  <c r="Y682" i="12"/>
  <c r="Y1353" i="12"/>
  <c r="Y1965" i="12"/>
  <c r="Y853" i="12"/>
  <c r="Y964" i="12"/>
  <c r="Y333" i="12"/>
  <c r="Y55" i="12"/>
  <c r="Y2241" i="12"/>
  <c r="Y1350" i="12"/>
  <c r="Y935" i="12"/>
  <c r="Y121" i="12"/>
  <c r="Y207" i="12"/>
  <c r="Y288" i="12"/>
  <c r="Y2410" i="12"/>
  <c r="Y331" i="12"/>
  <c r="Y1097" i="12"/>
  <c r="Y2295" i="12"/>
  <c r="Y1542" i="12"/>
  <c r="Y708" i="12"/>
  <c r="Y1243" i="12"/>
  <c r="Y824" i="12"/>
  <c r="Y856" i="12"/>
  <c r="Y1681" i="12"/>
  <c r="Y478" i="12"/>
  <c r="Y1266" i="12"/>
  <c r="Y1921" i="12"/>
  <c r="Y284" i="12"/>
  <c r="Y2849" i="12"/>
  <c r="Y1119" i="12"/>
  <c r="Y28" i="12"/>
  <c r="Y1428" i="12"/>
  <c r="Y1869" i="12"/>
  <c r="Y1224" i="12"/>
  <c r="Y903" i="12"/>
  <c r="Y1600" i="12"/>
  <c r="Y39" i="12"/>
  <c r="Y358" i="12"/>
  <c r="P47" i="12"/>
  <c r="P61" i="12"/>
  <c r="P72" i="12"/>
  <c r="P60" i="12"/>
  <c r="Y870" i="12"/>
  <c r="Y1809" i="12"/>
  <c r="Y513" i="12"/>
  <c r="Y388" i="12"/>
  <c r="Y58" i="12"/>
  <c r="Y129" i="12"/>
  <c r="Y145" i="12"/>
  <c r="Y158" i="12"/>
  <c r="Y1708" i="12"/>
  <c r="Y1017" i="12"/>
  <c r="Y806" i="12"/>
  <c r="Y474" i="12"/>
  <c r="Y1843" i="12"/>
  <c r="Y1085" i="12"/>
  <c r="Y324" i="12"/>
  <c r="Y1433" i="12"/>
  <c r="Y1670" i="12"/>
  <c r="Y1281" i="12"/>
  <c r="Y103" i="12"/>
  <c r="Y1808" i="12"/>
  <c r="Y34" i="12"/>
  <c r="Y1024" i="12"/>
  <c r="P58" i="12"/>
  <c r="Z19" i="12" a="1"/>
  <c r="Z3176" i="12"/>
  <c r="Z2553" i="12"/>
  <c r="Z252" i="12"/>
  <c r="Z327" i="12"/>
  <c r="Z1043" i="12"/>
  <c r="Z2148" i="12"/>
  <c r="Z3503" i="12"/>
  <c r="Z1266" i="12"/>
  <c r="Z1870" i="12"/>
  <c r="Z693" i="12"/>
  <c r="Z2837" i="12"/>
  <c r="Z1750" i="12"/>
  <c r="Z2674" i="12"/>
  <c r="Z3468" i="12"/>
  <c r="Z1747" i="12"/>
  <c r="Z349" i="12"/>
  <c r="Z3007" i="12"/>
  <c r="Z1119" i="12"/>
  <c r="Z1173" i="12"/>
  <c r="Z3319" i="12"/>
  <c r="Z630" i="12"/>
  <c r="Z2858" i="12"/>
  <c r="Z1983" i="12"/>
  <c r="Z2951" i="12"/>
  <c r="Z542" i="12"/>
  <c r="Z1434" i="12"/>
  <c r="Z2494" i="12"/>
  <c r="Z3199" i="12"/>
  <c r="Z26" i="12"/>
  <c r="Z237" i="12"/>
  <c r="Z2329" i="12"/>
  <c r="Z1169" i="12"/>
  <c r="Z361" i="12"/>
  <c r="Z1131" i="12"/>
  <c r="Z1364" i="12"/>
  <c r="Z2443" i="12"/>
  <c r="Z2797" i="12"/>
  <c r="Z3058" i="12"/>
  <c r="Z2011" i="12"/>
  <c r="Z1554" i="12"/>
  <c r="Z1977" i="12"/>
  <c r="Z2904" i="12"/>
  <c r="Z1023" i="12"/>
  <c r="Z972" i="12"/>
  <c r="Z2685" i="12"/>
  <c r="Z2965" i="12"/>
  <c r="Z1198" i="12"/>
  <c r="Z2200" i="12"/>
  <c r="Z2121" i="12"/>
  <c r="Z2764" i="12"/>
  <c r="Z925" i="12"/>
  <c r="Z1151" i="12"/>
  <c r="Z3032" i="12"/>
  <c r="Z1456" i="12"/>
  <c r="Z2463" i="12"/>
  <c r="Z3074" i="12"/>
  <c r="Z3500" i="12"/>
  <c r="Z2021" i="12"/>
  <c r="Z1301" i="12"/>
  <c r="Z2728" i="12"/>
  <c r="Z2486" i="12"/>
  <c r="Z1152" i="12"/>
  <c r="Z399" i="12"/>
  <c r="Z3131" i="12"/>
  <c r="Z3102" i="12"/>
  <c r="Z1498" i="12"/>
  <c r="Z2015" i="12"/>
  <c r="Z2153" i="12"/>
  <c r="Z3087" i="12"/>
  <c r="Z1034" i="12"/>
  <c r="Z3278" i="12"/>
  <c r="Z82" i="12"/>
  <c r="Z1997" i="12"/>
  <c r="Z2177" i="12"/>
  <c r="Z1561" i="12"/>
  <c r="Z1068" i="12"/>
  <c r="Z1793" i="12"/>
  <c r="Z3253" i="12"/>
  <c r="Z1137" i="12"/>
  <c r="Z632" i="12"/>
  <c r="Z2676" i="12"/>
  <c r="Z1714" i="12"/>
  <c r="Z636" i="12"/>
  <c r="Z1500" i="12"/>
  <c r="Z1134" i="12"/>
  <c r="Z2850" i="12"/>
  <c r="Z888" i="12"/>
  <c r="Z1509" i="12"/>
  <c r="Z3172" i="12"/>
  <c r="Z2579" i="12"/>
  <c r="Z431" i="12"/>
  <c r="Z1947" i="12"/>
  <c r="Z1095" i="12"/>
  <c r="Z806" i="12"/>
  <c r="Z2790" i="12"/>
  <c r="Z2599" i="12"/>
  <c r="Z2029" i="12"/>
  <c r="Z3340" i="12"/>
  <c r="Z3344" i="12"/>
  <c r="Z2079" i="12"/>
  <c r="Z3430" i="12"/>
  <c r="Z2268" i="12"/>
  <c r="Z3156" i="12"/>
  <c r="Z1241" i="12"/>
  <c r="Z2337" i="12"/>
  <c r="Z318" i="12"/>
  <c r="Z478" i="12"/>
  <c r="Z1019" i="12"/>
  <c r="Z1898" i="12"/>
  <c r="Z3469" i="12"/>
  <c r="Z1259" i="12"/>
  <c r="Z2434" i="12"/>
  <c r="Z641" i="12"/>
  <c r="Z1154" i="12"/>
  <c r="Z1124" i="12"/>
  <c r="Z2488" i="12"/>
  <c r="Z359" i="12"/>
  <c r="Z1602" i="12"/>
  <c r="Z2737" i="12"/>
  <c r="Z1074" i="12"/>
  <c r="Z2522" i="12"/>
  <c r="Z268" i="12"/>
  <c r="Z1373" i="12"/>
  <c r="Z1530" i="12"/>
  <c r="Z475" i="12"/>
  <c r="Z621" i="12"/>
  <c r="Z2533" i="12"/>
  <c r="Z3190" i="12"/>
  <c r="Z3514" i="12"/>
  <c r="Z2670" i="12"/>
  <c r="Z1601" i="12"/>
  <c r="Z2839" i="12"/>
  <c r="Z2703" i="12"/>
  <c r="Z1303" i="12"/>
  <c r="Z358" i="12"/>
  <c r="Z3267" i="12"/>
  <c r="Z2715" i="12"/>
  <c r="Z1209" i="12"/>
  <c r="Z2838" i="12"/>
  <c r="Z1511" i="12"/>
  <c r="Z2285" i="12"/>
  <c r="Z3269" i="12"/>
  <c r="Z676" i="12"/>
  <c r="Z2660" i="12"/>
  <c r="Z896" i="12"/>
  <c r="Z2726" i="12"/>
  <c r="Z1038" i="12"/>
  <c r="Z957" i="12"/>
  <c r="Z1852" i="12"/>
  <c r="Z3406" i="12"/>
  <c r="Z2423" i="12"/>
  <c r="Z72" i="12"/>
  <c r="Z3164" i="12"/>
  <c r="Z1342" i="12"/>
  <c r="Z537" i="12"/>
  <c r="Z1727" i="12"/>
  <c r="Z3118" i="12"/>
  <c r="Z202" i="12"/>
  <c r="Z3434" i="12"/>
  <c r="Z3390" i="12"/>
  <c r="Z2323" i="12"/>
  <c r="Z2460" i="12"/>
  <c r="Z3086" i="12"/>
  <c r="Z2421" i="12"/>
  <c r="Z1968" i="12"/>
  <c r="Z1274" i="12"/>
  <c r="Z3509" i="12"/>
  <c r="Z1653" i="12"/>
  <c r="Z2152" i="12"/>
  <c r="Z751" i="12"/>
  <c r="Z1801" i="12"/>
  <c r="Z1208" i="12"/>
  <c r="Z3161" i="12"/>
  <c r="Z419" i="12"/>
  <c r="Z249" i="12"/>
  <c r="Z3173" i="12"/>
  <c r="Z1888" i="12"/>
  <c r="Z1141" i="12"/>
  <c r="Z2218" i="12"/>
  <c r="Z3479" i="12"/>
  <c r="Z3015" i="12"/>
  <c r="Z1063" i="12"/>
  <c r="Z3206" i="12"/>
  <c r="Z459" i="12"/>
  <c r="Z2946" i="12"/>
  <c r="Z1374" i="12"/>
  <c r="Z2221" i="12"/>
  <c r="Z1277" i="12"/>
  <c r="Z889" i="12"/>
  <c r="Z2959" i="12"/>
  <c r="Z3309" i="12"/>
  <c r="Z565" i="12"/>
  <c r="Z3389" i="12"/>
  <c r="Z2462" i="12"/>
  <c r="Z1386" i="12"/>
  <c r="Z2140" i="12"/>
  <c r="Z1675" i="12"/>
  <c r="Z1470" i="12"/>
  <c r="Z3338" i="12"/>
  <c r="Z1626" i="12"/>
  <c r="Z442" i="12"/>
  <c r="Z2321" i="12"/>
  <c r="Z1781" i="12"/>
  <c r="Z3442" i="12"/>
  <c r="Z2109" i="12"/>
  <c r="Z2203" i="12"/>
  <c r="Z1185" i="12"/>
  <c r="Z117" i="12"/>
  <c r="Z3250" i="12"/>
  <c r="Z2985" i="12"/>
  <c r="Z3146" i="12"/>
  <c r="Z1928" i="12"/>
  <c r="Z573" i="12"/>
  <c r="Z567" i="12"/>
  <c r="Z1854" i="12"/>
  <c r="Z2829" i="12"/>
  <c r="Z655" i="12"/>
  <c r="Z57" i="12"/>
  <c r="Z3280" i="12"/>
  <c r="Z2853" i="12"/>
  <c r="Z2980" i="12"/>
  <c r="Z1808" i="12"/>
  <c r="Z1112" i="12"/>
  <c r="Z161" i="12"/>
  <c r="Z930" i="12"/>
  <c r="Z2442" i="12"/>
  <c r="Z188" i="12"/>
  <c r="Z3436" i="12"/>
  <c r="Z3018" i="12"/>
  <c r="Z1404" i="12"/>
  <c r="Z3103" i="12"/>
  <c r="Z2903" i="12"/>
  <c r="Z2811" i="12"/>
  <c r="Z882" i="12"/>
  <c r="Z2349" i="12"/>
  <c r="Z1816" i="12"/>
  <c r="Z2714" i="12"/>
  <c r="Z324" i="12"/>
  <c r="Z2412" i="12"/>
  <c r="Z2490" i="12"/>
  <c r="Z645" i="12"/>
  <c r="Z302" i="12"/>
  <c r="Z1161" i="12"/>
  <c r="Z1797" i="12"/>
  <c r="Z3260" i="12"/>
  <c r="Z2822" i="12"/>
  <c r="Z2890" i="12"/>
  <c r="Z3216" i="12"/>
  <c r="Z2127" i="12"/>
  <c r="Z3241" i="12"/>
  <c r="Z3236" i="12"/>
  <c r="Z2009" i="12"/>
  <c r="Z272" i="12"/>
  <c r="Z841" i="12"/>
  <c r="Z238" i="12"/>
  <c r="Z1978" i="12"/>
  <c r="Z2765" i="12"/>
  <c r="Z2785" i="12"/>
  <c r="Z1541" i="12"/>
  <c r="Z2963" i="12"/>
  <c r="Z1785" i="12"/>
  <c r="Z184" i="12"/>
  <c r="Z2775" i="12"/>
  <c r="Z706" i="12"/>
  <c r="Z1607" i="12"/>
  <c r="Z916" i="12"/>
  <c r="Z2611" i="12"/>
  <c r="Z1507" i="12"/>
  <c r="Z2449" i="12"/>
  <c r="Z1576" i="12"/>
  <c r="Z3169" i="12"/>
  <c r="Z1640" i="12"/>
  <c r="Z423" i="12"/>
  <c r="Z3452" i="12"/>
  <c r="Z3153" i="12"/>
  <c r="Z2789" i="12"/>
  <c r="Z883" i="12"/>
  <c r="Z3501" i="12"/>
  <c r="Z859" i="12"/>
  <c r="Z1654" i="12"/>
  <c r="Z3518" i="12"/>
  <c r="Z555" i="12"/>
  <c r="Z2182" i="12"/>
  <c r="Z508" i="12"/>
  <c r="Z2130" i="12"/>
  <c r="Z2317" i="12"/>
  <c r="Z1786" i="12"/>
  <c r="Z670" i="12"/>
  <c r="Z1024" i="12"/>
  <c r="Z738" i="12"/>
  <c r="Z2032" i="12"/>
  <c r="Z659" i="12"/>
  <c r="Z1007" i="12"/>
  <c r="Z3304" i="12"/>
  <c r="Z3437" i="12"/>
  <c r="Z207" i="12"/>
  <c r="Z2894" i="12"/>
  <c r="Z412" i="12"/>
  <c r="Z1863" i="12"/>
  <c r="Z2787" i="12"/>
  <c r="Z1875" i="12"/>
  <c r="Z108" i="12"/>
  <c r="Z599" i="12"/>
  <c r="Z335" i="12"/>
  <c r="Z2798" i="12"/>
  <c r="Z2108" i="12"/>
  <c r="Z795" i="12"/>
  <c r="Z1590" i="12"/>
  <c r="Z3210" i="12"/>
  <c r="Z2480" i="12"/>
  <c r="Z482" i="12"/>
  <c r="Z796" i="12"/>
  <c r="Z2697" i="12"/>
  <c r="Z748" i="12"/>
  <c r="Z1907" i="12"/>
  <c r="Z2693" i="12"/>
  <c r="Z2138" i="12"/>
  <c r="Z1857" i="12"/>
  <c r="Z1090" i="12"/>
  <c r="Z3233" i="12"/>
  <c r="Z2378" i="12"/>
  <c r="Z2646" i="12"/>
  <c r="Z3137" i="12"/>
  <c r="Z177" i="12"/>
  <c r="Z21" i="12"/>
  <c r="Z2313" i="12"/>
  <c r="Z1866" i="12"/>
  <c r="Z3440" i="12"/>
  <c r="Z3222" i="12"/>
  <c r="Z2596" i="12"/>
  <c r="Z1054" i="12"/>
  <c r="Z2474" i="12"/>
  <c r="Z2389" i="12"/>
  <c r="Z1459" i="12"/>
  <c r="Z1117" i="12"/>
  <c r="Z803" i="12"/>
  <c r="Z294" i="12"/>
  <c r="Z2193" i="12"/>
  <c r="Z2470" i="12"/>
  <c r="Z3467" i="12"/>
  <c r="Z1952" i="12"/>
  <c r="Z1784" i="12"/>
  <c r="Z1524" i="12"/>
  <c r="Z2292" i="12"/>
  <c r="Z846" i="12"/>
  <c r="Z2934" i="12"/>
  <c r="Z2343" i="12"/>
  <c r="Z2517" i="12"/>
  <c r="Z3109" i="12"/>
  <c r="Z3523" i="12"/>
  <c r="Z486" i="12"/>
  <c r="Z34" i="12"/>
  <c r="Z1220" i="12"/>
  <c r="Z1251" i="12"/>
  <c r="Z2266" i="12"/>
  <c r="Z1000" i="12"/>
  <c r="Z1975" i="12"/>
  <c r="Z2166" i="12"/>
  <c r="Z828" i="12"/>
  <c r="Z1199" i="12"/>
  <c r="Z1431" i="12"/>
  <c r="Z2479" i="12"/>
  <c r="Z1708" i="12"/>
  <c r="Z3279" i="12"/>
  <c r="Z433" i="12"/>
  <c r="Z2090" i="12"/>
  <c r="Z2328" i="12"/>
  <c r="Z479" i="12"/>
  <c r="Z1050" i="12"/>
  <c r="Z804" i="12"/>
  <c r="Z2827" i="12"/>
  <c r="Z352" i="12"/>
  <c r="Z1343" i="12"/>
  <c r="Z808" i="12"/>
  <c r="Z2004" i="12"/>
  <c r="Z2917" i="12"/>
  <c r="Z2778" i="12"/>
  <c r="Z1250" i="12"/>
  <c r="Z1914" i="12"/>
  <c r="Z3512" i="12"/>
  <c r="Z218" i="12"/>
  <c r="Z3455" i="12"/>
  <c r="Z2624" i="12"/>
  <c r="Z3368" i="12"/>
  <c r="Z2594" i="12"/>
  <c r="Z1638" i="12"/>
  <c r="Z2562" i="12"/>
  <c r="Z312" i="12"/>
  <c r="Z484" i="12"/>
  <c r="Z3502" i="12"/>
  <c r="Z3411" i="12"/>
  <c r="Z1313" i="12"/>
  <c r="Z2211" i="12"/>
  <c r="Z3449" i="12"/>
  <c r="Z2782" i="12"/>
  <c r="Z3464" i="12"/>
  <c r="Z674" i="12"/>
  <c r="Z2791" i="12"/>
  <c r="Z3145" i="12"/>
  <c r="Z1256" i="12"/>
  <c r="Z680" i="12"/>
  <c r="Z19" i="12"/>
  <c r="Z2195" i="12"/>
  <c r="Z849" i="12"/>
  <c r="Z1202" i="12"/>
  <c r="Z2950" i="12"/>
  <c r="Z2744" i="12"/>
  <c r="Z722" i="12"/>
  <c r="Z2973" i="12"/>
  <c r="Z2456" i="12"/>
  <c r="Z2375" i="12"/>
  <c r="Z3361" i="12"/>
  <c r="Z936" i="12"/>
  <c r="Z3364" i="12"/>
  <c r="Z617" i="12"/>
  <c r="Z2304" i="12"/>
  <c r="Z214" i="12"/>
  <c r="Z1594" i="12"/>
  <c r="Z1142" i="12"/>
  <c r="Z1229" i="12"/>
  <c r="Z831" i="12"/>
  <c r="Z853" i="12"/>
  <c r="Z811" i="12"/>
  <c r="Z1805" i="12"/>
  <c r="Z1436" i="12"/>
  <c r="Z1549" i="12"/>
  <c r="Z1489" i="12"/>
  <c r="Z694" i="12"/>
  <c r="Z3274" i="12"/>
  <c r="Z3042" i="12"/>
  <c r="Z1612" i="12"/>
  <c r="Z2771" i="12"/>
  <c r="Z367" i="12"/>
  <c r="Z1293" i="12"/>
  <c r="Z2342" i="12"/>
  <c r="Z2476" i="12"/>
  <c r="Z724" i="12"/>
  <c r="Z1318" i="12"/>
  <c r="Z136" i="12"/>
  <c r="Z231" i="12"/>
  <c r="Z310" i="12"/>
  <c r="Z1066" i="12"/>
  <c r="Z2241" i="12"/>
  <c r="Z2669" i="12"/>
  <c r="Z2202" i="12"/>
  <c r="Z2394" i="12"/>
  <c r="Z2809" i="12"/>
  <c r="Z242" i="12"/>
  <c r="Z2019" i="12"/>
  <c r="Z2157" i="12"/>
  <c r="Z3084" i="12"/>
  <c r="Z518" i="12"/>
  <c r="Z646" i="12"/>
  <c r="Z91" i="12"/>
  <c r="Z2662" i="12"/>
  <c r="Z378" i="12"/>
  <c r="Z852" i="12"/>
  <c r="Z281" i="12"/>
  <c r="Z2315" i="12"/>
  <c r="Z1399" i="12"/>
  <c r="Z1091" i="12"/>
  <c r="Z110" i="12"/>
  <c r="Z2073" i="12"/>
  <c r="Z545" i="12"/>
  <c r="Z3108" i="12"/>
  <c r="Z1841" i="12"/>
  <c r="Z2999" i="12"/>
  <c r="Z939" i="12"/>
  <c r="Z3052" i="12"/>
  <c r="Z1105" i="12"/>
  <c r="Z1851" i="12"/>
  <c r="Z1703" i="12"/>
  <c r="Z2593" i="12"/>
  <c r="Z2320" i="12"/>
  <c r="Z650" i="12"/>
  <c r="Z2888" i="12"/>
  <c r="Z1136" i="12"/>
  <c r="Z88" i="12"/>
  <c r="Z847" i="12"/>
  <c r="Z678" i="12"/>
  <c r="Z2727" i="12"/>
  <c r="Z2769" i="12"/>
  <c r="Z74" i="12"/>
  <c r="Z3429" i="12"/>
  <c r="Z1969" i="12"/>
  <c r="Z1417" i="12"/>
  <c r="Z3428" i="12"/>
  <c r="Z1125" i="12"/>
  <c r="Z3370" i="12"/>
  <c r="Z2943" i="12"/>
  <c r="Z1674" i="12"/>
  <c r="Z592" i="12"/>
  <c r="Z1504" i="12"/>
  <c r="Z3004" i="12"/>
  <c r="Z1628" i="12"/>
  <c r="Z3226" i="12"/>
  <c r="Z416" i="12"/>
  <c r="Z2776" i="12"/>
  <c r="Z2608" i="12"/>
  <c r="Z2933" i="12"/>
  <c r="Z1831" i="12"/>
  <c r="Z1910" i="12"/>
  <c r="Z449" i="12"/>
  <c r="Z890" i="12"/>
  <c r="Z54" i="12"/>
  <c r="Z1093" i="12"/>
  <c r="Z1230" i="12"/>
  <c r="Z2793" i="12"/>
  <c r="Z380" i="12"/>
  <c r="Z3378" i="12"/>
  <c r="Z2393" i="12"/>
  <c r="Z2519" i="12"/>
  <c r="Z1375" i="12"/>
  <c r="Z991" i="12"/>
  <c r="Z2810" i="12"/>
  <c r="Z1662" i="12"/>
  <c r="Z2710" i="12"/>
  <c r="Z877" i="12"/>
  <c r="Z2333" i="12"/>
  <c r="Z1064" i="12"/>
  <c r="Z2746" i="12"/>
  <c r="Z3034" i="12"/>
  <c r="Z2142" i="12"/>
  <c r="Z3112" i="12"/>
  <c r="Z197" i="12"/>
  <c r="Z3223" i="12"/>
  <c r="Z3433" i="12"/>
  <c r="Z3369" i="12"/>
  <c r="Z47" i="12"/>
  <c r="Z1873" i="12"/>
  <c r="Z3221" i="12"/>
  <c r="Z3548" i="12"/>
  <c r="Z2155" i="12"/>
  <c r="Z809" i="12"/>
  <c r="Z2417" i="12"/>
  <c r="Z27" i="12"/>
  <c r="Z3421" i="12"/>
  <c r="Z3186" i="12"/>
  <c r="Z1288" i="12"/>
  <c r="Z546" i="12"/>
  <c r="Z1100" i="12"/>
  <c r="Z428" i="12"/>
  <c r="Z2626" i="12"/>
  <c r="Z2501" i="12"/>
  <c r="Z3200" i="12"/>
  <c r="Z2539" i="12"/>
  <c r="Z1457" i="12"/>
  <c r="Z259" i="12"/>
  <c r="Z2936" i="12"/>
  <c r="Z1082" i="12"/>
  <c r="Z217" i="12"/>
  <c r="Z1829" i="12"/>
  <c r="Z1702" i="12"/>
  <c r="Z1126" i="12"/>
  <c r="Z1745" i="12"/>
  <c r="Z256" i="12"/>
  <c r="Z1835" i="12"/>
  <c r="Z379" i="12"/>
  <c r="Z3181" i="12"/>
  <c r="Z2534" i="12"/>
  <c r="Z1243" i="12"/>
  <c r="Z3465" i="12"/>
  <c r="Z1991" i="12"/>
  <c r="Z2831" i="12"/>
  <c r="Z1284" i="12"/>
  <c r="Z2571" i="12"/>
  <c r="Z1478" i="12"/>
  <c r="Z613" i="12"/>
  <c r="Z1321" i="12"/>
  <c r="Z1361" i="12"/>
  <c r="Z2281" i="12"/>
  <c r="Z1061" i="12"/>
  <c r="Z427" i="12"/>
  <c r="Z1643" i="12"/>
  <c r="Z3270" i="12"/>
  <c r="Z823" i="12"/>
  <c r="Z1162" i="12"/>
  <c r="Z1855" i="12"/>
  <c r="Z2106" i="12"/>
  <c r="Z2833" i="12"/>
  <c r="Z2899" i="12"/>
  <c r="Z764" i="12"/>
  <c r="Z1008" i="12"/>
  <c r="Z1571" i="12"/>
  <c r="Z2380" i="12"/>
  <c r="Z323" i="12"/>
  <c r="Z1962" i="12"/>
  <c r="Z2209" i="12"/>
  <c r="Z647" i="12"/>
  <c r="Z2684" i="12"/>
  <c r="Z2232" i="12"/>
  <c r="Z261" i="12"/>
  <c r="Z1901" i="12"/>
  <c r="Z756" i="12"/>
  <c r="Z1503" i="12"/>
  <c r="Z1223" i="12"/>
  <c r="Z2283" i="12"/>
  <c r="Z251" i="12"/>
  <c r="Z107" i="12"/>
  <c r="Z398" i="12"/>
  <c r="Z902" i="12"/>
  <c r="Z1539" i="12"/>
  <c r="Z227" i="12"/>
  <c r="Z3423" i="12"/>
  <c r="Z3158" i="12"/>
  <c r="Z216" i="12"/>
  <c r="Z3481" i="12"/>
  <c r="Z715" i="12"/>
  <c r="Z2510" i="12"/>
  <c r="Z3301" i="12"/>
  <c r="Z3213" i="12"/>
  <c r="Z742" i="12"/>
  <c r="Z1324" i="12"/>
  <c r="Z451" i="12"/>
  <c r="Z3128" i="12"/>
  <c r="Z2521" i="12"/>
  <c r="Z2026" i="12"/>
  <c r="Z1355" i="12"/>
  <c r="Z3154" i="12"/>
  <c r="Z391" i="12"/>
  <c r="Z2122" i="12"/>
  <c r="Z880" i="12"/>
  <c r="Z485" i="12"/>
  <c r="Z3542" i="12"/>
  <c r="Z2414" i="12"/>
  <c r="Z2052" i="12"/>
  <c r="Z387" i="12"/>
  <c r="Z3168" i="12"/>
  <c r="Z307" i="12"/>
  <c r="Z1922" i="12"/>
  <c r="Z2766" i="12"/>
  <c r="Z2677" i="12"/>
  <c r="Z264" i="12"/>
  <c r="Z1925" i="12"/>
  <c r="Z1753" i="12"/>
  <c r="Z1795" i="12"/>
  <c r="Z3305" i="12"/>
  <c r="Z1003" i="12"/>
  <c r="Z215" i="12"/>
  <c r="Z2437" i="12"/>
  <c r="Z997" i="12"/>
  <c r="Z1363" i="12"/>
  <c r="Z2124" i="12"/>
  <c r="Z1538" i="12"/>
  <c r="Z3101" i="12"/>
  <c r="Z2942" i="12"/>
  <c r="Z333" i="12"/>
  <c r="Z521" i="12"/>
  <c r="Z1146" i="12"/>
  <c r="Z370" i="12"/>
  <c r="Z139" i="12"/>
  <c r="Z824" i="12"/>
  <c r="Z113" i="12"/>
  <c r="Z1789" i="12"/>
  <c r="Z240" i="12"/>
  <c r="Z1287" i="12"/>
  <c r="Z109" i="12"/>
  <c r="Z978" i="12"/>
  <c r="Z1683" i="12"/>
  <c r="Z468" i="12"/>
  <c r="Z169" i="12"/>
  <c r="Z2404" i="12"/>
  <c r="Z1491" i="12"/>
  <c r="Z321" i="12"/>
  <c r="Z2091" i="12"/>
  <c r="Z677" i="12"/>
  <c r="Z1672" i="12"/>
  <c r="Z1884" i="12"/>
  <c r="Z1479" i="12"/>
  <c r="Z250" i="12"/>
  <c r="Z976" i="12"/>
  <c r="Z297" i="12"/>
  <c r="Z255" i="12"/>
  <c r="Z688" i="12"/>
  <c r="Z2866" i="12"/>
  <c r="Z901" i="12"/>
  <c r="Z401" i="12"/>
  <c r="Z1331" i="12"/>
  <c r="Z3179" i="12"/>
  <c r="Z2339" i="12"/>
  <c r="Z1760" i="12"/>
  <c r="Z164" i="12"/>
  <c r="Z1333" i="12"/>
  <c r="Z2013" i="12"/>
  <c r="Z753" i="12"/>
  <c r="Z612" i="12"/>
  <c r="Z2234" i="12"/>
  <c r="Z2528" i="12"/>
  <c r="Z2411" i="12"/>
  <c r="Z1596" i="12"/>
  <c r="Z2506" i="12"/>
  <c r="Z778" i="12"/>
  <c r="Z1624" i="12"/>
  <c r="Z1905" i="12"/>
  <c r="Z1842" i="12"/>
  <c r="Z2536" i="12"/>
  <c r="Z1145" i="12"/>
  <c r="Z2841" i="12"/>
  <c r="Z1276" i="12"/>
  <c r="Z3272" i="12"/>
  <c r="Z2991" i="12"/>
  <c r="Z2364" i="12"/>
  <c r="Z3046" i="12"/>
  <c r="Z1174" i="12"/>
  <c r="Z1490" i="12"/>
  <c r="Z2448" i="12"/>
  <c r="Z1632" i="12"/>
  <c r="Z605" i="12"/>
  <c r="Z3291" i="12"/>
  <c r="Z1564" i="12"/>
  <c r="Z1012" i="12"/>
  <c r="Z95" i="12"/>
  <c r="Z1176" i="12"/>
  <c r="Z2591" i="12"/>
  <c r="Z1232" i="12"/>
  <c r="Z190" i="12"/>
  <c r="Z792" i="12"/>
  <c r="Z2005" i="12"/>
  <c r="Z168" i="12"/>
  <c r="Z1526" i="12"/>
  <c r="Z1706" i="12"/>
  <c r="Z898" i="12"/>
  <c r="Z1635" i="12"/>
  <c r="Z3359" i="12"/>
  <c r="Z2403" i="12"/>
  <c r="Z3511" i="12"/>
  <c r="Z982" i="12"/>
  <c r="Z1647" i="12"/>
  <c r="Z1442" i="12"/>
  <c r="Z1075" i="12"/>
  <c r="Z2092" i="12"/>
  <c r="Z1990" i="12"/>
  <c r="Z160" i="12"/>
  <c r="Z1740" i="12"/>
  <c r="Z339" i="12"/>
  <c r="Z2231" i="12"/>
  <c r="Z1350" i="12"/>
  <c r="Z1934" i="12"/>
  <c r="Z1377" i="12"/>
  <c r="Z2898" i="12"/>
  <c r="Z2610" i="12"/>
  <c r="Z3276" i="12"/>
  <c r="Z2173" i="12"/>
  <c r="Z2354" i="12"/>
  <c r="Z1102" i="12"/>
  <c r="Z2867" i="12"/>
  <c r="Z878" i="12"/>
  <c r="Z1949" i="12"/>
  <c r="Z2642" i="12"/>
  <c r="Z3142" i="12"/>
  <c r="Z2002" i="12"/>
  <c r="Z1476" i="12"/>
  <c r="Z3425" i="12"/>
  <c r="Z2024" i="12"/>
  <c r="Z834" i="12"/>
  <c r="Z3516" i="12"/>
  <c r="Z2027" i="12"/>
  <c r="Z2483" i="12"/>
  <c r="Z2588" i="12"/>
  <c r="Z234" i="12"/>
  <c r="Z2979" i="12"/>
  <c r="Z2675" i="12"/>
  <c r="Z610" i="12"/>
  <c r="Z3060" i="12"/>
  <c r="Z3155" i="12"/>
  <c r="Z3152" i="12"/>
  <c r="Z2226" i="12"/>
  <c r="Z543" i="12"/>
  <c r="Z3450" i="12"/>
  <c r="Z3273" i="12"/>
  <c r="Z2887" i="12"/>
  <c r="Z2978" i="12"/>
  <c r="Z1041" i="12"/>
  <c r="Z1171" i="12"/>
  <c r="Z2047" i="12"/>
  <c r="Z3248" i="12"/>
  <c r="Z921" i="12"/>
  <c r="Z3478" i="12"/>
  <c r="Z1192" i="12"/>
  <c r="Z2330" i="12"/>
  <c r="Z56" i="12"/>
  <c r="Z3484" i="12"/>
  <c r="Z2955" i="12"/>
  <c r="Z2856" i="12"/>
  <c r="Z2638" i="12"/>
  <c r="Z2650" i="12"/>
  <c r="Z1822" i="12"/>
  <c r="Z2971" i="12"/>
  <c r="Z800" i="12"/>
  <c r="Z2016" i="12"/>
  <c r="Z3201" i="12"/>
  <c r="Z3377" i="12"/>
  <c r="Z1425" i="12"/>
  <c r="Z2832" i="12"/>
  <c r="Z2332" i="12"/>
  <c r="Z3408" i="12"/>
  <c r="Z2984" i="12"/>
  <c r="Z2511" i="12"/>
  <c r="Z3026" i="12"/>
  <c r="Z2379" i="12"/>
  <c r="Z752" i="12"/>
  <c r="Z325" i="12"/>
  <c r="Z1520" i="12"/>
  <c r="Z2208" i="12"/>
  <c r="Z2868" i="12"/>
  <c r="Z867" i="12"/>
  <c r="Z603" i="12"/>
  <c r="Z2736" i="12"/>
  <c r="Z1316" i="12"/>
  <c r="Z2844" i="12"/>
  <c r="Z1768" i="12"/>
  <c r="Z192" i="12"/>
  <c r="Z1818" i="12"/>
  <c r="Z2431" i="12"/>
  <c r="Z2454" i="12"/>
  <c r="Z230" i="12"/>
  <c r="Z623" i="12"/>
  <c r="Z2299" i="12"/>
  <c r="Z999" i="12"/>
  <c r="Z1406" i="12"/>
  <c r="Z1014" i="12"/>
  <c r="Z143" i="12"/>
  <c r="Z152" i="12"/>
  <c r="Z1827" i="12"/>
  <c r="Z2625" i="12"/>
  <c r="Z3485" i="12"/>
  <c r="Z2405" i="12"/>
  <c r="Z2988" i="12"/>
  <c r="Z519" i="12"/>
  <c r="Z1887" i="12"/>
  <c r="Z1381" i="12"/>
  <c r="Z2058" i="12"/>
  <c r="Z424" i="12"/>
  <c r="Z1181" i="12"/>
  <c r="Z2740" i="12"/>
  <c r="Z1332" i="12"/>
  <c r="Z1523" i="12"/>
  <c r="Z3209" i="12"/>
  <c r="Z942" i="12"/>
  <c r="Z149" i="12"/>
  <c r="Z3085" i="12"/>
  <c r="Z2945" i="12"/>
  <c r="Z3307" i="12"/>
  <c r="Z1769" i="12"/>
  <c r="Z3392" i="12"/>
  <c r="Z3224" i="12"/>
  <c r="Z3358" i="12"/>
  <c r="Z2694" i="12"/>
  <c r="Z624" i="12"/>
  <c r="Z2897" i="12"/>
  <c r="Z1388" i="12"/>
  <c r="Z1454" i="12"/>
  <c r="Z2641" i="12"/>
  <c r="Z574" i="12"/>
  <c r="Z2681" i="12"/>
  <c r="Z2227" i="12"/>
  <c r="Z3289" i="12"/>
  <c r="Z855" i="12"/>
  <c r="Z1692" i="12"/>
  <c r="Z667" i="12"/>
  <c r="Z3383" i="12"/>
  <c r="Z3300" i="12"/>
  <c r="Z2374" i="12"/>
  <c r="Z1637" i="12"/>
  <c r="Z50" i="12"/>
  <c r="Z3120" i="12"/>
  <c r="Z2408" i="12"/>
  <c r="Z3238" i="12"/>
  <c r="Z1547" i="12"/>
  <c r="Z2105" i="12"/>
  <c r="Z626" i="12"/>
  <c r="Z2702" i="12"/>
  <c r="Z1916" i="12"/>
  <c r="Z2990" i="12"/>
  <c r="Z2705" i="12"/>
  <c r="Z2864" i="12"/>
  <c r="Z829" i="12"/>
  <c r="Z69" i="12"/>
  <c r="Z100" i="12"/>
  <c r="Z1292" i="12"/>
  <c r="Z1443" i="12"/>
  <c r="Z2584" i="12"/>
  <c r="Z2324" i="12"/>
  <c r="Z2188" i="12"/>
  <c r="Z1693" i="12"/>
  <c r="Z702" i="12"/>
  <c r="Z1906" i="12"/>
  <c r="Z1764" i="12"/>
  <c r="Z604" i="12"/>
  <c r="Z282" i="12"/>
  <c r="Z707" i="12"/>
  <c r="Z493" i="12"/>
  <c r="Z2918" i="12"/>
  <c r="Z1936" i="12"/>
  <c r="Z73" i="12"/>
  <c r="Z2541" i="12"/>
  <c r="Z1689" i="12"/>
  <c r="Z3547" i="12"/>
  <c r="Z2491" i="12"/>
  <c r="Z1027" i="12"/>
  <c r="Z1739" i="12"/>
  <c r="Z22" i="12"/>
  <c r="Z2908" i="12"/>
  <c r="Z2721" i="12"/>
  <c r="Z1980" i="12"/>
  <c r="Z3151" i="12"/>
  <c r="Z2000" i="12"/>
  <c r="Z2398" i="12"/>
  <c r="Z2198" i="12"/>
  <c r="Z1562" i="12"/>
  <c r="Z2452" i="12"/>
  <c r="Z1197" i="12"/>
  <c r="Z683" i="12"/>
  <c r="Z588" i="12"/>
  <c r="Z1971" i="12"/>
  <c r="Z1164" i="12"/>
  <c r="Z2049" i="12"/>
  <c r="Z1349" i="12"/>
  <c r="Z3230" i="12"/>
  <c r="Z1811" i="12"/>
  <c r="Z1428" i="12"/>
  <c r="Z995" i="12"/>
  <c r="Z1540" i="12"/>
  <c r="Z2808" i="12"/>
  <c r="Z3499" i="12"/>
  <c r="Z2817" i="12"/>
  <c r="Z1408" i="12"/>
  <c r="Z3256" i="12"/>
  <c r="Z906" i="12"/>
  <c r="Z3228" i="12"/>
  <c r="Z317" i="12"/>
  <c r="Z743" i="12"/>
  <c r="Z1280" i="12"/>
  <c r="Z1045" i="12"/>
  <c r="Z886" i="12"/>
  <c r="Z3545" i="12"/>
  <c r="Z1352" i="12"/>
  <c r="Z3546" i="12"/>
  <c r="Z2125" i="12"/>
  <c r="Z2286" i="12"/>
  <c r="Z3415" i="12"/>
  <c r="Z102" i="12"/>
  <c r="Z1120" i="12"/>
  <c r="Z601" i="12"/>
  <c r="Z1013" i="12"/>
  <c r="Z767" i="12"/>
  <c r="Z739" i="12"/>
  <c r="Z1480" i="12"/>
  <c r="Z1447" i="12"/>
  <c r="Z835" i="12"/>
  <c r="Z2830" i="12"/>
  <c r="Z994" i="12"/>
  <c r="Z2471" i="12"/>
  <c r="Z1430" i="12"/>
  <c r="Z799" i="12"/>
  <c r="Z2902" i="12"/>
  <c r="Z1281" i="12"/>
  <c r="Z755" i="12"/>
  <c r="Z273" i="12"/>
  <c r="Z844" i="12"/>
  <c r="Z99" i="12"/>
  <c r="Z1224" i="12"/>
  <c r="Z2035" i="12"/>
  <c r="Z562" i="12"/>
  <c r="Z717" i="12"/>
  <c r="Z1305" i="12"/>
  <c r="Z2465" i="12"/>
  <c r="Z247" i="12"/>
  <c r="Z1335" i="12"/>
  <c r="Z2006" i="12"/>
  <c r="Z616" i="12"/>
  <c r="Z243" i="12"/>
  <c r="Z1393" i="12"/>
  <c r="Z775" i="12"/>
  <c r="Z2427" i="12"/>
  <c r="Z3059" i="12"/>
  <c r="Z1329" i="12"/>
  <c r="Z3105" i="12"/>
  <c r="Z2940" i="12"/>
  <c r="Z1642" i="12"/>
  <c r="Z2855" i="12"/>
  <c r="Z1101" i="12"/>
  <c r="Z265" i="12"/>
  <c r="Z3537" i="12"/>
  <c r="Z509" i="12"/>
  <c r="Z1222" i="12"/>
  <c r="Z1620" i="12"/>
  <c r="Z2156" i="12"/>
  <c r="Z443" i="12"/>
  <c r="Z3053" i="12"/>
  <c r="Z3020" i="12"/>
  <c r="Z663" i="12"/>
  <c r="Z931" i="12"/>
  <c r="Z721" i="12"/>
  <c r="Z1056" i="12"/>
  <c r="Z668" i="12"/>
  <c r="Z2861" i="12"/>
  <c r="Z691" i="12"/>
  <c r="Z1354" i="12"/>
  <c r="Z714" i="12"/>
  <c r="Z1987" i="12"/>
  <c r="Z2264" i="12"/>
  <c r="Z1432" i="12"/>
  <c r="Z3077" i="12"/>
  <c r="Z1205" i="12"/>
  <c r="Z2418" i="12"/>
  <c r="Z3397" i="12"/>
  <c r="Z3162" i="12"/>
  <c r="Z1385" i="12"/>
  <c r="Z2874" i="12"/>
  <c r="Z1943" i="12"/>
  <c r="Z1897" i="12"/>
  <c r="Z3264" i="12"/>
  <c r="Z1179" i="12"/>
  <c r="Z2657" i="12"/>
  <c r="Z3379" i="12"/>
  <c r="Z2450" i="12"/>
  <c r="Z3043" i="12"/>
  <c r="Z3078" i="12"/>
  <c r="Z332" i="12"/>
  <c r="Z862" i="12"/>
  <c r="Z3401" i="12"/>
  <c r="Z3117" i="12"/>
  <c r="Z24" i="12"/>
  <c r="Z1634" i="12"/>
  <c r="Z2478" i="12"/>
  <c r="Z2171" i="12"/>
  <c r="Z63" i="12"/>
  <c r="Z911" i="12"/>
  <c r="Z1780" i="12"/>
  <c r="Z772" i="12"/>
  <c r="Z757" i="12"/>
  <c r="Z2129" i="12"/>
  <c r="Z3022" i="12"/>
  <c r="Z3394" i="12"/>
  <c r="Z1320" i="12"/>
  <c r="Z2043" i="12"/>
  <c r="Z3351" i="12"/>
  <c r="Z2197" i="12"/>
  <c r="Z1159" i="12"/>
  <c r="Z3065" i="12"/>
  <c r="Z3111" i="12"/>
  <c r="Z439" i="12"/>
  <c r="Z1323" i="12"/>
  <c r="Z1865" i="12"/>
  <c r="Z1704" i="12"/>
  <c r="Z2306" i="12"/>
  <c r="Z1513" i="12"/>
  <c r="Z3552" i="12"/>
  <c r="Z866" i="12"/>
  <c r="Z2572" i="12"/>
  <c r="Z3524" i="12"/>
  <c r="Z1930" i="12"/>
  <c r="Z570" i="12"/>
  <c r="Z929" i="12"/>
  <c r="Z2467" i="12"/>
  <c r="Z1894" i="12"/>
  <c r="Z1180" i="12"/>
  <c r="Z470" i="12"/>
  <c r="Z1018" i="12"/>
  <c r="Z2151" i="12"/>
  <c r="Z2018" i="12"/>
  <c r="Z1794" i="12"/>
  <c r="Z194" i="12"/>
  <c r="Z1210" i="12"/>
  <c r="Z907" i="12"/>
  <c r="Z1712" i="12"/>
  <c r="Z984" i="12"/>
  <c r="Z2661" i="12"/>
  <c r="Z2734" i="12"/>
  <c r="Z2935" i="12"/>
  <c r="Z2605" i="12"/>
  <c r="Z2100" i="12"/>
  <c r="Z1455" i="12"/>
  <c r="Z3281" i="12"/>
  <c r="Z271" i="12"/>
  <c r="Z2613" i="12"/>
  <c r="Z1496" i="12"/>
  <c r="Z2371" i="12"/>
  <c r="Z2716" i="12"/>
  <c r="Z3536" i="12"/>
  <c r="Z1011" i="12"/>
  <c r="Z65" i="12"/>
  <c r="Z1680" i="12"/>
  <c r="Z3476" i="12"/>
  <c r="Z2107" i="12"/>
  <c r="Z1858" i="12"/>
  <c r="Z1984" i="12"/>
  <c r="Z3290" i="12"/>
  <c r="Z1037" i="12"/>
  <c r="Z2481" i="12"/>
  <c r="Z2873" i="12"/>
  <c r="Z342" i="12"/>
  <c r="Z353" i="12"/>
  <c r="Z465" i="12"/>
  <c r="Z3376" i="12"/>
  <c r="Z123" i="12"/>
  <c r="Z1372" i="12"/>
  <c r="Z2869" i="12"/>
  <c r="Z750" i="12"/>
  <c r="Z887" i="12"/>
  <c r="Z134" i="12"/>
  <c r="Z150" i="12"/>
  <c r="Z1631" i="12"/>
  <c r="Z2388" i="12"/>
  <c r="Z2805" i="12"/>
  <c r="Z3191" i="12"/>
  <c r="Z3407" i="12"/>
  <c r="Z1986" i="12"/>
  <c r="Z1569" i="12"/>
  <c r="Z2732" i="12"/>
  <c r="Z201" i="12"/>
  <c r="Z1658" i="12"/>
  <c r="Z467" i="12"/>
  <c r="Z998" i="12"/>
  <c r="Z1029" i="12"/>
  <c r="Z553" i="12"/>
  <c r="Z3329" i="12"/>
  <c r="Z763" i="12"/>
  <c r="Z2815" i="12"/>
  <c r="Z290" i="12"/>
  <c r="Z2796" i="12"/>
  <c r="Z779" i="12"/>
  <c r="Z1681" i="12"/>
  <c r="Z3331" i="12"/>
  <c r="Z3110" i="12"/>
  <c r="Z3180" i="12"/>
  <c r="Z1688" i="12"/>
  <c r="Z2647" i="12"/>
  <c r="Z3237" i="12"/>
  <c r="Z2668" i="12"/>
  <c r="Z122" i="12"/>
  <c r="Z1836" i="12"/>
  <c r="Z671" i="12"/>
  <c r="Z2347" i="12"/>
  <c r="Z511" i="12"/>
  <c r="Z705" i="12"/>
  <c r="Z709" i="12"/>
  <c r="Z1263" i="12"/>
  <c r="Z154" i="12"/>
  <c r="Z275" i="12"/>
  <c r="Z2139" i="12"/>
  <c r="Z843" i="12"/>
  <c r="Z1245" i="12"/>
  <c r="Z642" i="12"/>
  <c r="Z1097" i="12"/>
  <c r="Z1051" i="12"/>
  <c r="Z1396" i="12"/>
  <c r="Z2425" i="12"/>
  <c r="Z1766" i="12"/>
  <c r="Z992" i="12"/>
  <c r="Z2730" i="12"/>
  <c r="Z2772" i="12"/>
  <c r="Z2741" i="12"/>
  <c r="Z3063" i="12"/>
  <c r="Z2803" i="12"/>
  <c r="Z2274" i="12"/>
  <c r="Z3531" i="12"/>
  <c r="Z1544" i="12"/>
  <c r="Z1517" i="12"/>
  <c r="Z594" i="12"/>
  <c r="Z1868" i="12"/>
  <c r="Z1813" i="12"/>
  <c r="Z2325" i="12"/>
  <c r="Z3453" i="12"/>
  <c r="Z1516" i="12"/>
  <c r="Z1411" i="12"/>
  <c r="Z2242" i="12"/>
  <c r="Z3143" i="12"/>
  <c r="Z2236" i="12"/>
  <c r="Z394" i="12"/>
  <c r="Z3296" i="12"/>
  <c r="Z1763" i="12"/>
  <c r="Z1741" i="12"/>
  <c r="Z142" i="12"/>
  <c r="Z296" i="12"/>
  <c r="Z3165" i="12"/>
  <c r="Z1673" i="12"/>
  <c r="Z115" i="12"/>
  <c r="Z3293" i="12"/>
  <c r="Z2071" i="12"/>
  <c r="Z2098" i="12"/>
  <c r="Z3079" i="12"/>
  <c r="Z1761" i="12"/>
  <c r="Z2738" i="12"/>
  <c r="Z2341" i="12"/>
  <c r="Z1017" i="12"/>
  <c r="Z3346" i="12"/>
  <c r="Z3100" i="12"/>
  <c r="Z3323" i="12"/>
  <c r="Z2763" i="12"/>
  <c r="Z130" i="12"/>
  <c r="Z3417" i="12"/>
  <c r="Z2259" i="12"/>
  <c r="Z899" i="12"/>
  <c r="Z2477" i="12"/>
  <c r="Z2008" i="12"/>
  <c r="Z3198" i="12"/>
  <c r="Z3098" i="12"/>
  <c r="Z1729" i="12"/>
  <c r="Z1419" i="12"/>
  <c r="Z2054" i="12"/>
  <c r="Z1225" i="12"/>
  <c r="Z2731" i="12"/>
  <c r="Z741" i="12"/>
  <c r="Z2717" i="12"/>
  <c r="Z2290" i="12"/>
  <c r="Z3125" i="12"/>
  <c r="Z2468" i="12"/>
  <c r="Z1918" i="12"/>
  <c r="Z1427" i="12"/>
  <c r="Z219" i="12"/>
  <c r="Z1756" i="12"/>
  <c r="Z132" i="12"/>
  <c r="Z2836" i="12"/>
  <c r="Z1099" i="12"/>
  <c r="Z1895" i="12"/>
  <c r="Z1514" i="12"/>
  <c r="Z2825" i="12"/>
  <c r="Z1900" i="12"/>
  <c r="Z3008" i="12"/>
  <c r="Z2555" i="12"/>
  <c r="Z1410" i="12"/>
  <c r="Z308" i="12"/>
  <c r="Z1657" i="12"/>
  <c r="Z3044" i="12"/>
  <c r="Z432" i="12"/>
  <c r="Z3024" i="12"/>
  <c r="Z1026" i="12"/>
  <c r="Z2582" i="12"/>
  <c r="Z436" i="12"/>
  <c r="Z23" i="12"/>
  <c r="Z863" i="12"/>
  <c r="Z293" i="12"/>
  <c r="Z821" i="12"/>
  <c r="Z1633" i="12"/>
  <c r="Z1652" i="12"/>
  <c r="Z865" i="12"/>
  <c r="Z2381" i="12"/>
  <c r="Z1948" i="12"/>
  <c r="Z289" i="12"/>
  <c r="Z3336" i="12"/>
  <c r="Z1204" i="12"/>
  <c r="Z2673" i="12"/>
  <c r="Z2618" i="12"/>
  <c r="Z3471" i="12"/>
  <c r="Z2682" i="12"/>
  <c r="Z441" i="12"/>
  <c r="Z1989" i="12"/>
  <c r="Z1110" i="12"/>
  <c r="Z1290" i="12"/>
  <c r="Z730" i="12"/>
  <c r="Z1985" i="12"/>
  <c r="Z1121" i="12"/>
  <c r="Z1108" i="12"/>
  <c r="Z2923" i="12"/>
  <c r="Z1699" i="12"/>
  <c r="Z3220" i="12"/>
  <c r="Z1809" i="12"/>
  <c r="Z2578" i="12"/>
  <c r="Z2251" i="12"/>
  <c r="Z3174" i="12"/>
  <c r="Z1403" i="12"/>
  <c r="Z198" i="12"/>
  <c r="Z1828" i="12"/>
  <c r="Z2679" i="12"/>
  <c r="Z745" i="12"/>
  <c r="Z1645" i="12"/>
  <c r="Z2458" i="12"/>
  <c r="Z2145" i="12"/>
  <c r="Z1098" i="12"/>
  <c r="Z2319" i="12"/>
  <c r="Z1133" i="12"/>
  <c r="Z2094" i="12"/>
  <c r="Z941" i="12"/>
  <c r="Z952" i="12"/>
  <c r="Z2367" i="12"/>
  <c r="Z608" i="12"/>
  <c r="Z3150" i="12"/>
  <c r="Z781" i="12"/>
  <c r="Z1094" i="12"/>
  <c r="Z1798" i="12"/>
  <c r="Z448" i="12"/>
  <c r="Z2768" i="12"/>
  <c r="Z2238" i="12"/>
  <c r="Z357" i="12"/>
  <c r="Z418" i="12"/>
  <c r="Z3487" i="12"/>
  <c r="Z331" i="12"/>
  <c r="Z1824" i="12"/>
  <c r="Z241" i="12"/>
  <c r="Z2722" i="12"/>
  <c r="Z395" i="12"/>
  <c r="Z1219" i="12"/>
  <c r="Z3398" i="12"/>
  <c r="Z2132" i="12"/>
  <c r="Z1878" i="12"/>
  <c r="Z3245" i="12"/>
  <c r="Z1449" i="12"/>
  <c r="Z2564" i="12"/>
  <c r="Z2739" i="12"/>
  <c r="Z1823" i="12"/>
  <c r="Z3466" i="12"/>
  <c r="Z690" i="12"/>
  <c r="Z1389" i="12"/>
  <c r="Z175" i="12"/>
  <c r="Z20" i="12"/>
  <c r="Z2635" i="12"/>
  <c r="Z377" i="12"/>
  <c r="Z578" i="12"/>
  <c r="Z2949" i="12"/>
  <c r="Z1707" i="12"/>
  <c r="Z2044" i="12"/>
  <c r="Z3231" i="12"/>
  <c r="Z996" i="12"/>
  <c r="Z1123" i="12"/>
  <c r="Z1255" i="12"/>
  <c r="Z2217" i="12"/>
  <c r="Z2512" i="12"/>
  <c r="Z2636" i="12"/>
  <c r="Z245" i="12"/>
  <c r="Z713" i="12"/>
  <c r="Z171" i="12"/>
  <c r="Z2583" i="12"/>
  <c r="Z1832" i="12"/>
  <c r="Z397" i="12"/>
  <c r="Z2114" i="12"/>
  <c r="Z3178" i="12"/>
  <c r="Z1330" i="12"/>
  <c r="Z3439" i="12"/>
  <c r="Z644" i="12"/>
  <c r="Z848" i="12"/>
  <c r="Z2178" i="12"/>
  <c r="Z3071" i="12"/>
  <c r="Z618" i="12"/>
  <c r="Z538" i="12"/>
  <c r="Z575" i="12"/>
  <c r="Z2910" i="12"/>
  <c r="Z520" i="12"/>
  <c r="Z3312" i="12"/>
  <c r="Z2267" i="12"/>
  <c r="Z736" i="12"/>
  <c r="Z3517" i="12"/>
  <c r="Z2931" i="12"/>
  <c r="Z2698" i="12"/>
  <c r="Z3349" i="12"/>
  <c r="Z2573" i="12"/>
  <c r="Z541" i="12"/>
  <c r="Z974" i="12"/>
  <c r="Z2065" i="12"/>
  <c r="Z2067" i="12"/>
  <c r="Z2420" i="12"/>
  <c r="Z388" i="12"/>
  <c r="Z1942" i="12"/>
  <c r="Z2459" i="12"/>
  <c r="Z2070" i="12"/>
  <c r="Z2344" i="12"/>
  <c r="Z1876" i="12"/>
  <c r="Z1366" i="12"/>
  <c r="Z2436" i="12"/>
  <c r="Z969" i="12"/>
  <c r="Z1380" i="12"/>
  <c r="Z2062" i="12"/>
  <c r="Z3419" i="12"/>
  <c r="Z3261" i="12"/>
  <c r="Z2111" i="12"/>
  <c r="Z1356" i="12"/>
  <c r="Z1676" i="12"/>
  <c r="Z133" i="12"/>
  <c r="Z2620" i="12"/>
  <c r="Z3488" i="12"/>
  <c r="Z3061" i="12"/>
  <c r="Z780" i="12"/>
  <c r="Z3448" i="12"/>
  <c r="Z3357" i="12"/>
  <c r="Z1850" i="12"/>
  <c r="Z2851" i="12"/>
  <c r="Z1518" i="12"/>
  <c r="Z411" i="12"/>
  <c r="Z917" i="12"/>
  <c r="Z3017" i="12"/>
  <c r="Z2010" i="12"/>
  <c r="Z2235" i="12"/>
  <c r="Z980" i="12"/>
  <c r="Z1728" i="12"/>
  <c r="Z98" i="12"/>
  <c r="Z2300" i="12"/>
  <c r="Z2186" i="12"/>
  <c r="Z2133" i="12"/>
  <c r="Z593" i="12"/>
  <c r="Z2363" i="12"/>
  <c r="Z1535" i="12"/>
  <c r="Z36" i="12"/>
  <c r="Z458" i="12"/>
  <c r="Z1466" i="12"/>
  <c r="Z3240" i="12"/>
  <c r="Z2754" i="12"/>
  <c r="Z3366" i="12"/>
  <c r="Z1039" i="12"/>
  <c r="Z790" i="12"/>
  <c r="Z640" i="12"/>
  <c r="Z556" i="12"/>
  <c r="Z947" i="12"/>
  <c r="Z704" i="12"/>
  <c r="Z1996" i="12"/>
  <c r="Z1065" i="12"/>
  <c r="Z2014" i="12"/>
  <c r="Z2369" i="12"/>
  <c r="Z2466" i="12"/>
  <c r="Z278" i="12"/>
  <c r="Z1376" i="12"/>
  <c r="Z1946" i="12"/>
  <c r="Z444" i="12"/>
  <c r="Z33" i="12"/>
  <c r="Z1200" i="12"/>
  <c r="Z392" i="12"/>
  <c r="Z1071" i="12"/>
  <c r="Z2439" i="12"/>
  <c r="Z1272" i="12"/>
  <c r="Z2800" i="12"/>
  <c r="Z1649" i="12"/>
  <c r="Z2229" i="12"/>
  <c r="Z3266" i="12"/>
  <c r="Z309" i="12"/>
  <c r="Z2401" i="12"/>
  <c r="Z384" i="12"/>
  <c r="Z1370" i="12"/>
  <c r="Z2826" i="12"/>
  <c r="Z1534" i="12"/>
  <c r="Z1862" i="12"/>
  <c r="Z1950" i="12"/>
  <c r="Z1701" i="12"/>
  <c r="Z3126" i="12"/>
  <c r="Z461" i="12"/>
  <c r="Z789" i="12"/>
  <c r="Z1743" i="12"/>
  <c r="Z528" i="12"/>
  <c r="Z48" i="12"/>
  <c r="Z2538" i="12"/>
  <c r="Z2069" i="12"/>
  <c r="Z770" i="12"/>
  <c r="Z870" i="12"/>
  <c r="Z2150" i="12"/>
  <c r="Z830" i="12"/>
  <c r="Z1441" i="12"/>
  <c r="Z1195" i="12"/>
  <c r="Z364" i="12"/>
  <c r="Z1515" i="12"/>
  <c r="Z2947" i="12"/>
  <c r="Z3244" i="12"/>
  <c r="Z212" i="12"/>
  <c r="Z643" i="12"/>
  <c r="Z822" i="12"/>
  <c r="Z1168" i="12"/>
  <c r="Z3212" i="12"/>
  <c r="Z1437" i="12"/>
  <c r="Z1939" i="12"/>
  <c r="Z665" i="12"/>
  <c r="Z1864" i="12"/>
  <c r="Z159" i="12"/>
  <c r="Z2447" i="12"/>
  <c r="Z2929" i="12"/>
  <c r="Z1314" i="12"/>
  <c r="Z3543" i="12"/>
  <c r="Z315" i="12"/>
  <c r="Z2884" i="12"/>
  <c r="Z1291" i="12"/>
  <c r="Z2515" i="12"/>
  <c r="Z2759" i="12"/>
  <c r="Z1611" i="12"/>
  <c r="Z313" i="12"/>
  <c r="Z3130" i="12"/>
  <c r="Z591" i="12"/>
  <c r="Z334" i="12"/>
  <c r="Z3025" i="12"/>
  <c r="Z1275" i="12"/>
  <c r="Z41" i="12"/>
  <c r="Z749" i="12"/>
  <c r="Z666" i="12"/>
  <c r="Z860" i="12"/>
  <c r="Z283" i="12"/>
  <c r="Z2502" i="12"/>
  <c r="Z2296" i="12"/>
  <c r="Z1450" i="12"/>
  <c r="Z1722" i="12"/>
  <c r="Z2743" i="12"/>
  <c r="Z1582" i="12"/>
  <c r="Z1896" i="12"/>
  <c r="Z2051" i="12"/>
  <c r="Z1360" i="12"/>
  <c r="Z3457" i="12"/>
  <c r="Z675" i="12"/>
  <c r="Z1445" i="12"/>
  <c r="Z3438" i="12"/>
  <c r="Z2334" i="12"/>
  <c r="Z544" i="12"/>
  <c r="Z1448" i="12"/>
  <c r="Z2747" i="12"/>
  <c r="Z2964" i="12"/>
  <c r="Z3298" i="12"/>
  <c r="Z1568" i="12"/>
  <c r="Z2170" i="12"/>
  <c r="Z2497" i="12"/>
  <c r="Z1046" i="12"/>
  <c r="Z802" i="12"/>
  <c r="Z2761" i="12"/>
  <c r="Z2916" i="12"/>
  <c r="Z1655" i="12"/>
  <c r="Z1143" i="12"/>
  <c r="Z2883" i="12"/>
  <c r="Z466" i="12"/>
  <c r="Z1214" i="12"/>
  <c r="Z1698" i="12"/>
  <c r="Z354" i="12"/>
  <c r="Z3462" i="12"/>
  <c r="Z1959" i="12"/>
  <c r="Z2131" i="12"/>
  <c r="Z2031" i="12"/>
  <c r="Z248" i="12"/>
  <c r="Z2141" i="12"/>
  <c r="Z1166" i="12"/>
  <c r="Z1737" i="12"/>
  <c r="Z2752" i="12"/>
  <c r="Z3030" i="12"/>
  <c r="Z280" i="12"/>
  <c r="Z2520" i="12"/>
  <c r="Z2136" i="12"/>
  <c r="Z2222" i="12"/>
  <c r="Z66" i="12"/>
  <c r="Z1487" i="12"/>
  <c r="Z611" i="12"/>
  <c r="Z1260" i="12"/>
  <c r="Z1362" i="12"/>
  <c r="Z1482" i="12"/>
  <c r="Z1599" i="12"/>
  <c r="Z2245" i="12"/>
  <c r="Z684" i="12"/>
  <c r="Z648" i="12"/>
  <c r="Z1155" i="12"/>
  <c r="Z187" i="12"/>
  <c r="Z2958" i="12"/>
  <c r="Z818" i="12"/>
  <c r="Z639" i="12"/>
  <c r="Z1107" i="12"/>
  <c r="Z582" i="12"/>
  <c r="Z966" i="12"/>
  <c r="Z2355" i="12"/>
  <c r="Z1767" i="12"/>
  <c r="Z1550" i="12"/>
  <c r="Z2773" i="12"/>
  <c r="Z382" i="12"/>
  <c r="Z1796" i="12"/>
  <c r="Z768" i="12"/>
  <c r="Z1400" i="12"/>
  <c r="Z1581" i="12"/>
  <c r="Z685" i="12"/>
  <c r="Z2878" i="12"/>
  <c r="Z3374" i="12"/>
  <c r="Z1132" i="12"/>
  <c r="Z2223" i="12"/>
  <c r="Z299" i="12"/>
  <c r="Z620" i="12"/>
  <c r="Z90" i="12"/>
  <c r="Z634" i="12"/>
  <c r="Z60" i="12"/>
  <c r="Z2387" i="12"/>
  <c r="Z1059" i="12"/>
  <c r="Z2659" i="12"/>
  <c r="Z874" i="12"/>
  <c r="Z563" i="12"/>
  <c r="Z2847" i="12"/>
  <c r="Z2514" i="12"/>
  <c r="Z2492" i="12"/>
  <c r="Z2700" i="12"/>
  <c r="Z3207" i="12"/>
  <c r="Z2048" i="12"/>
  <c r="Z2780" i="12"/>
  <c r="Z3350" i="12"/>
  <c r="Z914" i="12"/>
  <c r="Z1078" i="12"/>
  <c r="Z138" i="12"/>
  <c r="Z2953" i="12"/>
  <c r="Z3539" i="12"/>
  <c r="Z2537" i="12"/>
  <c r="Z2093" i="12"/>
  <c r="Z1578" i="12"/>
  <c r="Z1537" i="12"/>
  <c r="Z2230" i="12"/>
  <c r="Z2316" i="12"/>
  <c r="Z2857" i="12"/>
  <c r="Z622" i="12"/>
  <c r="Z3362" i="12"/>
  <c r="Z2724" i="12"/>
  <c r="Z2445" i="12"/>
  <c r="Z662" i="12"/>
  <c r="Z2050" i="12"/>
  <c r="Z932" i="12"/>
  <c r="Z2997" i="12"/>
  <c r="Z257" i="12"/>
  <c r="Z1004" i="12"/>
  <c r="Z1783" i="12"/>
  <c r="Z2560" i="12"/>
  <c r="Z3045" i="12"/>
  <c r="Z2885" i="12"/>
  <c r="Z774" i="12"/>
  <c r="Z2872" i="12"/>
  <c r="Z692" i="12"/>
  <c r="Z1058" i="12"/>
  <c r="Z1563" i="12"/>
  <c r="Z347" i="12"/>
  <c r="Z407" i="12"/>
  <c r="Z32" i="12"/>
  <c r="Z1327" i="12"/>
  <c r="Z1802" i="12"/>
  <c r="Z2645" i="12"/>
  <c r="Z638" i="12"/>
  <c r="Z1156" i="12"/>
  <c r="Z3069" i="12"/>
  <c r="Z1183" i="12"/>
  <c r="Z44" i="12"/>
  <c r="Z2707" i="12"/>
  <c r="Z918" i="12"/>
  <c r="Z3470" i="12"/>
  <c r="Z933" i="12"/>
  <c r="Z2835" i="12"/>
  <c r="Z2823" i="12"/>
  <c r="Z3474" i="12"/>
  <c r="Z2880" i="12"/>
  <c r="Z732" i="12"/>
  <c r="Z2690" i="12"/>
  <c r="Z1877" i="12"/>
  <c r="Z1467" i="12"/>
  <c r="Z2712" i="12"/>
  <c r="Z3182" i="12"/>
  <c r="Z179" i="12"/>
  <c r="Z112" i="12"/>
  <c r="Z375" i="12"/>
  <c r="Z3491" i="12"/>
  <c r="Z507" i="12"/>
  <c r="Z1383" i="12"/>
  <c r="Z1484" i="12"/>
  <c r="Z3353" i="12"/>
  <c r="Z2840" i="12"/>
  <c r="Z3505" i="12"/>
  <c r="Z1718" i="12"/>
  <c r="Z3195" i="12"/>
  <c r="Z3311" i="12"/>
  <c r="Z3445" i="12"/>
  <c r="Z2786" i="12"/>
  <c r="Z2720" i="12"/>
  <c r="Z1462" i="12"/>
  <c r="Z3268" i="12"/>
  <c r="Z106" i="12"/>
  <c r="Z1803" i="12"/>
  <c r="Z158" i="12"/>
  <c r="Z209" i="12"/>
  <c r="Z2007" i="12"/>
  <c r="Z1186" i="12"/>
  <c r="Z2909" i="12"/>
  <c r="Z3318" i="12"/>
  <c r="Z1695" i="12"/>
  <c r="Z1249" i="12"/>
  <c r="Z2243" i="12"/>
  <c r="Z83" i="12"/>
  <c r="Z2422" i="12"/>
  <c r="Z170" i="12"/>
  <c r="Z956" i="12"/>
  <c r="Z3054" i="12"/>
  <c r="Z814" i="12"/>
  <c r="Z213" i="12"/>
  <c r="Z3202" i="12"/>
  <c r="Z291" i="12"/>
  <c r="Z2162" i="12"/>
  <c r="Z233" i="12"/>
  <c r="Z1608" i="12"/>
  <c r="Z1742" i="12"/>
  <c r="Z1111" i="12"/>
  <c r="Z1677" i="12"/>
  <c r="Z3522" i="12"/>
  <c r="Z2586" i="12"/>
  <c r="Z2989" i="12"/>
  <c r="Z1139" i="12"/>
  <c r="Z155" i="12"/>
  <c r="Z2308" i="12"/>
  <c r="Z1570" i="12"/>
  <c r="Z320" i="12"/>
  <c r="Z118" i="12"/>
  <c r="Z944" i="12"/>
  <c r="Z53" i="12"/>
  <c r="Z1720" i="12"/>
  <c r="Z2253" i="12"/>
  <c r="Z656" i="12"/>
  <c r="Z137" i="12"/>
  <c r="Z2060" i="12"/>
  <c r="Z1422" i="12"/>
  <c r="Z1227" i="12"/>
  <c r="Z3486" i="12"/>
  <c r="Z3096" i="12"/>
  <c r="Z2875" i="12"/>
  <c r="Z920" i="12"/>
  <c r="Z2996" i="12"/>
  <c r="Z2604" i="12"/>
  <c r="Z341" i="12"/>
  <c r="Z657" i="12"/>
  <c r="Z1085" i="12"/>
  <c r="Z80" i="12"/>
  <c r="Z2302" i="12"/>
  <c r="Z2282" i="12"/>
  <c r="Z1752" i="12"/>
  <c r="Z672" i="12"/>
  <c r="Z2280" i="12"/>
  <c r="Z1920" i="12"/>
  <c r="Z960" i="12"/>
  <c r="Z523" i="12"/>
  <c r="Z1206" i="12"/>
  <c r="Z551" i="12"/>
  <c r="Z903" i="12"/>
  <c r="Z1565" i="12"/>
  <c r="Z2181" i="12"/>
  <c r="Z1178" i="12"/>
  <c r="Z2526" i="12"/>
  <c r="Z1346" i="12"/>
  <c r="Z729" i="12"/>
  <c r="Z2270" i="12"/>
  <c r="Z1236" i="12"/>
  <c r="Z1749" i="12"/>
  <c r="Z58" i="12"/>
  <c r="Z2088" i="12"/>
  <c r="Z1048" i="12"/>
  <c r="Z128" i="12"/>
  <c r="Z2687" i="12"/>
  <c r="Z2137" i="12"/>
  <c r="Z1010" i="12"/>
  <c r="Z105" i="12"/>
  <c r="Z1211" i="12"/>
  <c r="Z2652" i="12"/>
  <c r="Z1242" i="12"/>
  <c r="Z2905" i="12"/>
  <c r="Z564" i="12"/>
  <c r="Z1957" i="12"/>
  <c r="Z2616" i="12"/>
  <c r="Z3489" i="12"/>
  <c r="Z534" i="12"/>
  <c r="Z1092" i="12"/>
  <c r="Z1604" i="12"/>
  <c r="Z587" i="12"/>
  <c r="Z3540" i="12"/>
  <c r="Z2331" i="12"/>
  <c r="Z1579" i="12"/>
  <c r="Z1262" i="12"/>
  <c r="Z1586" i="12"/>
  <c r="Z2814" i="12"/>
  <c r="Z2353" i="12"/>
  <c r="Z2314" i="12"/>
  <c r="Z2667" i="12"/>
  <c r="Z286" i="12"/>
  <c r="Z1639" i="12"/>
  <c r="Z2640" i="12"/>
  <c r="Z2038" i="12"/>
  <c r="Z2981" i="12"/>
  <c r="Z244" i="12"/>
  <c r="Z2240" i="12"/>
  <c r="Z469" i="12"/>
  <c r="Z3056" i="12"/>
  <c r="Z1298" i="12"/>
  <c r="Z1970" i="12"/>
  <c r="Z787" i="12"/>
  <c r="Z1993" i="12"/>
  <c r="Z696" i="12"/>
  <c r="Z2025" i="12"/>
  <c r="Z2116" i="12"/>
  <c r="Z719" i="12"/>
  <c r="Z2495" i="12"/>
  <c r="Z2419" i="12"/>
  <c r="Z1246" i="12"/>
  <c r="Z512" i="12"/>
  <c r="Z3306" i="12"/>
  <c r="Z3427" i="12"/>
  <c r="Z360" i="12"/>
  <c r="Z2749" i="12"/>
  <c r="Z1687" i="12"/>
  <c r="Z1080" i="12"/>
  <c r="Z1924" i="12"/>
  <c r="Z351" i="12"/>
  <c r="Z2327" i="12"/>
  <c r="Z1958" i="12"/>
  <c r="Z2901" i="12"/>
  <c r="Z1614" i="12"/>
  <c r="Z2920" i="12"/>
  <c r="Z71" i="12"/>
  <c r="Z3277" i="12"/>
  <c r="Z661" i="12"/>
  <c r="Z3352" i="12"/>
  <c r="Z3322" i="12"/>
  <c r="Z1964" i="12"/>
  <c r="Z1415" i="12"/>
  <c r="Z1734" i="12"/>
  <c r="Z868" i="12"/>
  <c r="Z153" i="12"/>
  <c r="Z2658" i="12"/>
  <c r="Z2937" i="12"/>
  <c r="Z1237" i="12"/>
  <c r="Z1730" i="12"/>
  <c r="Z3426" i="12"/>
  <c r="Z1477" i="12"/>
  <c r="Z2288" i="12"/>
  <c r="Z653" i="12"/>
  <c r="Z129" i="12"/>
  <c r="Z2376" i="12"/>
  <c r="Z1605" i="12"/>
  <c r="Z2163" i="12"/>
  <c r="Z3136" i="12"/>
  <c r="Z1106" i="12"/>
  <c r="Z2960" i="12"/>
  <c r="Z2438" i="12"/>
  <c r="Z1493" i="12"/>
  <c r="Z3463" i="12"/>
  <c r="Z1880" i="12"/>
  <c r="Z1463" i="12"/>
  <c r="Z3000" i="12"/>
  <c r="Z3292" i="12"/>
  <c r="Z718" i="12"/>
  <c r="Z1278" i="12"/>
  <c r="Z2085" i="12"/>
  <c r="Z3275" i="12"/>
  <c r="Z3219" i="12"/>
  <c r="Z2621" i="12"/>
  <c r="Z1682" i="12"/>
  <c r="Z2003" i="12"/>
  <c r="Z3135" i="12"/>
  <c r="Z3012" i="12"/>
  <c r="Z3334" i="12"/>
  <c r="Z536" i="12"/>
  <c r="Z425" i="12"/>
  <c r="Z39" i="12"/>
  <c r="Z2961" i="12"/>
  <c r="Z3365" i="12"/>
  <c r="Z1995" i="12"/>
  <c r="Z758" i="12"/>
  <c r="Z2939" i="12"/>
  <c r="Z651" i="12"/>
  <c r="Z2205" i="12"/>
  <c r="Z1148" i="12"/>
  <c r="Z971" i="12"/>
  <c r="Z631" i="12"/>
  <c r="Z2034" i="12"/>
  <c r="Z2407" i="12"/>
  <c r="Z2753" i="12"/>
  <c r="Z985" i="12"/>
  <c r="Z3247" i="12"/>
  <c r="Z1574" i="12"/>
  <c r="Z3373" i="12"/>
  <c r="Z496" i="12"/>
  <c r="Z2699" i="12"/>
  <c r="Z955" i="12"/>
  <c r="Z2086" i="12"/>
  <c r="Z193" i="12"/>
  <c r="Z434" i="12"/>
  <c r="Z2096" i="12"/>
  <c r="Z3160" i="12"/>
  <c r="Z2298" i="12"/>
  <c r="Z476" i="12"/>
  <c r="Z2580" i="12"/>
  <c r="Z1424" i="12"/>
  <c r="Z330" i="12"/>
  <c r="Z2457" i="12"/>
  <c r="Z3082" i="12"/>
  <c r="Z2627" i="12"/>
  <c r="Z440" i="12"/>
  <c r="Z2057" i="12"/>
  <c r="Z2113" i="12"/>
  <c r="Z712" i="12"/>
  <c r="Z625" i="12"/>
  <c r="Z3235" i="12"/>
  <c r="Z3356" i="12"/>
  <c r="Z2957" i="12"/>
  <c r="Z1885" i="12"/>
  <c r="Z1306" i="12"/>
  <c r="Z1966" i="12"/>
  <c r="Z1357" i="12"/>
  <c r="Z2549" i="12"/>
  <c r="Z2719" i="12"/>
  <c r="Z2056" i="12"/>
  <c r="Z3089" i="12"/>
  <c r="Z262" i="12"/>
  <c r="Z760" i="12"/>
  <c r="Z450" i="12"/>
  <c r="Z1122" i="12"/>
  <c r="Z1341" i="12"/>
  <c r="Z1191" i="12"/>
  <c r="Z1792" i="12"/>
  <c r="Z1744" i="12"/>
  <c r="Z2548" i="12"/>
  <c r="Z1285" i="12"/>
  <c r="Z2244" i="12"/>
  <c r="Z1697" i="12"/>
  <c r="Z228" i="12"/>
  <c r="Z2863" i="12"/>
  <c r="Z2461" i="12"/>
  <c r="Z1560" i="12"/>
  <c r="Z372" i="12"/>
  <c r="Z1307" i="12"/>
  <c r="Z1552" i="12"/>
  <c r="Z1799" i="12"/>
  <c r="Z2194" i="12"/>
  <c r="Z79" i="12"/>
  <c r="Z2619" i="12"/>
  <c r="Z1630" i="12"/>
  <c r="Z734" i="12"/>
  <c r="Z1859" i="12"/>
  <c r="Z654" i="12"/>
  <c r="Z776" i="12"/>
  <c r="Z1557" i="12"/>
  <c r="Z1398" i="12"/>
  <c r="Z797" i="12"/>
  <c r="Z1153" i="12"/>
  <c r="Z1937" i="12"/>
  <c r="Z2895" i="12"/>
  <c r="Z2074" i="12"/>
  <c r="Z2135" i="12"/>
  <c r="Z586" i="12"/>
  <c r="Z1405" i="12"/>
  <c r="Z850" i="12"/>
  <c r="Z1257" i="12"/>
  <c r="Z366" i="12"/>
  <c r="Z2499" i="12"/>
  <c r="Z1296" i="12"/>
  <c r="Z2680" i="12"/>
  <c r="Z3189" i="12"/>
  <c r="Z3375" i="12"/>
  <c r="Z3529" i="12"/>
  <c r="Z1723" i="12"/>
  <c r="Z894" i="12"/>
  <c r="Z3459" i="12"/>
  <c r="Z1890" i="12"/>
  <c r="Z70" i="12"/>
  <c r="Z700" i="12"/>
  <c r="Z3039" i="12"/>
  <c r="Z3456" i="12"/>
  <c r="Z838" i="12"/>
  <c r="Z3115" i="12"/>
  <c r="Z2876" i="12"/>
  <c r="Z3239" i="12"/>
  <c r="Z2987" i="12"/>
  <c r="Z2441" i="12"/>
  <c r="Z3093" i="12"/>
  <c r="Z284" i="12"/>
  <c r="Z938" i="12"/>
  <c r="Z2413" i="12"/>
  <c r="Z3286" i="12"/>
  <c r="Z488" i="12"/>
  <c r="Z373" i="12"/>
  <c r="Z788" i="12"/>
  <c r="Z147" i="12"/>
  <c r="Z2784" i="12"/>
  <c r="Z2709" i="12"/>
  <c r="Z856" i="12"/>
  <c r="Z548" i="12"/>
  <c r="Z329" i="12"/>
  <c r="Z2995" i="12"/>
  <c r="Z1270" i="12"/>
  <c r="Z2017" i="12"/>
  <c r="Z2892" i="12"/>
  <c r="Z3527" i="12"/>
  <c r="Z2925" i="12"/>
  <c r="Z510" i="12"/>
  <c r="Z1088" i="12"/>
  <c r="Z2335" i="12"/>
  <c r="Z2416" i="12"/>
  <c r="Z2587" i="12"/>
  <c r="Z2589" i="12"/>
  <c r="Z1587" i="12"/>
  <c r="Z1421" i="12"/>
  <c r="Z67" i="12"/>
  <c r="Z1787" i="12"/>
  <c r="Z2391" i="12"/>
  <c r="Z2828" i="12"/>
  <c r="Z1838" i="12"/>
  <c r="Z46" i="12"/>
  <c r="Z2544" i="12"/>
  <c r="Z3048" i="12"/>
  <c r="Z1248" i="12"/>
  <c r="Z1473" i="12"/>
  <c r="Z2632" i="12"/>
  <c r="Z3435" i="12"/>
  <c r="Z2167" i="12"/>
  <c r="Z1187" i="12"/>
  <c r="Z786" i="12"/>
  <c r="Z581" i="12"/>
  <c r="Z2977" i="12"/>
  <c r="Z166" i="12"/>
  <c r="Z306" i="12"/>
  <c r="Z1548" i="12"/>
  <c r="Z2770" i="12"/>
  <c r="Z1609" i="12"/>
  <c r="Z224" i="12"/>
  <c r="Z1909" i="12"/>
  <c r="Z3002" i="12"/>
  <c r="Z3513" i="12"/>
  <c r="Z2862" i="12"/>
  <c r="Z3099" i="12"/>
  <c r="Z1216" i="12"/>
  <c r="Z2498" i="12"/>
  <c r="Z2779" i="12"/>
  <c r="Z3192" i="12"/>
  <c r="Z2396" i="12"/>
  <c r="Z1528" i="12"/>
  <c r="Z979" i="12"/>
  <c r="Z2041" i="12"/>
  <c r="Z500" i="12"/>
  <c r="Z913" i="12"/>
  <c r="Z1651" i="12"/>
  <c r="Z2751" i="12"/>
  <c r="Z1325" i="12"/>
  <c r="Z820" i="12"/>
  <c r="Z1585" i="12"/>
  <c r="Z2489" i="12"/>
  <c r="Z3347" i="12"/>
  <c r="Z927" i="12"/>
  <c r="Z1254" i="12"/>
  <c r="Z363" i="12"/>
  <c r="Z1830" i="12"/>
  <c r="Z2683" i="12"/>
  <c r="Z1889" i="12"/>
  <c r="Z2701" i="12"/>
  <c r="Z386" i="12"/>
  <c r="Z819" i="12"/>
  <c r="Z460" i="12"/>
  <c r="Z2484" i="12"/>
  <c r="Z1002" i="12"/>
  <c r="Z3316" i="12"/>
  <c r="Z3194" i="12"/>
  <c r="Z260" i="12"/>
  <c r="Z2175" i="12"/>
  <c r="Z1283" i="12"/>
  <c r="Z1481" i="12"/>
  <c r="Z910" i="12"/>
  <c r="Z3229" i="12"/>
  <c r="Z737" i="12"/>
  <c r="Z1893" i="12"/>
  <c r="Z2338" i="12"/>
  <c r="Z2373" i="12"/>
  <c r="Z716" i="12"/>
  <c r="Z2128" i="12"/>
  <c r="Z2976" i="12"/>
  <c r="Z2028" i="12"/>
  <c r="Z1031" i="12"/>
  <c r="Z3387" i="12"/>
  <c r="Z2269" i="12"/>
  <c r="Z2556" i="12"/>
  <c r="Z3534" i="12"/>
  <c r="Z660" i="12"/>
  <c r="Z3313" i="12"/>
  <c r="Z2637" i="12"/>
  <c r="Z2504" i="12"/>
  <c r="Z2983" i="12"/>
  <c r="Z747" i="12"/>
  <c r="Z2733" i="12"/>
  <c r="Z376" i="12"/>
  <c r="Z771" i="12"/>
  <c r="Z1776" i="12"/>
  <c r="Z2656" i="12"/>
  <c r="Z614" i="12"/>
  <c r="Z2390" i="12"/>
  <c r="Z2261" i="12"/>
  <c r="Z3550" i="12"/>
  <c r="Z1566" i="12"/>
  <c r="Z2340" i="12"/>
  <c r="Z579" i="12"/>
  <c r="Z1508" i="12"/>
  <c r="Z1194" i="12"/>
  <c r="Z1573" i="12"/>
  <c r="Z1269" i="12"/>
  <c r="Z328" i="12"/>
  <c r="Z2082" i="12"/>
  <c r="Z2219" i="12"/>
  <c r="Z2293" i="12"/>
  <c r="Z2696" i="12"/>
  <c r="Z1138" i="12"/>
  <c r="Z3124" i="12"/>
  <c r="Z2356" i="12"/>
  <c r="Z2630" i="12"/>
  <c r="Z2666" i="12"/>
  <c r="Z1279" i="12"/>
  <c r="Z37" i="12"/>
  <c r="Z1553" i="12"/>
  <c r="Z2199" i="12"/>
  <c r="Z3036" i="12"/>
  <c r="Z178" i="12"/>
  <c r="Z1555" i="12"/>
  <c r="Z408" i="12"/>
  <c r="Z2257" i="12"/>
  <c r="Z59" i="12"/>
  <c r="Z2169" i="12"/>
  <c r="Z1016" i="12"/>
  <c r="Z2075" i="12"/>
  <c r="Z3106" i="12"/>
  <c r="Z92" i="12"/>
  <c r="Z2915" i="12"/>
  <c r="Z2246" i="12"/>
  <c r="Z1610" i="12"/>
  <c r="Z267" i="12"/>
  <c r="Z532" i="12"/>
  <c r="Z322" i="12"/>
  <c r="Z2871" i="12"/>
  <c r="Z1114" i="12"/>
  <c r="Z1933" i="12"/>
  <c r="Z595" i="12"/>
  <c r="Z1542" i="12"/>
  <c r="Z2077" i="12"/>
  <c r="Z1032" i="12"/>
  <c r="Z204" i="12"/>
  <c r="Z2865" i="12"/>
  <c r="Z1967" i="12"/>
  <c r="Z1446" i="12"/>
  <c r="Z1072" i="12"/>
  <c r="Z1135" i="12"/>
  <c r="Z2255" i="12"/>
  <c r="Z2239" i="12"/>
  <c r="Z3148" i="12"/>
  <c r="Z871" i="12"/>
  <c r="Z3035" i="12"/>
  <c r="Z3283" i="12"/>
  <c r="Z2115" i="12"/>
  <c r="Z2559" i="12"/>
  <c r="Z2777" i="12"/>
  <c r="Z3520" i="12"/>
  <c r="Z78" i="12"/>
  <c r="Z993" i="12"/>
  <c r="Z3492" i="12"/>
  <c r="Z1618" i="12"/>
  <c r="Z854" i="12"/>
  <c r="Z2723" i="12"/>
  <c r="Z1597" i="12"/>
  <c r="Z1371" i="12"/>
  <c r="Z2350" i="12"/>
  <c r="Z2663" i="12"/>
  <c r="Z2214" i="12"/>
  <c r="Z2326" i="12"/>
  <c r="Z3496" i="12"/>
  <c r="Z1782" i="12"/>
  <c r="Z3006" i="12"/>
  <c r="Z1005" i="12"/>
  <c r="Z2144" i="12"/>
  <c r="Z1976" i="12"/>
  <c r="Z731" i="12"/>
  <c r="Z1157" i="12"/>
  <c r="Z1235" i="12"/>
  <c r="Z547" i="12"/>
  <c r="Z2524" i="12"/>
  <c r="Z3014" i="12"/>
  <c r="Z2845" i="12"/>
  <c r="Z3418" i="12"/>
  <c r="Z1439" i="12"/>
  <c r="Z2900" i="12"/>
  <c r="Z1684" i="12"/>
  <c r="Z2351" i="12"/>
  <c r="Z2859" i="12"/>
  <c r="Z1189" i="12"/>
  <c r="Z1464" i="12"/>
  <c r="Z3508" i="12"/>
  <c r="Z2159" i="12"/>
  <c r="Z368" i="12"/>
  <c r="Z3003" i="12"/>
  <c r="Z810" i="12"/>
  <c r="Z827" i="12"/>
  <c r="Z2843" i="12"/>
  <c r="Z1713" i="12"/>
  <c r="Z2112" i="12"/>
  <c r="Z948" i="12"/>
  <c r="Z3521" i="12"/>
  <c r="Z3535" i="12"/>
  <c r="Z3197" i="12"/>
  <c r="Z1533" i="12"/>
  <c r="Z2365" i="12"/>
  <c r="Z2906" i="12"/>
  <c r="Z2295" i="12"/>
  <c r="Z2574" i="12"/>
  <c r="Z3088" i="12"/>
  <c r="Z1664" i="12"/>
  <c r="Z1244" i="12"/>
  <c r="Z2921" i="12"/>
  <c r="Z3177" i="12"/>
  <c r="Z311" i="12"/>
  <c r="Z1435" i="12"/>
  <c r="Z1921" i="12"/>
  <c r="Z2042" i="12"/>
  <c r="Z2886" i="12"/>
  <c r="Z326" i="12"/>
  <c r="Z2045" i="12"/>
  <c r="Z2289" i="12"/>
  <c r="Z1471" i="12"/>
  <c r="Z2781" i="12"/>
  <c r="Z385" i="12"/>
  <c r="Z2806" i="12"/>
  <c r="Z2575" i="12"/>
  <c r="Z3363" i="12"/>
  <c r="Z1883" i="12"/>
  <c r="Z833" i="12"/>
  <c r="Z350" i="12"/>
  <c r="Z2692" i="12"/>
  <c r="Z1394" i="12"/>
  <c r="Z857" i="12"/>
  <c r="Z2622" i="12"/>
  <c r="Z369" i="12"/>
  <c r="Z235" i="12"/>
  <c r="Z3515" i="12"/>
  <c r="Z295" i="12"/>
  <c r="Z111" i="12"/>
  <c r="Z38" i="12"/>
  <c r="Z2819" i="12"/>
  <c r="Z2818" i="12"/>
  <c r="Z1593" i="12"/>
  <c r="Z374" i="12"/>
  <c r="Z517" i="12"/>
  <c r="Z1221" i="12"/>
  <c r="Z3080" i="12"/>
  <c r="Z885" i="12"/>
  <c r="Z474" i="12"/>
  <c r="Z3073" i="12"/>
  <c r="Z3113" i="12"/>
  <c r="Z1053" i="12"/>
  <c r="Z3506" i="12"/>
  <c r="Z2563" i="12"/>
  <c r="Z3335" i="12"/>
  <c r="Z557" i="12"/>
  <c r="Z1746" i="12"/>
  <c r="Z189" i="12"/>
  <c r="Z3183" i="12"/>
  <c r="Z1931" i="12"/>
  <c r="Z3262" i="12"/>
  <c r="Z1299" i="12"/>
  <c r="Z2824" i="12"/>
  <c r="Z1128" i="12"/>
  <c r="Z1416" i="12"/>
  <c r="Z2816" i="12"/>
  <c r="Z1267" i="12"/>
  <c r="Z1660" i="12"/>
  <c r="Z3493" i="12"/>
  <c r="Z2432" i="12"/>
  <c r="Z2972" i="12"/>
  <c r="Z2570" i="12"/>
  <c r="Z403" i="12"/>
  <c r="Z269" i="12"/>
  <c r="Z1941" i="12"/>
  <c r="Z2606" i="12"/>
  <c r="Z2801" i="12"/>
  <c r="Z1902" i="12"/>
  <c r="Z2262" i="12"/>
  <c r="Z3218" i="12"/>
  <c r="Z1510" i="12"/>
  <c r="Z552" i="12"/>
  <c r="Z2469" i="12"/>
  <c r="Z2183" i="12"/>
  <c r="Z1273" i="12"/>
  <c r="Z1265" i="12"/>
  <c r="Z2576" i="12"/>
  <c r="Z2907" i="12"/>
  <c r="Z492" i="12"/>
  <c r="Z3342" i="12"/>
  <c r="Z1172" i="12"/>
  <c r="Z3057" i="12"/>
  <c r="Z3443" i="12"/>
  <c r="Z813" i="12"/>
  <c r="Z1453" i="12"/>
  <c r="Z2592" i="12"/>
  <c r="Z2956" i="12"/>
  <c r="Z2037" i="12"/>
  <c r="Z2922" i="12"/>
  <c r="Z453" i="12"/>
  <c r="Z703" i="12"/>
  <c r="Z3067" i="12"/>
  <c r="Z127" i="12"/>
  <c r="Z1690" i="12"/>
  <c r="Z288" i="12"/>
  <c r="Z958" i="12"/>
  <c r="Z1378" i="12"/>
  <c r="Z627" i="12"/>
  <c r="Z3040" i="12"/>
  <c r="Z2597" i="12"/>
  <c r="Z3076" i="12"/>
  <c r="Z2993" i="12"/>
  <c r="Z2623" i="12"/>
  <c r="Z697" i="12"/>
  <c r="Z1846" i="12"/>
  <c r="Z2087" i="12"/>
  <c r="Z2848" i="12"/>
  <c r="Z3066" i="12"/>
  <c r="Z529" i="12"/>
  <c r="Z494" i="12"/>
  <c r="Z1495" i="12"/>
  <c r="Z1758" i="12"/>
  <c r="Z316" i="12"/>
  <c r="Z1806" i="12"/>
  <c r="Z3243" i="12"/>
  <c r="Z2097" i="12"/>
  <c r="Z1545" i="12"/>
  <c r="Z635" i="12"/>
  <c r="Z2164" i="12"/>
  <c r="Z698" i="12"/>
  <c r="Z2760" i="12"/>
  <c r="Z1665" i="12"/>
  <c r="Z569" i="12"/>
  <c r="Z2629" i="12"/>
  <c r="Z1261" i="12"/>
  <c r="Z1312" i="12"/>
  <c r="Z2383" i="12"/>
  <c r="Z3122" i="12"/>
  <c r="Z3140" i="12"/>
  <c r="Z3095" i="12"/>
  <c r="Z126" i="12"/>
  <c r="Z3144" i="12"/>
  <c r="Z2540" i="12"/>
  <c r="Z55" i="12"/>
  <c r="Z405" i="12"/>
  <c r="Z1982" i="12"/>
  <c r="Z596" i="12"/>
  <c r="Z649" i="12"/>
  <c r="Z1144" i="12"/>
  <c r="Z3252" i="12"/>
  <c r="Z2607" i="12"/>
  <c r="Z383" i="12"/>
  <c r="Z1903" i="12"/>
  <c r="Z733" i="12"/>
  <c r="Z1666" i="12"/>
  <c r="Z513" i="12"/>
  <c r="Z144" i="12"/>
  <c r="Z3068" i="12"/>
  <c r="Z891" i="12"/>
  <c r="Z873" i="12"/>
  <c r="Z1765" i="12"/>
  <c r="Z1077" i="12"/>
  <c r="Z1238" i="12"/>
  <c r="Z220" i="12"/>
  <c r="Z148" i="12"/>
  <c r="Z3314" i="12"/>
  <c r="Z336" i="12"/>
  <c r="Z2001" i="12"/>
  <c r="Z266" i="12"/>
  <c r="Z77" i="12"/>
  <c r="Z2975" i="12"/>
  <c r="Z348" i="12"/>
  <c r="Z1497" i="12"/>
  <c r="Z2426" i="12"/>
  <c r="Z2924" i="12"/>
  <c r="Z1234" i="12"/>
  <c r="Z3328" i="12"/>
  <c r="Z1461" i="12"/>
  <c r="Z2103" i="12"/>
  <c r="Z1908" i="12"/>
  <c r="Z1567" i="12"/>
  <c r="Z2567" i="12"/>
  <c r="Z3393" i="12"/>
  <c r="Z3317" i="12"/>
  <c r="Z2558" i="12"/>
  <c r="Z3544" i="12"/>
  <c r="Z446" i="12"/>
  <c r="Z1663" i="12"/>
  <c r="Z3049" i="12"/>
  <c r="Z571" i="12"/>
  <c r="Z3263" i="12"/>
  <c r="Z1196" i="12"/>
  <c r="Z3385" i="12"/>
  <c r="Z769" i="12"/>
  <c r="Z35" i="12"/>
  <c r="Z3104" i="12"/>
  <c r="Z1089" i="12"/>
  <c r="Z246" i="12"/>
  <c r="Z2377" i="12"/>
  <c r="Z226" i="12"/>
  <c r="Z2083" i="12"/>
  <c r="Z2294" i="12"/>
  <c r="Z2307" i="12"/>
  <c r="Z728" i="12"/>
  <c r="Z3083" i="12"/>
  <c r="Z2312" i="12"/>
  <c r="Z2033" i="12"/>
  <c r="Z1926" i="12"/>
  <c r="Z2507" i="12"/>
  <c r="Z3157" i="12"/>
  <c r="Z1062" i="12"/>
  <c r="Z1556" i="12"/>
  <c r="Z1774" i="12"/>
  <c r="Z3395" i="12"/>
  <c r="Z498" i="12"/>
  <c r="Z2952" i="12"/>
  <c r="Z1264" i="12"/>
  <c r="Z2691" i="12"/>
  <c r="Z1322" i="12"/>
  <c r="Z1856" i="12"/>
  <c r="Z1387" i="12"/>
  <c r="Z1807" i="12"/>
  <c r="Z3132" i="12"/>
  <c r="Z815" i="12"/>
  <c r="Z2496" i="12"/>
  <c r="Z1667" i="12"/>
  <c r="Z1804" i="12"/>
  <c r="Z480" i="12"/>
  <c r="Z945" i="12"/>
  <c r="Z2552" i="12"/>
  <c r="Z1334" i="12"/>
  <c r="Z1929" i="12"/>
  <c r="Z2066" i="12"/>
  <c r="Z949" i="12"/>
  <c r="Z1819" i="12"/>
  <c r="Z3009" i="12"/>
  <c r="Z1084" i="12"/>
  <c r="Z1559" i="12"/>
  <c r="Z2265" i="12"/>
  <c r="Z2655" i="12"/>
  <c r="Z337" i="12"/>
  <c r="Z615" i="12"/>
  <c r="Z2725" i="12"/>
  <c r="Z1636" i="12"/>
  <c r="Z2276" i="12"/>
  <c r="Z3446" i="12"/>
  <c r="Z221" i="12"/>
  <c r="Z2095" i="12"/>
  <c r="Z429" i="12"/>
  <c r="Z396" i="12"/>
  <c r="Z1488" i="12"/>
  <c r="Z101" i="12"/>
  <c r="Z1525" i="12"/>
  <c r="Z1218" i="12"/>
  <c r="Z2671" i="12"/>
  <c r="Z1616" i="12"/>
  <c r="Z2451" i="12"/>
  <c r="Z812" i="12"/>
  <c r="Z2305" i="12"/>
  <c r="Z2204" i="12"/>
  <c r="Z3081" i="12"/>
  <c r="Z1140" i="12"/>
  <c r="Z2543" i="12"/>
  <c r="Z1207" i="12"/>
  <c r="Z807" i="12"/>
  <c r="Z1755" i="12"/>
  <c r="Z759" i="12"/>
  <c r="Z2755" i="12"/>
  <c r="Z2400" i="12"/>
  <c r="Z203" i="12"/>
  <c r="Z491" i="12"/>
  <c r="Z2767" i="12"/>
  <c r="Z2982" i="12"/>
  <c r="Z1953" i="12"/>
  <c r="Z199" i="12"/>
  <c r="Z943" i="12"/>
  <c r="Z566" i="12"/>
  <c r="Z2012" i="12"/>
  <c r="Z1433" i="12"/>
  <c r="Z1527" i="12"/>
  <c r="Z1955" i="12"/>
  <c r="Z568" i="12"/>
  <c r="Z3432" i="12"/>
  <c r="Z1845" i="12"/>
  <c r="Z686" i="12"/>
  <c r="Z25" i="12"/>
  <c r="Z305" i="12"/>
  <c r="Z682" i="12"/>
  <c r="Z1705" i="12"/>
  <c r="Z393" i="12"/>
  <c r="Z3023" i="12"/>
  <c r="Z905" i="12"/>
  <c r="Z2023" i="12"/>
  <c r="Z652" i="12"/>
  <c r="Z1177" i="12"/>
  <c r="Z3090" i="12"/>
  <c r="Z1899" i="12"/>
  <c r="Z365" i="12"/>
  <c r="Z1671" i="12"/>
  <c r="Z897" i="12"/>
  <c r="Z2384" i="12"/>
  <c r="Z1678" i="12"/>
  <c r="Z2036" i="12"/>
  <c r="Z875" i="12"/>
  <c r="Z2360" i="12"/>
  <c r="Z2842" i="12"/>
  <c r="Z959" i="12"/>
  <c r="Z3384" i="12"/>
  <c r="Z2547" i="12"/>
  <c r="Z2992" i="12"/>
  <c r="Z1104" i="12"/>
  <c r="Z1163" i="12"/>
  <c r="Z879" i="12"/>
  <c r="Z2161" i="12"/>
  <c r="Z723" i="12"/>
  <c r="Z3075" i="12"/>
  <c r="Z1201" i="12"/>
  <c r="Z2561" i="12"/>
  <c r="Z2530" i="12"/>
  <c r="Z884" i="12"/>
  <c r="Z191" i="12"/>
  <c r="Z3251" i="12"/>
  <c r="Z2189" i="12"/>
  <c r="Z1079" i="12"/>
  <c r="Z725" i="12"/>
  <c r="Z1700" i="12"/>
  <c r="Z923" i="12"/>
  <c r="Z472" i="12"/>
  <c r="Z962" i="12"/>
  <c r="Z3021" i="12"/>
  <c r="Z2927" i="12"/>
  <c r="Z3188" i="12"/>
  <c r="Z3170" i="12"/>
  <c r="Z87" i="12"/>
  <c r="Z1646" i="12"/>
  <c r="Z1465" i="12"/>
  <c r="Z777" i="12"/>
  <c r="Z3070" i="12"/>
  <c r="Z858" i="12"/>
  <c r="Z2361" i="12"/>
  <c r="Z2089" i="12"/>
  <c r="Z410" i="12"/>
  <c r="Z2076" i="12"/>
  <c r="Z3461" i="12"/>
  <c r="Z2509" i="12"/>
  <c r="Z1961" i="12"/>
  <c r="Z3420" i="12"/>
  <c r="Z1919" i="12"/>
  <c r="Z1591" i="12"/>
  <c r="Z1339" i="12"/>
  <c r="Z2174" i="12"/>
  <c r="Z1879" i="12"/>
  <c r="Z506" i="12"/>
  <c r="Z3360" i="12"/>
  <c r="Z3404" i="12"/>
  <c r="Z421" i="12"/>
  <c r="Z2172" i="12"/>
  <c r="Z52" i="12"/>
  <c r="Z3460" i="12"/>
  <c r="Z794" i="12"/>
  <c r="Z1109" i="12"/>
  <c r="Z1492" i="12"/>
  <c r="Z1641" i="12"/>
  <c r="Z1580" i="12"/>
  <c r="Z2228" i="12"/>
  <c r="Z1055" i="12"/>
  <c r="Z253" i="12"/>
  <c r="Z658" i="12"/>
  <c r="Z1736" i="12"/>
  <c r="Z1231" i="12"/>
  <c r="Z2473" i="12"/>
  <c r="Z298" i="12"/>
  <c r="Z68" i="12"/>
  <c r="Z156" i="12"/>
  <c r="Z550" i="12"/>
  <c r="Z2055" i="12"/>
  <c r="Z2653" i="12"/>
  <c r="Z3447" i="12"/>
  <c r="Z2986" i="12"/>
  <c r="Z516" i="12"/>
  <c r="Z2970" i="12"/>
  <c r="Z2729" i="12"/>
  <c r="Z3339" i="12"/>
  <c r="Z2518" i="12"/>
  <c r="Z3541" i="12"/>
  <c r="Z477" i="12"/>
  <c r="Z2954" i="12"/>
  <c r="Z1359" i="12"/>
  <c r="Z2762" i="12"/>
  <c r="Z2359" i="12"/>
  <c r="Z1501" i="12"/>
  <c r="Z1505" i="12"/>
  <c r="Z3019" i="12"/>
  <c r="Z2745" i="12"/>
  <c r="Z1469" i="12"/>
  <c r="Z1762" i="12"/>
  <c r="Z1096" i="12"/>
  <c r="Z549" i="12"/>
  <c r="Z1271" i="12"/>
  <c r="Z1390" i="12"/>
  <c r="Z258" i="12"/>
  <c r="Z3094" i="12"/>
  <c r="Z3141" i="12"/>
  <c r="Z1844" i="12"/>
  <c r="Z2881" i="12"/>
  <c r="Z3510" i="12"/>
  <c r="Z3396" i="12"/>
  <c r="Z2802" i="12"/>
  <c r="Z561" i="12"/>
  <c r="Z205" i="12"/>
  <c r="Z1956" i="12"/>
  <c r="Z1668" i="12"/>
  <c r="Z3422" i="12"/>
  <c r="Z2654" i="12"/>
  <c r="Z762" i="12"/>
  <c r="Z2187" i="12"/>
  <c r="Z837" i="12"/>
  <c r="Z1345" i="12"/>
  <c r="Z346" i="12"/>
  <c r="Z135" i="12"/>
  <c r="Z2392" i="12"/>
  <c r="Z711" i="12"/>
  <c r="Z527" i="12"/>
  <c r="Z1044" i="12"/>
  <c r="Z2061" i="12"/>
  <c r="Z946" i="12"/>
  <c r="Z2099" i="12"/>
  <c r="Z1130" i="12"/>
  <c r="Z89" i="12"/>
  <c r="Z2581" i="12"/>
  <c r="Z2525" i="12"/>
  <c r="Z1711" i="12"/>
  <c r="Z3193" i="12"/>
  <c r="Z343" i="12"/>
  <c r="Z1519" i="12"/>
  <c r="Z1840" i="12"/>
  <c r="Z986" i="12"/>
  <c r="Z3205" i="12"/>
  <c r="Z989" i="12"/>
  <c r="Z2225" i="12"/>
  <c r="Z1384" i="12"/>
  <c r="Z3254" i="12"/>
  <c r="Z2191" i="12"/>
  <c r="Z239" i="12"/>
  <c r="Z292" i="12"/>
  <c r="Z455" i="12"/>
  <c r="Z1715" i="12"/>
  <c r="Z3127" i="12"/>
  <c r="Z1300" i="12"/>
  <c r="Z1915" i="12"/>
  <c r="Z746" i="12"/>
  <c r="Z340" i="12"/>
  <c r="Z3211" i="12"/>
  <c r="Z2030" i="12"/>
  <c r="Z968" i="12"/>
  <c r="Z793" i="12"/>
  <c r="Z983" i="12"/>
  <c r="Z1302" i="12"/>
  <c r="Z3308" i="12"/>
  <c r="Z735" i="12"/>
  <c r="Z1070" i="12"/>
  <c r="Z2615" i="12"/>
  <c r="Z2336" i="12"/>
  <c r="Z45" i="12"/>
  <c r="Z1551" i="12"/>
  <c r="Z981" i="12"/>
  <c r="Z3381" i="12"/>
  <c r="Z3116" i="12"/>
  <c r="Z801" i="12"/>
  <c r="Z119" i="12"/>
  <c r="Z172" i="12"/>
  <c r="Z2402" i="12"/>
  <c r="Z3225" i="12"/>
  <c r="Z1917" i="12"/>
  <c r="Z2651" i="12"/>
  <c r="Z864" i="12"/>
  <c r="Z3246" i="12"/>
  <c r="Z2812" i="12"/>
  <c r="Z2505" i="12"/>
  <c r="Z356" i="12"/>
  <c r="Z435" i="12"/>
  <c r="Z1778" i="12"/>
  <c r="Z1149" i="12"/>
  <c r="Z1395" i="12"/>
  <c r="Z2406" i="12"/>
  <c r="Z3175" i="12"/>
  <c r="Z114" i="12"/>
  <c r="Z2310" i="12"/>
  <c r="Z572" i="12"/>
  <c r="Z1522" i="12"/>
  <c r="Z2704" i="12"/>
  <c r="Z2020" i="12"/>
  <c r="Z3400" i="12"/>
  <c r="Z1060" i="12"/>
  <c r="Z708" i="12"/>
  <c r="Z2185" i="12"/>
  <c r="Z3483" i="12"/>
  <c r="Z2146" i="12"/>
  <c r="Z1963" i="12"/>
  <c r="Z1938" i="12"/>
  <c r="Z2595" i="12"/>
  <c r="Z2126" i="12"/>
  <c r="Z2372" i="12"/>
  <c r="Z2941" i="12"/>
  <c r="Z2165" i="12"/>
  <c r="Z3409" i="12"/>
  <c r="Z2143" i="12"/>
  <c r="Z2542" i="12"/>
  <c r="Z2967" i="12"/>
  <c r="Z3472" i="12"/>
  <c r="Z97" i="12"/>
  <c r="Z1452" i="12"/>
  <c r="Z953" i="12"/>
  <c r="Z2882" i="12"/>
  <c r="Z314" i="12"/>
  <c r="Z1233" i="12"/>
  <c r="Z276" i="12"/>
  <c r="Z2309" i="12"/>
  <c r="Z3013" i="12"/>
  <c r="Z2446" i="12"/>
  <c r="Z3399" i="12"/>
  <c r="Z3475" i="12"/>
  <c r="Z2256" i="12"/>
  <c r="Z3480" i="12"/>
  <c r="Z1402" i="12"/>
  <c r="Z1588" i="12"/>
  <c r="Z2565" i="12"/>
  <c r="Z1621" i="12"/>
  <c r="Z3037" i="12"/>
  <c r="Z2932" i="12"/>
  <c r="Z975" i="12"/>
  <c r="Z669" i="12"/>
  <c r="Z816" i="12"/>
  <c r="Z1923" i="12"/>
  <c r="Z842" i="12"/>
  <c r="Z1020" i="12"/>
  <c r="Z1512" i="12"/>
  <c r="Z1661" i="12"/>
  <c r="Z583" i="12"/>
  <c r="Z2119" i="12"/>
  <c r="Z1843" i="12"/>
  <c r="Z3302" i="12"/>
  <c r="Z2896" i="12"/>
  <c r="Z1190" i="12"/>
  <c r="Z162" i="12"/>
  <c r="Z2944" i="12"/>
  <c r="Z1379" i="12"/>
  <c r="Z1592" i="12"/>
  <c r="Z40" i="12"/>
  <c r="Z3497" i="12"/>
  <c r="Z2569" i="12"/>
  <c r="Z3525" i="12"/>
  <c r="Z3031" i="12"/>
  <c r="Z2757" i="12"/>
  <c r="Z3372" i="12"/>
  <c r="Z839" i="12"/>
  <c r="Z1814" i="12"/>
  <c r="Z3310" i="12"/>
  <c r="Z3330" i="12"/>
  <c r="Z2633" i="12"/>
  <c r="Z3332" i="12"/>
  <c r="Z1150" i="12"/>
  <c r="Z3345" i="12"/>
  <c r="Z422" i="12"/>
  <c r="Z438" i="12"/>
  <c r="Z1167" i="12"/>
  <c r="Z2879" i="12"/>
  <c r="Z2118" i="12"/>
  <c r="Z3062" i="12"/>
  <c r="Z2500" i="12"/>
  <c r="Z2849" i="12"/>
  <c r="Z3386" i="12"/>
  <c r="Z1861" i="12"/>
  <c r="Z157" i="12"/>
  <c r="Z301" i="12"/>
  <c r="Z389" i="12"/>
  <c r="Z2503" i="12"/>
  <c r="Z2190" i="12"/>
  <c r="Z2795" i="12"/>
  <c r="Z1193" i="12"/>
  <c r="Z163" i="12"/>
  <c r="Z1521" i="12"/>
  <c r="Z86" i="12"/>
  <c r="Z3028" i="12"/>
  <c r="Z2192" i="12"/>
  <c r="Z208" i="12"/>
  <c r="Z1821" i="12"/>
  <c r="Z1458" i="12"/>
  <c r="Z404" i="12"/>
  <c r="Z1648" i="12"/>
  <c r="Z3092" i="12"/>
  <c r="Z766" i="12"/>
  <c r="Z1438" i="12"/>
  <c r="Z2527" i="12"/>
  <c r="Z1418" i="12"/>
  <c r="Z447" i="12"/>
  <c r="Z1716" i="12"/>
  <c r="Z84" i="12"/>
  <c r="Z223" i="12"/>
  <c r="Z1721" i="12"/>
  <c r="Z3441" i="12"/>
  <c r="Z1294" i="12"/>
  <c r="Z2686" i="12"/>
  <c r="Z1735" i="12"/>
  <c r="Z3259" i="12"/>
  <c r="Z3519" i="12"/>
  <c r="Z1409" i="12"/>
  <c r="Z3047" i="12"/>
  <c r="Z3129" i="12"/>
  <c r="Z2554" i="12"/>
  <c r="Z304" i="12"/>
  <c r="Z1940" i="12"/>
  <c r="Z1847" i="12"/>
  <c r="Z628" i="12"/>
  <c r="Z3171" i="12"/>
  <c r="Z236" i="12"/>
  <c r="Z1583" i="12"/>
  <c r="Z2053" i="12"/>
  <c r="Z1147" i="12"/>
  <c r="Z2368" i="12"/>
  <c r="Z222" i="12"/>
  <c r="Z3402" i="12"/>
  <c r="Z2216" i="12"/>
  <c r="Z2273" i="12"/>
  <c r="Z2742" i="12"/>
  <c r="Z3333" i="12"/>
  <c r="Z3285" i="12"/>
  <c r="Z2794" i="12"/>
  <c r="Z773" i="12"/>
  <c r="Z924" i="12"/>
  <c r="Z1532" i="12"/>
  <c r="Z1725" i="12"/>
  <c r="Z165" i="12"/>
  <c r="Z2346" i="12"/>
  <c r="Z1392" i="12"/>
  <c r="Z1825" i="12"/>
  <c r="Z2523" i="12"/>
  <c r="Z673" i="12"/>
  <c r="Z2428" i="12"/>
  <c r="Z3255" i="12"/>
  <c r="Z2252" i="12"/>
  <c r="Z785" i="12"/>
  <c r="Z554" i="12"/>
  <c r="Z3490" i="12"/>
  <c r="Z600" i="12"/>
  <c r="Z2104" i="12"/>
  <c r="Z3029" i="12"/>
  <c r="Z140" i="12"/>
  <c r="Z3284" i="12"/>
  <c r="Z1871" i="12"/>
  <c r="Z1472" i="12"/>
  <c r="Z1502" i="12"/>
  <c r="Z2820" i="12"/>
  <c r="Z1506" i="12"/>
  <c r="Z3166" i="12"/>
  <c r="Z1358" i="12"/>
  <c r="Z1994" i="12"/>
  <c r="Z2247" i="12"/>
  <c r="Z3371" i="12"/>
  <c r="Z2482" i="12"/>
  <c r="Z1426" i="12"/>
  <c r="Z525" i="12"/>
  <c r="Z2206" i="12"/>
  <c r="Z2748" i="12"/>
  <c r="Z1944" i="12"/>
  <c r="Z3414" i="12"/>
  <c r="Z720" i="12"/>
  <c r="Z445" i="12"/>
  <c r="Z400" i="12"/>
  <c r="Z2022" i="12"/>
  <c r="Z2362" i="12"/>
  <c r="Z1598" i="12"/>
  <c r="Z2078" i="12"/>
  <c r="Z1030" i="12"/>
  <c r="Z1308" i="12"/>
  <c r="Z1021" i="12"/>
  <c r="Z1015" i="12"/>
  <c r="Z3016" i="12"/>
  <c r="Z1253" i="12"/>
  <c r="Z1972" i="12"/>
  <c r="Z1047" i="12"/>
  <c r="Z881" i="12"/>
  <c r="Z211" i="12"/>
  <c r="Z96" i="12"/>
  <c r="Z783" i="12"/>
  <c r="Z3232" i="12"/>
  <c r="Z2258" i="12"/>
  <c r="Z2529" i="12"/>
  <c r="Z3413" i="12"/>
  <c r="Z2852" i="12"/>
  <c r="Z1733" i="12"/>
  <c r="Z2750" i="12"/>
  <c r="Z1337" i="12"/>
  <c r="Z1912" i="12"/>
  <c r="Z3282" i="12"/>
  <c r="Z1882" i="12"/>
  <c r="Z1622" i="12"/>
  <c r="Z2224" i="12"/>
  <c r="Z1226" i="12"/>
  <c r="Z2928" i="12"/>
  <c r="Z2250" i="12"/>
  <c r="Z1757" i="12"/>
  <c r="Z784" i="12"/>
  <c r="Z121" i="12"/>
  <c r="Z576" i="12"/>
  <c r="Z1536" i="12"/>
  <c r="Z761" i="12"/>
  <c r="Z196" i="12"/>
  <c r="Z2399" i="12"/>
  <c r="Z2120" i="12"/>
  <c r="Z1577" i="12"/>
  <c r="Z303" i="12"/>
  <c r="Z2395" i="12"/>
  <c r="Z695" i="12"/>
  <c r="Z2101" i="12"/>
  <c r="Z1460" i="12"/>
  <c r="Z2370" i="12"/>
  <c r="Z402" i="12"/>
  <c r="Z2068" i="12"/>
  <c r="Z3320" i="12"/>
  <c r="Z1252" i="12"/>
  <c r="Z1367" i="12"/>
  <c r="Z2860" i="12"/>
  <c r="Z481" i="12"/>
  <c r="Z1867" i="12"/>
  <c r="Z1382" i="12"/>
  <c r="Z3382" i="12"/>
  <c r="Z1086" i="12"/>
  <c r="Z42" i="12"/>
  <c r="Z3234" i="12"/>
  <c r="Z1087" i="12"/>
  <c r="Z1336" i="12"/>
  <c r="Z437" i="12"/>
  <c r="Z1974" i="12"/>
  <c r="Z3297" i="12"/>
  <c r="Z2516" i="12"/>
  <c r="Z2644" i="12"/>
  <c r="Z832" i="12"/>
  <c r="Z2911" i="12"/>
  <c r="Z1391" i="12"/>
  <c r="Z3454" i="12"/>
  <c r="Z2998" i="12"/>
  <c r="Z504" i="12"/>
  <c r="Z904" i="12"/>
  <c r="Z2410" i="12"/>
  <c r="Z3288" i="12"/>
  <c r="Z1158" i="12"/>
  <c r="Z836" i="12"/>
  <c r="Z3303" i="12"/>
  <c r="Z826" i="12"/>
  <c r="Z2455" i="12"/>
  <c r="Z1881" i="12"/>
  <c r="Z514" i="12"/>
  <c r="Z754" i="12"/>
  <c r="Z584" i="12"/>
  <c r="Z928" i="12"/>
  <c r="Z3258" i="12"/>
  <c r="Z3204" i="12"/>
  <c r="Z845" i="12"/>
  <c r="Z3055" i="12"/>
  <c r="Z28" i="12"/>
  <c r="Z533" i="12"/>
  <c r="Z1429" i="12"/>
  <c r="Z2386" i="12"/>
  <c r="Z3041" i="12"/>
  <c r="Z1240" i="12"/>
  <c r="Z1770" i="12"/>
  <c r="Z1619" i="12"/>
  <c r="Z633" i="12"/>
  <c r="Z371" i="12"/>
  <c r="Z861" i="12"/>
  <c r="Z1837" i="12"/>
  <c r="Z1800" i="12"/>
  <c r="Z2271" i="12"/>
  <c r="Z3405" i="12"/>
  <c r="Z1627" i="12"/>
  <c r="Z270" i="12"/>
  <c r="Z1049" i="12"/>
  <c r="Z1771" i="12"/>
  <c r="Z1719" i="12"/>
  <c r="Z893" i="12"/>
  <c r="Z951" i="12"/>
  <c r="Z487" i="12"/>
  <c r="Z1738" i="12"/>
  <c r="Z687" i="12"/>
  <c r="Z2072" i="12"/>
  <c r="Z2774" i="12"/>
  <c r="Z131" i="12"/>
  <c r="Z1945" i="12"/>
  <c r="Z934" i="12"/>
  <c r="Z2444" i="12"/>
  <c r="Z1812" i="12"/>
  <c r="Z2535" i="12"/>
  <c r="Z2532" i="12"/>
  <c r="Z3327" i="12"/>
  <c r="Z426" i="12"/>
  <c r="Z1475" i="12"/>
  <c r="Z2688" i="12"/>
  <c r="Z2648" i="12"/>
  <c r="Z3532" i="12"/>
  <c r="Z964" i="12"/>
  <c r="Z1258" i="12"/>
  <c r="Z1326" i="12"/>
  <c r="Z1115" i="12"/>
  <c r="Z1035" i="12"/>
  <c r="Z76" i="12"/>
  <c r="Z1726" i="12"/>
  <c r="Z2311" i="12"/>
  <c r="Z75" i="12"/>
  <c r="Z1779" i="12"/>
  <c r="Z362" i="12"/>
  <c r="Z559" i="12"/>
  <c r="Z2695" i="12"/>
  <c r="Z146" i="12"/>
  <c r="Z2718" i="12"/>
  <c r="Z1788" i="12"/>
  <c r="Z3123" i="12"/>
  <c r="Z200" i="12"/>
  <c r="Z895" i="12"/>
  <c r="Z1182" i="12"/>
  <c r="Z2974" i="12"/>
  <c r="Z2689" i="12"/>
  <c r="Z417" i="12"/>
  <c r="Z940" i="12"/>
  <c r="Z2609" i="12"/>
  <c r="Z2914" i="12"/>
  <c r="Z31" i="12"/>
  <c r="Z937" i="12"/>
  <c r="Z915" i="12"/>
  <c r="Z2154" i="12"/>
  <c r="Z3001" i="12"/>
  <c r="Z2064" i="12"/>
  <c r="Z2260" i="12"/>
  <c r="Z29" i="12"/>
  <c r="Z1083" i="12"/>
  <c r="Z2284" i="12"/>
  <c r="Z1348" i="12"/>
  <c r="Z2672" i="12"/>
  <c r="Z1791" i="12"/>
  <c r="Z62" i="12"/>
  <c r="Z2891" i="12"/>
  <c r="Z3458" i="12"/>
  <c r="Z1644" i="12"/>
  <c r="Z2799" i="12"/>
  <c r="Z3367" i="12"/>
  <c r="Z1691" i="12"/>
  <c r="Z1790" i="12"/>
  <c r="Z2834" i="12"/>
  <c r="Z182" i="12"/>
  <c r="Z961" i="12"/>
  <c r="Z679" i="12"/>
  <c r="Z2664" i="12"/>
  <c r="Z726" i="12"/>
  <c r="Z2508" i="12"/>
  <c r="Z1777" i="12"/>
  <c r="Z1113" i="12"/>
  <c r="Z2531" i="12"/>
  <c r="Z988" i="12"/>
  <c r="Z1606" i="12"/>
  <c r="Z3163" i="12"/>
  <c r="Z2464" i="12"/>
  <c r="Z2322" i="12"/>
  <c r="Z912" i="12"/>
  <c r="Z3355" i="12"/>
  <c r="Z1625" i="12"/>
  <c r="Z699" i="12"/>
  <c r="Z1951" i="12"/>
  <c r="Z1911" i="12"/>
  <c r="Z2263" i="12"/>
  <c r="Z2735" i="12"/>
  <c r="Z2893" i="12"/>
  <c r="Z3341" i="12"/>
  <c r="Z2639" i="12"/>
  <c r="Z483" i="12"/>
  <c r="Z1834" i="12"/>
  <c r="Z1315" i="12"/>
  <c r="Z2938" i="12"/>
  <c r="Z1932" i="12"/>
  <c r="Z495" i="12"/>
  <c r="Z263" i="12"/>
  <c r="Z1368" i="12"/>
  <c r="Z2382" i="12"/>
  <c r="Z2948" i="12"/>
  <c r="Z3473" i="12"/>
  <c r="Z1874" i="12"/>
  <c r="Z173" i="12"/>
  <c r="Z540" i="12"/>
  <c r="Z1891" i="12"/>
  <c r="Z526" i="12"/>
  <c r="Z85" i="12"/>
  <c r="Z805" i="12"/>
  <c r="Z1170" i="12"/>
  <c r="Z415" i="12"/>
  <c r="Z1546" i="12"/>
  <c r="Z1869" i="12"/>
  <c r="Z176" i="12"/>
  <c r="Z180" i="12"/>
  <c r="Z2291" i="12"/>
  <c r="Z1656" i="12"/>
  <c r="Z1116" i="12"/>
  <c r="Z2440" i="12"/>
  <c r="Z1286" i="12"/>
  <c r="Z1717" i="12"/>
  <c r="Z629" i="12"/>
  <c r="Z287" i="12"/>
  <c r="Z2628" i="12"/>
  <c r="Z908" i="12"/>
  <c r="Z2678" i="12"/>
  <c r="Z2665" i="12"/>
  <c r="Z1558" i="12"/>
  <c r="Z2385" i="12"/>
  <c r="Z185" i="12"/>
  <c r="Z598" i="12"/>
  <c r="Z2433" i="12"/>
  <c r="Z206" i="12"/>
  <c r="Z2435" i="12"/>
  <c r="Z3215" i="12"/>
  <c r="Z2254" i="12"/>
  <c r="Z798" i="12"/>
  <c r="Z1775" i="12"/>
  <c r="Z3549" i="12"/>
  <c r="Z463" i="12"/>
  <c r="Z2084" i="12"/>
  <c r="Z1589" i="12"/>
  <c r="Z1710" i="12"/>
  <c r="Z1407" i="12"/>
  <c r="Z3538" i="12"/>
  <c r="Z681" i="12"/>
  <c r="Z3416" i="12"/>
  <c r="Z1485" i="12"/>
  <c r="Z1960" i="12"/>
  <c r="Z1483" i="12"/>
  <c r="Z2788" i="12"/>
  <c r="Z3187" i="12"/>
  <c r="Z2617" i="12"/>
  <c r="Z689" i="12"/>
  <c r="Z2577" i="12"/>
  <c r="Z1979" i="12"/>
  <c r="Z3033" i="12"/>
  <c r="Z183" i="12"/>
  <c r="Z285" i="12"/>
  <c r="Z2237" i="12"/>
  <c r="Z577" i="12"/>
  <c r="Z174" i="12"/>
  <c r="Z1686" i="12"/>
  <c r="Z1468" i="12"/>
  <c r="Z3410" i="12"/>
  <c r="Z3337" i="12"/>
  <c r="Z1081" i="12"/>
  <c r="Z3203" i="12"/>
  <c r="Z2487" i="12"/>
  <c r="Z1118" i="12"/>
  <c r="Z926" i="12"/>
  <c r="Z3227" i="12"/>
  <c r="Z43" i="12"/>
  <c r="Z2287" i="12"/>
  <c r="Z381" i="12"/>
  <c r="Z2966" i="12"/>
  <c r="Z2926" i="12"/>
  <c r="Z1659" i="12"/>
  <c r="Z3528" i="12"/>
  <c r="Z1282" i="12"/>
  <c r="Z1069" i="12"/>
  <c r="Z3412" i="12"/>
  <c r="Z1317" i="12"/>
  <c r="Z954" i="12"/>
  <c r="Z990" i="12"/>
  <c r="Z1751" i="12"/>
  <c r="Z1815" i="12"/>
  <c r="Z530" i="12"/>
  <c r="Z1033" i="12"/>
  <c r="Z876" i="12"/>
  <c r="Z3185" i="12"/>
  <c r="Z3424" i="12"/>
  <c r="Z2358" i="12"/>
  <c r="Z3343" i="12"/>
  <c r="Z3391" i="12"/>
  <c r="Z3324" i="12"/>
  <c r="Z1160" i="12"/>
  <c r="Z1965" i="12"/>
  <c r="Z1006" i="12"/>
  <c r="Z727" i="12"/>
  <c r="Z3533" i="12"/>
  <c r="Z1954" i="12"/>
  <c r="Z1499" i="12"/>
  <c r="Z1057" i="12"/>
  <c r="Z338" i="12"/>
  <c r="Z457" i="12"/>
  <c r="Z3444" i="12"/>
  <c r="Z602" i="12"/>
  <c r="Z1212" i="12"/>
  <c r="Z3050" i="12"/>
  <c r="Z1543" i="12"/>
  <c r="Z987" i="12"/>
  <c r="Z2969" i="12"/>
  <c r="Z1531" i="12"/>
  <c r="Z2210" i="12"/>
  <c r="Z254" i="12"/>
  <c r="Z1215" i="12"/>
  <c r="Z1413" i="12"/>
  <c r="Z3265" i="12"/>
  <c r="Z1529" i="12"/>
  <c r="Z3097" i="12"/>
  <c r="Z869" i="12"/>
  <c r="Z1319" i="12"/>
  <c r="Z502" i="12"/>
  <c r="Z2297" i="12"/>
  <c r="Z2123" i="12"/>
  <c r="Z2301" i="12"/>
  <c r="Z104" i="12"/>
  <c r="Z2551" i="12"/>
  <c r="Z2415" i="12"/>
  <c r="Z919" i="12"/>
  <c r="Z3138" i="12"/>
  <c r="Z3147" i="12"/>
  <c r="Z145" i="12"/>
  <c r="Z319" i="12"/>
  <c r="Z2614" i="12"/>
  <c r="Z2877" i="12"/>
  <c r="Z49" i="12"/>
  <c r="Z473" i="12"/>
  <c r="Z1833" i="12"/>
  <c r="Z1247" i="12"/>
  <c r="Z1184" i="12"/>
  <c r="Z3027" i="12"/>
  <c r="Z2366" i="12"/>
  <c r="Z558" i="12"/>
  <c r="Z1365" i="12"/>
  <c r="Z1892" i="12"/>
  <c r="Z1988" i="12"/>
  <c r="Z840" i="12"/>
  <c r="Z1042" i="12"/>
  <c r="Z456" i="12"/>
  <c r="Z539" i="12"/>
  <c r="Z970" i="12"/>
  <c r="Z1709" i="12"/>
  <c r="Z3325" i="12"/>
  <c r="Z2854" i="12"/>
  <c r="Z963" i="12"/>
  <c r="Z2149" i="12"/>
  <c r="Z2168" i="12"/>
  <c r="Z585" i="12"/>
  <c r="Z2212" i="12"/>
  <c r="Z1820" i="12"/>
  <c r="Z3159" i="12"/>
  <c r="Z2318" i="12"/>
  <c r="Z1340" i="12"/>
  <c r="Z740" i="12"/>
  <c r="Z3530" i="12"/>
  <c r="Z2201" i="12"/>
  <c r="Z1615" i="12"/>
  <c r="Z2184" i="12"/>
  <c r="Z1999" i="12"/>
  <c r="Z2913" i="12"/>
  <c r="Z2475" i="12"/>
  <c r="Z1188" i="12"/>
  <c r="Z1420" i="12"/>
  <c r="Z3271" i="12"/>
  <c r="Z1067" i="12"/>
  <c r="Z1748" i="12"/>
  <c r="Z1304" i="12"/>
  <c r="Z3431" i="12"/>
  <c r="Z2303" i="12"/>
  <c r="Z2557" i="12"/>
  <c r="Z701" i="12"/>
  <c r="Z1685" i="12"/>
  <c r="Z2711" i="12"/>
  <c r="Z2600" i="12"/>
  <c r="Z825" i="12"/>
  <c r="Z3208" i="12"/>
  <c r="Z1904" i="12"/>
  <c r="Z3005" i="12"/>
  <c r="Z1401" i="12"/>
  <c r="Z1772" i="12"/>
  <c r="Z922" i="12"/>
  <c r="Z1311" i="12"/>
  <c r="Z1073" i="12"/>
  <c r="Z2634" i="12"/>
  <c r="Z1028" i="12"/>
  <c r="Z3217" i="12"/>
  <c r="Z1575" i="12"/>
  <c r="Z3119" i="12"/>
  <c r="Z2117" i="12"/>
  <c r="Z2643" i="12"/>
  <c r="Z3242" i="12"/>
  <c r="Z2196" i="12"/>
  <c r="Z1052" i="12"/>
  <c r="Z1886" i="12"/>
  <c r="Z3326" i="12"/>
  <c r="Z1486" i="12"/>
  <c r="Z619" i="12"/>
  <c r="Z1423" i="12"/>
  <c r="Z2930" i="12"/>
  <c r="Z1351" i="12"/>
  <c r="Z3507" i="12"/>
  <c r="Z1992" i="12"/>
  <c r="Z3551" i="12"/>
  <c r="Z2783" i="12"/>
  <c r="Z3249" i="12"/>
  <c r="Z414" i="12"/>
  <c r="Z497" i="12"/>
  <c r="Z2102" i="12"/>
  <c r="Z2345" i="12"/>
  <c r="Z531" i="12"/>
  <c r="Z900" i="12"/>
  <c r="Z1127" i="12"/>
  <c r="Z3354" i="12"/>
  <c r="Z2546" i="12"/>
  <c r="Z1981" i="12"/>
  <c r="Z30" i="12"/>
  <c r="Z2590" i="12"/>
  <c r="Z1103" i="12"/>
  <c r="Z103" i="12"/>
  <c r="Z225" i="12"/>
  <c r="Z3114" i="12"/>
  <c r="Z2277" i="12"/>
  <c r="Z1913" i="12"/>
  <c r="Z51" i="12"/>
  <c r="Z1165" i="12"/>
  <c r="Z1328" i="12"/>
  <c r="Z606" i="12"/>
  <c r="Z390" i="12"/>
  <c r="Z2601" i="12"/>
  <c r="Z3196" i="12"/>
  <c r="Z3010" i="12"/>
  <c r="Z1853" i="12"/>
  <c r="Z607" i="12"/>
  <c r="Z2758" i="12"/>
  <c r="Z872" i="12"/>
  <c r="Z2352" i="12"/>
  <c r="Z490" i="12"/>
  <c r="Z1076" i="12"/>
  <c r="Z590" i="12"/>
  <c r="Z489" i="12"/>
  <c r="Z344" i="12"/>
  <c r="Z3107" i="12"/>
  <c r="Z2756" i="12"/>
  <c r="Z2962" i="12"/>
  <c r="Z1848" i="12"/>
  <c r="Z2160" i="12"/>
  <c r="Z1927" i="12"/>
  <c r="Z1826" i="12"/>
  <c r="Z589" i="12"/>
  <c r="Z355" i="12"/>
  <c r="Z1268" i="12"/>
  <c r="Z3526" i="12"/>
  <c r="Z1289" i="12"/>
  <c r="Z3214" i="12"/>
  <c r="Z1040" i="12"/>
  <c r="Z2566" i="12"/>
  <c r="Z2513" i="12"/>
  <c r="Z1595" i="12"/>
  <c r="Z1228" i="12"/>
  <c r="Z2424" i="12"/>
  <c r="Z1600" i="12"/>
  <c r="Z965" i="12"/>
  <c r="Z2603" i="12"/>
  <c r="Z279" i="12"/>
  <c r="Z2568" i="12"/>
  <c r="Z3133" i="12"/>
  <c r="Z499" i="12"/>
  <c r="Z2813" i="12"/>
  <c r="Z2248" i="12"/>
  <c r="Z1295" i="12"/>
  <c r="Z2631" i="12"/>
  <c r="Z1440" i="12"/>
  <c r="Z609" i="12"/>
  <c r="Z1129" i="12"/>
  <c r="Z3091" i="12"/>
  <c r="Z1696" i="12"/>
  <c r="Z950" i="12"/>
  <c r="Z909" i="12"/>
  <c r="Z3064" i="12"/>
  <c r="Z2039" i="12"/>
  <c r="Z64" i="12"/>
  <c r="Z1935" i="12"/>
  <c r="Z522" i="12"/>
  <c r="Z2110" i="12"/>
  <c r="Z229" i="12"/>
  <c r="Z2821" i="12"/>
  <c r="Z637" i="12"/>
  <c r="Z1451" i="12"/>
  <c r="Z345" i="12"/>
  <c r="Z2792" i="12"/>
  <c r="Z3388" i="12"/>
  <c r="Z3451" i="12"/>
  <c r="Z462" i="12"/>
  <c r="Z2912" i="12"/>
  <c r="Z1347" i="12"/>
  <c r="Z1203" i="12"/>
  <c r="Z3482" i="12"/>
  <c r="Z1872" i="12"/>
  <c r="Z501" i="12"/>
  <c r="Z3011" i="12"/>
  <c r="Z210" i="12"/>
  <c r="Z406" i="12"/>
  <c r="Z3121" i="12"/>
  <c r="Z2453" i="12"/>
  <c r="Z664" i="12"/>
  <c r="Z765" i="12"/>
  <c r="Z3494" i="12"/>
  <c r="Z3149" i="12"/>
  <c r="Z2179" i="12"/>
  <c r="Z1412" i="12"/>
  <c r="Z2585" i="12"/>
  <c r="Z3295" i="12"/>
  <c r="Z2602" i="12"/>
  <c r="Z116" i="12"/>
  <c r="Z300" i="12"/>
  <c r="Z1849" i="12"/>
  <c r="Z1613" i="12"/>
  <c r="Z125" i="12"/>
  <c r="Z2207" i="12"/>
  <c r="Z1239" i="12"/>
  <c r="Z61" i="12"/>
  <c r="Z3184" i="12"/>
  <c r="Z3257" i="12"/>
  <c r="Z2249" i="12"/>
  <c r="Z2545" i="12"/>
  <c r="Z120" i="12"/>
  <c r="Z1973" i="12"/>
  <c r="Z1310" i="12"/>
  <c r="Z186" i="12"/>
  <c r="Z2713" i="12"/>
  <c r="Z464" i="12"/>
  <c r="Z3504" i="12"/>
  <c r="Z1217" i="12"/>
  <c r="Z1494" i="12"/>
  <c r="Z967" i="12"/>
  <c r="Z2968" i="12"/>
  <c r="Z1623" i="12"/>
  <c r="Z3321" i="12"/>
  <c r="Z2397" i="12"/>
  <c r="Z413" i="12"/>
  <c r="Z430" i="12"/>
  <c r="Z3299" i="12"/>
  <c r="Z2804" i="12"/>
  <c r="Z2063" i="12"/>
  <c r="Z2598" i="12"/>
  <c r="Z1724" i="12"/>
  <c r="Z1839" i="12"/>
  <c r="Z1860" i="12"/>
  <c r="Z2870" i="12"/>
  <c r="Z1650" i="12"/>
  <c r="Z580" i="12"/>
  <c r="Z3348" i="12"/>
  <c r="Z2279" i="12"/>
  <c r="Z3294" i="12"/>
  <c r="Z3403" i="12"/>
  <c r="Z505" i="12"/>
  <c r="Z1309" i="12"/>
  <c r="Z277" i="12"/>
  <c r="Z782" i="12"/>
  <c r="Z2180" i="12"/>
  <c r="Z1629" i="12"/>
  <c r="Z2272" i="12"/>
  <c r="Z420" i="12"/>
  <c r="Z2220" i="12"/>
  <c r="Z232" i="12"/>
  <c r="Z409" i="12"/>
  <c r="Z1617" i="12"/>
  <c r="Z2040" i="12"/>
  <c r="Z973" i="12"/>
  <c r="Z2213" i="12"/>
  <c r="Z195" i="12"/>
  <c r="Z977" i="12"/>
  <c r="Z3498" i="12"/>
  <c r="Z2807" i="12"/>
  <c r="Z181" i="12"/>
  <c r="Z2080" i="12"/>
  <c r="Z1584" i="12"/>
  <c r="Z2158" i="12"/>
  <c r="Z503" i="12"/>
  <c r="Z1998" i="12"/>
  <c r="Z3038" i="12"/>
  <c r="Z1344" i="12"/>
  <c r="Z3139" i="12"/>
  <c r="Z1732" i="12"/>
  <c r="Z2430" i="12"/>
  <c r="Z524" i="12"/>
  <c r="Z2059" i="12"/>
  <c r="Z471" i="12"/>
  <c r="Z1810" i="12"/>
  <c r="Z2215" i="12"/>
  <c r="Z141" i="12"/>
  <c r="Z1025" i="12"/>
  <c r="Z1773" i="12"/>
  <c r="Z1603" i="12"/>
  <c r="Z535" i="12"/>
  <c r="Z1669" i="12"/>
  <c r="Z2081" i="12"/>
  <c r="Z2994" i="12"/>
  <c r="Z2708" i="12"/>
  <c r="Z2409" i="12"/>
  <c r="Z1572" i="12"/>
  <c r="Z3380" i="12"/>
  <c r="Z452" i="12"/>
  <c r="Z710" i="12"/>
  <c r="Z93" i="12"/>
  <c r="Z1001" i="12"/>
  <c r="Z2233" i="12"/>
  <c r="Z851" i="12"/>
  <c r="Z1731" i="12"/>
  <c r="Z2889" i="12"/>
  <c r="Z1474" i="12"/>
  <c r="Z1679" i="12"/>
  <c r="Z1444" i="12"/>
  <c r="Z1670" i="12"/>
  <c r="Z2706" i="12"/>
  <c r="Z94" i="12"/>
  <c r="Z1338" i="12"/>
  <c r="Z3072" i="12"/>
  <c r="Z2275" i="12"/>
  <c r="Z167" i="12"/>
  <c r="Z1369" i="12"/>
  <c r="Z1694" i="12"/>
  <c r="Z2472" i="12"/>
  <c r="Z454" i="12"/>
  <c r="Z2846" i="12"/>
  <c r="Z1022" i="12"/>
  <c r="Z3495" i="12"/>
  <c r="Z1213" i="12"/>
  <c r="Z2176" i="12"/>
  <c r="Z2919" i="12"/>
  <c r="Z2147" i="12"/>
  <c r="Z1036" i="12"/>
  <c r="Z515" i="12"/>
  <c r="Z1817" i="12"/>
  <c r="Z3477" i="12"/>
  <c r="Z597" i="12"/>
  <c r="Z2612" i="12"/>
  <c r="Z1175" i="12"/>
  <c r="Z1297" i="12"/>
  <c r="Z817" i="12"/>
  <c r="Z560" i="12"/>
  <c r="Z1414" i="12"/>
  <c r="Z3315" i="12"/>
  <c r="Z2493" i="12"/>
  <c r="Z744" i="12"/>
  <c r="Z935" i="12"/>
  <c r="Z2278" i="12"/>
  <c r="Z1009" i="12"/>
  <c r="Z3287" i="12"/>
  <c r="Z2348" i="12"/>
  <c r="Z2649" i="12"/>
  <c r="Z3134" i="12"/>
  <c r="Z2429" i="12"/>
  <c r="Z81" i="12"/>
  <c r="Z2550" i="12"/>
  <c r="Z151" i="12"/>
  <c r="Z1353" i="12"/>
  <c r="Z1754" i="12"/>
  <c r="Z791" i="12"/>
  <c r="Z2357" i="12"/>
  <c r="Z3167" i="12"/>
  <c r="Z3051" i="12"/>
  <c r="Z1397" i="12"/>
  <c r="Z892" i="12"/>
  <c r="Z124" i="12"/>
  <c r="Z2134" i="12"/>
  <c r="Z274" i="12"/>
  <c r="Z2046" i="12"/>
  <c r="Z2485" i="12"/>
  <c r="Z1759" i="12"/>
  <c r="Y2602" i="12"/>
  <c r="Y3046" i="12"/>
  <c r="Y2038" i="12"/>
  <c r="Y1532" i="12"/>
  <c r="Y3348" i="12"/>
  <c r="Y593" i="12"/>
  <c r="Y3376" i="12"/>
  <c r="Y1861" i="12"/>
  <c r="Y2753" i="12"/>
  <c r="Y1598" i="12"/>
  <c r="Y1625" i="12"/>
  <c r="Y220" i="12"/>
  <c r="Y54" i="12"/>
  <c r="Y460" i="12"/>
  <c r="Y431" i="12"/>
  <c r="Y1049" i="12"/>
  <c r="Y575" i="12"/>
  <c r="Y1286" i="12"/>
  <c r="Y710" i="12"/>
  <c r="Y1549" i="12"/>
  <c r="Y1047" i="12"/>
  <c r="Y1110" i="12"/>
  <c r="Y1937" i="12"/>
  <c r="Y203" i="12"/>
  <c r="Y1411" i="12"/>
  <c r="Y528" i="12"/>
  <c r="Y1891" i="12"/>
  <c r="Y310" i="12"/>
  <c r="Y1155" i="12"/>
  <c r="Y190" i="12"/>
  <c r="Y835" i="12"/>
  <c r="Y1506" i="12"/>
  <c r="Y269" i="12"/>
  <c r="P46" i="12"/>
  <c r="Y3292" i="12"/>
  <c r="Y64" i="12"/>
  <c r="Y596" i="12"/>
  <c r="Y1717" i="12"/>
  <c r="Y2589" i="12"/>
  <c r="Y990" i="12"/>
  <c r="Y2745" i="12"/>
  <c r="Y615" i="12"/>
  <c r="Y1588" i="12"/>
  <c r="Y716" i="12"/>
  <c r="Y2698" i="12"/>
  <c r="Y1553" i="12"/>
  <c r="Y448" i="12"/>
  <c r="Y2382" i="12"/>
  <c r="Y782" i="12"/>
  <c r="Y2413" i="12"/>
  <c r="Y148" i="12"/>
  <c r="Y2010" i="12"/>
  <c r="Y287" i="12"/>
  <c r="Y1407" i="12"/>
  <c r="Y2510" i="12"/>
  <c r="P68" i="12"/>
  <c r="Y1432" i="12"/>
  <c r="Y1601" i="12"/>
  <c r="Y2405" i="12"/>
  <c r="Y797" i="12"/>
  <c r="Y2149" i="12"/>
  <c r="Y1087" i="12"/>
  <c r="Y107" i="12"/>
  <c r="Y293" i="12"/>
  <c r="Y277" i="12"/>
  <c r="Y1219" i="12"/>
  <c r="Y2094" i="12"/>
  <c r="Y37" i="12"/>
  <c r="Y659" i="12"/>
  <c r="Y546" i="12"/>
  <c r="Y1671" i="12"/>
  <c r="Y2135" i="12"/>
  <c r="P62" i="12"/>
  <c r="Y2700" i="12"/>
  <c r="Y2338" i="12"/>
  <c r="Y1832" i="12"/>
  <c r="Y975" i="12"/>
  <c r="Y605" i="12"/>
  <c r="Y212" i="12"/>
  <c r="Y1220" i="12"/>
  <c r="Y1501" i="12"/>
  <c r="Y396" i="12"/>
  <c r="Y2024" i="12"/>
  <c r="Y224" i="12"/>
  <c r="Y1516" i="12"/>
  <c r="Y1328" i="12"/>
  <c r="Y780" i="12"/>
  <c r="Y265" i="12"/>
  <c r="Y1473" i="12"/>
  <c r="Y26" i="12"/>
  <c r="Y1333" i="12"/>
  <c r="Y524" i="12"/>
  <c r="Y2073" i="12"/>
  <c r="Y1684" i="12"/>
  <c r="P57" i="12"/>
  <c r="Y1862" i="12"/>
  <c r="Y2597" i="12"/>
  <c r="Y1381" i="12"/>
  <c r="Y466" i="12"/>
  <c r="Y2519" i="12"/>
  <c r="P59" i="12"/>
  <c r="Y1202" i="12"/>
  <c r="Y1541" i="12"/>
  <c r="Y318" i="12"/>
  <c r="Y267" i="12"/>
  <c r="Y316" i="12"/>
  <c r="Y1930" i="12"/>
  <c r="Y1635" i="12"/>
  <c r="Y321" i="12"/>
  <c r="Y45" i="12"/>
  <c r="Y1870" i="12"/>
  <c r="Y3038" i="12"/>
  <c r="Y3487" i="12"/>
  <c r="Y3276" i="12"/>
  <c r="Y945" i="12"/>
  <c r="Y2778" i="12"/>
  <c r="Y241" i="12"/>
  <c r="Y977" i="12"/>
  <c r="Y918" i="12"/>
  <c r="Y574" i="12"/>
  <c r="Y1360" i="12"/>
  <c r="Y2541" i="12"/>
  <c r="Y1323" i="12"/>
  <c r="Y130" i="12"/>
  <c r="Y413" i="12"/>
  <c r="Y1457" i="12"/>
  <c r="Y713" i="12"/>
  <c r="Y1012" i="12"/>
  <c r="Y308" i="12"/>
  <c r="Y245" i="12"/>
  <c r="Y1453" i="12"/>
  <c r="Y274" i="12"/>
  <c r="Y1378" i="12"/>
  <c r="Y1953" i="12"/>
  <c r="Y804" i="12"/>
  <c r="Y2362" i="12"/>
  <c r="Y1704" i="12"/>
  <c r="Y2544" i="12"/>
  <c r="Y3004" i="12"/>
  <c r="Y1456" i="12"/>
  <c r="Y2492" i="12"/>
  <c r="Y2689" i="12"/>
  <c r="Y184" i="12"/>
  <c r="Y662" i="12"/>
  <c r="Y290" i="12"/>
  <c r="Y1142" i="12"/>
  <c r="Y2373" i="12"/>
  <c r="Y1131" i="12"/>
  <c r="Y88" i="12"/>
  <c r="Y247" i="12"/>
  <c r="Y117" i="12"/>
  <c r="Y1276" i="12"/>
  <c r="Y1716" i="12"/>
  <c r="Y1377" i="12"/>
  <c r="Y1874" i="12"/>
  <c r="Y2806" i="12"/>
  <c r="Y2780" i="12"/>
  <c r="Y3260" i="12"/>
  <c r="Y664" i="12"/>
  <c r="Y2762" i="12"/>
  <c r="Y1557" i="12"/>
  <c r="Y3178" i="12"/>
  <c r="Y3262" i="12"/>
  <c r="Y2792" i="12"/>
  <c r="Y1159" i="12"/>
  <c r="Y2284" i="12"/>
  <c r="Y2155" i="12"/>
  <c r="Y674" i="12"/>
  <c r="Y2180" i="12"/>
  <c r="Y2886" i="12"/>
  <c r="Y2798" i="12"/>
  <c r="Y3468" i="12"/>
  <c r="Y946" i="12"/>
  <c r="Y2095" i="12"/>
  <c r="Y3290" i="12"/>
  <c r="Y1884" i="12"/>
  <c r="Y3393" i="12"/>
  <c r="Y2044" i="12"/>
  <c r="Y2371" i="12"/>
  <c r="Y3298" i="12"/>
  <c r="Y3453" i="12"/>
  <c r="Y2320" i="12"/>
  <c r="Y885" i="12"/>
  <c r="Y80" i="12"/>
  <c r="Y1799" i="12"/>
  <c r="Y2157" i="12"/>
  <c r="Y216" i="12"/>
  <c r="Y1753" i="12"/>
  <c r="Y393" i="12"/>
  <c r="Y348" i="12"/>
  <c r="Y2325" i="12"/>
  <c r="Y742" i="12"/>
  <c r="Y384" i="12"/>
  <c r="Y1101" i="12"/>
  <c r="Y174" i="12"/>
  <c r="Y844" i="12"/>
  <c r="Y514" i="12"/>
  <c r="Y68" i="12"/>
  <c r="Y1561" i="12"/>
  <c r="Y589" i="12"/>
  <c r="Y493" i="12"/>
  <c r="Y2419" i="12"/>
  <c r="Y960" i="12"/>
  <c r="Y522" i="12"/>
  <c r="Y667" i="12"/>
  <c r="Y896" i="12"/>
  <c r="Y1124" i="12"/>
  <c r="Y407" i="12"/>
  <c r="P45" i="12"/>
  <c r="Y270" i="12"/>
  <c r="Y871" i="12"/>
  <c r="Y3265" i="12"/>
  <c r="Y1318" i="12"/>
  <c r="Y3085" i="12"/>
  <c r="Y721" i="12"/>
  <c r="Y47" i="12"/>
  <c r="Y1981" i="12"/>
  <c r="Y1025" i="12"/>
  <c r="Y1719" i="12"/>
  <c r="Y1169" i="12"/>
  <c r="Y3478" i="12"/>
  <c r="Y1873" i="12"/>
  <c r="Y196" i="12"/>
  <c r="Y222" i="12"/>
  <c r="Y2181" i="12"/>
  <c r="Y214" i="12"/>
  <c r="Y2678" i="12"/>
  <c r="Y2078" i="12"/>
  <c r="Y439" i="12"/>
  <c r="Y529" i="12"/>
  <c r="Y1153" i="12"/>
  <c r="D27" i="6"/>
  <c r="Y3312" i="12"/>
  <c r="Y368" i="12"/>
  <c r="Y2150" i="12"/>
  <c r="Y1985" i="12"/>
  <c r="Y1100" i="12"/>
  <c r="Y111" i="12"/>
  <c r="Y159" i="12"/>
  <c r="Y262" i="12"/>
  <c r="Y342" i="12"/>
  <c r="Y305" i="12"/>
  <c r="Y3238" i="12"/>
  <c r="Y85" i="12"/>
  <c r="Y1480" i="12"/>
  <c r="Y1498" i="12"/>
  <c r="Y328" i="12"/>
  <c r="Y757" i="12"/>
  <c r="Y489" i="12"/>
  <c r="Y1451" i="12"/>
  <c r="Y132" i="12"/>
  <c r="P63" i="12"/>
  <c r="Y2158" i="12"/>
  <c r="Y2617" i="12"/>
  <c r="Y2230" i="12"/>
  <c r="Y2032" i="12"/>
  <c r="Y677" i="12"/>
  <c r="Y332" i="12"/>
  <c r="Y1157" i="12"/>
  <c r="Y1296" i="12"/>
  <c r="Y743" i="12"/>
  <c r="Y645" i="12"/>
  <c r="Y1857" i="12"/>
  <c r="Y2581" i="12"/>
  <c r="Y1011" i="12"/>
  <c r="Y385" i="12"/>
  <c r="Y1425" i="12"/>
  <c r="Y391" i="12"/>
  <c r="P73" i="12"/>
  <c r="Y2623" i="12"/>
  <c r="Y2969" i="12"/>
  <c r="Y891" i="12"/>
  <c r="Y1361" i="12"/>
  <c r="Y353" i="12"/>
  <c r="Y2061" i="12"/>
  <c r="Y437" i="12"/>
  <c r="Y2942" i="12"/>
  <c r="Y573" i="12"/>
  <c r="Y943" i="12"/>
  <c r="Y25" i="12"/>
  <c r="Y543" i="12"/>
  <c r="Y962" i="12"/>
  <c r="Y1183" i="12"/>
  <c r="Y1223" i="12"/>
  <c r="Y285" i="12"/>
  <c r="Y517" i="12"/>
  <c r="Y1082" i="12"/>
  <c r="Y1365" i="12"/>
  <c r="P65" i="12"/>
  <c r="Y2066" i="12"/>
  <c r="Y1412" i="12"/>
  <c r="Y1772" i="12"/>
  <c r="Y1721" i="12"/>
  <c r="Y252" i="12"/>
  <c r="Y981" i="12"/>
  <c r="Y755" i="12"/>
  <c r="Y1633" i="12"/>
  <c r="Y868" i="12"/>
  <c r="Y2499" i="12"/>
  <c r="Y2208" i="12"/>
  <c r="Y3031" i="12"/>
  <c r="Y2686" i="12"/>
  <c r="Y373" i="12"/>
  <c r="Y2658" i="12"/>
  <c r="Y2833" i="12"/>
  <c r="Y737" i="12"/>
  <c r="Y406" i="12"/>
  <c r="Y427" i="12"/>
  <c r="Y1269" i="12"/>
  <c r="Y2461" i="12"/>
  <c r="Y1231" i="12"/>
  <c r="Y1130" i="12"/>
  <c r="Y339" i="12"/>
  <c r="Y1393" i="12"/>
  <c r="Y640" i="12"/>
  <c r="Y948" i="12"/>
  <c r="Y52" i="12"/>
  <c r="Y1004" i="12"/>
  <c r="Y931" i="12"/>
  <c r="Y2198" i="12"/>
  <c r="Y1022" i="12"/>
  <c r="Y1313" i="12"/>
  <c r="Y548" i="12"/>
  <c r="Y1712" i="12"/>
  <c r="Y3386" i="12"/>
  <c r="Y3374" i="12"/>
  <c r="Y2186" i="12"/>
  <c r="Y1267" i="12"/>
  <c r="Y2306" i="12"/>
  <c r="Y2592" i="12"/>
  <c r="Y456" i="12"/>
  <c r="Y73" i="12"/>
  <c r="Y146" i="12"/>
  <c r="Y1036" i="12"/>
  <c r="Y2277" i="12"/>
  <c r="Y1035" i="12"/>
  <c r="Y989" i="12"/>
  <c r="Y161" i="12"/>
  <c r="Y684" i="12"/>
  <c r="Y126" i="12"/>
  <c r="Y1295" i="12"/>
  <c r="Y74" i="12"/>
  <c r="Y2353" i="12"/>
  <c r="Y2089" i="12"/>
  <c r="Y2811" i="12"/>
  <c r="Y3425" i="12"/>
  <c r="Y3353" i="12"/>
  <c r="Y1778" i="12"/>
  <c r="Y2638" i="12"/>
  <c r="Y521" i="12"/>
  <c r="Y1103" i="12"/>
  <c r="Y1790" i="12"/>
  <c r="Y1871" i="12"/>
  <c r="Y2283" i="12"/>
  <c r="Y1648" i="12"/>
  <c r="P74" i="12"/>
  <c r="Y879" i="12"/>
  <c r="Y1161" i="12"/>
  <c r="Y728" i="12"/>
  <c r="Y2188" i="12"/>
  <c r="Y938" i="12"/>
  <c r="Y1209" i="12"/>
  <c r="Y1193" i="12"/>
  <c r="Y2049" i="12"/>
  <c r="Y365" i="12"/>
  <c r="Y1441" i="12"/>
  <c r="Y740" i="12"/>
  <c r="Y2534" i="12"/>
  <c r="Y2907" i="12"/>
  <c r="Y2569" i="12"/>
  <c r="Y2454" i="12"/>
  <c r="Y1493" i="12"/>
  <c r="Y2502" i="12"/>
  <c r="Y2363" i="12"/>
  <c r="Y240" i="12"/>
  <c r="Y275" i="12"/>
  <c r="Y304" i="12"/>
  <c r="Y1152" i="12"/>
  <c r="Y2125" i="12"/>
  <c r="Y1141" i="12"/>
  <c r="Y1066" i="12"/>
  <c r="Y257" i="12"/>
  <c r="Y1329" i="12"/>
  <c r="Y347" i="12"/>
  <c r="Y884" i="12"/>
  <c r="Y1705" i="12"/>
  <c r="Y940" i="12"/>
  <c r="Y295" i="12"/>
  <c r="Y1232" i="12"/>
  <c r="Y681" i="12"/>
  <c r="Y1121" i="12"/>
  <c r="Y420" i="12"/>
  <c r="Y2768" i="12"/>
  <c r="Y2869" i="12"/>
  <c r="Y3070" i="12"/>
  <c r="Y1914" i="12"/>
  <c r="Y919" i="12"/>
  <c r="Y2168" i="12"/>
  <c r="Y2059" i="12"/>
  <c r="Y335" i="12"/>
  <c r="Y1380" i="12"/>
  <c r="Y2286" i="12"/>
  <c r="Y913" i="12"/>
  <c r="Y1926" i="12"/>
  <c r="Y926" i="12"/>
  <c r="Y915" i="12"/>
  <c r="Y75" i="12"/>
  <c r="Y364" i="12"/>
  <c r="Y1059" i="12"/>
  <c r="Y912" i="12"/>
  <c r="Y173" i="12"/>
  <c r="Y2352" i="12"/>
  <c r="Y1573" i="12"/>
  <c r="Y2521" i="12"/>
  <c r="Y2956" i="12"/>
  <c r="Y1445" i="12"/>
  <c r="Y2296" i="12"/>
  <c r="Y2951" i="12"/>
  <c r="Y2347" i="12"/>
  <c r="Y2710" i="12"/>
  <c r="Y1436" i="12"/>
  <c r="Y199" i="12"/>
  <c r="Y1916" i="12"/>
  <c r="Y1438" i="12"/>
  <c r="Y3490" i="12"/>
  <c r="Y1960" i="12"/>
  <c r="Y3501" i="12"/>
  <c r="Y2839" i="12"/>
  <c r="Y2940" i="12"/>
  <c r="Y1344" i="12"/>
  <c r="C27" i="6"/>
  <c r="Y3152" i="12"/>
  <c r="Y2844" i="12"/>
  <c r="Y2766" i="12"/>
  <c r="Y1009" i="12"/>
  <c r="Y1027" i="12"/>
  <c r="Y2400" i="12"/>
  <c r="Y1334" i="12"/>
  <c r="Y1415" i="12"/>
  <c r="Y1789" i="12"/>
  <c r="Y897" i="12"/>
  <c r="Y1497" i="12"/>
  <c r="Y1780" i="12"/>
  <c r="Y2275" i="12"/>
  <c r="Y613" i="12"/>
  <c r="Y298" i="12"/>
  <c r="Y465" i="12"/>
  <c r="Y759" i="12"/>
  <c r="Y2993" i="12"/>
  <c r="Y1241" i="12"/>
  <c r="Y554" i="12"/>
  <c r="Y586" i="12"/>
  <c r="Y1120" i="12"/>
  <c r="Y1305" i="12"/>
  <c r="Y911" i="12"/>
  <c r="Y961" i="12"/>
  <c r="Y150" i="12"/>
  <c r="Y2360" i="12"/>
  <c r="Y2841" i="12"/>
  <c r="Y2469" i="12"/>
  <c r="Y649" i="12"/>
  <c r="Y997" i="12"/>
  <c r="Y607" i="12"/>
  <c r="Y1917" i="12"/>
  <c r="Y1249" i="12"/>
  <c r="Y100" i="12"/>
  <c r="Y1907" i="12"/>
  <c r="Y3269" i="12"/>
  <c r="Y3390" i="12"/>
  <c r="Y2204" i="12"/>
  <c r="Y2191" i="12"/>
  <c r="Y2337" i="12"/>
  <c r="Y2219" i="12"/>
  <c r="Y470" i="12"/>
  <c r="Y95" i="12"/>
  <c r="Y2134" i="12"/>
  <c r="Y1046" i="12"/>
  <c r="Y2027" i="12"/>
  <c r="Y1045" i="12"/>
  <c r="Y998" i="12"/>
  <c r="Y1969" i="12"/>
  <c r="Y1265" i="12"/>
  <c r="Y266" i="12"/>
  <c r="Y820" i="12"/>
  <c r="Y1257" i="12"/>
  <c r="Y300" i="12"/>
  <c r="Y418" i="12"/>
  <c r="Y1023" i="12"/>
  <c r="Y462" i="12"/>
  <c r="Y987" i="12"/>
  <c r="Y3363" i="12"/>
  <c r="Y3063" i="12"/>
  <c r="Y2432" i="12"/>
  <c r="Y2742" i="12"/>
  <c r="Y1546" i="12"/>
  <c r="Y1796" i="12"/>
  <c r="Y1941" i="12"/>
  <c r="Y1928" i="12"/>
  <c r="Y167" i="12"/>
  <c r="Y1288" i="12"/>
  <c r="Y1936" i="12"/>
  <c r="Y767" i="12"/>
  <c r="Y1835" i="12"/>
  <c r="Y816" i="12"/>
  <c r="Y842" i="12"/>
  <c r="Y1833" i="12"/>
  <c r="Y44" i="12"/>
  <c r="Y526" i="12"/>
  <c r="Y352" i="12"/>
  <c r="Y932" i="12"/>
  <c r="Y1692" i="12"/>
  <c r="Y3250" i="12"/>
  <c r="Y3278" i="12"/>
  <c r="Y2804" i="12"/>
  <c r="Y1179" i="12"/>
  <c r="Y2539" i="12"/>
  <c r="Y1983" i="12"/>
  <c r="Y1898" i="12"/>
  <c r="Y3493" i="12"/>
  <c r="Y1301" i="12"/>
  <c r="Y1528" i="12"/>
  <c r="Y1696" i="12"/>
  <c r="Y1263" i="12"/>
  <c r="Y2416" i="12"/>
  <c r="Y169" i="12"/>
  <c r="Y3125" i="12"/>
  <c r="Y2434" i="12"/>
  <c r="Y2728" i="12"/>
  <c r="Y1061" i="12"/>
  <c r="Y3507" i="12"/>
  <c r="Y2350" i="12"/>
  <c r="Y3249" i="12"/>
  <c r="Y3207" i="12"/>
  <c r="Y2968" i="12"/>
  <c r="Y2790" i="12"/>
  <c r="Y3551" i="12"/>
  <c r="Y3172" i="12"/>
  <c r="Y1075" i="12"/>
  <c r="Y2123" i="12"/>
  <c r="Y1143" i="12"/>
  <c r="Y1214" i="12"/>
  <c r="Y1615" i="12"/>
  <c r="Y751" i="12"/>
  <c r="Y1369" i="12"/>
  <c r="Y2001" i="12"/>
  <c r="Y340" i="12"/>
  <c r="Y1580" i="12"/>
  <c r="Y289" i="12"/>
  <c r="Y2706" i="12"/>
  <c r="Y865" i="12"/>
  <c r="Y165" i="12"/>
  <c r="Y177" i="12"/>
  <c r="Y1041" i="12"/>
  <c r="Y1880" i="12"/>
  <c r="Y754" i="12"/>
  <c r="Y772" i="12"/>
  <c r="P56" i="12"/>
  <c r="Y726" i="12"/>
  <c r="Y1225" i="12"/>
  <c r="Y689" i="12"/>
  <c r="Y457" i="12"/>
  <c r="Y1359" i="12"/>
  <c r="Y2837" i="12"/>
  <c r="Y1675" i="12"/>
  <c r="Y2575" i="12"/>
  <c r="P52" i="12"/>
  <c r="Y2154" i="12"/>
  <c r="Y1782" i="12"/>
  <c r="Y1762" i="12"/>
  <c r="Y22" i="12"/>
  <c r="Y170" i="12"/>
  <c r="Y153" i="12"/>
  <c r="Y1213" i="12"/>
  <c r="Y1057" i="12"/>
  <c r="Y643" i="12"/>
  <c r="Y602" i="12"/>
  <c r="Y2891" i="12"/>
  <c r="Y3325" i="12"/>
  <c r="Y1934" i="12"/>
  <c r="Y1992" i="12"/>
  <c r="Y2178" i="12"/>
  <c r="Y2071" i="12"/>
  <c r="Y590" i="12"/>
  <c r="Y1389" i="12"/>
  <c r="Y2037" i="12"/>
  <c r="Y927" i="12"/>
  <c r="Y1935" i="12"/>
  <c r="Y608" i="12"/>
  <c r="Y925" i="12"/>
  <c r="Y1905" i="12"/>
  <c r="Y1201" i="12"/>
  <c r="Y182" i="12"/>
  <c r="Y564" i="12"/>
  <c r="Y1065" i="12"/>
  <c r="Y172" i="12"/>
  <c r="Y122" i="12"/>
  <c r="Y634" i="12"/>
  <c r="Y833" i="12"/>
  <c r="Y768" i="12"/>
  <c r="Y2562" i="12"/>
  <c r="Y2021" i="12"/>
  <c r="Y1938" i="12"/>
  <c r="Y3532" i="12"/>
  <c r="Y1330" i="12"/>
  <c r="Y1576" i="12"/>
  <c r="Y1722" i="12"/>
  <c r="Y1757" i="12"/>
  <c r="Y306" i="12"/>
  <c r="Y1175" i="12"/>
  <c r="Y1845" i="12"/>
  <c r="Y646" i="12"/>
  <c r="Y1725" i="12"/>
  <c r="Y363" i="12"/>
  <c r="Y769" i="12"/>
  <c r="Y1769" i="12"/>
  <c r="Y1723" i="12"/>
  <c r="Y2278" i="12"/>
  <c r="Y467" i="12"/>
  <c r="Y612" i="12"/>
  <c r="Y3497" i="12"/>
  <c r="Y3473" i="12"/>
  <c r="Y3054" i="12"/>
  <c r="Y1800" i="12"/>
  <c r="Y894" i="12"/>
  <c r="Y1494" i="12"/>
  <c r="Y993" i="12"/>
  <c r="Y784" i="12"/>
  <c r="Y3356" i="12"/>
  <c r="Y1008" i="12"/>
  <c r="Y1282" i="12"/>
  <c r="Y1454" i="12"/>
  <c r="Y2563" i="12"/>
  <c r="Y3282" i="12"/>
  <c r="Y1728" i="12"/>
  <c r="Y3445" i="12"/>
  <c r="Y2084" i="12"/>
  <c r="Y3028" i="12"/>
  <c r="Y1268" i="12"/>
  <c r="Y916" i="12"/>
  <c r="Y1698" i="12"/>
  <c r="Y1545" i="12"/>
  <c r="Y1089" i="12"/>
  <c r="Y2332" i="12"/>
  <c r="Y3414" i="12"/>
  <c r="Y481" i="12"/>
  <c r="Y1055" i="12"/>
  <c r="Y261" i="12"/>
  <c r="Y53" i="12"/>
  <c r="Y502" i="12"/>
  <c r="Y802" i="12"/>
  <c r="Y914" i="12"/>
  <c r="Y3435" i="12"/>
  <c r="Y3545" i="12"/>
  <c r="Y2443" i="12"/>
  <c r="Y3021" i="12"/>
  <c r="Y1568" i="12"/>
  <c r="Y1810" i="12"/>
  <c r="Y1309" i="12"/>
  <c r="Y1940" i="12"/>
  <c r="Y443" i="12"/>
  <c r="Y1298" i="12"/>
  <c r="Y1946" i="12"/>
  <c r="Y390" i="12"/>
  <c r="Y1844" i="12"/>
  <c r="Y487" i="12"/>
  <c r="Y851" i="12"/>
  <c r="Y1841" i="12"/>
  <c r="Y933" i="12"/>
  <c r="Y96" i="12"/>
  <c r="Y500" i="12"/>
  <c r="Y923" i="12"/>
  <c r="Y255" i="12"/>
  <c r="Y1165" i="12"/>
  <c r="Y231" i="12"/>
  <c r="Y614" i="12"/>
  <c r="Y622" i="12"/>
  <c r="Y1567" i="12"/>
  <c r="Y2323" i="12"/>
  <c r="Y1437" i="12"/>
  <c r="Y3388" i="12"/>
  <c r="Y1095" i="12"/>
  <c r="Y1310" i="12"/>
  <c r="Y712" i="12"/>
  <c r="Y1586" i="12"/>
  <c r="Y166" i="12"/>
  <c r="Y1069" i="12"/>
  <c r="Y1735" i="12"/>
  <c r="Y91" i="12"/>
  <c r="Y1643" i="12"/>
  <c r="Y242" i="12"/>
  <c r="Y696" i="12"/>
  <c r="Y1577" i="12"/>
  <c r="Y679" i="12"/>
  <c r="Y1818" i="12"/>
  <c r="Y65" i="12"/>
  <c r="Y356" i="12"/>
  <c r="Y3007" i="12"/>
  <c r="Y2420" i="12"/>
  <c r="Y2720" i="12"/>
  <c r="Y1472" i="12"/>
  <c r="Y1967" i="12"/>
  <c r="Y1851" i="12"/>
  <c r="Y2470" i="12"/>
  <c r="Y2716" i="12"/>
  <c r="Y3212" i="12"/>
  <c r="Y629" i="12"/>
  <c r="Y982" i="12"/>
  <c r="Y2537" i="12"/>
  <c r="Y909" i="12"/>
  <c r="Y2329" i="12"/>
  <c r="Y3215" i="12"/>
  <c r="Y2291" i="12"/>
  <c r="Y3477" i="12"/>
  <c r="Y2344" i="12"/>
  <c r="Y1603" i="12"/>
  <c r="Y1167" i="12"/>
  <c r="Y2736" i="12"/>
  <c r="Y2981" i="12"/>
  <c r="Y2426" i="12"/>
  <c r="Y1651" i="12"/>
  <c r="Y3429" i="12"/>
  <c r="Y3182" i="12"/>
  <c r="Y2900" i="12"/>
  <c r="Y1253" i="12"/>
  <c r="Y383" i="12"/>
  <c r="Y624" i="12"/>
  <c r="Y730" i="12"/>
  <c r="Y901" i="12"/>
  <c r="Y458" i="12"/>
  <c r="Y1113" i="12"/>
  <c r="Y732" i="12"/>
  <c r="Y1589" i="12"/>
  <c r="Y875" i="12"/>
  <c r="Y1105" i="12"/>
  <c r="Y3196" i="12"/>
  <c r="Y438" i="12"/>
  <c r="Y814" i="12"/>
  <c r="Y2625" i="12"/>
  <c r="Y2261" i="12"/>
  <c r="Y205" i="12"/>
  <c r="Y239" i="12"/>
  <c r="Y779" i="12"/>
  <c r="Y2881" i="12"/>
  <c r="Y1515" i="12"/>
  <c r="Y404" i="12"/>
  <c r="Y1341" i="12"/>
  <c r="Y1043" i="12"/>
  <c r="Y1793" i="12"/>
  <c r="Y1700" i="12"/>
  <c r="Y1659" i="12"/>
  <c r="Y1133" i="12"/>
  <c r="Y1162" i="12"/>
  <c r="Y221" i="12"/>
  <c r="Y866" i="12"/>
  <c r="Y119" i="12"/>
  <c r="Y886" i="12"/>
  <c r="Y621" i="12"/>
  <c r="Y512" i="12"/>
  <c r="Y1070" i="12"/>
  <c r="Y1010" i="12"/>
  <c r="Y1440" i="12"/>
  <c r="Y2245" i="12"/>
  <c r="Y650" i="12"/>
  <c r="Y38" i="12"/>
  <c r="Y1048" i="12"/>
  <c r="Y815" i="12"/>
  <c r="P71" i="12"/>
  <c r="P50" i="12"/>
  <c r="P67" i="12"/>
  <c r="P49" i="12"/>
  <c r="AA19" i="12" a="1"/>
  <c r="AA2336" i="12"/>
  <c r="AA1385" i="12"/>
  <c r="AA342" i="12"/>
  <c r="AA223" i="12"/>
  <c r="AA1697" i="12"/>
  <c r="AA2541" i="12"/>
  <c r="AA2181" i="12"/>
  <c r="AA221" i="12"/>
  <c r="AA2343" i="12"/>
  <c r="AA162" i="12"/>
  <c r="AA3253" i="12"/>
  <c r="AA3062" i="12"/>
  <c r="AA1956" i="12"/>
  <c r="AA2811" i="12"/>
  <c r="AA3108" i="12"/>
  <c r="AA2429" i="12"/>
  <c r="AA518" i="12"/>
  <c r="AA500" i="12"/>
  <c r="AA1498" i="12"/>
  <c r="AA2473" i="12"/>
  <c r="AA3492" i="12"/>
  <c r="AA1944" i="12"/>
  <c r="AA773" i="12"/>
  <c r="AA1876" i="12"/>
  <c r="AA2629" i="12"/>
  <c r="AA794" i="12"/>
  <c r="AA1100" i="12"/>
  <c r="AA931" i="12"/>
  <c r="AA2544" i="12"/>
  <c r="AA2510" i="12"/>
  <c r="AA3058" i="12"/>
  <c r="AA128" i="12"/>
  <c r="AA538" i="12"/>
  <c r="AA457" i="12"/>
  <c r="AA1358" i="12"/>
  <c r="AA3059" i="12"/>
  <c r="AA2091" i="12"/>
  <c r="AA720" i="12"/>
  <c r="AA584" i="12"/>
  <c r="AA1065" i="12"/>
  <c r="AA2266" i="12"/>
  <c r="AA283" i="12"/>
  <c r="AA2405" i="12"/>
  <c r="AA3400" i="12"/>
  <c r="AA453" i="12"/>
  <c r="AA1101" i="12"/>
  <c r="AA1708" i="12"/>
  <c r="AA949" i="12"/>
  <c r="AA626" i="12"/>
  <c r="AA2840" i="12"/>
  <c r="AA3337" i="12"/>
  <c r="AA558" i="12"/>
  <c r="AA2684" i="12"/>
  <c r="AA3061" i="12"/>
  <c r="AA555" i="12"/>
  <c r="AA1379" i="12"/>
  <c r="AA2385" i="12"/>
  <c r="AA1598" i="12"/>
  <c r="AA1309" i="12"/>
  <c r="AA1561" i="12"/>
  <c r="AA3358" i="12"/>
  <c r="AA3285" i="12"/>
  <c r="AA749" i="12"/>
  <c r="AA2745" i="12"/>
  <c r="AA2693" i="12"/>
  <c r="AA2176" i="12"/>
  <c r="AA3136" i="12"/>
  <c r="AA315" i="12"/>
  <c r="AA2214" i="12"/>
  <c r="AA1706" i="12"/>
  <c r="AA2673" i="12"/>
  <c r="AA125" i="12"/>
  <c r="AA2408" i="12"/>
  <c r="AA3210" i="12"/>
  <c r="AA1293" i="12"/>
  <c r="AA3208" i="12"/>
  <c r="AA2579" i="12"/>
  <c r="AA206" i="12"/>
  <c r="AA2449" i="12"/>
  <c r="AA1573" i="12"/>
  <c r="AA502" i="12"/>
  <c r="AA2596" i="12"/>
  <c r="AA197" i="12"/>
  <c r="AA1188" i="12"/>
  <c r="AA3477" i="12"/>
  <c r="AA2915" i="12"/>
  <c r="AA1155" i="12"/>
  <c r="AA1313" i="12"/>
  <c r="AA982" i="12"/>
  <c r="AA535" i="12"/>
  <c r="AA2955" i="12"/>
  <c r="AA368" i="12"/>
  <c r="AA44" i="12"/>
  <c r="AA2790" i="12"/>
  <c r="AA3047" i="12"/>
  <c r="AA2982" i="12"/>
  <c r="AA1359" i="12"/>
  <c r="AA1134" i="12"/>
  <c r="AA3171" i="12"/>
  <c r="AA3250" i="12"/>
  <c r="AA1222" i="12"/>
  <c r="AA1518" i="12"/>
  <c r="AA30" i="12"/>
  <c r="AA259" i="12"/>
  <c r="AA189" i="12"/>
  <c r="AA2780" i="12"/>
  <c r="AA1230" i="12"/>
  <c r="AA2159" i="12"/>
  <c r="AA533" i="12"/>
  <c r="AA2513" i="12"/>
  <c r="AA589" i="12"/>
  <c r="AA3145" i="12"/>
  <c r="AA831" i="12"/>
  <c r="AA2999" i="12"/>
  <c r="AA2221" i="12"/>
  <c r="AA2662" i="12"/>
  <c r="AA2603" i="12"/>
  <c r="AA1254" i="12"/>
  <c r="AA132" i="12"/>
  <c r="AA873" i="12"/>
  <c r="AA2495" i="12"/>
  <c r="AA1868" i="12"/>
  <c r="AA279" i="12"/>
  <c r="AA737" i="12"/>
  <c r="AA741" i="12"/>
  <c r="AA3349" i="12"/>
  <c r="AA1131" i="12"/>
  <c r="AA883" i="12"/>
  <c r="AA2428" i="12"/>
  <c r="AA97" i="12"/>
  <c r="AA2939" i="12"/>
  <c r="AA1948" i="12"/>
  <c r="AA3139" i="12"/>
  <c r="AA643" i="12"/>
  <c r="AA1929" i="12"/>
  <c r="AA361" i="12"/>
  <c r="AA570" i="12"/>
  <c r="AA596" i="12"/>
  <c r="AA1060" i="12"/>
  <c r="AA2546" i="12"/>
  <c r="AA3169" i="12"/>
  <c r="AA2835" i="12"/>
  <c r="AA1859" i="12"/>
  <c r="AA1934" i="12"/>
  <c r="AA3226" i="12"/>
  <c r="AA165" i="12"/>
  <c r="AA58" i="12"/>
  <c r="AA2257" i="12"/>
  <c r="AA2011" i="12"/>
  <c r="AA1821" i="12"/>
  <c r="AA2624" i="12"/>
  <c r="AA1961" i="12"/>
  <c r="AA3266" i="12"/>
  <c r="AA3302" i="12"/>
  <c r="AA443" i="12"/>
  <c r="AA708" i="12"/>
  <c r="AA3242" i="12"/>
  <c r="AA228" i="12"/>
  <c r="AA557" i="12"/>
  <c r="AA3081" i="12"/>
  <c r="AA280" i="12"/>
  <c r="AA3283" i="12"/>
  <c r="AA2787" i="12"/>
  <c r="AA3510" i="12"/>
  <c r="AA818" i="12"/>
  <c r="AA1403" i="12"/>
  <c r="AA862" i="12"/>
  <c r="AA2183" i="12"/>
  <c r="AA2833" i="12"/>
  <c r="AA1355" i="12"/>
  <c r="AA2844" i="12"/>
  <c r="AA547" i="12"/>
  <c r="AA1424" i="12"/>
  <c r="AA1836" i="12"/>
  <c r="AA389" i="12"/>
  <c r="AA3354" i="12"/>
  <c r="AA548" i="12"/>
  <c r="AA3293" i="12"/>
  <c r="AA2260" i="12"/>
  <c r="AA1583" i="12"/>
  <c r="AA739" i="12"/>
  <c r="AA1477" i="12"/>
  <c r="AA2246" i="12"/>
  <c r="AA175" i="12"/>
  <c r="AA193" i="12"/>
  <c r="AA1192" i="12"/>
  <c r="AA3111" i="12"/>
  <c r="AA3453" i="12"/>
  <c r="AA2069" i="12"/>
  <c r="AA3295" i="12"/>
  <c r="AA1483" i="12"/>
  <c r="AA3550" i="12"/>
  <c r="AA437" i="12"/>
  <c r="AA1400" i="12"/>
  <c r="AA1206" i="12"/>
  <c r="AA3222" i="12"/>
  <c r="AA872" i="12"/>
  <c r="AA3292" i="12"/>
  <c r="AA3538" i="12"/>
  <c r="AA3175" i="12"/>
  <c r="AA688" i="12"/>
  <c r="AA648" i="12"/>
  <c r="AA657" i="12"/>
  <c r="AA158" i="12"/>
  <c r="AA1599" i="12"/>
  <c r="AA2808" i="12"/>
  <c r="AA892" i="12"/>
  <c r="AA654" i="12"/>
  <c r="AA1453" i="12"/>
  <c r="AA3129" i="12"/>
  <c r="AA286" i="12"/>
  <c r="AA2046" i="12"/>
  <c r="AA2383" i="12"/>
  <c r="AA1949" i="12"/>
  <c r="AA939" i="12"/>
  <c r="AA71" i="12"/>
  <c r="AA727" i="12"/>
  <c r="AA265" i="12"/>
  <c r="AA2445" i="12"/>
  <c r="AA2894" i="12"/>
  <c r="AA93" i="12"/>
  <c r="AA323" i="12"/>
  <c r="AA3412" i="12"/>
  <c r="AA2058" i="12"/>
  <c r="AA278" i="12"/>
  <c r="AA155" i="12"/>
  <c r="AA1059" i="12"/>
  <c r="AA2331" i="12"/>
  <c r="AA1331" i="12"/>
  <c r="AA532" i="12"/>
  <c r="AA1630" i="12"/>
  <c r="AA1084" i="12"/>
  <c r="AA1021" i="12"/>
  <c r="AA3185" i="12"/>
  <c r="AA3036" i="12"/>
  <c r="AA295" i="12"/>
  <c r="AA1159" i="12"/>
  <c r="AA3050" i="12"/>
  <c r="AA1654" i="12"/>
  <c r="AA2516" i="12"/>
  <c r="AA2521" i="12"/>
  <c r="AA1511" i="12"/>
  <c r="AA430" i="12"/>
  <c r="AA3456" i="12"/>
  <c r="AA537" i="12"/>
  <c r="AA1105" i="12"/>
  <c r="AA1357" i="12"/>
  <c r="AA3097" i="12"/>
  <c r="AA3109" i="12"/>
  <c r="AA875" i="12"/>
  <c r="AA3141" i="12"/>
  <c r="AA1570" i="12"/>
  <c r="AA299" i="12"/>
  <c r="AA3064" i="12"/>
  <c r="AA2855" i="12"/>
  <c r="AA3277" i="12"/>
  <c r="AA366" i="12"/>
  <c r="AA2029" i="12"/>
  <c r="AA846" i="12"/>
  <c r="AA1988" i="12"/>
  <c r="AA833" i="12"/>
  <c r="AA825" i="12"/>
  <c r="AA1813" i="12"/>
  <c r="AA2744" i="12"/>
  <c r="AA1543" i="12"/>
  <c r="AA1962" i="12"/>
  <c r="AA691" i="12"/>
  <c r="AA879" i="12"/>
  <c r="AA3514" i="12"/>
  <c r="AA2714" i="12"/>
  <c r="AA3469" i="12"/>
  <c r="AA651" i="12"/>
  <c r="AA2976" i="12"/>
  <c r="AA3275" i="12"/>
  <c r="AA2997" i="12"/>
  <c r="AA1154" i="12"/>
  <c r="AA3306" i="12"/>
  <c r="AA3168" i="12"/>
  <c r="AA3345" i="12"/>
  <c r="AA61" i="12"/>
  <c r="AA2689" i="12"/>
  <c r="AA1028" i="12"/>
  <c r="AA1699" i="12"/>
  <c r="AA3247" i="12"/>
  <c r="AA319" i="12"/>
  <c r="AA3065" i="12"/>
  <c r="AA855" i="12"/>
  <c r="AA2879" i="12"/>
  <c r="AA3365" i="12"/>
  <c r="AA2487" i="12"/>
  <c r="AA2640" i="12"/>
  <c r="AA645" i="12"/>
  <c r="AA716" i="12"/>
  <c r="AA2481" i="12"/>
  <c r="AA1234" i="12"/>
  <c r="AA3192" i="12"/>
  <c r="AA53" i="12"/>
  <c r="AA340" i="12"/>
  <c r="AA1338" i="12"/>
  <c r="AA3004" i="12"/>
  <c r="AA464" i="12"/>
  <c r="AA3330" i="12"/>
  <c r="AA275" i="12"/>
  <c r="AA1413" i="12"/>
  <c r="AA2279" i="12"/>
  <c r="AA2477" i="12"/>
  <c r="AA2900" i="12"/>
  <c r="AA376" i="12"/>
  <c r="AA302" i="12"/>
  <c r="AA1064" i="12"/>
  <c r="AA284" i="12"/>
  <c r="AA2761" i="12"/>
  <c r="AA989" i="12"/>
  <c r="AA3243" i="12"/>
  <c r="AA1526" i="12"/>
  <c r="AA758" i="12"/>
  <c r="AA1600" i="12"/>
  <c r="AA336" i="12"/>
  <c r="AA1497" i="12"/>
  <c r="AA3162" i="12"/>
  <c r="AA2412" i="12"/>
  <c r="AA1842" i="12"/>
  <c r="AA1837" i="12"/>
  <c r="AA2094" i="12"/>
  <c r="AA2149" i="12"/>
  <c r="AA190" i="12"/>
  <c r="AA2384" i="12"/>
  <c r="AA3151" i="12"/>
  <c r="AA2508" i="12"/>
  <c r="AA909" i="12"/>
  <c r="AA246" i="12"/>
  <c r="AA1418" i="12"/>
  <c r="AA950" i="12"/>
  <c r="AA3445" i="12"/>
  <c r="AA2346" i="12"/>
  <c r="AA2701" i="12"/>
  <c r="AA1004" i="12"/>
  <c r="AA2290" i="12"/>
  <c r="AA3197" i="12"/>
  <c r="AA1633" i="12"/>
  <c r="AA423" i="12"/>
  <c r="AA433" i="12"/>
  <c r="AA1603" i="12"/>
  <c r="AA2837" i="12"/>
  <c r="AA363" i="12"/>
  <c r="AA454" i="12"/>
  <c r="AA1412" i="12"/>
  <c r="AA3299" i="12"/>
  <c r="AA3351" i="12"/>
  <c r="AA563" i="12"/>
  <c r="AA2977" i="12"/>
  <c r="AA2044" i="12"/>
  <c r="AA2204" i="12"/>
  <c r="AA1774" i="12"/>
  <c r="AA3524" i="12"/>
  <c r="AA2250" i="12"/>
  <c r="AA2626" i="12"/>
  <c r="AA2048" i="12"/>
  <c r="AA199" i="12"/>
  <c r="AA2792" i="12"/>
  <c r="AA3084" i="12"/>
  <c r="AA510" i="12"/>
  <c r="AA3246" i="12"/>
  <c r="AA191" i="12"/>
  <c r="AA1194" i="12"/>
  <c r="AA1310" i="12"/>
  <c r="AA322" i="12"/>
  <c r="AA1681" i="12"/>
  <c r="AA385" i="12"/>
  <c r="AA1700" i="12"/>
  <c r="AA2300" i="12"/>
  <c r="AA3350" i="12"/>
  <c r="AA3190" i="12"/>
  <c r="AA2422" i="12"/>
  <c r="AA1164" i="12"/>
  <c r="AA3079" i="12"/>
  <c r="AA1819" i="12"/>
  <c r="AA1306" i="12"/>
  <c r="AA3279" i="12"/>
  <c r="AA497" i="12"/>
  <c r="AA375" i="12"/>
  <c r="AA776" i="12"/>
  <c r="AA992" i="12"/>
  <c r="AA1730" i="12"/>
  <c r="AA1556" i="12"/>
  <c r="AA252" i="12"/>
  <c r="AA1332" i="12"/>
  <c r="AA1703" i="12"/>
  <c r="AA561" i="12"/>
  <c r="AA1233" i="12"/>
  <c r="AA2293" i="12"/>
  <c r="AA294" i="12"/>
  <c r="AA597" i="12"/>
  <c r="AA2892" i="12"/>
  <c r="AA1488" i="12"/>
  <c r="AA712" i="12"/>
  <c r="AA2952" i="12"/>
  <c r="AA2007" i="12"/>
  <c r="AA1166" i="12"/>
  <c r="AA2178" i="12"/>
  <c r="AA2208" i="12"/>
  <c r="AA1180" i="12"/>
  <c r="AA2222" i="12"/>
  <c r="AA1392" i="12"/>
  <c r="AA476" i="12"/>
  <c r="AA1667" i="12"/>
  <c r="AA1179" i="12"/>
  <c r="AA2570" i="12"/>
  <c r="AA3042" i="12"/>
  <c r="AA3459" i="12"/>
  <c r="AA501" i="12"/>
  <c r="AA306" i="12"/>
  <c r="AA1223" i="12"/>
  <c r="AA2609" i="12"/>
  <c r="AA1458" i="12"/>
  <c r="AA686" i="12"/>
  <c r="AA888" i="12"/>
  <c r="AA2523" i="12"/>
  <c r="AA1114" i="12"/>
  <c r="AA1430" i="12"/>
  <c r="AA1328" i="12"/>
  <c r="AA3355" i="12"/>
  <c r="AA534" i="12"/>
  <c r="AA496" i="12"/>
  <c r="AA2000" i="12"/>
  <c r="AA26" i="12"/>
  <c r="AA751" i="12"/>
  <c r="AA1022" i="12"/>
  <c r="AA2322" i="12"/>
  <c r="AA3056" i="12"/>
  <c r="AA416" i="12"/>
  <c r="AA1284" i="12"/>
  <c r="AA2724" i="12"/>
  <c r="AA2622" i="12"/>
  <c r="AA1277" i="12"/>
  <c r="AA1964" i="12"/>
  <c r="AA3317" i="12"/>
  <c r="AA3207" i="12"/>
  <c r="AA1861" i="12"/>
  <c r="AA1193" i="12"/>
  <c r="AA3482" i="12"/>
  <c r="AA1826" i="12"/>
  <c r="AA2710" i="12"/>
  <c r="AA2507" i="12"/>
  <c r="AA973" i="12"/>
  <c r="AA2550" i="12"/>
  <c r="AA1724" i="12"/>
  <c r="AA2329" i="12"/>
  <c r="AA3150" i="12"/>
  <c r="AA1609" i="12"/>
  <c r="AA92" i="12"/>
  <c r="AA2358" i="12"/>
  <c r="AA2883" i="12"/>
  <c r="AA2928" i="12"/>
  <c r="AA1918" i="12"/>
  <c r="AA2740" i="12"/>
  <c r="AA3166" i="12"/>
  <c r="AA679" i="12"/>
  <c r="AA2942" i="12"/>
  <c r="AA974" i="12"/>
  <c r="AA2610" i="12"/>
  <c r="AA988" i="12"/>
  <c r="AA1643" i="12"/>
  <c r="AA1800" i="12"/>
  <c r="AA577" i="12"/>
  <c r="AA1315" i="12"/>
  <c r="AA2061" i="12"/>
  <c r="AA2815" i="12"/>
  <c r="AA3174" i="12"/>
  <c r="AA724" i="12"/>
  <c r="AA133" i="12"/>
  <c r="AA3204" i="12"/>
  <c r="AA3069" i="12"/>
  <c r="AA2618" i="12"/>
  <c r="AA2964" i="12"/>
  <c r="AA726" i="12"/>
  <c r="AA1991" i="12"/>
  <c r="AA3420" i="12"/>
  <c r="AA3113" i="12"/>
  <c r="AA1350" i="12"/>
  <c r="AA2899" i="12"/>
  <c r="AA1547" i="12"/>
  <c r="AA1380" i="12"/>
  <c r="AA1429" i="12"/>
  <c r="AA3138" i="12"/>
  <c r="AA121" i="12"/>
  <c r="AA1977" i="12"/>
  <c r="AA2031" i="12"/>
  <c r="AA2210" i="12"/>
  <c r="AA1432" i="12"/>
  <c r="AA1591" i="12"/>
  <c r="AA811" i="12"/>
  <c r="AA1419" i="12"/>
  <c r="AA2920" i="12"/>
  <c r="AA201" i="12"/>
  <c r="AA438" i="12"/>
  <c r="AA1092" i="12"/>
  <c r="AA3038" i="12"/>
  <c r="AA1181" i="12"/>
  <c r="AA560" i="12"/>
  <c r="AA920" i="12"/>
  <c r="AA1981" i="12"/>
  <c r="AA2779" i="12"/>
  <c r="AA934" i="12"/>
  <c r="AA546" i="12"/>
  <c r="AA1457" i="12"/>
  <c r="AA490" i="12"/>
  <c r="AA3416" i="12"/>
  <c r="AA907" i="12"/>
  <c r="AA402" i="12"/>
  <c r="AA212" i="12"/>
  <c r="AA1840" i="12"/>
  <c r="AA161" i="12"/>
  <c r="AA2003" i="12"/>
  <c r="AA2393" i="12"/>
  <c r="AA3468" i="12"/>
  <c r="AA1122" i="12"/>
  <c r="AA1339" i="12"/>
  <c r="AA263" i="12"/>
  <c r="AA2160" i="12"/>
  <c r="AA3270" i="12"/>
  <c r="AA2719" i="12"/>
  <c r="AA3096" i="12"/>
  <c r="AA1314" i="12"/>
  <c r="AA1237" i="12"/>
  <c r="AA1607" i="12"/>
  <c r="AA2735" i="12"/>
  <c r="AA1275" i="12"/>
  <c r="AA3541" i="12"/>
  <c r="AA1698" i="12"/>
  <c r="AA812" i="12"/>
  <c r="AA3325" i="12"/>
  <c r="AA3381" i="12"/>
  <c r="AA1390" i="12"/>
  <c r="AA2893" i="12"/>
  <c r="AA1326" i="12"/>
  <c r="AA2108" i="12"/>
  <c r="AA1266" i="12"/>
  <c r="AA1482" i="12"/>
  <c r="AA2943" i="12"/>
  <c r="AA2945" i="12"/>
  <c r="AA1440" i="12"/>
  <c r="AA1529" i="12"/>
  <c r="AA163" i="12"/>
  <c r="AA850" i="12"/>
  <c r="AA313" i="12"/>
  <c r="AA2377" i="12"/>
  <c r="AA2688" i="12"/>
  <c r="AA3501" i="12"/>
  <c r="AA1645" i="12"/>
  <c r="AA2785" i="12"/>
  <c r="AA3147" i="12"/>
  <c r="AA3091" i="12"/>
  <c r="AA2353" i="12"/>
  <c r="AA1738" i="12"/>
  <c r="AA415" i="12"/>
  <c r="AA887" i="12"/>
  <c r="AA1927" i="12"/>
  <c r="AA2088" i="12"/>
  <c r="AA2752" i="12"/>
  <c r="AA1479" i="12"/>
  <c r="AA1137" i="12"/>
  <c r="AA1376" i="12"/>
  <c r="AA2008" i="12"/>
  <c r="AA2466" i="12"/>
  <c r="AA2951" i="12"/>
  <c r="AA948" i="12"/>
  <c r="AA160" i="12"/>
  <c r="AA2373" i="12"/>
  <c r="AA305" i="12"/>
  <c r="AA1616" i="12"/>
  <c r="AA2126" i="12"/>
  <c r="AA452" i="12"/>
  <c r="AA1221" i="12"/>
  <c r="AA2103" i="12"/>
  <c r="AA27" i="12"/>
  <c r="AA646" i="12"/>
  <c r="AA979" i="12"/>
  <c r="AA2489" i="12"/>
  <c r="AA1832" i="12"/>
  <c r="AA1333" i="12"/>
  <c r="AA409" i="12"/>
  <c r="AA3305" i="12"/>
  <c r="AA2247" i="12"/>
  <c r="AA1679" i="12"/>
  <c r="AA479" i="12"/>
  <c r="AA2033" i="12"/>
  <c r="AA2941" i="12"/>
  <c r="AA1601" i="12"/>
  <c r="AA235" i="12"/>
  <c r="AA830" i="12"/>
  <c r="AA3010" i="12"/>
  <c r="AA1447" i="12"/>
  <c r="AA307" i="12"/>
  <c r="AA1048" i="12"/>
  <c r="AA2585" i="12"/>
  <c r="AA2927" i="12"/>
  <c r="AA2492" i="12"/>
  <c r="AA1034" i="12"/>
  <c r="AA1563" i="12"/>
  <c r="AA36" i="12"/>
  <c r="AA1366" i="12"/>
  <c r="AA697" i="12"/>
  <c r="AA1063" i="12"/>
  <c r="AA1083" i="12"/>
  <c r="AA1066" i="12"/>
  <c r="AA2082" i="12"/>
  <c r="AA2654" i="12"/>
  <c r="AA2682" i="12"/>
  <c r="AA1571" i="12"/>
  <c r="AA2959" i="12"/>
  <c r="AA488" i="12"/>
  <c r="AA2283" i="12"/>
  <c r="AA1197" i="12"/>
  <c r="AA447" i="12"/>
  <c r="AA1753" i="12"/>
  <c r="AA600" i="12"/>
  <c r="AA458" i="12"/>
  <c r="AA3362" i="12"/>
  <c r="AA2637" i="12"/>
  <c r="AA1851" i="12"/>
  <c r="AA24" i="12"/>
  <c r="AA1768" i="12"/>
  <c r="AA3506" i="12"/>
  <c r="AA722" i="12"/>
  <c r="AA1173" i="12"/>
  <c r="AA3408" i="12"/>
  <c r="AA2728" i="12"/>
  <c r="AA1394" i="12"/>
  <c r="AA3011" i="12"/>
  <c r="AA1677" i="12"/>
  <c r="AA3402" i="12"/>
  <c r="AA908" i="12"/>
  <c r="AA168" i="12"/>
  <c r="AA730" i="12"/>
  <c r="AA2446" i="12"/>
  <c r="AA2328" i="12"/>
  <c r="AA2400" i="12"/>
  <c r="AA169" i="12"/>
  <c r="AA1075" i="12"/>
  <c r="AA334" i="12"/>
  <c r="AA1089" i="12"/>
  <c r="AA2368" i="12"/>
  <c r="AA1002" i="12"/>
  <c r="AA780" i="12"/>
  <c r="AA2614" i="12"/>
  <c r="AA231" i="12"/>
  <c r="AA88" i="12"/>
  <c r="AA2874" i="12"/>
  <c r="AA1098" i="12"/>
  <c r="AA1123" i="12"/>
  <c r="AA1575" i="12"/>
  <c r="AA2806" i="12"/>
  <c r="AA3474" i="12"/>
  <c r="AA2259" i="12"/>
  <c r="AA2409" i="12"/>
  <c r="AA2308" i="12"/>
  <c r="AA2884" i="12"/>
  <c r="AA237" i="12"/>
  <c r="AA2702" i="12"/>
  <c r="AA3092" i="12"/>
  <c r="AA3370" i="12"/>
  <c r="AA1884" i="12"/>
  <c r="AA3329" i="12"/>
  <c r="AA3415" i="12"/>
  <c r="AA200" i="12"/>
  <c r="AA2019" i="12"/>
  <c r="AA2678" i="12"/>
  <c r="AA3371" i="12"/>
  <c r="AA2077" i="12"/>
  <c r="AA2996" i="12"/>
  <c r="AA742" i="12"/>
  <c r="AA3201" i="12"/>
  <c r="AA2525" i="12"/>
  <c r="AA687" i="12"/>
  <c r="AA2053" i="12"/>
  <c r="AA3103" i="12"/>
  <c r="AA1558" i="12"/>
  <c r="AA2348" i="12"/>
  <c r="AA2881" i="12"/>
  <c r="AA916" i="12"/>
  <c r="AA411" i="12"/>
  <c r="AA809" i="12"/>
  <c r="AA2641" i="12"/>
  <c r="AA2054" i="12"/>
  <c r="AA2158" i="12"/>
  <c r="AA1784" i="12"/>
  <c r="AA552" i="12"/>
  <c r="AA1863" i="12"/>
  <c r="AA281" i="12"/>
  <c r="AA1455" i="12"/>
  <c r="AA2918" i="12"/>
  <c r="AA2034" i="12"/>
  <c r="AA1595" i="12"/>
  <c r="AA1885" i="12"/>
  <c r="AA1900" i="12"/>
  <c r="AA795" i="12"/>
  <c r="AA923" i="12"/>
  <c r="AA774" i="12"/>
  <c r="AA462" i="12"/>
  <c r="AA3341" i="12"/>
  <c r="AA2606" i="12"/>
  <c r="AA2225" i="12"/>
  <c r="AA2569" i="12"/>
  <c r="AA482" i="12"/>
  <c r="AA372" i="12"/>
  <c r="AA3425" i="12"/>
  <c r="AA1987" i="12"/>
  <c r="AA3326" i="12"/>
  <c r="AA1831" i="12"/>
  <c r="AA369" i="12"/>
  <c r="AA614" i="12"/>
  <c r="AA1491" i="12"/>
  <c r="AA64" i="12"/>
  <c r="AA477" i="12"/>
  <c r="AA2814" i="12"/>
  <c r="AA403" i="12"/>
  <c r="AA1953" i="12"/>
  <c r="AA1957" i="12"/>
  <c r="AA236" i="12"/>
  <c r="AA781" i="12"/>
  <c r="AA3125" i="12"/>
  <c r="AA69" i="12"/>
  <c r="AA1637" i="12"/>
  <c r="AA3503" i="12"/>
  <c r="AA2860" i="12"/>
  <c r="AA3485" i="12"/>
  <c r="AA404" i="12"/>
  <c r="AA1472" i="12"/>
  <c r="AA1969" i="12"/>
  <c r="AA1165" i="12"/>
  <c r="AA899" i="12"/>
  <c r="AA2381" i="12"/>
  <c r="AA3388" i="12"/>
  <c r="AA2566" i="12"/>
  <c r="AA1049" i="12"/>
  <c r="AA3529" i="12"/>
  <c r="AA991" i="12"/>
  <c r="AA962" i="12"/>
  <c r="AA3156" i="12"/>
  <c r="AA1742" i="12"/>
  <c r="AA1201" i="12"/>
  <c r="AA208" i="12"/>
  <c r="AA350" i="12"/>
  <c r="AA2657" i="12"/>
  <c r="AA2498" i="12"/>
  <c r="AA1928" i="12"/>
  <c r="AA379" i="12"/>
  <c r="AA2370" i="12"/>
  <c r="AA1625" i="12"/>
  <c r="AA2057" i="12"/>
  <c r="AA3211" i="12"/>
  <c r="AA2188" i="12"/>
  <c r="AA583" i="12"/>
  <c r="AA754" i="12"/>
  <c r="AA2529" i="12"/>
  <c r="AA591" i="12"/>
  <c r="AA2524" i="12"/>
  <c r="AA3015" i="12"/>
  <c r="AA880" i="12"/>
  <c r="AA871" i="12"/>
  <c r="AA1171" i="12"/>
  <c r="AA1044" i="12"/>
  <c r="AA607" i="12"/>
  <c r="AA1705" i="12"/>
  <c r="AA123" i="12"/>
  <c r="AA207" i="12"/>
  <c r="AA1895" i="12"/>
  <c r="AA147" i="12"/>
  <c r="AA3322" i="12"/>
  <c r="AA1628" i="12"/>
  <c r="AA2672" i="12"/>
  <c r="AA260" i="12"/>
  <c r="AA613" i="12"/>
  <c r="AA1321" i="12"/>
  <c r="AA1631" i="12"/>
  <c r="AA602" i="12"/>
  <c r="AA3075" i="12"/>
  <c r="AA254" i="12"/>
  <c r="AA792" i="12"/>
  <c r="AA2556" i="12"/>
  <c r="AA2733" i="12"/>
  <c r="AA2206" i="12"/>
  <c r="AA1658" i="12"/>
  <c r="AA2142" i="12"/>
  <c r="AA3013" i="12"/>
  <c r="AA1569" i="12"/>
  <c r="AA1344" i="12"/>
  <c r="AA1249" i="12"/>
  <c r="AA1243" i="12"/>
  <c r="AA459" i="12"/>
  <c r="AA1466" i="12"/>
  <c r="AA1007" i="12"/>
  <c r="AA1305" i="12"/>
  <c r="AA2314" i="12"/>
  <c r="AA3258" i="12"/>
  <c r="AA3373" i="12"/>
  <c r="AA1033" i="12"/>
  <c r="AA2749" i="12"/>
  <c r="AA76" i="12"/>
  <c r="AA2707" i="12"/>
  <c r="AA861" i="12"/>
  <c r="AA3533" i="12"/>
  <c r="AA2583" i="12"/>
  <c r="AA2782" i="12"/>
  <c r="AA2271" i="12"/>
  <c r="AA2172" i="12"/>
  <c r="AA1817" i="12"/>
  <c r="AA1582" i="12"/>
  <c r="AA167" i="12"/>
  <c r="AA2548" i="12"/>
  <c r="AA845" i="12"/>
  <c r="AA3374" i="12"/>
  <c r="AA1640" i="12"/>
  <c r="AA3383" i="12"/>
  <c r="AA1259" i="12"/>
  <c r="AA3451" i="12"/>
  <c r="AA2907" i="12"/>
  <c r="AA3352" i="12"/>
  <c r="AA1634" i="12"/>
  <c r="AA1107" i="12"/>
  <c r="AA937" i="12"/>
  <c r="AA942" i="12"/>
  <c r="AA1329" i="12"/>
  <c r="AA298" i="12"/>
  <c r="AA2396" i="12"/>
  <c r="AA1301" i="12"/>
  <c r="AA2692" i="12"/>
  <c r="AA406" i="12"/>
  <c r="AA1172" i="12"/>
  <c r="AA1924" i="12"/>
  <c r="AA761" i="12"/>
  <c r="AA1365" i="12"/>
  <c r="AA1955" i="12"/>
  <c r="AA2137" i="12"/>
  <c r="AA633" i="12"/>
  <c r="AA1120" i="12"/>
  <c r="AA1853" i="12"/>
  <c r="AA918" i="12"/>
  <c r="AA3217" i="12"/>
  <c r="AA910" i="12"/>
  <c r="AA499" i="12"/>
  <c r="AA410" i="12"/>
  <c r="AA146" i="12"/>
  <c r="AA1932" i="12"/>
  <c r="AA2392" i="12"/>
  <c r="AA1468" i="12"/>
  <c r="AA628" i="12"/>
  <c r="AA3220" i="12"/>
  <c r="AA1725" i="12"/>
  <c r="AA608" i="12"/>
  <c r="AA1834" i="12"/>
  <c r="AA3234" i="12"/>
  <c r="AA2660" i="12"/>
  <c r="AA341" i="12"/>
  <c r="AA384" i="12"/>
  <c r="AA1689" i="12"/>
  <c r="AA966" i="12"/>
  <c r="AA1307" i="12"/>
  <c r="AA2536" i="12"/>
  <c r="AA1715" i="12"/>
  <c r="AA1873" i="12"/>
  <c r="AA3523" i="12"/>
  <c r="AA3205" i="12"/>
  <c r="AA3314" i="12"/>
  <c r="AA1097" i="12"/>
  <c r="AA1325" i="12"/>
  <c r="AA3359" i="12"/>
  <c r="AA3186" i="12"/>
  <c r="AA1919" i="12"/>
  <c r="AA2032" i="12"/>
  <c r="AA2605" i="12"/>
  <c r="AA3543" i="12"/>
  <c r="AA1029" i="12"/>
  <c r="AA2836" i="12"/>
  <c r="AA1040" i="12"/>
  <c r="AA1369" i="12"/>
  <c r="AA1152" i="12"/>
  <c r="AA1926" i="12"/>
  <c r="AA3450" i="12"/>
  <c r="AA2067" i="12"/>
  <c r="AA1814" i="12"/>
  <c r="AA1691" i="12"/>
  <c r="AA1788" i="12"/>
  <c r="AA2070" i="12"/>
  <c r="AA205" i="12"/>
  <c r="AA2885" i="12"/>
  <c r="AA1794" i="12"/>
  <c r="AA2355" i="12"/>
  <c r="AA3149" i="12"/>
  <c r="AA2460" i="12"/>
  <c r="AA2205" i="12"/>
  <c r="AA3233" i="12"/>
  <c r="AA1035" i="12"/>
  <c r="AA2718" i="12"/>
  <c r="AA1247" i="12"/>
  <c r="AA619" i="12"/>
  <c r="AA308" i="12"/>
  <c r="AA2107" i="12"/>
  <c r="AA2738" i="12"/>
  <c r="AA2155" i="12"/>
  <c r="AA1610" i="12"/>
  <c r="AA2026" i="12"/>
  <c r="AA3392" i="12"/>
  <c r="AA1016" i="12"/>
  <c r="AA693" i="12"/>
  <c r="AA1781" i="12"/>
  <c r="AA2788" i="12"/>
  <c r="AA2565" i="12"/>
  <c r="AA2147" i="12"/>
  <c r="AA3040" i="12"/>
  <c r="AA2005" i="12"/>
  <c r="AA3259" i="12"/>
  <c r="AA1485" i="12"/>
  <c r="AA2231" i="12"/>
  <c r="AA3068" i="12"/>
  <c r="AA516" i="12"/>
  <c r="AA1345" i="12"/>
  <c r="AA2619" i="12"/>
  <c r="AA2876" i="12"/>
  <c r="AA348" i="12"/>
  <c r="AA987" i="12"/>
  <c r="AA2677" i="12"/>
  <c r="AA1456" i="12"/>
  <c r="AA472" i="12"/>
  <c r="AA2316" i="12"/>
  <c r="AA456" i="12"/>
  <c r="AA1901" i="12"/>
  <c r="AA2675" i="12"/>
  <c r="AA1210" i="12"/>
  <c r="AA3170" i="12"/>
  <c r="AA1363" i="12"/>
  <c r="AA2731" i="12"/>
  <c r="AA1162" i="12"/>
  <c r="AA2574" i="12"/>
  <c r="AA1425" i="12"/>
  <c r="AA2462" i="12"/>
  <c r="AA2764" i="12"/>
  <c r="AA2136" i="12"/>
  <c r="AA90" i="12"/>
  <c r="AA1169" i="12"/>
  <c r="AA1619" i="12"/>
  <c r="AA2309" i="12"/>
  <c r="AA338" i="12"/>
  <c r="AA2028" i="12"/>
  <c r="AA2540" i="12"/>
  <c r="AA3393" i="12"/>
  <c r="AA1118" i="12"/>
  <c r="AA2157" i="12"/>
  <c r="AA110" i="12"/>
  <c r="AA2403" i="12"/>
  <c r="AA745" i="12"/>
  <c r="AA290" i="12"/>
  <c r="AA1771" i="12"/>
  <c r="AA1398" i="12"/>
  <c r="AA2891" i="12"/>
  <c r="AA1617" i="12"/>
  <c r="AA764" i="12"/>
  <c r="AA1053" i="12"/>
  <c r="AA2282" i="12"/>
  <c r="AA57" i="12"/>
  <c r="AA1632" i="12"/>
  <c r="AA339" i="12"/>
  <c r="AA515" i="12"/>
  <c r="AA2917" i="12"/>
  <c r="AA439" i="12"/>
  <c r="AA1046" i="12"/>
  <c r="AA2284" i="12"/>
  <c r="AA3281" i="12"/>
  <c r="AA1460" i="12"/>
  <c r="AA2921" i="12"/>
  <c r="AA2859" i="12"/>
  <c r="AA3273" i="12"/>
  <c r="AA1685" i="12"/>
  <c r="AA2035" i="12"/>
  <c r="AA1911" i="12"/>
  <c r="AA498" i="12"/>
  <c r="AA2851" i="12"/>
  <c r="AA1153" i="12"/>
  <c r="AA2098" i="12"/>
  <c r="AA1074" i="12"/>
  <c r="AA478" i="12"/>
  <c r="AA1687" i="12"/>
  <c r="AA1335" i="12"/>
  <c r="AA3077" i="12"/>
  <c r="AA2620" i="12"/>
  <c r="AA1032" i="12"/>
  <c r="AA2493" i="12"/>
  <c r="AA1348" i="12"/>
  <c r="AA585" i="12"/>
  <c r="AA492" i="12"/>
  <c r="AA1652" i="12"/>
  <c r="AA2679" i="12"/>
  <c r="AA273" i="12"/>
  <c r="AA1711" i="12"/>
  <c r="AA592" i="12"/>
  <c r="AA2888" i="12"/>
  <c r="AA2726" i="12"/>
  <c r="AA2060" i="12"/>
  <c r="AA520" i="12"/>
  <c r="AA1597" i="12"/>
  <c r="AA575" i="12"/>
  <c r="AA2404" i="12"/>
  <c r="AA139" i="12"/>
  <c r="AA1467" i="12"/>
  <c r="AA3505" i="12"/>
  <c r="AA3213" i="12"/>
  <c r="AA1506" i="12"/>
  <c r="AA903" i="12"/>
  <c r="AA2339" i="12"/>
  <c r="AA783" i="12"/>
  <c r="AA2667" i="12"/>
  <c r="AA3223" i="12"/>
  <c r="AA3348" i="12"/>
  <c r="AA1967" i="12"/>
  <c r="AA119" i="12"/>
  <c r="AA1373" i="12"/>
  <c r="AA2459" i="12"/>
  <c r="AA2297" i="12"/>
  <c r="AA271" i="12"/>
  <c r="AA955" i="12"/>
  <c r="AA2419" i="12"/>
  <c r="AA2760" i="12"/>
  <c r="AA574" i="12"/>
  <c r="AA2948" i="12"/>
  <c r="AA2989" i="12"/>
  <c r="AA1531" i="12"/>
  <c r="AA705" i="12"/>
  <c r="AA2362" i="12"/>
  <c r="AA1127" i="12"/>
  <c r="AA1261" i="12"/>
  <c r="AA1011" i="12"/>
  <c r="AA2824" i="12"/>
  <c r="AA3179" i="12"/>
  <c r="AA2774" i="12"/>
  <c r="AA3509" i="12"/>
  <c r="AA3107" i="12"/>
  <c r="AA3508" i="12"/>
  <c r="AA3316" i="12"/>
  <c r="AA2201" i="12"/>
  <c r="AA1830" i="12"/>
  <c r="AA3452" i="12"/>
  <c r="AA3280" i="12"/>
  <c r="AA3060" i="12"/>
  <c r="AA2407" i="12"/>
  <c r="AA1175" i="12"/>
  <c r="AA3434" i="12"/>
  <c r="AA2265" i="12"/>
  <c r="AA3446" i="12"/>
  <c r="AA3023" i="12"/>
  <c r="AA2156" i="12"/>
  <c r="AA1226" i="12"/>
  <c r="AA2444" i="12"/>
  <c r="AA2995" i="12"/>
  <c r="AA1914" i="12"/>
  <c r="AA1578" i="12"/>
  <c r="AA2084" i="12"/>
  <c r="AA1752" i="12"/>
  <c r="AA1612" i="12"/>
  <c r="AA329" i="12"/>
  <c r="AA820" i="12"/>
  <c r="AA1606" i="12"/>
  <c r="AA3379" i="12"/>
  <c r="AA2886" i="12"/>
  <c r="AA2341" i="12"/>
  <c r="AA1349" i="12"/>
  <c r="AA2933" i="12"/>
  <c r="AA1646" i="12"/>
  <c r="AA1299" i="12"/>
  <c r="AA2696" i="12"/>
  <c r="AA663" i="12"/>
  <c r="AA690" i="12"/>
  <c r="AA3427" i="12"/>
  <c r="AA95" i="12"/>
  <c r="AA2080" i="12"/>
  <c r="AA970" i="12"/>
  <c r="AA1093" i="12"/>
  <c r="AA1801" i="12"/>
  <c r="AA2306" i="12"/>
  <c r="AA1341" i="12"/>
  <c r="AA371" i="12"/>
  <c r="AA3049" i="12"/>
  <c r="AA2448" i="12"/>
  <c r="AA3504" i="12"/>
  <c r="AA2499" i="12"/>
  <c r="AA765" i="12"/>
  <c r="AA174" i="12"/>
  <c r="AA3252" i="12"/>
  <c r="AA84" i="12"/>
  <c r="AA1244" i="12"/>
  <c r="AA817" i="12"/>
  <c r="AA1688" i="12"/>
  <c r="AA756" i="12"/>
  <c r="AA3200" i="12"/>
  <c r="AA540" i="12"/>
  <c r="AA1995" i="12"/>
  <c r="AA116" i="12"/>
  <c r="AA723" i="12"/>
  <c r="AA2681" i="12"/>
  <c r="AA1560" i="12"/>
  <c r="AA3003" i="12"/>
  <c r="AA1608" i="12"/>
  <c r="AA2268" i="12"/>
  <c r="AA689" i="12"/>
  <c r="AA2935" i="12"/>
  <c r="AA1241" i="12"/>
  <c r="AA270" i="12"/>
  <c r="AA3387" i="12"/>
  <c r="AA2009" i="12"/>
  <c r="AA42" i="12"/>
  <c r="AA777" i="12"/>
  <c r="AA2913" i="12"/>
  <c r="AA1086" i="12"/>
  <c r="AA3432" i="12"/>
  <c r="AA3440" i="12"/>
  <c r="AA1427" i="12"/>
  <c r="AA2115" i="12"/>
  <c r="AA3031" i="12"/>
  <c r="AA3053" i="12"/>
  <c r="AA2632" i="12"/>
  <c r="AA924" i="12"/>
  <c r="AA1124" i="12"/>
  <c r="AA678" i="12"/>
  <c r="AA944" i="12"/>
  <c r="AA2112" i="12"/>
  <c r="AA1217" i="12"/>
  <c r="AA1109" i="12"/>
  <c r="AA744" i="12"/>
  <c r="AA1198" i="12"/>
  <c r="AA3180" i="12"/>
  <c r="AA1214" i="12"/>
  <c r="AA1974" i="12"/>
  <c r="AA972" i="12"/>
  <c r="AA1115" i="12"/>
  <c r="AA2421" i="12"/>
  <c r="AA1231" i="12"/>
  <c r="AA3005" i="12"/>
  <c r="AA1268" i="12"/>
  <c r="AA184" i="12"/>
  <c r="AA779" i="12"/>
  <c r="AA3343" i="12"/>
  <c r="AA321" i="12"/>
  <c r="AA1942" i="12"/>
  <c r="AA1110" i="12"/>
  <c r="AA3224" i="12"/>
  <c r="AA2230" i="12"/>
  <c r="AA922" i="12"/>
  <c r="AA728" i="12"/>
  <c r="AA3095" i="12"/>
  <c r="AA2924" i="12"/>
  <c r="AA3487" i="12"/>
  <c r="AA2021" i="12"/>
  <c r="AA41" i="12"/>
  <c r="AA3419" i="12"/>
  <c r="AA1534" i="12"/>
  <c r="AA1743" i="12"/>
  <c r="AA2902" i="12"/>
  <c r="AA2016" i="12"/>
  <c r="AA2273" i="12"/>
  <c r="AA60" i="12"/>
  <c r="AA1966" i="12"/>
  <c r="AA2713" i="12"/>
  <c r="AA3009" i="12"/>
  <c r="AA2506" i="12"/>
  <c r="AA904" i="12"/>
  <c r="AA312" i="12"/>
  <c r="AA2371" i="12"/>
  <c r="AA1129" i="12"/>
  <c r="AA851" i="12"/>
  <c r="AA151" i="12"/>
  <c r="AA1102" i="12"/>
  <c r="AA3526" i="12"/>
  <c r="AA1747" i="12"/>
  <c r="AA813" i="12"/>
  <c r="AA2978" i="12"/>
  <c r="AA1979" i="12"/>
  <c r="AA1067" i="12"/>
  <c r="AA2024" i="12"/>
  <c r="AA2296" i="12"/>
  <c r="AA1323" i="12"/>
  <c r="AA1833" i="12"/>
  <c r="AA2970" i="12"/>
  <c r="AA1356" i="12"/>
  <c r="AA1346" i="12"/>
  <c r="AA3346" i="12"/>
  <c r="AA1890" i="12"/>
  <c r="AA431" i="12"/>
  <c r="AA3435" i="12"/>
  <c r="AA677" i="12"/>
  <c r="AA1225" i="12"/>
  <c r="AA1959" i="12"/>
  <c r="AA143" i="12"/>
  <c r="AA1846" i="12"/>
  <c r="AA3131" i="12"/>
  <c r="AA1848" i="12"/>
  <c r="AA377" i="12"/>
  <c r="AA102" i="12"/>
  <c r="AA355" i="12"/>
  <c r="AA288" i="12"/>
  <c r="AA1150" i="12"/>
  <c r="AA2471" i="12"/>
  <c r="AA2664" i="12"/>
  <c r="AA241" i="12"/>
  <c r="AA114" i="12"/>
  <c r="AA495" i="12"/>
  <c r="AA1441" i="12"/>
  <c r="AA1877" i="12"/>
  <c r="AA2932" i="12"/>
  <c r="AA1845" i="12"/>
  <c r="AA1783" i="12"/>
  <c r="AA494" i="12"/>
  <c r="AA2747" i="12"/>
  <c r="AA3298" i="12"/>
  <c r="AA2224" i="12"/>
  <c r="AA1205" i="12"/>
  <c r="AA1452" i="12"/>
  <c r="AA2050" i="12"/>
  <c r="AA2243" i="12"/>
  <c r="AA3399" i="12"/>
  <c r="AA752" i="12"/>
  <c r="AA2166" i="12"/>
  <c r="AA746" i="12"/>
  <c r="AA2025" i="12"/>
  <c r="AA2320" i="12"/>
  <c r="AA1709" i="12"/>
  <c r="AA2245" i="12"/>
  <c r="AA2929" i="12"/>
  <c r="AA3106" i="12"/>
  <c r="AA2812" i="12"/>
  <c r="AA2961" i="12"/>
  <c r="AA1663" i="12"/>
  <c r="AA2992" i="12"/>
  <c r="AA2998" i="12"/>
  <c r="AA2468" i="12"/>
  <c r="AA3229" i="12"/>
  <c r="AA1071" i="12"/>
  <c r="AA3296" i="12"/>
  <c r="AA857" i="12"/>
  <c r="AA1754" i="12"/>
  <c r="AA1499" i="12"/>
  <c r="AA1624" i="12"/>
  <c r="AA586" i="12"/>
  <c r="AA242" i="12"/>
  <c r="AA3527" i="12"/>
  <c r="AA977" i="12"/>
  <c r="AA2509" i="12"/>
  <c r="AA1777" i="12"/>
  <c r="AA2223" i="12"/>
  <c r="AA1015" i="12"/>
  <c r="AA1404" i="12"/>
  <c r="AA45" i="12"/>
  <c r="AA1778" i="12"/>
  <c r="AA3489" i="12"/>
  <c r="AA455" i="12"/>
  <c r="AA2587" i="12"/>
  <c r="AA551" i="12"/>
  <c r="AA926" i="12"/>
  <c r="AA3183" i="12"/>
  <c r="AA1079" i="12"/>
  <c r="AA1670" i="12"/>
  <c r="AA767" i="12"/>
  <c r="AA2226" i="12"/>
  <c r="AA1062" i="12"/>
  <c r="AA3198" i="12"/>
  <c r="AA3144" i="12"/>
  <c r="AA1580" i="12"/>
  <c r="AA1318" i="12"/>
  <c r="AA3237" i="12"/>
  <c r="AA344" i="12"/>
  <c r="AA2829" i="12"/>
  <c r="AA2277" i="12"/>
  <c r="AA3155" i="12"/>
  <c r="AA1304" i="12"/>
  <c r="AA1360" i="12"/>
  <c r="AA2119" i="12"/>
  <c r="AA1860" i="12"/>
  <c r="AA468" i="12"/>
  <c r="AA1402" i="12"/>
  <c r="AA2985" i="12"/>
  <c r="AA1183" i="12"/>
  <c r="AA709" i="12"/>
  <c r="AA2974" i="12"/>
  <c r="AA3481" i="12"/>
  <c r="AA1322" i="12"/>
  <c r="AA2882" i="12"/>
  <c r="AA3022" i="12"/>
  <c r="AA2897" i="12"/>
  <c r="AA762" i="12"/>
  <c r="AA3000" i="12"/>
  <c r="AA311" i="12"/>
  <c r="AA3199" i="12"/>
  <c r="AA511" i="12"/>
  <c r="AA2180" i="12"/>
  <c r="AA2868" i="12"/>
  <c r="AA2100" i="12"/>
  <c r="AA345" i="12"/>
  <c r="AA911" i="12"/>
  <c r="AA1749" i="12"/>
  <c r="AA1130" i="12"/>
  <c r="AA1535" i="12"/>
  <c r="AA900" i="12"/>
  <c r="AA1495" i="12"/>
  <c r="AA1069" i="12"/>
  <c r="AA3537" i="12"/>
  <c r="AA1303" i="12"/>
  <c r="AA2491" i="12"/>
  <c r="AA1204" i="12"/>
  <c r="AA2207" i="12"/>
  <c r="AA1684" i="12"/>
  <c r="AA1414" i="12"/>
  <c r="AA1250" i="12"/>
  <c r="AA2447" i="12"/>
  <c r="AA3085" i="12"/>
  <c r="AA967" i="12"/>
  <c r="AA3278" i="12"/>
  <c r="AA1721" i="12"/>
  <c r="AA2229" i="12"/>
  <c r="AA1073" i="12"/>
  <c r="AA2527" i="12"/>
  <c r="AA2427" i="12"/>
  <c r="AA374" i="12"/>
  <c r="AA878" i="12"/>
  <c r="AA938" i="12"/>
  <c r="AA1978" i="12"/>
  <c r="AA1639" i="12"/>
  <c r="AA1116" i="12"/>
  <c r="AA1946" i="12"/>
  <c r="AA3269" i="12"/>
  <c r="AA3382" i="12"/>
  <c r="AA2110" i="12"/>
  <c r="AA3241" i="12"/>
  <c r="AA2497" i="12"/>
  <c r="AA1779" i="12"/>
  <c r="AA3361" i="12"/>
  <c r="AA839" i="12"/>
  <c r="AA3017" i="12"/>
  <c r="AA1849" i="12"/>
  <c r="AA2134" i="12"/>
  <c r="AA387" i="12"/>
  <c r="AA2831" i="12"/>
  <c r="AA3448" i="12"/>
  <c r="AA2423" i="12"/>
  <c r="AA2623" i="12"/>
  <c r="AA731" i="12"/>
  <c r="AA1786" i="12"/>
  <c r="AA2287" i="12"/>
  <c r="AA719" i="12"/>
  <c r="AA2625" i="12"/>
  <c r="AA2612" i="12"/>
  <c r="AA2333" i="12"/>
  <c r="AA3080" i="12"/>
  <c r="AA2375" i="12"/>
  <c r="AA3119" i="12"/>
  <c r="AA1823" i="12"/>
  <c r="AA3100" i="12"/>
  <c r="AA3396" i="12"/>
  <c r="AA2390" i="12"/>
  <c r="AA675" i="12"/>
  <c r="AA134" i="12"/>
  <c r="AA2294" i="12"/>
  <c r="AA647" i="12"/>
  <c r="AA1508" i="12"/>
  <c r="AA1263" i="12"/>
  <c r="AA3496" i="12"/>
  <c r="AA328" i="12"/>
  <c r="AA2376" i="12"/>
  <c r="AA1149" i="12"/>
  <c r="AA2958" i="12"/>
  <c r="AA74" i="12"/>
  <c r="AA1642" i="12"/>
  <c r="AA442" i="12"/>
  <c r="AA2252" i="12"/>
  <c r="AA1641" i="12"/>
  <c r="AA1475" i="12"/>
  <c r="AA816" i="12"/>
  <c r="AA821" i="12"/>
  <c r="AA2095" i="12"/>
  <c r="AA2931" i="12"/>
  <c r="AA2699" i="12"/>
  <c r="AA569" i="12"/>
  <c r="AA3041" i="12"/>
  <c r="AA3363" i="12"/>
  <c r="AA919" i="12"/>
  <c r="AA2072" i="12"/>
  <c r="AA2378" i="12"/>
  <c r="AA3215" i="12"/>
  <c r="AA3303" i="12"/>
  <c r="AA2828" i="12"/>
  <c r="AA1135" i="12"/>
  <c r="AA1638" i="12"/>
  <c r="AA2754" i="12"/>
  <c r="AA397" i="12"/>
  <c r="AA327" i="12"/>
  <c r="AA1879" i="12"/>
  <c r="AA1311" i="12"/>
  <c r="AA3287" i="12"/>
  <c r="AA3549" i="12"/>
  <c r="AA2131" i="12"/>
  <c r="AA772" i="12"/>
  <c r="AA1443" i="12"/>
  <c r="AA39" i="12"/>
  <c r="AA1289" i="12"/>
  <c r="AA1353" i="12"/>
  <c r="AA1513" i="12"/>
  <c r="AA2317" i="12"/>
  <c r="AA791" i="12"/>
  <c r="AA1367" i="12"/>
  <c r="AA198" i="12"/>
  <c r="AA2258" i="12"/>
  <c r="AA2484" i="12"/>
  <c r="AA1596" i="12"/>
  <c r="AA2215" i="12"/>
  <c r="AA1200" i="12"/>
  <c r="AA1664" i="12"/>
  <c r="AA1695" i="12"/>
  <c r="AA2944" i="12"/>
  <c r="AA1756" i="12"/>
  <c r="AA1776" i="12"/>
  <c r="AA612" i="12"/>
  <c r="AA2113" i="12"/>
  <c r="AA3118" i="12"/>
  <c r="AA642" i="12"/>
  <c r="AA877" i="12"/>
  <c r="AA1405" i="12"/>
  <c r="AA2803" i="12"/>
  <c r="AA1308" i="12"/>
  <c r="AA3046" i="12"/>
  <c r="AA2877" i="12"/>
  <c r="AA2972" i="12"/>
  <c r="AA1827" i="12"/>
  <c r="AA1562" i="12"/>
  <c r="AA803" i="12"/>
  <c r="AA1258" i="12"/>
  <c r="AA2671" i="12"/>
  <c r="AA1113" i="12"/>
  <c r="AA2289" i="12"/>
  <c r="AA2766" i="12"/>
  <c r="AA3406" i="12"/>
  <c r="AA1623" i="12"/>
  <c r="AA2090" i="12"/>
  <c r="AA2589" i="12"/>
  <c r="AA993" i="12"/>
  <c r="AA3441" i="12"/>
  <c r="AA788" i="12"/>
  <c r="AA2124" i="12"/>
  <c r="AA2319" i="12"/>
  <c r="AA1504" i="12"/>
  <c r="AA2720" i="12"/>
  <c r="AA1720" i="12"/>
  <c r="AA2584" i="12"/>
  <c r="AA2146" i="12"/>
  <c r="AA3290" i="12"/>
  <c r="AA1078" i="12"/>
  <c r="AA1818" i="12"/>
  <c r="AA3228" i="12"/>
  <c r="AA1484" i="12"/>
  <c r="AA1232" i="12"/>
  <c r="AA2968" i="12"/>
  <c r="AA3135" i="12"/>
  <c r="AA1881" i="12"/>
  <c r="AA2643" i="12"/>
  <c r="AA3245" i="12"/>
  <c r="AA3493" i="12"/>
  <c r="AA1371" i="12"/>
  <c r="AA77" i="12"/>
  <c r="AA2936" i="12"/>
  <c r="AA999" i="12"/>
  <c r="AA276" i="12"/>
  <c r="AA219" i="12"/>
  <c r="AA2705" i="12"/>
  <c r="AA2184" i="12"/>
  <c r="AA1297" i="12"/>
  <c r="AA3262" i="12"/>
  <c r="AA2255" i="12"/>
  <c r="AA706" i="12"/>
  <c r="AA2560" i="12"/>
  <c r="AA352" i="12"/>
  <c r="AA2438" i="12"/>
  <c r="AA637" i="12"/>
  <c r="AA2256" i="12"/>
  <c r="AA753" i="12"/>
  <c r="AA3544" i="12"/>
  <c r="AA2170" i="12"/>
  <c r="AA1476" i="12"/>
  <c r="AA986" i="12"/>
  <c r="AA1514" i="12"/>
  <c r="AA407" i="12"/>
  <c r="AA2538" i="12"/>
  <c r="AA819" i="12"/>
  <c r="AA2979" i="12"/>
  <c r="AA1156" i="12"/>
  <c r="AA2485" i="12"/>
  <c r="AA1908" i="12"/>
  <c r="AA2534" i="12"/>
  <c r="AA3143" i="12"/>
  <c r="AA676" i="12"/>
  <c r="AA2557" i="12"/>
  <c r="AA2762" i="12"/>
  <c r="AA1473" i="12"/>
  <c r="AA2330" i="12"/>
  <c r="AA981" i="12"/>
  <c r="AA725" i="12"/>
  <c r="AA1291" i="12"/>
  <c r="AA1751" i="12"/>
  <c r="AA257" i="12"/>
  <c r="AA3120" i="12"/>
  <c r="AA126" i="12"/>
  <c r="AA1523" i="12"/>
  <c r="AA2739" i="12"/>
  <c r="AA1099" i="12"/>
  <c r="AA2741" i="12"/>
  <c r="AA100" i="12"/>
  <c r="AA807" i="12"/>
  <c r="AA930" i="12"/>
  <c r="AA844" i="12"/>
  <c r="AA2036" i="12"/>
  <c r="AA1070" i="12"/>
  <c r="AA525" i="12"/>
  <c r="AA29" i="12"/>
  <c r="AA1361" i="12"/>
  <c r="AA178" i="12"/>
  <c r="AA1449" i="12"/>
  <c r="AA2573" i="12"/>
  <c r="AA210" i="12"/>
  <c r="AA815" i="12"/>
  <c r="AA1727" i="12"/>
  <c r="AA2451" i="12"/>
  <c r="AA1590" i="12"/>
  <c r="AA378" i="12"/>
  <c r="AA2105" i="12"/>
  <c r="AA1994" i="12"/>
  <c r="AA699" i="12"/>
  <c r="AA1246" i="12"/>
  <c r="AA1822" i="12"/>
  <c r="AA2430" i="12"/>
  <c r="AA2140" i="12"/>
  <c r="AA2950" i="12"/>
  <c r="AA204" i="12"/>
  <c r="AA593" i="12"/>
  <c r="AA889" i="12"/>
  <c r="AA2424" i="12"/>
  <c r="AA1744" i="12"/>
  <c r="AA2416" i="12"/>
  <c r="AA2651" i="12"/>
  <c r="AA928" i="12"/>
  <c r="AA674" i="12"/>
  <c r="AA954" i="12"/>
  <c r="AA1521" i="12"/>
  <c r="AA1937" i="12"/>
  <c r="AA2138" i="12"/>
  <c r="AA3532" i="12"/>
  <c r="AA965" i="12"/>
  <c r="AA3464" i="12"/>
  <c r="AA471" i="12"/>
  <c r="AA3196" i="12"/>
  <c r="AA3249" i="12"/>
  <c r="AA2059" i="12"/>
  <c r="AA3457" i="12"/>
  <c r="AA1091" i="12"/>
  <c r="AA750" i="12"/>
  <c r="AA1434" i="12"/>
  <c r="AA2869" i="12"/>
  <c r="AA1682" i="12"/>
  <c r="AA1088" i="12"/>
  <c r="AA2575" i="12"/>
  <c r="AA3164" i="12"/>
  <c r="AA194" i="12"/>
  <c r="AA806" i="12"/>
  <c r="AA571" i="12"/>
  <c r="AA47" i="12"/>
  <c r="AA2934" i="12"/>
  <c r="AA1213" i="12"/>
  <c r="AA2486" i="12"/>
  <c r="AA1694" i="12"/>
  <c r="AA980" i="12"/>
  <c r="AA1741" i="12"/>
  <c r="AA2185" i="12"/>
  <c r="AA1904" i="12"/>
  <c r="AA1542" i="12"/>
  <c r="AA56" i="12"/>
  <c r="AA269" i="12"/>
  <c r="AA393" i="12"/>
  <c r="AA362" i="12"/>
  <c r="AA1999" i="12"/>
  <c r="AA1807" i="12"/>
  <c r="AA2729" i="12"/>
  <c r="AA2908" i="12"/>
  <c r="AA2109" i="12"/>
  <c r="AA3218" i="12"/>
  <c r="AA1228" i="12"/>
  <c r="AA2746" i="12"/>
  <c r="AA2825" i="12"/>
  <c r="AA3449" i="12"/>
  <c r="AA2655" i="12"/>
  <c r="AA1320" i="12"/>
  <c r="AA1170" i="12"/>
  <c r="AA1701" i="12"/>
  <c r="AA3271" i="12"/>
  <c r="AA3043" i="12"/>
  <c r="AA2120" i="12"/>
  <c r="AA3315" i="12"/>
  <c r="AA2332" i="12"/>
  <c r="AA2947" i="12"/>
  <c r="AA3304" i="12"/>
  <c r="AA556" i="12"/>
  <c r="AA2638" i="12"/>
  <c r="AA2281" i="12"/>
  <c r="AA3006" i="12"/>
  <c r="AA3323" i="12"/>
  <c r="AA258" i="12"/>
  <c r="AA763" i="12"/>
  <c r="AA1566" i="12"/>
  <c r="AA2150" i="12"/>
  <c r="AA1947" i="12"/>
  <c r="AA2715" i="12"/>
  <c r="AA466" i="12"/>
  <c r="AA868" i="12"/>
  <c r="AA2304" i="12"/>
  <c r="AA2200" i="12"/>
  <c r="AA526" i="12"/>
  <c r="AA2476" i="12"/>
  <c r="AA1579" i="12"/>
  <c r="AA1336" i="12"/>
  <c r="AA2338" i="12"/>
  <c r="AA481" i="12"/>
  <c r="AA2598" i="12"/>
  <c r="AA1546" i="12"/>
  <c r="AA428" i="12"/>
  <c r="AA622" i="12"/>
  <c r="AA2794" i="12"/>
  <c r="AA3078" i="12"/>
  <c r="AA565" i="12"/>
  <c r="AA150" i="12"/>
  <c r="AA59" i="12"/>
  <c r="AA2515" i="12"/>
  <c r="AA390" i="12"/>
  <c r="AA2212" i="12"/>
  <c r="AA2442" i="12"/>
  <c r="AA474" i="12"/>
  <c r="AA2216" i="12"/>
  <c r="AA975" i="12"/>
  <c r="AA1716" i="12"/>
  <c r="AA1772" i="12"/>
  <c r="AA3152" i="12"/>
  <c r="AA664" i="12"/>
  <c r="AA1288" i="12"/>
  <c r="AA1160" i="12"/>
  <c r="AA2630" i="12"/>
  <c r="AA3039" i="12"/>
  <c r="AA473" i="12"/>
  <c r="AA3184" i="12"/>
  <c r="AA1255" i="12"/>
  <c r="AA1445" i="12"/>
  <c r="AA2595" i="12"/>
  <c r="AA72" i="12"/>
  <c r="AA2590" i="12"/>
  <c r="AA1372" i="12"/>
  <c r="AA1714" i="12"/>
  <c r="AA874" i="12"/>
  <c r="AA2305" i="12"/>
  <c r="AA67" i="12"/>
  <c r="AA1251" i="12"/>
  <c r="AA826" i="12"/>
  <c r="AA509" i="12"/>
  <c r="AA3472" i="12"/>
  <c r="AA1010" i="12"/>
  <c r="AA3297" i="12"/>
  <c r="AA172" i="12"/>
  <c r="AA1865" i="12"/>
  <c r="AA606" i="12"/>
  <c r="AA349" i="12"/>
  <c r="AA2973" i="12"/>
  <c r="AA1461" i="12"/>
  <c r="AA277" i="12"/>
  <c r="AA2303" i="12"/>
  <c r="AA2307" i="12"/>
  <c r="AA3319" i="12"/>
  <c r="AA1490" i="12"/>
  <c r="AA717" i="12"/>
  <c r="AA292" i="12"/>
  <c r="AA50" i="12"/>
  <c r="AA529" i="12"/>
  <c r="AA3470" i="12"/>
  <c r="AA632" i="12"/>
  <c r="AA1673" i="12"/>
  <c r="AA1133" i="12"/>
  <c r="AA611" i="12"/>
  <c r="AA1519" i="12"/>
  <c r="AA2276" i="12"/>
  <c r="AA1862" i="12"/>
  <c r="AA2990" i="12"/>
  <c r="AA1644" i="12"/>
  <c r="AA2708" i="12"/>
  <c r="AA48" i="12"/>
  <c r="AA1167" i="12"/>
  <c r="AA2983" i="12"/>
  <c r="AA1397" i="12"/>
  <c r="AA1963" i="12"/>
  <c r="AA2895" i="12"/>
  <c r="AA1982" i="12"/>
  <c r="AA906" i="12"/>
  <c r="AA1285" i="12"/>
  <c r="AA1791" i="12"/>
  <c r="AA2592" i="12"/>
  <c r="AA1960" i="12"/>
  <c r="AA1416" i="12"/>
  <c r="AA2125" i="12"/>
  <c r="AA138" i="12"/>
  <c r="AA915" i="12"/>
  <c r="AA3320" i="12"/>
  <c r="AA3347" i="12"/>
  <c r="AA1793" i="12"/>
  <c r="AA796" i="12"/>
  <c r="AA1798" i="12"/>
  <c r="AA2804" i="12"/>
  <c r="AA2085" i="12"/>
  <c r="AA2717" i="12"/>
  <c r="AA3124" i="12"/>
  <c r="AA1806" i="12"/>
  <c r="AA318" i="12"/>
  <c r="AA3473" i="12"/>
  <c r="AA2511" i="12"/>
  <c r="AA2209" i="12"/>
  <c r="AA2846" i="12"/>
  <c r="AA291" i="12"/>
  <c r="AA740" i="12"/>
  <c r="AA567" i="12"/>
  <c r="AA1420" i="12"/>
  <c r="AA1178" i="12"/>
  <c r="AA1594" i="12"/>
  <c r="AA1253" i="12"/>
  <c r="AA2056" i="12"/>
  <c r="AA2871" i="12"/>
  <c r="AA1537" i="12"/>
  <c r="AA684" i="12"/>
  <c r="AA1820" i="12"/>
  <c r="AA3102" i="12"/>
  <c r="AA80" i="12"/>
  <c r="AA209" i="12"/>
  <c r="AA332" i="12"/>
  <c r="AA365" i="12"/>
  <c r="AA2118" i="12"/>
  <c r="AA748" i="12"/>
  <c r="AA2235" i="12"/>
  <c r="AA2663" i="12"/>
  <c r="AA230" i="12"/>
  <c r="AA3515" i="12"/>
  <c r="AA620" i="12"/>
  <c r="AA1707" i="12"/>
  <c r="AA2270" i="12"/>
  <c r="AA296" i="12"/>
  <c r="AA1763" i="12"/>
  <c r="AA1576" i="12"/>
  <c r="AA3187" i="12"/>
  <c r="AA2045" i="12"/>
  <c r="AA3044" i="12"/>
  <c r="AA408" i="12"/>
  <c r="AA2577" i="12"/>
  <c r="AA3426" i="12"/>
  <c r="AA3335" i="12"/>
  <c r="AA2220" i="12"/>
  <c r="AA3521" i="12"/>
  <c r="AA913" i="12"/>
  <c r="AA1140" i="12"/>
  <c r="AA392" i="12"/>
  <c r="AA711" i="12"/>
  <c r="AA173" i="12"/>
  <c r="AA135" i="12"/>
  <c r="AA2472" i="12"/>
  <c r="AA655" i="12"/>
  <c r="AA755" i="12"/>
  <c r="AA1672" i="12"/>
  <c r="AA480" i="12"/>
  <c r="AA2549" i="12"/>
  <c r="AA1252" i="12"/>
  <c r="AA1505" i="12"/>
  <c r="AA3067" i="12"/>
  <c r="AA2966" i="12"/>
  <c r="AA958" i="12"/>
  <c r="AA2674" i="12"/>
  <c r="AA2960" i="12"/>
  <c r="AA1512" i="12"/>
  <c r="AA1480" i="12"/>
  <c r="AA2148" i="12"/>
  <c r="AA43" i="12"/>
  <c r="AA2234" i="12"/>
  <c r="AA1147" i="12"/>
  <c r="AA2186" i="12"/>
  <c r="AA1492" i="12"/>
  <c r="AA1764" i="12"/>
  <c r="AA238" i="12"/>
  <c r="AA3294" i="12"/>
  <c r="AA463" i="12"/>
  <c r="AA925" i="12"/>
  <c r="AA2240" i="12"/>
  <c r="AA2301" i="12"/>
  <c r="AA2372" i="12"/>
  <c r="AA3471" i="12"/>
  <c r="AA808" i="12"/>
  <c r="AA1439" i="12"/>
  <c r="AA2520" i="12"/>
  <c r="AA3438" i="12"/>
  <c r="AA2576" i="12"/>
  <c r="AA1290" i="12"/>
  <c r="AA2047" i="12"/>
  <c r="AA2076" i="12"/>
  <c r="AA1384" i="12"/>
  <c r="AA1138" i="12"/>
  <c r="AA1503" i="12"/>
  <c r="AA331" i="12"/>
  <c r="AA562" i="12"/>
  <c r="AA2753" i="12"/>
  <c r="AA66" i="12"/>
  <c r="AA1829" i="12"/>
  <c r="AA1553" i="12"/>
  <c r="AA1469" i="12"/>
  <c r="AA1666" i="12"/>
  <c r="AA704" i="12"/>
  <c r="AA2607" i="12"/>
  <c r="AA3502" i="12"/>
  <c r="AA2737" i="12"/>
  <c r="AA1465" i="12"/>
  <c r="AA1451" i="12"/>
  <c r="AA2251" i="12"/>
  <c r="AA2175" i="12"/>
  <c r="AA2823" i="12"/>
  <c r="AA2600" i="12"/>
  <c r="AA512" i="12"/>
  <c r="AA1409" i="12"/>
  <c r="AA996" i="12"/>
  <c r="AA1182" i="12"/>
  <c r="AA2089" i="12"/>
  <c r="AA523" i="12"/>
  <c r="AA1843" i="12"/>
  <c r="AA320" i="12"/>
  <c r="AA893" i="12"/>
  <c r="AA285" i="12"/>
  <c r="AA3257" i="12"/>
  <c r="AA1148" i="12"/>
  <c r="AA1941" i="12"/>
  <c r="AA886" i="12"/>
  <c r="AA1278" i="12"/>
  <c r="AA2905" i="12"/>
  <c r="AA1374" i="12"/>
  <c r="AA2128" i="12"/>
  <c r="AA2129" i="12"/>
  <c r="AA1260" i="12"/>
  <c r="AA963" i="12"/>
  <c r="AA2519" i="12"/>
  <c r="AA1906" i="12"/>
  <c r="AA2539" i="12"/>
  <c r="AA3531" i="12"/>
  <c r="AA287" i="12"/>
  <c r="AA601" i="12"/>
  <c r="AA1185" i="12"/>
  <c r="AA324" i="12"/>
  <c r="AA1496" i="12"/>
  <c r="AA2325" i="12"/>
  <c r="AA983" i="12"/>
  <c r="AA2616" i="12"/>
  <c r="AA599" i="12"/>
  <c r="AA2940" i="12"/>
  <c r="AA2562" i="12"/>
  <c r="AA149" i="12"/>
  <c r="AA1828" i="12"/>
  <c r="AA2880" i="12"/>
  <c r="AA300" i="12"/>
  <c r="AA775" i="12"/>
  <c r="AA2274" i="12"/>
  <c r="AA2096" i="12"/>
  <c r="AA1168" i="12"/>
  <c r="AA572" i="12"/>
  <c r="AA1239" i="12"/>
  <c r="AA542" i="12"/>
  <c r="AA1444" i="12"/>
  <c r="AA1163" i="12"/>
  <c r="AA2742" i="12"/>
  <c r="AA2151" i="12"/>
  <c r="AA3021" i="12"/>
  <c r="AA1675" i="12"/>
  <c r="AA2561" i="12"/>
  <c r="AA156" i="12"/>
  <c r="AA1736" i="12"/>
  <c r="AA1286" i="12"/>
  <c r="AA3035" i="12"/>
  <c r="AA3436" i="12"/>
  <c r="AA1816" i="12"/>
  <c r="AA1076" i="12"/>
  <c r="AA2991" i="12"/>
  <c r="AA700" i="12"/>
  <c r="AA3115" i="12"/>
  <c r="AA3530" i="12"/>
  <c r="AA3308" i="12"/>
  <c r="AA2458" i="12"/>
  <c r="AA2861" i="12"/>
  <c r="AA3551" i="12"/>
  <c r="AA2064" i="12"/>
  <c r="AA3484" i="12"/>
  <c r="AA2805" i="12"/>
  <c r="AA1799" i="12"/>
  <c r="AA2578" i="12"/>
  <c r="AA2856" i="12"/>
  <c r="AA2690" i="12"/>
  <c r="AA787" i="12"/>
  <c r="AA3002" i="12"/>
  <c r="AA2315" i="12"/>
  <c r="AA649" i="12"/>
  <c r="AA354" i="12"/>
  <c r="AA2842" i="12"/>
  <c r="AA1916" i="12"/>
  <c r="AA2946" i="12"/>
  <c r="AA3195" i="12"/>
  <c r="AA2022" i="12"/>
  <c r="AA2169" i="12"/>
  <c r="AA2838" i="12"/>
  <c r="AA521" i="12"/>
  <c r="AA2081" i="12"/>
  <c r="AA3255" i="12"/>
  <c r="AA1887" i="12"/>
  <c r="AA665" i="12"/>
  <c r="AA86" i="12"/>
  <c r="AA1090" i="12"/>
  <c r="AA625" i="12"/>
  <c r="AA2152" i="12"/>
  <c r="AA2789" i="12"/>
  <c r="AA233" i="12"/>
  <c r="AA20" i="12"/>
  <c r="AA3390" i="12"/>
  <c r="AA1337" i="12"/>
  <c r="AA1636" i="12"/>
  <c r="AA2154" i="12"/>
  <c r="AA641" i="12"/>
  <c r="AA1712" i="12"/>
  <c r="AA1052" i="12"/>
  <c r="AA544" i="12"/>
  <c r="AA1176" i="12"/>
  <c r="AA2455" i="12"/>
  <c r="AA2139" i="12"/>
  <c r="AA99" i="12"/>
  <c r="AA2463" i="12"/>
  <c r="AA2267" i="12"/>
  <c r="AA1005" i="12"/>
  <c r="AA2478" i="12"/>
  <c r="AA182" i="12"/>
  <c r="AA1789" i="12"/>
  <c r="AA2434" i="12"/>
  <c r="AA3087" i="12"/>
  <c r="AA921" i="12"/>
  <c r="AA267" i="12"/>
  <c r="AA243" i="12"/>
  <c r="AA685" i="12"/>
  <c r="AA2450" i="12"/>
  <c r="AA1844" i="12"/>
  <c r="AA2102" i="12"/>
  <c r="AA2911" i="12"/>
  <c r="AA2656" i="12"/>
  <c r="AA2132" i="12"/>
  <c r="AA2187" i="12"/>
  <c r="AA3238" i="12"/>
  <c r="AA94" i="12"/>
  <c r="AA1723" i="12"/>
  <c r="AA790" i="12"/>
  <c r="AA559" i="12"/>
  <c r="AA2217" i="12"/>
  <c r="AA2249" i="12"/>
  <c r="AA37" i="12"/>
  <c r="AA3318" i="12"/>
  <c r="AA2602" i="12"/>
  <c r="AA304" i="12"/>
  <c r="AA1524" i="12"/>
  <c r="AA1493" i="12"/>
  <c r="AA1009" i="12"/>
  <c r="AA650" i="12"/>
  <c r="AA1888" i="12"/>
  <c r="AA1952" i="12"/>
  <c r="AA2994" i="12"/>
  <c r="AA434" i="12"/>
  <c r="AA436" i="12"/>
  <c r="AA2910" i="12"/>
  <c r="AA1567" i="12"/>
  <c r="AA2727" i="12"/>
  <c r="AA836" i="12"/>
  <c r="AA1362" i="12"/>
  <c r="AA3483" i="12"/>
  <c r="AA1516" i="12"/>
  <c r="AA1081" i="12"/>
  <c r="AA644" i="12"/>
  <c r="AA1629" i="12"/>
  <c r="AA177" i="12"/>
  <c r="AA3212" i="12"/>
  <c r="AA3288" i="12"/>
  <c r="AA1393" i="12"/>
  <c r="AA578" i="12"/>
  <c r="AA3110" i="12"/>
  <c r="AA1279" i="12"/>
  <c r="AA692" i="12"/>
  <c r="AA1283" i="12"/>
  <c r="AA3353" i="12"/>
  <c r="AA656" i="12"/>
  <c r="AA2721" i="12"/>
  <c r="AA1676" i="12"/>
  <c r="AA170" i="12"/>
  <c r="AA2364" i="12"/>
  <c r="AA55" i="12"/>
  <c r="AA1733" i="12"/>
  <c r="AA3132" i="12"/>
  <c r="AA2356" i="12"/>
  <c r="AA3430" i="12"/>
  <c r="AA1431" i="12"/>
  <c r="AA1274" i="12"/>
  <c r="AA343" i="12"/>
  <c r="AA2248" i="12"/>
  <c r="AA2553" i="12"/>
  <c r="AA2734" i="12"/>
  <c r="AA2967" i="12"/>
  <c r="AA359" i="12"/>
  <c r="AA330" i="12"/>
  <c r="AA2357" i="12"/>
  <c r="AA2591" i="12"/>
  <c r="AA3286" i="12"/>
  <c r="AA274" i="12"/>
  <c r="AA1592" i="12"/>
  <c r="AA347" i="12"/>
  <c r="AA2743" i="12"/>
  <c r="AA929" i="12"/>
  <c r="AA255" i="12"/>
  <c r="AA530" i="12"/>
  <c r="AA1867" i="12"/>
  <c r="AA2388" i="12"/>
  <c r="AA1072" i="12"/>
  <c r="AA1568" i="12"/>
  <c r="AA451" i="12"/>
  <c r="AA1132" i="12"/>
  <c r="AA860" i="12"/>
  <c r="AA2532" i="12"/>
  <c r="AA623" i="12"/>
  <c r="AA1802" i="12"/>
  <c r="AA213" i="12"/>
  <c r="AA1437" i="12"/>
  <c r="AA1055" i="12"/>
  <c r="AA2092" i="12"/>
  <c r="AA3525" i="12"/>
  <c r="AA2193" i="12"/>
  <c r="AA3291" i="12"/>
  <c r="AA2399" i="12"/>
  <c r="AA1773" i="12"/>
  <c r="AA1317" i="12"/>
  <c r="AA1219" i="12"/>
  <c r="AA78" i="12"/>
  <c r="AA3104" i="12"/>
  <c r="AA3114" i="12"/>
  <c r="AA2443" i="12"/>
  <c r="AA2822" i="12"/>
  <c r="AA1161" i="12"/>
  <c r="AA1933" i="12"/>
  <c r="AA1574" i="12"/>
  <c r="AA1489" i="12"/>
  <c r="AA3310" i="12"/>
  <c r="AA3142" i="12"/>
  <c r="AA130" i="12"/>
  <c r="AA2798" i="12"/>
  <c r="AA3340" i="12"/>
  <c r="AA1678" i="12"/>
  <c r="AA2670" i="12"/>
  <c r="AA2554" i="12"/>
  <c r="AA553" i="12"/>
  <c r="AA997" i="12"/>
  <c r="AA653" i="12"/>
  <c r="AA380" i="12"/>
  <c r="AA3437" i="12"/>
  <c r="AA3268" i="12"/>
  <c r="AA2130" i="12"/>
  <c r="AA1745" i="12"/>
  <c r="AA735" i="12"/>
  <c r="AA2827" i="12"/>
  <c r="AA2337" i="12"/>
  <c r="AA3082" i="12"/>
  <c r="AA485" i="12"/>
  <c r="AA1549" i="12"/>
  <c r="AA3098" i="12"/>
  <c r="AA2652" i="12"/>
  <c r="AA1662" i="12"/>
  <c r="AA2004" i="12"/>
  <c r="AA3342" i="12"/>
  <c r="AA153" i="12"/>
  <c r="AA1980" i="12"/>
  <c r="AA550" i="12"/>
  <c r="AA3332" i="12"/>
  <c r="AA405" i="12"/>
  <c r="AA2326" i="12"/>
  <c r="AA842" i="12"/>
  <c r="AA2262" i="12"/>
  <c r="AA3055" i="12"/>
  <c r="AA2190" i="12"/>
  <c r="AA493" i="12"/>
  <c r="AA1758" i="12"/>
  <c r="AA1702" i="12"/>
  <c r="AA1557" i="12"/>
  <c r="AA256" i="12"/>
  <c r="AA3248" i="12"/>
  <c r="AA1119" i="12"/>
  <c r="AA224" i="12"/>
  <c r="AA2369" i="12"/>
  <c r="AA435" i="12"/>
  <c r="AA1985" i="12"/>
  <c r="AA1797" i="12"/>
  <c r="AA3008" i="12"/>
  <c r="AA1189" i="12"/>
  <c r="AA524" i="12"/>
  <c r="AA1872" i="12"/>
  <c r="AA1825" i="12"/>
  <c r="AA1622" i="12"/>
  <c r="AA605" i="12"/>
  <c r="AA714" i="12"/>
  <c r="AA3274" i="12"/>
  <c r="AA469" i="12"/>
  <c r="AA1157" i="12"/>
  <c r="AA1766" i="12"/>
  <c r="AA2335" i="12"/>
  <c r="AA2937" i="12"/>
  <c r="AA3389" i="12"/>
  <c r="AA2354" i="12"/>
  <c r="AA2504" i="12"/>
  <c r="AA1515" i="12"/>
  <c r="AA159" i="12"/>
  <c r="AA289" i="12"/>
  <c r="AA1014" i="12"/>
  <c r="AA514" i="12"/>
  <c r="AA1732" i="12"/>
  <c r="AA1950" i="12"/>
  <c r="AA1036" i="12"/>
  <c r="AA3263" i="12"/>
  <c r="AA396" i="12"/>
  <c r="AA1500" i="12"/>
  <c r="AA673" i="12"/>
  <c r="AA2039" i="12"/>
  <c r="AA2121" i="12"/>
  <c r="AA733" i="12"/>
  <c r="AA234" i="12"/>
  <c r="AA2916" i="12"/>
  <c r="AA1696" i="12"/>
  <c r="AA2965" i="12"/>
  <c r="AA848" i="12"/>
  <c r="AA1270" i="12"/>
  <c r="AA1121" i="12"/>
  <c r="AA2639" i="12"/>
  <c r="AA2010" i="12"/>
  <c r="AA2374" i="12"/>
  <c r="AA804" i="12"/>
  <c r="AA1588" i="12"/>
  <c r="AA1757" i="12"/>
  <c r="AA2993" i="12"/>
  <c r="AA2687" i="12"/>
  <c r="AA112" i="12"/>
  <c r="AA2298" i="12"/>
  <c r="AA1215" i="12"/>
  <c r="AA109" i="12"/>
  <c r="AA2195" i="12"/>
  <c r="AA2551" i="12"/>
  <c r="AA185" i="12"/>
  <c r="AA2633" i="12"/>
  <c r="AA2904" i="12"/>
  <c r="AA828" i="12"/>
  <c r="AA141" i="12"/>
  <c r="AA1668" i="12"/>
  <c r="AA1257" i="12"/>
  <c r="AA2634" i="12"/>
  <c r="AA984" i="12"/>
  <c r="AA3384" i="12"/>
  <c r="AA2971" i="12"/>
  <c r="AA1436" i="12"/>
  <c r="AA1470" i="12"/>
  <c r="AA400" i="12"/>
  <c r="AA1202" i="12"/>
  <c r="AA3289" i="12"/>
  <c r="AA1207" i="12"/>
  <c r="AA98" i="12"/>
  <c r="AA1899" i="12"/>
  <c r="AA3029" i="12"/>
  <c r="AA695" i="12"/>
  <c r="AA1787" i="12"/>
  <c r="AA1396" i="12"/>
  <c r="AA3300" i="12"/>
  <c r="AA424" i="12"/>
  <c r="AA853" i="12"/>
  <c r="AA1408" i="12"/>
  <c r="AA2784" i="12"/>
  <c r="AA40" i="12"/>
  <c r="AA2878" i="12"/>
  <c r="AA1494" i="12"/>
  <c r="AA1878" i="12"/>
  <c r="AA2597" i="12"/>
  <c r="AA3227" i="12"/>
  <c r="AA703" i="12"/>
  <c r="AA3404" i="12"/>
  <c r="AA2817" i="12"/>
  <c r="AA2068" i="12"/>
  <c r="AA2469" i="12"/>
  <c r="AA1986" i="12"/>
  <c r="AA3309" i="12"/>
  <c r="AA713" i="12"/>
  <c r="AA3026" i="12"/>
  <c r="AA2558" i="12"/>
  <c r="AA2413" i="12"/>
  <c r="AA1891" i="12"/>
  <c r="AA140" i="12"/>
  <c r="AA2695" i="12"/>
  <c r="AA3386" i="12"/>
  <c r="AA1661" i="12"/>
  <c r="AA710" i="12"/>
  <c r="AA2342" i="12"/>
  <c r="AA1236" i="12"/>
  <c r="AA2321" i="12"/>
  <c r="AA3256" i="12"/>
  <c r="AA2795" i="12"/>
  <c r="AA799" i="12"/>
  <c r="AA718" i="12"/>
  <c r="AA2783" i="12"/>
  <c r="AA1401" i="12"/>
  <c r="AA2452" i="12"/>
  <c r="AA3331" i="12"/>
  <c r="AA1087" i="12"/>
  <c r="AA418" i="12"/>
  <c r="AA181" i="12"/>
  <c r="AA951" i="12"/>
  <c r="AA301" i="12"/>
  <c r="AA2213" i="12"/>
  <c r="AA2646" i="12"/>
  <c r="AA2135" i="12"/>
  <c r="AA370" i="12"/>
  <c r="AA28" i="12"/>
  <c r="AA1354" i="12"/>
  <c r="AA1146" i="12"/>
  <c r="AA1047" i="12"/>
  <c r="AA2312" i="12"/>
  <c r="AA590" i="12"/>
  <c r="AA802" i="12"/>
  <c r="AA2559" i="12"/>
  <c r="AA1298" i="12"/>
  <c r="AA2232" i="12"/>
  <c r="AA1056" i="12"/>
  <c r="AA2093" i="12"/>
  <c r="AA3375" i="12"/>
  <c r="AA3090" i="12"/>
  <c r="AA2514" i="12"/>
  <c r="AA1874" i="12"/>
  <c r="AA2957" i="12"/>
  <c r="AA736" i="12"/>
  <c r="AA2852" i="12"/>
  <c r="AA2431" i="12"/>
  <c r="AA564" i="12"/>
  <c r="AA2768" i="12"/>
  <c r="AA2202" i="12"/>
  <c r="AA2922" i="12"/>
  <c r="AA1478" i="12"/>
  <c r="AA3057" i="12"/>
  <c r="AA1864" i="12"/>
  <c r="AA3154" i="12"/>
  <c r="AA1866" i="12"/>
  <c r="AA870" i="12"/>
  <c r="AA2666" i="12"/>
  <c r="AA1674" i="12"/>
  <c r="AA2242" i="12"/>
  <c r="AA272" i="12"/>
  <c r="AA1340" i="12"/>
  <c r="AA2912" i="12"/>
  <c r="AA2239" i="12"/>
  <c r="AA3048" i="12"/>
  <c r="AA1540" i="12"/>
  <c r="AA2437" i="12"/>
  <c r="AA2168" i="12"/>
  <c r="AA1342" i="12"/>
  <c r="AA2238" i="12"/>
  <c r="AA2288" i="12"/>
  <c r="AA2042" i="12"/>
  <c r="AA2395" i="12"/>
  <c r="AA2500" i="12"/>
  <c r="AA2269" i="12"/>
  <c r="AA1992" i="12"/>
  <c r="AA164" i="12"/>
  <c r="AA2001" i="12"/>
  <c r="AA1841" i="12"/>
  <c r="AA2097" i="12"/>
  <c r="AA2065" i="12"/>
  <c r="AA2345" i="12"/>
  <c r="AA3052" i="12"/>
  <c r="AA3545" i="12"/>
  <c r="AA1389" i="12"/>
  <c r="AA3182" i="12"/>
  <c r="AA3334" i="12"/>
  <c r="AA2650" i="12"/>
  <c r="AA1006" i="12"/>
  <c r="AA639" i="12"/>
  <c r="AA2698" i="12"/>
  <c r="AA2601" i="12"/>
  <c r="AA3202" i="12"/>
  <c r="AA1584" i="12"/>
  <c r="AA522" i="12"/>
  <c r="AA2490" i="12"/>
  <c r="AA3339" i="12"/>
  <c r="AA293" i="12"/>
  <c r="AA1042" i="12"/>
  <c r="AA3099" i="12"/>
  <c r="AA2594" i="12"/>
  <c r="AA1958" i="12"/>
  <c r="AA1533" i="12"/>
  <c r="AA1880" i="12"/>
  <c r="AA863" i="12"/>
  <c r="AA2755" i="12"/>
  <c r="AA1554" i="12"/>
  <c r="AA2417" i="12"/>
  <c r="AA1058" i="12"/>
  <c r="AA3146" i="12"/>
  <c r="AA2483" i="12"/>
  <c r="AA785" i="12"/>
  <c r="AA696" i="12"/>
  <c r="AA1038" i="12"/>
  <c r="AA2771" i="12"/>
  <c r="AA3014" i="12"/>
  <c r="AA309" i="12"/>
  <c r="AA1564" i="12"/>
  <c r="AA2365" i="12"/>
  <c r="AA1936" i="12"/>
  <c r="AA253" i="12"/>
  <c r="AA2756" i="12"/>
  <c r="AA1710" i="12"/>
  <c r="AA3546" i="12"/>
  <c r="AA3403" i="12"/>
  <c r="AA1295" i="12"/>
  <c r="AA2898" i="12"/>
  <c r="AA2440" i="12"/>
  <c r="AA1145" i="12"/>
  <c r="AA2593" i="12"/>
  <c r="AA3093" i="12"/>
  <c r="AA3071" i="12"/>
  <c r="AA2778" i="12"/>
  <c r="AA1938" i="12"/>
  <c r="AA2496" i="12"/>
  <c r="AA2432" i="12"/>
  <c r="AA2552" i="12"/>
  <c r="AA1139" i="12"/>
  <c r="AA2691" i="12"/>
  <c r="AA2177" i="12"/>
  <c r="AA1651" i="12"/>
  <c r="AA358" i="12"/>
  <c r="AA1810" i="12"/>
  <c r="AA2765" i="12"/>
  <c r="AA1448" i="12"/>
  <c r="AA2975" i="12"/>
  <c r="AA1003" i="12"/>
  <c r="AA2318" i="12"/>
  <c r="AA990" i="12"/>
  <c r="AA2567" i="12"/>
  <c r="AA3463" i="12"/>
  <c r="AA1767" i="12"/>
  <c r="AA310" i="12"/>
  <c r="AA1043" i="12"/>
  <c r="AA89" i="12"/>
  <c r="AA1388" i="12"/>
  <c r="AA2018" i="12"/>
  <c r="AA413" i="12"/>
  <c r="AA2079" i="12"/>
  <c r="AA3051" i="12"/>
  <c r="AA2841" i="12"/>
  <c r="AA1383" i="12"/>
  <c r="AA3037" i="12"/>
  <c r="AA885" i="12"/>
  <c r="AA1464" i="12"/>
  <c r="AA1620" i="12"/>
  <c r="AA1095" i="12"/>
  <c r="AA618" i="12"/>
  <c r="AA3424" i="12"/>
  <c r="AA239" i="12"/>
  <c r="AA2244" i="12"/>
  <c r="AA120" i="12"/>
  <c r="AA579" i="12"/>
  <c r="AA426" i="12"/>
  <c r="AA91" i="12"/>
  <c r="AA917" i="12"/>
  <c r="AA504" i="12"/>
  <c r="AA3377" i="12"/>
  <c r="AA2116" i="12"/>
  <c r="AA3458" i="12"/>
  <c r="AA49" i="12"/>
  <c r="AA3054" i="12"/>
  <c r="AA1209" i="12"/>
  <c r="AA2101" i="12"/>
  <c r="AA786" i="12"/>
  <c r="AA1300" i="12"/>
  <c r="AA1020" i="12"/>
  <c r="AA117" i="12"/>
  <c r="AA1686" i="12"/>
  <c r="AA2796" i="12"/>
  <c r="AA1790" i="12"/>
  <c r="AA2425" i="12"/>
  <c r="AA1045" i="12"/>
  <c r="AA1850" i="12"/>
  <c r="AA2295" i="12"/>
  <c r="AA3517" i="12"/>
  <c r="AA1989" i="12"/>
  <c r="AA1220" i="12"/>
  <c r="AA2542" i="12"/>
  <c r="AA2704" i="12"/>
  <c r="AA222" i="12"/>
  <c r="AA2938" i="12"/>
  <c r="AA3312" i="12"/>
  <c r="AA1550" i="12"/>
  <c r="AA215" i="12"/>
  <c r="AA3045" i="12"/>
  <c r="AA1426" i="12"/>
  <c r="AA1722" i="12"/>
  <c r="AA1510" i="12"/>
  <c r="AA3462" i="12"/>
  <c r="AA3012" i="12"/>
  <c r="AA805" i="12"/>
  <c r="AA3265" i="12"/>
  <c r="AA2482" i="12"/>
  <c r="AA395" i="12"/>
  <c r="AA1680" i="12"/>
  <c r="AA1593" i="12"/>
  <c r="AA3158" i="12"/>
  <c r="AA1713" i="12"/>
  <c r="AA1227" i="12"/>
  <c r="AA1968" i="12"/>
  <c r="AA957" i="12"/>
  <c r="AA3338" i="12"/>
  <c r="AA1191" i="12"/>
  <c r="AA3364" i="12"/>
  <c r="AA2793" i="12"/>
  <c r="AA81" i="12"/>
  <c r="AA1294" i="12"/>
  <c r="AA3499" i="12"/>
  <c r="AA250" i="12"/>
  <c r="AA935" i="12"/>
  <c r="AA3495" i="12"/>
  <c r="AA856" i="12"/>
  <c r="AA2621" i="12"/>
  <c r="AA841" i="12"/>
  <c r="AA3181" i="12"/>
  <c r="AA3391" i="12"/>
  <c r="AA2545" i="12"/>
  <c r="AA1386" i="12"/>
  <c r="AA1094" i="12"/>
  <c r="AA1406" i="12"/>
  <c r="AA3034" i="12"/>
  <c r="AA576" i="12"/>
  <c r="AA541" i="12"/>
  <c r="AA1281" i="12"/>
  <c r="AA2198" i="12"/>
  <c r="AA326" i="12"/>
  <c r="AA1442" i="12"/>
  <c r="AA131" i="12"/>
  <c r="AA2757" i="12"/>
  <c r="AA1604" i="12"/>
  <c r="AA1282" i="12"/>
  <c r="AA3177" i="12"/>
  <c r="AA971" i="12"/>
  <c r="AA1216" i="12"/>
  <c r="AA1423" i="12"/>
  <c r="AA2986" i="12"/>
  <c r="AA2324" i="12"/>
  <c r="AA46" i="12"/>
  <c r="AA3088" i="12"/>
  <c r="AA1459" i="12"/>
  <c r="AA3507" i="12"/>
  <c r="AA1903" i="12"/>
  <c r="AA1352" i="12"/>
  <c r="AA2435" i="12"/>
  <c r="AA2669" i="12"/>
  <c r="AA240" i="12"/>
  <c r="AA2163" i="12"/>
  <c r="AA489" i="12"/>
  <c r="AA1970" i="12"/>
  <c r="AA2219" i="12"/>
  <c r="AA701" i="12"/>
  <c r="AA1611" i="12"/>
  <c r="AA1096" i="12"/>
  <c r="AA1502" i="12"/>
  <c r="AA2644" i="12"/>
  <c r="AA2813" i="12"/>
  <c r="AA22" i="12"/>
  <c r="AA784" i="12"/>
  <c r="AA3028" i="12"/>
  <c r="AA2751" i="12"/>
  <c r="AA491" i="12"/>
  <c r="AA2350" i="12"/>
  <c r="AA891" i="12"/>
  <c r="AA2956" i="12"/>
  <c r="AA1103" i="12"/>
  <c r="AA1943" i="12"/>
  <c r="AA216" i="12"/>
  <c r="AA2588" i="12"/>
  <c r="AA947" i="12"/>
  <c r="AA629" i="12"/>
  <c r="AA901" i="12"/>
  <c r="AA3324" i="12"/>
  <c r="AA1435" i="12"/>
  <c r="AA2505" i="12"/>
  <c r="AA2659" i="12"/>
  <c r="AA3307" i="12"/>
  <c r="AA3519" i="12"/>
  <c r="AA1587" i="12"/>
  <c r="AA2454" i="12"/>
  <c r="AA508" i="12"/>
  <c r="AA3423" i="12"/>
  <c r="AA3486" i="12"/>
  <c r="AA810" i="12"/>
  <c r="AA2712" i="12"/>
  <c r="AA2819" i="12"/>
  <c r="AA1054" i="12"/>
  <c r="AA3369" i="12"/>
  <c r="AA961" i="12"/>
  <c r="AA994" i="12"/>
  <c r="AA142" i="12"/>
  <c r="AA2211" i="12"/>
  <c r="AA2203" i="12"/>
  <c r="AA1647" i="12"/>
  <c r="AA604" i="12"/>
  <c r="AA2051" i="12"/>
  <c r="AA3421" i="12"/>
  <c r="AA3336" i="12"/>
  <c r="AA2420" i="12"/>
  <c r="AA985" i="12"/>
  <c r="AA2758" i="12"/>
  <c r="AA3534" i="12"/>
  <c r="AA672" i="12"/>
  <c r="AA1621" i="12"/>
  <c r="AA3101" i="12"/>
  <c r="AA3494" i="12"/>
  <c r="AA427" i="12"/>
  <c r="AA3497" i="12"/>
  <c r="AA1302" i="12"/>
  <c r="AA2352" i="12"/>
  <c r="AA1935" i="12"/>
  <c r="AA1782" i="12"/>
  <c r="AA1838" i="12"/>
  <c r="AA1027" i="12"/>
  <c r="AA635" i="12"/>
  <c r="AA2062" i="12"/>
  <c r="AA251" i="12"/>
  <c r="AA1433" i="12"/>
  <c r="AA1111" i="12"/>
  <c r="AA2775" i="12"/>
  <c r="AA1765" i="12"/>
  <c r="AA2582" i="12"/>
  <c r="AA1229" i="12"/>
  <c r="AA3157" i="12"/>
  <c r="AA2777" i="12"/>
  <c r="AA2661" i="12"/>
  <c r="AA2849" i="12"/>
  <c r="AA2528" i="12"/>
  <c r="AA2697" i="12"/>
  <c r="AA2863" i="12"/>
  <c r="AA227" i="12"/>
  <c r="AA166" i="12"/>
  <c r="AA1803" i="12"/>
  <c r="AA1195" i="12"/>
  <c r="AA2563" i="12"/>
  <c r="AA1528" i="12"/>
  <c r="AA782" i="12"/>
  <c r="AA3133" i="12"/>
  <c r="AA1572" i="12"/>
  <c r="AA1839" i="12"/>
  <c r="AA1057" i="12"/>
  <c r="AA3476" i="12"/>
  <c r="AA2830" i="12"/>
  <c r="AA694" i="12"/>
  <c r="AA2797" i="12"/>
  <c r="AA843" i="12"/>
  <c r="AA760" i="12"/>
  <c r="AA2099" i="12"/>
  <c r="AA1718" i="12"/>
  <c r="AA1532" i="12"/>
  <c r="AA3540" i="12"/>
  <c r="AA1740" i="12"/>
  <c r="AA2613" i="12"/>
  <c r="AA118" i="12"/>
  <c r="AA2291" i="12"/>
  <c r="AA2086" i="12"/>
  <c r="AA2923" i="12"/>
  <c r="AA1000" i="12"/>
  <c r="AA2694" i="12"/>
  <c r="AA3520" i="12"/>
  <c r="AA869" i="12"/>
  <c r="AA2264" i="12"/>
  <c r="AA2439" i="12"/>
  <c r="AA2843" i="12"/>
  <c r="AA1351" i="12"/>
  <c r="AA2006" i="12"/>
  <c r="AA381" i="12"/>
  <c r="AA399" i="12"/>
  <c r="AA1296" i="12"/>
  <c r="AA952" i="12"/>
  <c r="AA3194" i="12"/>
  <c r="AA2889" i="12"/>
  <c r="AA603" i="12"/>
  <c r="AA2649" i="12"/>
  <c r="AA2389" i="12"/>
  <c r="AA2263" i="12"/>
  <c r="AA800" i="12"/>
  <c r="AA2464" i="12"/>
  <c r="AA1462" i="12"/>
  <c r="AA3105" i="12"/>
  <c r="AA96" i="12"/>
  <c r="AA866" i="12"/>
  <c r="AA2379" i="12"/>
  <c r="AA914" i="12"/>
  <c r="AA1517" i="12"/>
  <c r="AA2887" i="12"/>
  <c r="AA2144" i="12"/>
  <c r="AA401" i="12"/>
  <c r="AA2748" i="12"/>
  <c r="AA2122" i="12"/>
  <c r="AA554" i="12"/>
  <c r="AA2387" i="12"/>
  <c r="AA2066" i="12"/>
  <c r="AA3512" i="12"/>
  <c r="AA666" i="12"/>
  <c r="AA101" i="12"/>
  <c r="AA3491" i="12"/>
  <c r="AA2864" i="12"/>
  <c r="AA2770" i="12"/>
  <c r="AA2834" i="12"/>
  <c r="AA1889" i="12"/>
  <c r="AA3417" i="12"/>
  <c r="AA789" i="12"/>
  <c r="AA864" i="12"/>
  <c r="AA186" i="12"/>
  <c r="AA3254" i="12"/>
  <c r="AA2533" i="12"/>
  <c r="AA103" i="12"/>
  <c r="AA1761" i="12"/>
  <c r="AA2832" i="12"/>
  <c r="AA882" i="12"/>
  <c r="AA2732" i="12"/>
  <c r="AA1347" i="12"/>
  <c r="AA2645" i="12"/>
  <c r="AA446" i="12"/>
  <c r="AA2153" i="12"/>
  <c r="AA658" i="12"/>
  <c r="AA1795" i="12"/>
  <c r="AA65" i="12"/>
  <c r="AA587" i="12"/>
  <c r="AA527" i="12"/>
  <c r="AA659" i="12"/>
  <c r="AA528" i="12"/>
  <c r="AA1660" i="12"/>
  <c r="AA2845" i="12"/>
  <c r="AA1655" i="12"/>
  <c r="AA1271" i="12"/>
  <c r="AA3112" i="12"/>
  <c r="AA3313" i="12"/>
  <c r="AA2418" i="12"/>
  <c r="AA2854" i="12"/>
  <c r="AA2599" i="12"/>
  <c r="AA73" i="12"/>
  <c r="AA38" i="12"/>
  <c r="AA1915" i="12"/>
  <c r="AA1031" i="12"/>
  <c r="AA1407" i="12"/>
  <c r="AA412" i="12"/>
  <c r="AA1602" i="12"/>
  <c r="AA1487" i="12"/>
  <c r="AA470" i="12"/>
  <c r="AA445" i="12"/>
  <c r="AA1463" i="12"/>
  <c r="AA824" i="12"/>
  <c r="AA2723" i="12"/>
  <c r="AA2366" i="12"/>
  <c r="AA1224" i="12"/>
  <c r="AA2280" i="12"/>
  <c r="AA108" i="12"/>
  <c r="AA1422" i="12"/>
  <c r="AA517" i="12"/>
  <c r="AA3032" i="12"/>
  <c r="AA1719" i="12"/>
  <c r="AA297" i="12"/>
  <c r="AA2686" i="12"/>
  <c r="AA580" i="12"/>
  <c r="AA316" i="12"/>
  <c r="AA2954" i="12"/>
  <c r="AA2611" i="12"/>
  <c r="AA1875" i="12"/>
  <c r="AA1208" i="12"/>
  <c r="AA3410" i="12"/>
  <c r="AA3063" i="12"/>
  <c r="AA2052" i="12"/>
  <c r="AA2189" i="12"/>
  <c r="AA707" i="12"/>
  <c r="AA3260" i="12"/>
  <c r="AA2617" i="12"/>
  <c r="AA1085" i="12"/>
  <c r="AA595" i="12"/>
  <c r="AA107" i="12"/>
  <c r="AA1627" i="12"/>
  <c r="AA2073" i="12"/>
  <c r="AA1650" i="12"/>
  <c r="AA2517" i="12"/>
  <c r="AA115" i="12"/>
  <c r="AA3203" i="12"/>
  <c r="AA1545" i="12"/>
  <c r="AA1657" i="12"/>
  <c r="AA2171" i="12"/>
  <c r="AA1692" i="12"/>
  <c r="AA2461" i="12"/>
  <c r="AA2133" i="12"/>
  <c r="AA1614" i="12"/>
  <c r="AA85" i="12"/>
  <c r="AA3500" i="12"/>
  <c r="AA2901" i="12"/>
  <c r="AA1018" i="12"/>
  <c r="AA715" i="12"/>
  <c r="AA668" i="12"/>
  <c r="AA353" i="12"/>
  <c r="AA3444" i="12"/>
  <c r="AA2310" i="12"/>
  <c r="AA1854" i="12"/>
  <c r="AA2162" i="12"/>
  <c r="AA2433" i="12"/>
  <c r="AA2254" i="12"/>
  <c r="AA662" i="12"/>
  <c r="AA995" i="12"/>
  <c r="AA1539" i="12"/>
  <c r="AA1446" i="12"/>
  <c r="AA1824" i="12"/>
  <c r="AA858" i="12"/>
  <c r="AA1726" i="12"/>
  <c r="AA1264" i="12"/>
  <c r="AA959" i="12"/>
  <c r="AA2347" i="12"/>
  <c r="AA1187" i="12"/>
  <c r="AA1905" i="12"/>
  <c r="AA2253" i="12"/>
  <c r="AA192" i="12"/>
  <c r="AA1898" i="12"/>
  <c r="AA1343" i="12"/>
  <c r="AA2555" i="12"/>
  <c r="AA2930" i="12"/>
  <c r="AA768" i="12"/>
  <c r="AA2402" i="12"/>
  <c r="AA2415" i="12"/>
  <c r="AA1902" i="12"/>
  <c r="AA2730" i="12"/>
  <c r="AA2865" i="12"/>
  <c r="AA1613" i="12"/>
  <c r="AA3221" i="12"/>
  <c r="AA1912" i="12"/>
  <c r="AA1882" i="12"/>
  <c r="AA137" i="12"/>
  <c r="AA21" i="12"/>
  <c r="AA261" i="12"/>
  <c r="AA1812" i="12"/>
  <c r="AA1653" i="12"/>
  <c r="AA82" i="12"/>
  <c r="AA3385" i="12"/>
  <c r="AA2535" i="12"/>
  <c r="AA2801" i="12"/>
  <c r="AA2002" i="12"/>
  <c r="AA460" i="12"/>
  <c r="AA62" i="12"/>
  <c r="AA2769" i="12"/>
  <c r="AA2848" i="12"/>
  <c r="AA1998" i="12"/>
  <c r="AA3167" i="12"/>
  <c r="AA2014" i="12"/>
  <c r="AA3522" i="12"/>
  <c r="AA3018" i="12"/>
  <c r="AA1951" i="12"/>
  <c r="AA325" i="12"/>
  <c r="AA631" i="12"/>
  <c r="AA2862" i="12"/>
  <c r="AA1269" i="12"/>
  <c r="AA203" i="12"/>
  <c r="AA1471" i="12"/>
  <c r="AA3413" i="12"/>
  <c r="AA1037" i="12"/>
  <c r="AA1019" i="12"/>
  <c r="AA3490" i="12"/>
  <c r="AA2013" i="12"/>
  <c r="AA2810" i="12"/>
  <c r="AA2480" i="12"/>
  <c r="AA2853" i="12"/>
  <c r="AA2926" i="12"/>
  <c r="AA1411" i="12"/>
  <c r="AA1808" i="12"/>
  <c r="AA2037" i="12"/>
  <c r="AA3189" i="12"/>
  <c r="AA1245" i="12"/>
  <c r="AA218" i="12"/>
  <c r="AA905" i="12"/>
  <c r="AA1001" i="12"/>
  <c r="AA2114" i="12"/>
  <c r="AA1276" i="12"/>
  <c r="AA3360" i="12"/>
  <c r="AA3397" i="12"/>
  <c r="AA1940" i="12"/>
  <c r="AA3401" i="12"/>
  <c r="AA759" i="12"/>
  <c r="AA2363" i="12"/>
  <c r="AA2179" i="12"/>
  <c r="AA1577" i="12"/>
  <c r="AA956" i="12"/>
  <c r="AA3409" i="12"/>
  <c r="AA1474" i="12"/>
  <c r="AA1552" i="12"/>
  <c r="AA3498" i="12"/>
  <c r="AA2572" i="12"/>
  <c r="AA1835" i="12"/>
  <c r="AA1746" i="12"/>
  <c r="AA1507" i="12"/>
  <c r="AA2773" i="12"/>
  <c r="AA2781" i="12"/>
  <c r="AA3488" i="12"/>
  <c r="AA2800" i="12"/>
  <c r="AA262" i="12"/>
  <c r="AA75" i="12"/>
  <c r="AA627" i="12"/>
  <c r="AA1292" i="12"/>
  <c r="AA449" i="12"/>
  <c r="AA2627" i="12"/>
  <c r="AA52" i="12"/>
  <c r="AA3394" i="12"/>
  <c r="AA3454" i="12"/>
  <c r="AA3548" i="12"/>
  <c r="AA3206" i="12"/>
  <c r="AA1520" i="12"/>
  <c r="AA1656" i="12"/>
  <c r="AA660" i="12"/>
  <c r="AA1509" i="12"/>
  <c r="AA2568" i="12"/>
  <c r="AA2475" i="12"/>
  <c r="AA3284" i="12"/>
  <c r="AA2706" i="12"/>
  <c r="AA573" i="12"/>
  <c r="AA1141" i="12"/>
  <c r="AA3327" i="12"/>
  <c r="AA940" i="12"/>
  <c r="AA3094" i="12"/>
  <c r="AA3539" i="12"/>
  <c r="AA314" i="12"/>
  <c r="AA2665" i="12"/>
  <c r="AA1267" i="12"/>
  <c r="AA3230" i="12"/>
  <c r="AA1143" i="12"/>
  <c r="AA2012" i="12"/>
  <c r="AA1618" i="12"/>
  <c r="AA3127" i="12"/>
  <c r="AA3407" i="12"/>
  <c r="AA1184" i="12"/>
  <c r="AA1893" i="12"/>
  <c r="AA1729" i="12"/>
  <c r="AA1971" i="12"/>
  <c r="AA829" i="12"/>
  <c r="AA1737" i="12"/>
  <c r="AA2192" i="12"/>
  <c r="AA1615" i="12"/>
  <c r="AA2349" i="12"/>
  <c r="AA3123" i="12"/>
  <c r="AA3414" i="12"/>
  <c r="AA503" i="12"/>
  <c r="AA382" i="12"/>
  <c r="AA1012" i="12"/>
  <c r="AA420" i="12"/>
  <c r="AA1909" i="12"/>
  <c r="AA3443" i="12"/>
  <c r="AA2334" i="12"/>
  <c r="AA3528" i="12"/>
  <c r="AA581" i="12"/>
  <c r="AA356" i="12"/>
  <c r="AA3547" i="12"/>
  <c r="AA1041" i="12"/>
  <c r="AA702" i="12"/>
  <c r="AA2537" i="12"/>
  <c r="AA1242" i="12"/>
  <c r="AA1717" i="12"/>
  <c r="AA1739" i="12"/>
  <c r="AA2969" i="12"/>
  <c r="AA2526" i="12"/>
  <c r="AA196" i="12"/>
  <c r="AA1381" i="12"/>
  <c r="AA2344" i="12"/>
  <c r="AA1770" i="12"/>
  <c r="AA1324" i="12"/>
  <c r="AA2017" i="12"/>
  <c r="AA3160" i="12"/>
  <c r="AA3428" i="12"/>
  <c r="AA2302" i="12"/>
  <c r="AA122" i="12"/>
  <c r="AA3231" i="12"/>
  <c r="AA1965" i="12"/>
  <c r="AA1199" i="12"/>
  <c r="AA2041" i="12"/>
  <c r="AA106" i="12"/>
  <c r="AA2636" i="12"/>
  <c r="AA444" i="12"/>
  <c r="AA2736" i="12"/>
  <c r="AA421" i="12"/>
  <c r="AA852" i="12"/>
  <c r="AA195" i="12"/>
  <c r="AA2394" i="12"/>
  <c r="AA2581" i="12"/>
  <c r="AA1395" i="12"/>
  <c r="AA847" i="12"/>
  <c r="AA1917" i="12"/>
  <c r="AA867" i="12"/>
  <c r="AA964" i="12"/>
  <c r="AA801" i="12"/>
  <c r="AA2083" i="12"/>
  <c r="AA2218" i="12"/>
  <c r="AA1731" i="12"/>
  <c r="AA1648" i="12"/>
  <c r="AA2925" i="12"/>
  <c r="AA63" i="12"/>
  <c r="AA467" i="12"/>
  <c r="AA441" i="12"/>
  <c r="AA483" i="12"/>
  <c r="AA1892" i="12"/>
  <c r="AA2820" i="12"/>
  <c r="AA1316" i="12"/>
  <c r="AA1984" i="12"/>
  <c r="AA136" i="12"/>
  <c r="AA2635" i="12"/>
  <c r="AA79" i="12"/>
  <c r="AA2658" i="12"/>
  <c r="AA2071" i="12"/>
  <c r="AA3176" i="12"/>
  <c r="AA3480" i="12"/>
  <c r="AA1240" i="12"/>
  <c r="AA670" i="12"/>
  <c r="AA1128" i="12"/>
  <c r="AA598" i="12"/>
  <c r="AA1852" i="12"/>
  <c r="AA486" i="12"/>
  <c r="AA2767" i="12"/>
  <c r="AA2716" i="12"/>
  <c r="AA2953" i="12"/>
  <c r="AA461" i="12"/>
  <c r="AA2850" i="12"/>
  <c r="AA3001" i="12"/>
  <c r="AA3542" i="12"/>
  <c r="AA1635" i="12"/>
  <c r="AA1811" i="12"/>
  <c r="AA2401" i="12"/>
  <c r="AA3518" i="12"/>
  <c r="AA3188" i="12"/>
  <c r="AA549" i="12"/>
  <c r="AA897" i="12"/>
  <c r="AA3232" i="12"/>
  <c r="AA1921" i="12"/>
  <c r="AA1997" i="12"/>
  <c r="AA3429" i="12"/>
  <c r="AA543" i="12"/>
  <c r="AA3191" i="12"/>
  <c r="AA1683" i="12"/>
  <c r="AA3214" i="12"/>
  <c r="AA1976" i="12"/>
  <c r="AA1815" i="12"/>
  <c r="AA1212" i="12"/>
  <c r="AA630" i="12"/>
  <c r="AA2145" i="12"/>
  <c r="AA927" i="12"/>
  <c r="AA968" i="12"/>
  <c r="AA3455" i="12"/>
  <c r="AA3333" i="12"/>
  <c r="AA3282" i="12"/>
  <c r="AA2683" i="12"/>
  <c r="AA225" i="12"/>
  <c r="AA3024" i="12"/>
  <c r="AA70" i="12"/>
  <c r="AA1287" i="12"/>
  <c r="AA998" i="12"/>
  <c r="AA2323" i="12"/>
  <c r="AA23" i="12"/>
  <c r="AA3398" i="12"/>
  <c r="AA154" i="12"/>
  <c r="AA1203" i="12"/>
  <c r="AA105" i="12"/>
  <c r="AA1377" i="12"/>
  <c r="AA1248" i="12"/>
  <c r="AA1565" i="12"/>
  <c r="AA946" i="12"/>
  <c r="AA3072" i="12"/>
  <c r="AA2604" i="12"/>
  <c r="AA333" i="12"/>
  <c r="AA822" i="12"/>
  <c r="AA127" i="12"/>
  <c r="AA2063" i="12"/>
  <c r="AA414" i="12"/>
  <c r="AA3372" i="12"/>
  <c r="AA1857" i="12"/>
  <c r="AA2867" i="12"/>
  <c r="AA244" i="12"/>
  <c r="AA2648" i="12"/>
  <c r="AA1856" i="12"/>
  <c r="AA2711" i="12"/>
  <c r="AA1897" i="12"/>
  <c r="AA2474" i="12"/>
  <c r="AA771" i="12"/>
  <c r="AA2117" i="12"/>
  <c r="AA2043" i="12"/>
  <c r="AA450" i="12"/>
  <c r="AA3193" i="12"/>
  <c r="AA364" i="12"/>
  <c r="AA1272" i="12"/>
  <c r="AA1855" i="12"/>
  <c r="AA3301" i="12"/>
  <c r="AA2261" i="12"/>
  <c r="AA1375" i="12"/>
  <c r="AA1080" i="12"/>
  <c r="AA849" i="12"/>
  <c r="AA1975" i="12"/>
  <c r="AA732" i="12"/>
  <c r="AA1548" i="12"/>
  <c r="AA912" i="12"/>
  <c r="AA1486" i="12"/>
  <c r="AA2075" i="12"/>
  <c r="AA1847" i="12"/>
  <c r="AA1762" i="12"/>
  <c r="AA3357" i="12"/>
  <c r="AA3016" i="12"/>
  <c r="AA1415" i="12"/>
  <c r="AA2436" i="12"/>
  <c r="AA351" i="12"/>
  <c r="AA814" i="12"/>
  <c r="AA220" i="12"/>
  <c r="AA1117" i="12"/>
  <c r="AA1501" i="12"/>
  <c r="AA854" i="12"/>
  <c r="AA1669" i="12"/>
  <c r="AA2503" i="12"/>
  <c r="AA2642" i="12"/>
  <c r="AA2586" i="12"/>
  <c r="AA566" i="12"/>
  <c r="AA1671" i="12"/>
  <c r="AA2397" i="12"/>
  <c r="AA3159" i="12"/>
  <c r="AA1990" i="12"/>
  <c r="AA2763" i="12"/>
  <c r="AA229" i="12"/>
  <c r="AA932" i="12"/>
  <c r="AA1555" i="12"/>
  <c r="AA505" i="12"/>
  <c r="AA3134" i="12"/>
  <c r="AA738" i="12"/>
  <c r="AA398" i="12"/>
  <c r="AA3089" i="12"/>
  <c r="AA2414" i="12"/>
  <c r="AA2571" i="12"/>
  <c r="AA3461" i="12"/>
  <c r="AA1126" i="12"/>
  <c r="AA394" i="12"/>
  <c r="AA2668" i="12"/>
  <c r="AA943" i="12"/>
  <c r="AA2522" i="12"/>
  <c r="AA1211" i="12"/>
  <c r="AA960" i="12"/>
  <c r="AA2903" i="12"/>
  <c r="AA1690" i="12"/>
  <c r="AA2501" i="12"/>
  <c r="AA425" i="12"/>
  <c r="AA531" i="12"/>
  <c r="AA3376" i="12"/>
  <c r="AA1061" i="12"/>
  <c r="AA1378" i="12"/>
  <c r="AA2161" i="12"/>
  <c r="AA1792" i="12"/>
  <c r="AA2367" i="12"/>
  <c r="AA2241" i="12"/>
  <c r="AA793" i="12"/>
  <c r="AA2199" i="12"/>
  <c r="AA2807" i="12"/>
  <c r="AA3511" i="12"/>
  <c r="AA1312" i="12"/>
  <c r="AA2467" i="12"/>
  <c r="AA386" i="12"/>
  <c r="AA1883" i="12"/>
  <c r="AA3378" i="12"/>
  <c r="AA249" i="12"/>
  <c r="AA2725" i="12"/>
  <c r="AA2174" i="12"/>
  <c r="AA1026" i="12"/>
  <c r="AA3033" i="12"/>
  <c r="AA1273" i="12"/>
  <c r="AA113" i="12"/>
  <c r="AA51" i="12"/>
  <c r="AA2327" i="12"/>
  <c r="AA3126" i="12"/>
  <c r="AA1370" i="12"/>
  <c r="AA2456" i="12"/>
  <c r="AA1144" i="12"/>
  <c r="AA671" i="12"/>
  <c r="AA3366" i="12"/>
  <c r="AA3128" i="12"/>
  <c r="AA2980" i="12"/>
  <c r="AA1581" i="12"/>
  <c r="AA248" i="12"/>
  <c r="AA360" i="12"/>
  <c r="AA2512" i="12"/>
  <c r="AA636" i="12"/>
  <c r="AA3140" i="12"/>
  <c r="AA1755" i="12"/>
  <c r="AA68" i="12"/>
  <c r="AA2676" i="12"/>
  <c r="AA1050" i="12"/>
  <c r="AA25" i="12"/>
  <c r="AA2406" i="12"/>
  <c r="AA1108" i="12"/>
  <c r="AA1136" i="12"/>
  <c r="AA87" i="12"/>
  <c r="AA1364" i="12"/>
  <c r="AA1013" i="12"/>
  <c r="AA2873" i="12"/>
  <c r="AA2786" i="12"/>
  <c r="AA2564" i="12"/>
  <c r="AA440" i="12"/>
  <c r="AA1809" i="12"/>
  <c r="AA1106" i="12"/>
  <c r="AA616" i="12"/>
  <c r="AA568" i="12"/>
  <c r="AA2078" i="12"/>
  <c r="AA1125" i="12"/>
  <c r="AA183" i="12"/>
  <c r="AA1858" i="12"/>
  <c r="AA124" i="12"/>
  <c r="AA2164" i="12"/>
  <c r="AA3116" i="12"/>
  <c r="AA3074" i="12"/>
  <c r="AA1939" i="12"/>
  <c r="AA3122" i="12"/>
  <c r="AA1024" i="12"/>
  <c r="AA1734" i="12"/>
  <c r="AA2914" i="12"/>
  <c r="AA3442" i="12"/>
  <c r="AA2311" i="12"/>
  <c r="AA2872" i="12"/>
  <c r="AA1735" i="12"/>
  <c r="AA2479" i="12"/>
  <c r="AA894" i="12"/>
  <c r="AA3552" i="12"/>
  <c r="AA2494" i="12"/>
  <c r="AA2984" i="12"/>
  <c r="AA448" i="12"/>
  <c r="AA1649" i="12"/>
  <c r="AA953" i="12"/>
  <c r="AA3395" i="12"/>
  <c r="AA2543" i="12"/>
  <c r="AA3025" i="12"/>
  <c r="AA3466" i="12"/>
  <c r="AA2890" i="12"/>
  <c r="AA884" i="12"/>
  <c r="AA837" i="12"/>
  <c r="AA1368" i="12"/>
  <c r="AA506" i="12"/>
  <c r="AA1256" i="12"/>
  <c r="AA507" i="12"/>
  <c r="AA2015" i="12"/>
  <c r="AA1973" i="12"/>
  <c r="AA383" i="12"/>
  <c r="AA1082" i="12"/>
  <c r="AA1871" i="12"/>
  <c r="AA1410" i="12"/>
  <c r="AA317" i="12"/>
  <c r="AA2360" i="12"/>
  <c r="AA1870" i="12"/>
  <c r="AA2197" i="12"/>
  <c r="AA1235" i="12"/>
  <c r="AA2826" i="12"/>
  <c r="AA1586" i="12"/>
  <c r="AA2173" i="12"/>
  <c r="AA1527" i="12"/>
  <c r="AA896" i="12"/>
  <c r="AA1945" i="12"/>
  <c r="AA1728" i="12"/>
  <c r="AA1796" i="12"/>
  <c r="AA2759" i="12"/>
  <c r="AA19" i="12"/>
  <c r="AA976" i="12"/>
  <c r="AA1319" i="12"/>
  <c r="AA1748" i="12"/>
  <c r="AA1387" i="12"/>
  <c r="AA422" i="12"/>
  <c r="AA1931" i="12"/>
  <c r="AA3172" i="12"/>
  <c r="AA1920" i="12"/>
  <c r="AA2791" i="12"/>
  <c r="AA895" i="12"/>
  <c r="AA902" i="12"/>
  <c r="AA2628" i="12"/>
  <c r="AA1265" i="12"/>
  <c r="AA2818" i="12"/>
  <c r="AA1605" i="12"/>
  <c r="AA1804" i="12"/>
  <c r="AA2359" i="12"/>
  <c r="AA3153" i="12"/>
  <c r="AA152" i="12"/>
  <c r="AA3007" i="12"/>
  <c r="AA465" i="12"/>
  <c r="AA3321" i="12"/>
  <c r="AA835" i="12"/>
  <c r="AA1481" i="12"/>
  <c r="AA617" i="12"/>
  <c r="AA1017" i="12"/>
  <c r="AA3447" i="12"/>
  <c r="AA1536" i="12"/>
  <c r="AA2313" i="12"/>
  <c r="AA2386" i="12"/>
  <c r="AA1023" i="12"/>
  <c r="AA536" i="12"/>
  <c r="AA3405" i="12"/>
  <c r="AA2685" i="12"/>
  <c r="AA475" i="12"/>
  <c r="AA3311" i="12"/>
  <c r="AA609" i="12"/>
  <c r="AA129" i="12"/>
  <c r="AA31" i="12"/>
  <c r="AA180" i="12"/>
  <c r="AA2410" i="12"/>
  <c r="AA2167" i="12"/>
  <c r="AA2870" i="12"/>
  <c r="AA176" i="12"/>
  <c r="AA3073" i="12"/>
  <c r="AA3173" i="12"/>
  <c r="AA2615" i="12"/>
  <c r="AA3219" i="12"/>
  <c r="AA388" i="12"/>
  <c r="AA373" i="12"/>
  <c r="AA1750" i="12"/>
  <c r="AA1438" i="12"/>
  <c r="AA1996" i="12"/>
  <c r="AA303" i="12"/>
  <c r="AA594" i="12"/>
  <c r="AA335" i="12"/>
  <c r="AA1428" i="12"/>
  <c r="AA1190" i="12"/>
  <c r="AA3240" i="12"/>
  <c r="AA2709" i="12"/>
  <c r="AA1993" i="12"/>
  <c r="AA2875" i="12"/>
  <c r="AA2470" i="12"/>
  <c r="AA2275" i="12"/>
  <c r="AA1030" i="12"/>
  <c r="AA2799" i="12"/>
  <c r="AA1925" i="12"/>
  <c r="AA3216" i="12"/>
  <c r="AA2821" i="12"/>
  <c r="AA2680" i="12"/>
  <c r="AA3433" i="12"/>
  <c r="AA2987" i="12"/>
  <c r="AA3328" i="12"/>
  <c r="AA3513" i="12"/>
  <c r="AA941" i="12"/>
  <c r="AA3163" i="12"/>
  <c r="AA104" i="12"/>
  <c r="AA3161" i="12"/>
  <c r="AA202" i="12"/>
  <c r="AA226" i="12"/>
  <c r="AA1589" i="12"/>
  <c r="AA3367" i="12"/>
  <c r="AA1525" i="12"/>
  <c r="AA936" i="12"/>
  <c r="AA245" i="12"/>
  <c r="AA2074" i="12"/>
  <c r="AA3465" i="12"/>
  <c r="AA2750" i="12"/>
  <c r="AA1930" i="12"/>
  <c r="AA3536" i="12"/>
  <c r="AA264" i="12"/>
  <c r="AA2398" i="12"/>
  <c r="AA33" i="12"/>
  <c r="AA2631" i="12"/>
  <c r="AA2411" i="12"/>
  <c r="AA111" i="12"/>
  <c r="AA734" i="12"/>
  <c r="AA1665" i="12"/>
  <c r="AA669" i="12"/>
  <c r="AA3086" i="12"/>
  <c r="AA3178" i="12"/>
  <c r="AA2027" i="12"/>
  <c r="AA3431" i="12"/>
  <c r="AA429" i="12"/>
  <c r="AA2580" i="12"/>
  <c r="AA3070" i="12"/>
  <c r="AA797" i="12"/>
  <c r="AA621" i="12"/>
  <c r="AA1068" i="12"/>
  <c r="AA2194" i="12"/>
  <c r="AA282" i="12"/>
  <c r="AA1238" i="12"/>
  <c r="AA945" i="12"/>
  <c r="AA2236" i="12"/>
  <c r="AA3235" i="12"/>
  <c r="AA2647" i="12"/>
  <c r="AA2278" i="12"/>
  <c r="AA2049" i="12"/>
  <c r="AA1760" i="12"/>
  <c r="AA1759" i="12"/>
  <c r="AA827" i="12"/>
  <c r="AA3244" i="12"/>
  <c r="AA2391" i="12"/>
  <c r="AA1780" i="12"/>
  <c r="AA2191" i="12"/>
  <c r="AA1769" i="12"/>
  <c r="AA2816" i="12"/>
  <c r="AA2988" i="12"/>
  <c r="AA832" i="12"/>
  <c r="AA188" i="12"/>
  <c r="AA2453" i="12"/>
  <c r="AA3121" i="12"/>
  <c r="AA1913" i="12"/>
  <c r="AA2285" i="12"/>
  <c r="AA1158" i="12"/>
  <c r="AA3475" i="12"/>
  <c r="AA2802" i="12"/>
  <c r="AA1104" i="12"/>
  <c r="AA1910" i="12"/>
  <c r="AA1008" i="12"/>
  <c r="AA667" i="12"/>
  <c r="AA865" i="12"/>
  <c r="AA2292" i="12"/>
  <c r="AA2963" i="12"/>
  <c r="AA3368" i="12"/>
  <c r="AA721" i="12"/>
  <c r="AA2196" i="12"/>
  <c r="AA2040" i="12"/>
  <c r="AA2233" i="12"/>
  <c r="AA2962" i="12"/>
  <c r="AA2087" i="12"/>
  <c r="AA2906" i="12"/>
  <c r="AA1551" i="12"/>
  <c r="AA2949" i="12"/>
  <c r="AA1399" i="12"/>
  <c r="AA232" i="12"/>
  <c r="AA3117" i="12"/>
  <c r="AA1805" i="12"/>
  <c r="AA2857" i="12"/>
  <c r="AA681" i="12"/>
  <c r="AA1174" i="12"/>
  <c r="AA2127" i="12"/>
  <c r="AA1972" i="12"/>
  <c r="AA1421" i="12"/>
  <c r="AA1077" i="12"/>
  <c r="AA933" i="12"/>
  <c r="AA2858" i="12"/>
  <c r="AA2055" i="12"/>
  <c r="AA1391" i="12"/>
  <c r="AA769" i="12"/>
  <c r="AA247" i="12"/>
  <c r="AA652" i="12"/>
  <c r="AA2143" i="12"/>
  <c r="AA1186" i="12"/>
  <c r="AA1177" i="12"/>
  <c r="AA698" i="12"/>
  <c r="AA337" i="12"/>
  <c r="AA3272" i="12"/>
  <c r="AA3076" i="12"/>
  <c r="AA3027" i="12"/>
  <c r="AA978" i="12"/>
  <c r="AA513" i="12"/>
  <c r="AA3267" i="12"/>
  <c r="AA2237" i="12"/>
  <c r="AA2703" i="12"/>
  <c r="AA519" i="12"/>
  <c r="AA770" i="12"/>
  <c r="AA417" i="12"/>
  <c r="AA2518" i="12"/>
  <c r="AA898" i="12"/>
  <c r="AA3460" i="12"/>
  <c r="AA3030" i="12"/>
  <c r="AA1330" i="12"/>
  <c r="AA743" i="12"/>
  <c r="AA1544" i="12"/>
  <c r="AA2776" i="12"/>
  <c r="AA3535" i="12"/>
  <c r="AA2441" i="12"/>
  <c r="AA1659" i="12"/>
  <c r="AA3344" i="12"/>
  <c r="AA840" i="12"/>
  <c r="AA834" i="12"/>
  <c r="AA3264" i="12"/>
  <c r="AA268" i="12"/>
  <c r="AA3066" i="12"/>
  <c r="AA487" i="12"/>
  <c r="AA2809" i="12"/>
  <c r="AA2165" i="12"/>
  <c r="AA2272" i="12"/>
  <c r="AA876" i="12"/>
  <c r="AA1039" i="12"/>
  <c r="AA2023" i="12"/>
  <c r="AA145" i="12"/>
  <c r="AA1894" i="12"/>
  <c r="AA3439" i="12"/>
  <c r="AA2465" i="12"/>
  <c r="AA823" i="12"/>
  <c r="AA2919" i="12"/>
  <c r="AA3019" i="12"/>
  <c r="AA346" i="12"/>
  <c r="AA2531" i="12"/>
  <c r="AA624" i="12"/>
  <c r="AA214" i="12"/>
  <c r="AA2038" i="12"/>
  <c r="AA2020" i="12"/>
  <c r="AA1775" i="12"/>
  <c r="AA2530" i="12"/>
  <c r="AA615" i="12"/>
  <c r="AA2608" i="12"/>
  <c r="AA3209" i="12"/>
  <c r="AA367" i="12"/>
  <c r="AA3165" i="12"/>
  <c r="AA2909" i="12"/>
  <c r="AA54" i="12"/>
  <c r="AA1983" i="12"/>
  <c r="AA179" i="12"/>
  <c r="AA1704" i="12"/>
  <c r="AA1541" i="12"/>
  <c r="AA539" i="12"/>
  <c r="AA3411" i="12"/>
  <c r="AA2839" i="12"/>
  <c r="AA2653" i="12"/>
  <c r="AA683" i="12"/>
  <c r="AA1151" i="12"/>
  <c r="AA838" i="12"/>
  <c r="AA634" i="12"/>
  <c r="AA757" i="12"/>
  <c r="AA1334" i="12"/>
  <c r="AA1922" i="12"/>
  <c r="AA2182" i="12"/>
  <c r="AA747" i="12"/>
  <c r="AA83" i="12"/>
  <c r="AA2547" i="12"/>
  <c r="AA2426" i="12"/>
  <c r="AA2700" i="12"/>
  <c r="AA3239" i="12"/>
  <c r="AA582" i="12"/>
  <c r="AA2104" i="12"/>
  <c r="AA1218" i="12"/>
  <c r="AA1262" i="12"/>
  <c r="AA680" i="12"/>
  <c r="AA2457" i="12"/>
  <c r="AA419" i="12"/>
  <c r="AA391" i="12"/>
  <c r="AA1954" i="12"/>
  <c r="AA357" i="12"/>
  <c r="AA3478" i="12"/>
  <c r="AA798" i="12"/>
  <c r="AA3356" i="12"/>
  <c r="AA34" i="12"/>
  <c r="AA2228" i="12"/>
  <c r="AA682" i="12"/>
  <c r="AA1450" i="12"/>
  <c r="AA1382" i="12"/>
  <c r="AA148" i="12"/>
  <c r="AA766" i="12"/>
  <c r="AA969" i="12"/>
  <c r="AA3261" i="12"/>
  <c r="AA729" i="12"/>
  <c r="AA3020" i="12"/>
  <c r="AA1280" i="12"/>
  <c r="AA2030" i="12"/>
  <c r="AA1112" i="12"/>
  <c r="AA32" i="12"/>
  <c r="AA1693" i="12"/>
  <c r="AA171" i="12"/>
  <c r="AA3380" i="12"/>
  <c r="AA1327" i="12"/>
  <c r="AA1785" i="12"/>
  <c r="AA2106" i="12"/>
  <c r="AA545" i="12"/>
  <c r="AA640" i="12"/>
  <c r="AA3130" i="12"/>
  <c r="AA2286" i="12"/>
  <c r="AA3137" i="12"/>
  <c r="AA266" i="12"/>
  <c r="AA1907" i="12"/>
  <c r="AA187" i="12"/>
  <c r="AA610" i="12"/>
  <c r="AA1530" i="12"/>
  <c r="AA2141" i="12"/>
  <c r="AA3276" i="12"/>
  <c r="AA1896" i="12"/>
  <c r="AA2866" i="12"/>
  <c r="AA2382" i="12"/>
  <c r="AA1142" i="12"/>
  <c r="AA432" i="12"/>
  <c r="AA1869" i="12"/>
  <c r="AA1417" i="12"/>
  <c r="AA1522" i="12"/>
  <c r="AA1454" i="12"/>
  <c r="AA3225" i="12"/>
  <c r="AA3251" i="12"/>
  <c r="AA2722" i="12"/>
  <c r="AA3479" i="12"/>
  <c r="AA661" i="12"/>
  <c r="AA3422" i="12"/>
  <c r="AA1051" i="12"/>
  <c r="AA2123" i="12"/>
  <c r="AA1025" i="12"/>
  <c r="AA484" i="12"/>
  <c r="AA211" i="12"/>
  <c r="AA1886" i="12"/>
  <c r="AA881" i="12"/>
  <c r="AA2227" i="12"/>
  <c r="AA217" i="12"/>
  <c r="AA2502" i="12"/>
  <c r="AA638" i="12"/>
  <c r="AA2361" i="12"/>
  <c r="AA157" i="12"/>
  <c r="AA2847" i="12"/>
  <c r="AA890" i="12"/>
  <c r="AA1538" i="12"/>
  <c r="AA2380" i="12"/>
  <c r="AA1626" i="12"/>
  <c r="AA3418" i="12"/>
  <c r="AA2351" i="12"/>
  <c r="AA2299" i="12"/>
  <c r="AA1196" i="12"/>
  <c r="AA1559" i="12"/>
  <c r="AA3516" i="12"/>
  <c r="AA2340" i="12"/>
  <c r="AA3083" i="12"/>
  <c r="AA1585" i="12"/>
  <c r="AA2488" i="12"/>
  <c r="AA1923" i="12"/>
  <c r="AA859" i="12"/>
  <c r="AA2111" i="12"/>
  <c r="AA144" i="12"/>
  <c r="AA2981" i="12"/>
  <c r="AA3236" i="12"/>
  <c r="AA3148" i="12"/>
  <c r="AA35" i="12"/>
  <c r="AA778" i="12"/>
  <c r="AA2896" i="12"/>
  <c r="AA588" i="12"/>
  <c r="AA2772" i="12"/>
  <c r="AA3467" i="12"/>
  <c r="D29" i="6"/>
  <c r="D28" i="6"/>
  <c r="P48" i="12"/>
  <c r="P77" i="12"/>
  <c r="P69" i="12"/>
  <c r="J14" i="12"/>
  <c r="K16" i="12"/>
  <c r="K14" i="12"/>
  <c r="K11" i="12"/>
  <c r="J16" i="12"/>
  <c r="G16" i="12"/>
  <c r="H16" i="12"/>
  <c r="H14" i="12"/>
  <c r="G14" i="12"/>
  <c r="K8" i="12"/>
  <c r="K3" i="12"/>
  <c r="K6" i="12"/>
  <c r="J8" i="12"/>
  <c r="J4" i="12"/>
  <c r="J7" i="12"/>
  <c r="K4" i="12"/>
  <c r="J9" i="12"/>
  <c r="K5" i="12"/>
  <c r="K9" i="12"/>
  <c r="J6" i="12"/>
  <c r="J3" i="12"/>
  <c r="K7" i="12"/>
  <c r="J5" i="12"/>
  <c r="I16" i="12"/>
  <c r="G8" i="12"/>
  <c r="H8" i="12"/>
  <c r="I14" i="12"/>
  <c r="H9" i="12"/>
  <c r="H5" i="12"/>
  <c r="I5" i="12" s="1"/>
  <c r="G3" i="12"/>
  <c r="G5" i="12"/>
  <c r="H7" i="12"/>
  <c r="G6" i="12"/>
  <c r="G4" i="12"/>
  <c r="G9" i="12"/>
  <c r="H3" i="12"/>
  <c r="G7" i="12"/>
  <c r="H6" i="12"/>
  <c r="H4" i="12"/>
  <c r="R73" i="12"/>
  <c r="S73" i="12"/>
  <c r="T73" i="12"/>
  <c r="I9" i="12"/>
  <c r="I7" i="12"/>
  <c r="I3" i="12"/>
  <c r="I8" i="12"/>
  <c r="I4" i="12"/>
  <c r="I6" i="12"/>
  <c r="R48" i="12"/>
  <c r="S48" i="12"/>
  <c r="T48" i="12"/>
  <c r="R75" i="12"/>
  <c r="S75" i="12"/>
  <c r="T75" i="12"/>
  <c r="R50" i="12"/>
  <c r="S50" i="12"/>
  <c r="T50" i="12"/>
  <c r="R47" i="12"/>
  <c r="S47" i="12"/>
  <c r="T47" i="12"/>
  <c r="R56" i="12"/>
  <c r="S56" i="12"/>
  <c r="T56" i="12"/>
  <c r="R51" i="12"/>
  <c r="S51" i="12"/>
  <c r="T51" i="12"/>
  <c r="R57" i="12"/>
  <c r="S57" i="12"/>
  <c r="T57" i="12"/>
  <c r="R55" i="12"/>
  <c r="S55" i="12"/>
  <c r="T55" i="12"/>
  <c r="R54" i="12"/>
  <c r="S54" i="12"/>
  <c r="T54" i="12"/>
  <c r="R49" i="12"/>
  <c r="S49" i="12"/>
  <c r="T49" i="12"/>
  <c r="R77" i="12"/>
  <c r="S77" i="12"/>
  <c r="T77" i="12"/>
  <c r="R61" i="12"/>
  <c r="S61" i="12"/>
  <c r="T61" i="12"/>
  <c r="R76" i="12"/>
  <c r="S76" i="12"/>
  <c r="T76" i="12"/>
  <c r="R46" i="12"/>
  <c r="S46" i="12"/>
  <c r="T46" i="12"/>
  <c r="R71" i="12"/>
  <c r="S71" i="12"/>
  <c r="T71" i="12"/>
  <c r="R63" i="12"/>
  <c r="S63" i="12"/>
  <c r="T63" i="12"/>
  <c r="R52" i="12"/>
  <c r="S52" i="12"/>
  <c r="T52" i="12"/>
  <c r="R65" i="12"/>
  <c r="S65" i="12"/>
  <c r="T65" i="12"/>
  <c r="R74" i="12"/>
  <c r="S74" i="12"/>
  <c r="T74" i="12"/>
  <c r="R62" i="12"/>
  <c r="S62" i="12"/>
  <c r="T62" i="12"/>
  <c r="R59" i="12"/>
  <c r="S59" i="12"/>
  <c r="T59" i="12"/>
  <c r="R72" i="12"/>
  <c r="S72" i="12"/>
  <c r="T72" i="12"/>
  <c r="R68" i="12"/>
  <c r="S68" i="12"/>
  <c r="T68" i="12"/>
  <c r="R70" i="12"/>
  <c r="S70" i="12"/>
  <c r="T70" i="12"/>
  <c r="R58" i="12"/>
  <c r="S58" i="12"/>
  <c r="T58" i="12"/>
  <c r="R69" i="12"/>
  <c r="S69" i="12"/>
  <c r="T69" i="12"/>
  <c r="R60" i="12"/>
  <c r="S60" i="12"/>
  <c r="T60" i="12"/>
  <c r="R53" i="12"/>
  <c r="S53" i="12"/>
  <c r="T53" i="12"/>
  <c r="R67" i="12"/>
  <c r="S67" i="12"/>
  <c r="T67" i="12"/>
  <c r="R45" i="12"/>
  <c r="S45" i="12"/>
  <c r="T45" i="12"/>
  <c r="R64" i="12"/>
  <c r="S64" i="12"/>
  <c r="T64" i="12"/>
  <c r="R66" i="12"/>
  <c r="S66" i="12"/>
  <c r="T66" i="12"/>
  <c r="U45" i="12" a="1"/>
  <c r="R25" i="12"/>
  <c r="R22" i="12"/>
  <c r="R29" i="12"/>
  <c r="R19" i="12"/>
  <c r="S19" i="12"/>
  <c r="U45" i="12" l="1"/>
  <c r="T19" i="12"/>
  <c r="R20" i="12"/>
  <c r="S20" i="12"/>
  <c r="T20" i="12"/>
  <c r="R21" i="12"/>
  <c r="S21" i="12"/>
  <c r="T21" i="12"/>
  <c r="S22" i="12"/>
  <c r="T22" i="12"/>
  <c r="R23" i="12"/>
  <c r="S23" i="12"/>
  <c r="T23" i="12"/>
  <c r="R24" i="12"/>
  <c r="S24" i="12"/>
  <c r="T24" i="12"/>
  <c r="S25" i="12"/>
  <c r="T25" i="12"/>
  <c r="R26" i="12"/>
  <c r="S26" i="12"/>
  <c r="T26" i="12"/>
  <c r="R27" i="12"/>
  <c r="S27" i="12"/>
  <c r="T27" i="12"/>
  <c r="R28" i="12"/>
  <c r="S28" i="12"/>
  <c r="T28" i="12"/>
  <c r="S29" i="12"/>
  <c r="T29" i="12"/>
  <c r="R30" i="12"/>
  <c r="S30" i="12"/>
  <c r="T30" i="12"/>
  <c r="R31" i="12"/>
  <c r="S31" i="12"/>
  <c r="T31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41" i="12"/>
  <c r="S41" i="12"/>
  <c r="T41" i="12"/>
  <c r="R42" i="12"/>
  <c r="S42" i="12"/>
  <c r="T42" i="12"/>
  <c r="U19" i="12" a="1"/>
  <c r="J12" i="12"/>
  <c r="J13" i="12"/>
  <c r="K13" i="12"/>
  <c r="K10" i="12"/>
  <c r="K12" i="12"/>
  <c r="J15" i="12"/>
  <c r="J11" i="12"/>
  <c r="K15" i="12"/>
  <c r="J10" i="12"/>
  <c r="U19" i="12"/>
  <c r="G11" i="12"/>
  <c r="H11" i="12"/>
  <c r="I11" i="12"/>
  <c r="G13" i="12"/>
  <c r="H15" i="12"/>
  <c r="H10" i="12"/>
  <c r="I10" i="12" s="1"/>
  <c r="G10" i="12"/>
  <c r="G12" i="12"/>
  <c r="H12" i="12"/>
  <c r="I12" i="12"/>
  <c r="G15" i="12"/>
  <c r="I15" i="12"/>
  <c r="H13" i="12"/>
  <c r="I13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<sst xmlns="http://schemas.openxmlformats.org/spreadsheetml/2006/main" count="245" uniqueCount="179">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</sst>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</cellStyleXfs>
  <cellXfs count="244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3.2770000002048339E-3</c:v>
                </c:pt>
                <c:pt idx="1">
                  <c:v>3.2749372754282561E-3</c:v>
                </c:pt>
                <c:pt idx="2">
                  <c:v>3.2732054268931787E-3</c:v>
                </c:pt>
                <c:pt idx="3">
                  <c:v>3.2715230073688197E-3</c:v>
                </c:pt>
                <c:pt idx="4">
                  <c:v>3.267478047148469E-3</c:v>
                </c:pt>
                <c:pt idx="5">
                  <c:v>3.2641474985242711E-3</c:v>
                </c:pt>
                <c:pt idx="6">
                  <c:v>3.2641474985242711E-3</c:v>
                </c:pt>
                <c:pt idx="7">
                  <c:v>3.2629341013678172E-3</c:v>
                </c:pt>
                <c:pt idx="8">
                  <c:v>3.2618206020715132E-3</c:v>
                </c:pt>
                <c:pt idx="9">
                  <c:v>3.2602878040337156E-3</c:v>
                </c:pt>
                <c:pt idx="10">
                  <c:v>3.2584475886361032E-3</c:v>
                </c:pt>
                <c:pt idx="11">
                  <c:v>3.2578950825938599E-3</c:v>
                </c:pt>
                <c:pt idx="12">
                  <c:v>3.2574670760778849E-3</c:v>
                </c:pt>
                <c:pt idx="13">
                  <c:v>3.2571676694197445E-3</c:v>
                </c:pt>
                <c:pt idx="14">
                  <c:v>3.2609292171990084E-3</c:v>
                </c:pt>
                <c:pt idx="15">
                  <c:v>3.2593284625733782E-3</c:v>
                </c:pt>
                <c:pt idx="16">
                  <c:v>3.2577431472734023E-3</c:v>
                </c:pt>
                <c:pt idx="17">
                  <c:v>3.2613686184839617E-3</c:v>
                </c:pt>
                <c:pt idx="18">
                  <c:v>3.2613686184839617E-3</c:v>
                </c:pt>
                <c:pt idx="19">
                  <c:v>3.2648890934921767E-3</c:v>
                </c:pt>
                <c:pt idx="20">
                  <c:v>3.266410576604423E-3</c:v>
                </c:pt>
                <c:pt idx="21">
                  <c:v>3.2681128526370839E-3</c:v>
                </c:pt>
                <c:pt idx="22">
                  <c:v>3.2700000000002965E-3</c:v>
                </c:pt>
                <c:pt idx="23">
                  <c:v>3.2720748029991553E-3</c:v>
                </c:pt>
                <c:pt idx="24">
                  <c:v>3.279396046026365E-3</c:v>
                </c:pt>
                <c:pt idx="25">
                  <c:v>3.2821897836113733E-3</c:v>
                </c:pt>
                <c:pt idx="26">
                  <c:v>3.2851540388368285E-3</c:v>
                </c:pt>
                <c:pt idx="27">
                  <c:v>3.2882851253517261E-3</c:v>
                </c:pt>
                <c:pt idx="28">
                  <c:v>3.2915793568230691E-3</c:v>
                </c:pt>
                <c:pt idx="29">
                  <c:v>3.3024040578772634E-3</c:v>
                </c:pt>
                <c:pt idx="30">
                  <c:v>3.3063140061316602E-3</c:v>
                </c:pt>
                <c:pt idx="31">
                  <c:v>3.3103686678663765E-3</c:v>
                </c:pt>
                <c:pt idx="32">
                  <c:v>3.3145643568037561E-3</c:v>
                </c:pt>
                <c:pt idx="33">
                  <c:v>3.3188973866648242E-3</c:v>
                </c:pt>
                <c:pt idx="34">
                  <c:v>3.3326836589437597E-3</c:v>
                </c:pt>
                <c:pt idx="35">
                  <c:v>3.3375291896149701E-3</c:v>
                </c:pt>
                <c:pt idx="36">
                  <c:v>3.3424936297205671E-3</c:v>
                </c:pt>
                <c:pt idx="37">
                  <c:v>3.3689704494282444E-3</c:v>
                </c:pt>
                <c:pt idx="38">
                  <c:v>3.374570932450199E-3</c:v>
                </c:pt>
                <c:pt idx="39">
                  <c:v>3.3749312674531372E-3</c:v>
                </c:pt>
                <c:pt idx="40">
                  <c:v>3.3865586685048444E-3</c:v>
                </c:pt>
                <c:pt idx="41">
                  <c:v>3.4099999999993693E-3</c:v>
                </c:pt>
                <c:pt idx="42">
                  <c:v>3.4108222494662753E-3</c:v>
                </c:pt>
                <c:pt idx="43">
                  <c:v>3.4170757067104622E-3</c:v>
                </c:pt>
                <c:pt idx="44">
                  <c:v>3.4233990474657815E-3</c:v>
                </c:pt>
                <c:pt idx="45">
                  <c:v>3.4297921224880801E-3</c:v>
                </c:pt>
                <c:pt idx="46">
                  <c:v>3.4547100924856907E-3</c:v>
                </c:pt>
                <c:pt idx="47">
                  <c:v>3.4560587805543583E-3</c:v>
                </c:pt>
                <c:pt idx="48">
                  <c:v>3.4627982884400479E-3</c:v>
                </c:pt>
                <c:pt idx="49">
                  <c:v>3.4696066352399749E-3</c:v>
                </c:pt>
                <c:pt idx="50">
                  <c:v>3.4764836717484085E-3</c:v>
                </c:pt>
                <c:pt idx="51">
                  <c:v>3.5046757308948052E-3</c:v>
                </c:pt>
                <c:pt idx="52">
                  <c:v>3.5046757308948052E-3</c:v>
                </c:pt>
                <c:pt idx="53">
                  <c:v>3.5118939780112942E-3</c:v>
                </c:pt>
                <c:pt idx="54">
                  <c:v>3.5191800196968581E-3</c:v>
                </c:pt>
                <c:pt idx="55">
                  <c:v>3.5265337067788881E-3</c:v>
                </c:pt>
                <c:pt idx="56">
                  <c:v>3.5543615043530422E-3</c:v>
                </c:pt>
                <c:pt idx="57">
                  <c:v>3.5566219257771804E-3</c:v>
                </c:pt>
                <c:pt idx="58">
                  <c:v>3.56431160241053E-3</c:v>
                </c:pt>
                <c:pt idx="59">
                  <c:v>3.57206802949965E-3</c:v>
                </c:pt>
                <c:pt idx="60">
                  <c:v>3.5852944366398711E-3</c:v>
                </c:pt>
                <c:pt idx="61">
                  <c:v>3.6092010552867763E-3</c:v>
                </c:pt>
                <c:pt idx="62">
                  <c:v>3.6118462019903573E-3</c:v>
                </c:pt>
                <c:pt idx="63">
                  <c:v>3.6199999999997345E-3</c:v>
                </c:pt>
                <c:pt idx="64">
                  <c:v>3.6282197794680823E-3</c:v>
                </c:pt>
                <c:pt idx="65">
                  <c:v>3.6365067658045667E-3</c:v>
                </c:pt>
                <c:pt idx="66">
                  <c:v>3.6673588471513286E-3</c:v>
                </c:pt>
                <c:pt idx="67">
                  <c:v>3.6703567871341535E-3</c:v>
                </c:pt>
                <c:pt idx="68">
                  <c:v>3.6790023135743217E-3</c:v>
                </c:pt>
                <c:pt idx="69">
                  <c:v>3.6877240494196857E-3</c:v>
                </c:pt>
                <c:pt idx="70">
                  <c:v>3.6965234952126974E-3</c:v>
                </c:pt>
                <c:pt idx="71">
                  <c:v>3.7325283899468597E-3</c:v>
                </c:pt>
                <c:pt idx="72">
                  <c:v>3.7325283899468597E-3</c:v>
                </c:pt>
                <c:pt idx="73">
                  <c:v>3.7417388948651734E-3</c:v>
                </c:pt>
                <c:pt idx="74">
                  <c:v>3.7510361137467895E-3</c:v>
                </c:pt>
                <c:pt idx="75">
                  <c:v>3.7604215473947262E-3</c:v>
                </c:pt>
                <c:pt idx="76">
                  <c:v>3.7951570621381331E-3</c:v>
                </c:pt>
                <c:pt idx="77">
                  <c:v>3.7988754471153176E-3</c:v>
                </c:pt>
                <c:pt idx="78">
                  <c:v>3.8087244680546821E-3</c:v>
                </c:pt>
                <c:pt idx="79">
                  <c:v>3.8186707094383381E-3</c:v>
                </c:pt>
                <c:pt idx="80">
                  <c:v>3.8349299390210709E-3</c:v>
                </c:pt>
                <c:pt idx="81">
                  <c:v>3.8786628061772475E-3</c:v>
                </c:pt>
                <c:pt idx="82">
                  <c:v>3.8892764757317896E-3</c:v>
                </c:pt>
                <c:pt idx="83">
                  <c:v>3.8999999999981805E-3</c:v>
                </c:pt>
                <c:pt idx="84">
                  <c:v>3.930931443643532E-3</c:v>
                </c:pt>
                <c:pt idx="85">
                  <c:v>3.9352517995127814E-3</c:v>
                </c:pt>
                <c:pt idx="86">
                  <c:v>3.9553124401389096E-3</c:v>
                </c:pt>
                <c:pt idx="87">
                  <c:v>3.9667226903635734E-3</c:v>
                </c:pt>
                <c:pt idx="88">
                  <c:v>3.9782517818211785E-3</c:v>
                </c:pt>
                <c:pt idx="89">
                  <c:v>4.0041241899938049E-3</c:v>
                </c:pt>
                <c:pt idx="90">
                  <c:v>4.0088225586683438E-3</c:v>
                </c:pt>
                <c:pt idx="91">
                  <c:v>4.0377236704605812E-3</c:v>
                </c:pt>
                <c:pt idx="92">
                  <c:v>4.0499920977702924E-3</c:v>
                </c:pt>
                <c:pt idx="93">
                  <c:v>4.0623881296304072E-3</c:v>
                </c:pt>
                <c:pt idx="94">
                  <c:v>4.0901070502620939E-3</c:v>
                </c:pt>
                <c:pt idx="95">
                  <c:v>4.0952081660561605E-3</c:v>
                </c:pt>
                <c:pt idx="96">
                  <c:v>4.1263261834687832E-3</c:v>
                </c:pt>
                <c:pt idx="97">
                  <c:v>4.1395141392179717E-3</c:v>
                </c:pt>
                <c:pt idx="98">
                  <c:v>4.1528384655984702E-3</c:v>
                </c:pt>
                <c:pt idx="99">
                  <c:v>4.1825595069438157E-3</c:v>
                </c:pt>
                <c:pt idx="100">
                  <c:v>4.1880775284168963E-3</c:v>
                </c:pt>
                <c:pt idx="101">
                  <c:v>4.221549498086551E-3</c:v>
                </c:pt>
                <c:pt idx="102">
                  <c:v>4.2272841403725777E-3</c:v>
                </c:pt>
                <c:pt idx="103">
                  <c:v>4.241515025319097E-3</c:v>
                </c:pt>
                <c:pt idx="104">
                  <c:v>4.2558914135384339E-3</c:v>
                </c:pt>
                <c:pt idx="105">
                  <c:v>4.3299999999937061E-3</c:v>
                </c:pt>
                <c:pt idx="106">
                  <c:v>4.3452753678185543E-3</c:v>
                </c:pt>
                <c:pt idx="107">
                  <c:v>4.3607020664173258E-3</c:v>
                </c:pt>
                <c:pt idx="108">
                  <c:v>4.4043343851798344E-3</c:v>
                </c:pt>
                <c:pt idx="109">
                  <c:v>4.4238875179793934E-3</c:v>
                </c:pt>
                <c:pt idx="110">
                  <c:v>4.440044882325524E-3</c:v>
                </c:pt>
                <c:pt idx="111">
                  <c:v>4.4563431820347074E-3</c:v>
                </c:pt>
                <c:pt idx="112">
                  <c:v>4.4727806844518303E-3</c:v>
                </c:pt>
                <c:pt idx="113">
                  <c:v>4.509034510118499E-3</c:v>
                </c:pt>
                <c:pt idx="114">
                  <c:v>4.5398880670814556E-3</c:v>
                </c:pt>
                <c:pt idx="115">
                  <c:v>4.5569955921798497E-3</c:v>
                </c:pt>
                <c:pt idx="116">
                  <c:v>4.5742319234208266E-3</c:v>
                </c:pt>
                <c:pt idx="117">
                  <c:v>4.5915953279265015E-3</c:v>
                </c:pt>
                <c:pt idx="118">
                  <c:v>4.6296236299407517E-3</c:v>
                </c:pt>
                <c:pt idx="119">
                  <c:v>4.6622850197512019E-3</c:v>
                </c:pt>
                <c:pt idx="120">
                  <c:v>4.6802577961069054E-3</c:v>
                </c:pt>
                <c:pt idx="121">
                  <c:v>4.6983472476601999E-3</c:v>
                </c:pt>
                <c:pt idx="122">
                  <c:v>4.7165516412567008E-3</c:v>
                </c:pt>
                <c:pt idx="123">
                  <c:v>4.7560980153770948E-3</c:v>
                </c:pt>
                <c:pt idx="124">
                  <c:v>4.8199999999923911E-3</c:v>
                </c:pt>
                <c:pt idx="125">
                  <c:v>4.8388937915632294E-3</c:v>
                </c:pt>
                <c:pt idx="126">
                  <c:v>4.8796218329789426E-3</c:v>
                </c:pt>
                <c:pt idx="127">
                  <c:v>4.8878665534000292E-3</c:v>
                </c:pt>
                <c:pt idx="128">
                  <c:v>4.9457637619236949E-3</c:v>
                </c:pt>
                <c:pt idx="129">
                  <c:v>4.9541980344125491E-3</c:v>
                </c:pt>
                <c:pt idx="130">
                  <c:v>4.9737024688453159E-3</c:v>
                </c:pt>
                <c:pt idx="131">
                  <c:v>5.0154839544013265E-3</c:v>
                </c:pt>
                <c:pt idx="132">
                  <c:v>5.0240477305060656E-3</c:v>
                </c:pt>
                <c:pt idx="133">
                  <c:v>5.0722200908091281E-3</c:v>
                </c:pt>
                <c:pt idx="134">
                  <c:v>5.0920953072726254E-3</c:v>
                </c:pt>
                <c:pt idx="135">
                  <c:v>5.1120186210839658E-3</c:v>
                </c:pt>
                <c:pt idx="136">
                  <c:v>5.1546271179292438E-3</c:v>
                </c:pt>
                <c:pt idx="137">
                  <c:v>5.163336442043827E-3</c:v>
                </c:pt>
                <c:pt idx="138">
                  <c:v>5.2438113034624307E-3</c:v>
                </c:pt>
                <c:pt idx="139">
                  <c:v>5.252499697467352E-3</c:v>
                </c:pt>
                <c:pt idx="140">
                  <c:v>5.2957231122222146E-3</c:v>
                </c:pt>
                <c:pt idx="141">
                  <c:v>5.3043972667975422E-3</c:v>
                </c:pt>
                <c:pt idx="142">
                  <c:v>5.3417996996491064E-3</c:v>
                </c:pt>
                <c:pt idx="143">
                  <c:v>5.3619623105344754E-3</c:v>
                </c:pt>
                <c:pt idx="144">
                  <c:v>5.3821181543494429E-3</c:v>
                </c:pt>
                <c:pt idx="145">
                  <c:v>5.4022632929397255E-3</c:v>
                </c:pt>
                <c:pt idx="146">
                  <c:v>5.4458957188335613E-3</c:v>
                </c:pt>
                <c:pt idx="147">
                  <c:v>5.4827430060337169E-3</c:v>
                </c:pt>
                <c:pt idx="148">
                  <c:v>5.5028565385239672E-3</c:v>
                </c:pt>
                <c:pt idx="149">
                  <c:v>5.5229755701851728E-3</c:v>
                </c:pt>
                <c:pt idx="150">
                  <c:v>5.543104130047557E-3</c:v>
                </c:pt>
                <c:pt idx="151">
                  <c:v>5.5871642168124876E-3</c:v>
                </c:pt>
                <c:pt idx="152">
                  <c:v>5.6237942378709466E-3</c:v>
                </c:pt>
                <c:pt idx="153">
                  <c:v>5.6440308799558464E-3</c:v>
                </c:pt>
                <c:pt idx="154">
                  <c:v>5.6643012278880401E-3</c:v>
                </c:pt>
                <c:pt idx="155">
                  <c:v>5.6846093118566067E-3</c:v>
                </c:pt>
                <c:pt idx="156">
                  <c:v>5.7292860926156037E-3</c:v>
                </c:pt>
                <c:pt idx="157">
                  <c:v>5.7662996177809496E-3</c:v>
                </c:pt>
                <c:pt idx="158">
                  <c:v>5.7868568406819511E-3</c:v>
                </c:pt>
                <c:pt idx="159">
                  <c:v>5.8074759843133534E-3</c:v>
                </c:pt>
                <c:pt idx="160">
                  <c:v>5.8775037414819107E-3</c:v>
                </c:pt>
                <c:pt idx="161">
                  <c:v>5.8859935747859115E-3</c:v>
                </c:pt>
                <c:pt idx="162">
                  <c:v>5.9116416180734731E-3</c:v>
                </c:pt>
                <c:pt idx="163">
                  <c:v>5.9451730235430805E-3</c:v>
                </c:pt>
                <c:pt idx="164">
                  <c:v>6.0038310557716367E-3</c:v>
                </c:pt>
                <c:pt idx="165">
                  <c:v>6.0126683492958055E-3</c:v>
                </c:pt>
                <c:pt idx="166">
                  <c:v>6.0737983453301491E-3</c:v>
                </c:pt>
                <c:pt idx="167">
                  <c:v>6.0737983453301491E-3</c:v>
                </c:pt>
                <c:pt idx="168">
                  <c:v>6.0956097012749948E-3</c:v>
                </c:pt>
                <c:pt idx="169">
                  <c:v>6.1175336238297861E-3</c:v>
                </c:pt>
                <c:pt idx="170">
                  <c:v>6.164890749415561E-3</c:v>
                </c:pt>
                <c:pt idx="171">
                  <c:v>6.1743933090321577E-3</c:v>
                </c:pt>
                <c:pt idx="172">
                  <c:v>6.2288009013814049E-3</c:v>
                </c:pt>
                <c:pt idx="173">
                  <c:v>6.2513757224890798E-3</c:v>
                </c:pt>
                <c:pt idx="174">
                  <c:v>6.2740549428442621E-3</c:v>
                </c:pt>
                <c:pt idx="175">
                  <c:v>6.3351878588962084E-3</c:v>
                </c:pt>
                <c:pt idx="176">
                  <c:v>6.3453179478120229E-3</c:v>
                </c:pt>
                <c:pt idx="177">
                  <c:v>6.3889761901183275E-3</c:v>
                </c:pt>
                <c:pt idx="178">
                  <c:v>6.412257299487357E-3</c:v>
                </c:pt>
                <c:pt idx="179">
                  <c:v>6.4356346389133519E-3</c:v>
                </c:pt>
                <c:pt idx="180">
                  <c:v>6.4848638123471049E-3</c:v>
                </c:pt>
                <c:pt idx="181">
                  <c:v>6.4955631898064026E-3</c:v>
                </c:pt>
                <c:pt idx="182">
                  <c:v>6.5539239338103898E-3</c:v>
                </c:pt>
                <c:pt idx="183">
                  <c:v>6.5778541411256808E-3</c:v>
                </c:pt>
                <c:pt idx="184">
                  <c:v>6.6018724072751094E-3</c:v>
                </c:pt>
                <c:pt idx="185">
                  <c:v>6.6130274033086699E-3</c:v>
                </c:pt>
                <c:pt idx="186">
                  <c:v>6.6242508394892602E-3</c:v>
                </c:pt>
                <c:pt idx="187">
                  <c:v>6.7232437566129392E-3</c:v>
                </c:pt>
                <c:pt idx="188">
                  <c:v>6.7477658567608031E-3</c:v>
                </c:pt>
                <c:pt idx="189">
                  <c:v>6.7723677407364718E-3</c:v>
                </c:pt>
                <c:pt idx="190">
                  <c:v>6.8230461564419958E-3</c:v>
                </c:pt>
                <c:pt idx="191">
                  <c:v>6.8348090127732129E-3</c:v>
                </c:pt>
                <c:pt idx="192">
                  <c:v>6.8965132360885115E-3</c:v>
                </c:pt>
                <c:pt idx="193">
                  <c:v>6.9215571080443088E-3</c:v>
                </c:pt>
                <c:pt idx="194">
                  <c:v>6.9466684231746303E-3</c:v>
                </c:pt>
                <c:pt idx="195">
                  <c:v>7.010931544704853E-3</c:v>
                </c:pt>
                <c:pt idx="196">
                  <c:v>7.023150292436468E-3</c:v>
                </c:pt>
                <c:pt idx="197">
                  <c:v>7.0731744208085709E-3</c:v>
                </c:pt>
                <c:pt idx="198">
                  <c:v>7.0986530584087239E-3</c:v>
                </c:pt>
                <c:pt idx="199">
                  <c:v>7.1241866928550843E-3</c:v>
                </c:pt>
                <c:pt idx="200">
                  <c:v>7.1758591237500429E-3</c:v>
                </c:pt>
                <c:pt idx="201">
                  <c:v>7.1884558930799501E-3</c:v>
                </c:pt>
                <c:pt idx="202">
                  <c:v>7.2526175708797569E-3</c:v>
                </c:pt>
                <c:pt idx="203">
                  <c:v>7.2784438370154326E-3</c:v>
                </c:pt>
                <c:pt idx="204">
                  <c:v>7.3043126493659207E-3</c:v>
                </c:pt>
                <c:pt idx="205">
                  <c:v>7.3563090814686731E-3</c:v>
                </c:pt>
                <c:pt idx="206">
                  <c:v>7.3692138372220932E-3</c:v>
                </c:pt>
                <c:pt idx="207">
                  <c:v>7.4342410970704249E-3</c:v>
                </c:pt>
                <c:pt idx="208">
                  <c:v>7.4603613140716172E-3</c:v>
                </c:pt>
                <c:pt idx="209">
                  <c:v>7.4865101322566484E-3</c:v>
                </c:pt>
                <c:pt idx="210">
                  <c:v>7.5126857523913505E-3</c:v>
                </c:pt>
                <c:pt idx="211">
                  <c:v>7.617621435546936E-3</c:v>
                </c:pt>
                <c:pt idx="212">
                  <c:v>7.617621435546936E-3</c:v>
                </c:pt>
                <c:pt idx="213">
                  <c:v>7.6439051898535837E-3</c:v>
                </c:pt>
                <c:pt idx="214">
                  <c:v>7.6702054977196349E-3</c:v>
                </c:pt>
                <c:pt idx="215">
                  <c:v>7.6965206690666806E-3</c:v>
                </c:pt>
                <c:pt idx="216">
                  <c:v>7.7755384618609109E-3</c:v>
                </c:pt>
                <c:pt idx="217">
                  <c:v>7.8018961845523829E-3</c:v>
                </c:pt>
                <c:pt idx="218">
                  <c:v>7.8282603189870799E-3</c:v>
                </c:pt>
                <c:pt idx="219">
                  <c:v>7.854629174549441E-3</c:v>
                </c:pt>
                <c:pt idx="220">
                  <c:v>7.8810010605329904E-3</c:v>
                </c:pt>
                <c:pt idx="221">
                  <c:v>7.9601179926046678E-3</c:v>
                </c:pt>
                <c:pt idx="222">
                  <c:v>7.9864850914166795E-3</c:v>
                </c:pt>
                <c:pt idx="223">
                  <c:v>8.0128467657730809E-3</c:v>
                </c:pt>
                <c:pt idx="224">
                  <c:v>8.039201324428048E-3</c:v>
                </c:pt>
                <c:pt idx="225">
                  <c:v>8.1174570453161742E-3</c:v>
                </c:pt>
                <c:pt idx="226">
                  <c:v>8.1574838552552816E-3</c:v>
                </c:pt>
                <c:pt idx="227">
                  <c:v>8.1708081823481937E-3</c:v>
                </c:pt>
                <c:pt idx="228">
                  <c:v>8.2100491252329235E-3</c:v>
                </c:pt>
                <c:pt idx="229">
                  <c:v>8.2363043355509046E-3</c:v>
                </c:pt>
                <c:pt idx="230">
                  <c:v>8.2884616272706629E-3</c:v>
                </c:pt>
                <c:pt idx="231">
                  <c:v>8.3411030800826999E-3</c:v>
                </c:pt>
                <c:pt idx="232">
                  <c:v>8.3672388270879961E-3</c:v>
                </c:pt>
                <c:pt idx="233">
                  <c:v>8.3933456321554842E-3</c:v>
                </c:pt>
                <c:pt idx="234">
                  <c:v>8.4194222768036713E-3</c:v>
                </c:pt>
                <c:pt idx="235">
                  <c:v>8.4713722677678179E-3</c:v>
                </c:pt>
                <c:pt idx="236">
                  <c:v>8.5493848176411685E-3</c:v>
                </c:pt>
                <c:pt idx="237">
                  <c:v>8.5493848176411685E-3</c:v>
                </c:pt>
                <c:pt idx="238">
                  <c:v>8.5753009293441686E-3</c:v>
                </c:pt>
                <c:pt idx="239">
                  <c:v>8.601194155840871E-3</c:v>
                </c:pt>
                <c:pt idx="240">
                  <c:v>8.6529640288057052E-3</c:v>
                </c:pt>
                <c:pt idx="241">
                  <c:v>8.7045603297011796E-3</c:v>
                </c:pt>
                <c:pt idx="242">
                  <c:v>8.730355720632221E-3</c:v>
                </c:pt>
                <c:pt idx="243">
                  <c:v>8.7561348629524999E-3</c:v>
                </c:pt>
                <c:pt idx="244">
                  <c:v>8.7818988629657004E-3</c:v>
                </c:pt>
                <c:pt idx="245">
                  <c:v>8.8335546578101037E-3</c:v>
                </c:pt>
                <c:pt idx="246">
                  <c:v>8.884825568052505E-3</c:v>
                </c:pt>
                <c:pt idx="247">
                  <c:v>8.9105304531153923E-3</c:v>
                </c:pt>
                <c:pt idx="248">
                  <c:v>8.9362268349098065E-3</c:v>
                </c:pt>
                <c:pt idx="249">
                  <c:v>8.9619158201452286E-3</c:v>
                </c:pt>
                <c:pt idx="250">
                  <c:v>8.974639663770408E-3</c:v>
                </c:pt>
                <c:pt idx="251">
                  <c:v>9.0646199316840696E-3</c:v>
                </c:pt>
                <c:pt idx="252">
                  <c:v>9.0773244080283016E-3</c:v>
                </c:pt>
                <c:pt idx="253">
                  <c:v>9.1029908887225053E-3</c:v>
                </c:pt>
                <c:pt idx="254">
                  <c:v>9.128657713500592E-3</c:v>
                </c:pt>
                <c:pt idx="255">
                  <c:v>9.154325810045107E-3</c:v>
                </c:pt>
                <c:pt idx="256">
                  <c:v>9.2313388439336404E-3</c:v>
                </c:pt>
                <c:pt idx="257">
                  <c:v>9.25701277014194E-3</c:v>
                </c:pt>
                <c:pt idx="258">
                  <c:v>9.3083649952133054E-3</c:v>
                </c:pt>
                <c:pt idx="259">
                  <c:v>9.3083649952133054E-3</c:v>
                </c:pt>
                <c:pt idx="260">
                  <c:v>9.3340432941729969E-3</c:v>
                </c:pt>
                <c:pt idx="261">
                  <c:v>9.4110869373199568E-3</c:v>
                </c:pt>
                <c:pt idx="262">
                  <c:v>9.4367710672856545E-3</c:v>
                </c:pt>
                <c:pt idx="263">
                  <c:v>9.4624566551221017E-3</c:v>
                </c:pt>
                <c:pt idx="264">
                  <c:v>9.4881437008780458E-3</c:v>
                </c:pt>
                <c:pt idx="265">
                  <c:v>9.5138322046013652E-3</c:v>
                </c:pt>
                <c:pt idx="266">
                  <c:v>9.5909064640538593E-3</c:v>
                </c:pt>
                <c:pt idx="267">
                  <c:v>9.6166008001254098E-3</c:v>
                </c:pt>
                <c:pt idx="268">
                  <c:v>9.6422965944037015E-3</c:v>
                </c:pt>
                <c:pt idx="269">
                  <c:v>9.6936925577737632E-3</c:v>
                </c:pt>
                <c:pt idx="270">
                  <c:v>9.6936925577737632E-3</c:v>
                </c:pt>
                <c:pt idx="271">
                  <c:v>9.7837993842767364E-3</c:v>
                </c:pt>
                <c:pt idx="272">
                  <c:v>9.809505356080812E-3</c:v>
                </c:pt>
                <c:pt idx="273">
                  <c:v>9.8352127883175374E-3</c:v>
                </c:pt>
                <c:pt idx="274">
                  <c:v>9.8609216810362707E-3</c:v>
                </c:pt>
                <c:pt idx="275">
                  <c:v>9.9126508649228159E-3</c:v>
                </c:pt>
                <c:pt idx="276">
                  <c:v>9.9637718576883385E-3</c:v>
                </c:pt>
                <c:pt idx="277">
                  <c:v>9.9894880535374136E-3</c:v>
                </c:pt>
                <c:pt idx="278">
                  <c:v>1.0015205710157665E-2</c:v>
                </c:pt>
                <c:pt idx="279">
                  <c:v>1.004092482759714E-2</c:v>
                </c:pt>
                <c:pt idx="280">
                  <c:v>1.0092684443716284E-2</c:v>
                </c:pt>
                <c:pt idx="281">
                  <c:v>1.0143815906514827E-2</c:v>
                </c:pt>
                <c:pt idx="282">
                  <c:v>1.0169542328775531E-2</c:v>
                </c:pt>
                <c:pt idx="283">
                  <c:v>1.0195270212145939E-2</c:v>
                </c:pt>
                <c:pt idx="284">
                  <c:v>1.0220999556673226E-2</c:v>
                </c:pt>
                <c:pt idx="285">
                  <c:v>1.0272789792973915E-2</c:v>
                </c:pt>
                <c:pt idx="286">
                  <c:v>1.032393154732524E-2</c:v>
                </c:pt>
                <c:pt idx="287">
                  <c:v>1.0349668198365518E-2</c:v>
                </c:pt>
                <c:pt idx="288">
                  <c:v>1.0375406310853151E-2</c:v>
                </c:pt>
                <c:pt idx="289">
                  <c:v>1.0401145884836626E-2</c:v>
                </c:pt>
                <c:pt idx="290">
                  <c:v>1.0529865678884712E-2</c:v>
                </c:pt>
                <c:pt idx="291">
                  <c:v>1.0555614022858822E-2</c:v>
                </c:pt>
                <c:pt idx="292">
                  <c:v>1.0568316759169133E-2</c:v>
                </c:pt>
                <c:pt idx="293">
                  <c:v>1.0684377671212013E-2</c:v>
                </c:pt>
                <c:pt idx="294">
                  <c:v>1.0697080268389055E-2</c:v>
                </c:pt>
                <c:pt idx="295">
                  <c:v>1.0722837350713632E-2</c:v>
                </c:pt>
                <c:pt idx="296">
                  <c:v>1.0748595893310554E-2</c:v>
                </c:pt>
                <c:pt idx="297">
                  <c:v>1.077435589622769E-2</c:v>
                </c:pt>
                <c:pt idx="298">
                  <c:v>1.0851644667382651E-2</c:v>
                </c:pt>
                <c:pt idx="299">
                  <c:v>1.0877410512062907E-2</c:v>
                </c:pt>
                <c:pt idx="300">
                  <c:v>1.0903177817304063E-2</c:v>
                </c:pt>
                <c:pt idx="301">
                  <c:v>1.0928946583153997E-2</c:v>
                </c:pt>
                <c:pt idx="302">
                  <c:v>1.095471680966102E-2</c:v>
                </c:pt>
                <c:pt idx="303">
                  <c:v>1.1057812323225396E-2</c:v>
                </c:pt>
                <c:pt idx="304">
                  <c:v>1.1057812323225396E-2</c:v>
                </c:pt>
                <c:pt idx="305">
                  <c:v>1.1083589853740807E-2</c:v>
                </c:pt>
                <c:pt idx="306">
                  <c:v>1.1109368845202307E-2</c:v>
                </c:pt>
                <c:pt idx="307">
                  <c:v>1.113514929765777E-2</c:v>
                </c:pt>
                <c:pt idx="308">
                  <c:v>1.121249942147063E-2</c:v>
                </c:pt>
                <c:pt idx="309">
                  <c:v>1.1238285718384198E-2</c:v>
                </c:pt>
                <c:pt idx="310">
                  <c:v>1.1264073476532856E-2</c:v>
                </c:pt>
                <c:pt idx="311">
                  <c:v>1.1289862695964475E-2</c:v>
                </c:pt>
                <c:pt idx="312">
                  <c:v>1.131565337672737E-2</c:v>
                </c:pt>
                <c:pt idx="313">
                  <c:v>1.1393034187485085E-2</c:v>
                </c:pt>
                <c:pt idx="314">
                  <c:v>1.1418830714054456E-2</c:v>
                </c:pt>
                <c:pt idx="315">
                  <c:v>1.1444628702196228E-2</c:v>
                </c:pt>
                <c:pt idx="316">
                  <c:v>1.1470428151958277E-2</c:v>
                </c:pt>
                <c:pt idx="317">
                  <c:v>1.1496229063388914E-2</c:v>
                </c:pt>
                <c:pt idx="318">
                  <c:v>1.1573640568172849E-2</c:v>
                </c:pt>
                <c:pt idx="319">
                  <c:v>1.1599447326759212E-2</c:v>
                </c:pt>
                <c:pt idx="320">
                  <c:v>1.1625255547254852E-2</c:v>
                </c:pt>
                <c:pt idx="321">
                  <c:v>1.1651065229708516E-2</c:v>
                </c:pt>
                <c:pt idx="322">
                  <c:v>1.1676876374167644E-2</c:v>
                </c:pt>
                <c:pt idx="323">
                  <c:v>1.1780135573028105E-2</c:v>
                </c:pt>
                <c:pt idx="324">
                  <c:v>1.1780135573028105E-2</c:v>
                </c:pt>
                <c:pt idx="325">
                  <c:v>1.1805954028240114E-2</c:v>
                </c:pt>
                <c:pt idx="326">
                  <c:v>1.1831773945747024E-2</c:v>
                </c:pt>
                <c:pt idx="327">
                  <c:v>1.1857595325597587E-2</c:v>
                </c:pt>
                <c:pt idx="328">
                  <c:v>1.1935068239692127E-2</c:v>
                </c:pt>
                <c:pt idx="329">
                  <c:v>1.1960895469398674E-2</c:v>
                </c:pt>
                <c:pt idx="330">
                  <c:v>1.198672416168956E-2</c:v>
                </c:pt>
                <c:pt idx="331">
                  <c:v>1.2012554316613978E-2</c:v>
                </c:pt>
                <c:pt idx="332">
                  <c:v>1.2038385934218921E-2</c:v>
                </c:pt>
                <c:pt idx="333">
                  <c:v>1.2142170100554329E-2</c:v>
                </c:pt>
                <c:pt idx="334">
                  <c:v>1.2168010772255006E-2</c:v>
                </c:pt>
                <c:pt idx="335">
                  <c:v>1.2193852910711532E-2</c:v>
                </c:pt>
                <c:pt idx="336">
                  <c:v>1.2259141814885837E-2</c:v>
                </c:pt>
                <c:pt idx="337">
                  <c:v>1.2271840332432999E-2</c:v>
                </c:pt>
                <c:pt idx="338">
                  <c:v>1.2323085606049619E-2</c:v>
                </c:pt>
                <c:pt idx="339">
                  <c:v>1.2348936546069968E-2</c:v>
                </c:pt>
                <c:pt idx="340">
                  <c:v>1.2374788953188935E-2</c:v>
                </c:pt>
                <c:pt idx="341">
                  <c:v>1.2426960985292923E-2</c:v>
                </c:pt>
                <c:pt idx="342">
                  <c:v>1.2439658193204643E-2</c:v>
                </c:pt>
                <c:pt idx="343">
                  <c:v>1.2504072996968174E-2</c:v>
                </c:pt>
                <c:pt idx="344">
                  <c:v>1.2529934207703238E-2</c:v>
                </c:pt>
                <c:pt idx="345">
                  <c:v>1.2555796885879253E-2</c:v>
                </c:pt>
                <c:pt idx="346">
                  <c:v>1.2608002013224113E-2</c:v>
                </c:pt>
                <c:pt idx="347">
                  <c:v>1.2620698087602359E-2</c:v>
                </c:pt>
                <c:pt idx="348">
                  <c:v>1.268513229007702E-2</c:v>
                </c:pt>
                <c:pt idx="349">
                  <c:v>1.2711003773922706E-2</c:v>
                </c:pt>
                <c:pt idx="350">
                  <c:v>1.2736876725551243E-2</c:v>
                </c:pt>
                <c:pt idx="351">
                  <c:v>1.2789115138934232E-2</c:v>
                </c:pt>
                <c:pt idx="352">
                  <c:v>1.2892145261504083E-2</c:v>
                </c:pt>
                <c:pt idx="353">
                  <c:v>1.2918028488983227E-2</c:v>
                </c:pt>
                <c:pt idx="354">
                  <c:v>1.2930721681592988E-2</c:v>
                </c:pt>
                <c:pt idx="355">
                  <c:v>1.2982993911214642E-2</c:v>
                </c:pt>
                <c:pt idx="356">
                  <c:v>1.3034268487449652E-2</c:v>
                </c:pt>
                <c:pt idx="357">
                  <c:v>1.3060158855021891E-2</c:v>
                </c:pt>
                <c:pt idx="358">
                  <c:v>1.3086050689135115E-2</c:v>
                </c:pt>
                <c:pt idx="359">
                  <c:v>1.3111943989837378E-2</c:v>
                </c:pt>
                <c:pt idx="360">
                  <c:v>1.317745755122922E-2</c:v>
                </c:pt>
                <c:pt idx="361">
                  <c:v>1.3215531859515238E-2</c:v>
                </c:pt>
                <c:pt idx="362">
                  <c:v>1.3241432493894771E-2</c:v>
                </c:pt>
                <c:pt idx="363">
                  <c:v>1.3267334595155566E-2</c:v>
                </c:pt>
                <c:pt idx="364">
                  <c:v>1.3293238163346982E-2</c:v>
                </c:pt>
                <c:pt idx="365">
                  <c:v>1.3345577893820673E-2</c:v>
                </c:pt>
                <c:pt idx="366">
                  <c:v>1.3396867106387694E-2</c:v>
                </c:pt>
                <c:pt idx="367">
                  <c:v>1.3422778009959937E-2</c:v>
                </c:pt>
                <c:pt idx="368">
                  <c:v>1.3448690380755027E-2</c:v>
                </c:pt>
                <c:pt idx="369">
                  <c:v>1.3474604218821011E-2</c:v>
                </c:pt>
                <c:pt idx="370">
                  <c:v>1.352697798698866E-2</c:v>
                </c:pt>
                <c:pt idx="371">
                  <c:v>1.3578274244771038E-2</c:v>
                </c:pt>
                <c:pt idx="372">
                  <c:v>1.3604195419923588E-2</c:v>
                </c:pt>
                <c:pt idx="373">
                  <c:v>1.363011806263926E-2</c:v>
                </c:pt>
                <c:pt idx="374">
                  <c:v>1.3656042172967847E-2</c:v>
                </c:pt>
                <c:pt idx="375">
                  <c:v>1.3708450170611768E-2</c:v>
                </c:pt>
                <c:pt idx="376">
                  <c:v>1.3798932107532547E-2</c:v>
                </c:pt>
                <c:pt idx="377">
                  <c:v>1.3824866750258099E-2</c:v>
                </c:pt>
                <c:pt idx="378">
                  <c:v>1.3877308214831208E-2</c:v>
                </c:pt>
                <c:pt idx="379">
                  <c:v>1.3889993774824532E-2</c:v>
                </c:pt>
                <c:pt idx="380">
                  <c:v>1.3954558816392806E-2</c:v>
                </c:pt>
                <c:pt idx="381">
                  <c:v>1.3980499951836459E-2</c:v>
                </c:pt>
                <c:pt idx="382">
                  <c:v>1.4046217783754809E-2</c:v>
                </c:pt>
                <c:pt idx="383">
                  <c:v>1.4058901881132731E-2</c:v>
                </c:pt>
                <c:pt idx="384">
                  <c:v>1.4071585438120498E-2</c:v>
                </c:pt>
                <c:pt idx="385">
                  <c:v>1.413615293151789E-2</c:v>
                </c:pt>
                <c:pt idx="386">
                  <c:v>1.4162094690334635E-2</c:v>
                </c:pt>
                <c:pt idx="387">
                  <c:v>1.4188035924313818E-2</c:v>
                </c:pt>
                <c:pt idx="388">
                  <c:v>1.4240493379417952E-2</c:v>
                </c:pt>
                <c:pt idx="389">
                  <c:v>1.4253174441106436E-2</c:v>
                </c:pt>
                <c:pt idx="390">
                  <c:v>1.431772884896048E-2</c:v>
                </c:pt>
                <c:pt idx="391">
                  <c:v>1.4356918239311945E-2</c:v>
                </c:pt>
                <c:pt idx="392">
                  <c:v>1.4369596971933645E-2</c:v>
                </c:pt>
                <c:pt idx="393">
                  <c:v>1.4422030622999647E-2</c:v>
                </c:pt>
                <c:pt idx="394">
                  <c:v>1.4434708417211162E-2</c:v>
                </c:pt>
                <c:pt idx="395">
                  <c:v>1.4511909399493672E-2</c:v>
                </c:pt>
                <c:pt idx="396">
                  <c:v>1.4537829237886013E-2</c:v>
                </c:pt>
                <c:pt idx="397">
                  <c:v>1.4563746377344818E-2</c:v>
                </c:pt>
                <c:pt idx="398">
                  <c:v>1.4616134980468405E-2</c:v>
                </c:pt>
                <c:pt idx="399">
                  <c:v>1.4667384856851136E-2</c:v>
                </c:pt>
                <c:pt idx="400">
                  <c:v>1.4693286184824923E-2</c:v>
                </c:pt>
                <c:pt idx="401">
                  <c:v>1.4719183887081278E-2</c:v>
                </c:pt>
                <c:pt idx="402">
                  <c:v>1.4745077809127828E-2</c:v>
                </c:pt>
                <c:pt idx="403">
                  <c:v>1.4797401725541882E-2</c:v>
                </c:pt>
                <c:pt idx="404">
                  <c:v>1.4848612605090209E-2</c:v>
                </c:pt>
                <c:pt idx="405">
                  <c:v>1.4874485308422543E-2</c:v>
                </c:pt>
                <c:pt idx="406">
                  <c:v>1.4900353304423082E-2</c:v>
                </c:pt>
                <c:pt idx="407">
                  <c:v>1.4926216438542668E-2</c:v>
                </c:pt>
                <c:pt idx="408">
                  <c:v>1.4978456227760714E-2</c:v>
                </c:pt>
                <c:pt idx="409">
                  <c:v>1.5029617264963579E-2</c:v>
                </c:pt>
                <c:pt idx="410">
                  <c:v>1.5055453771171488E-2</c:v>
                </c:pt>
                <c:pt idx="411">
                  <c:v>1.5081284488039678E-2</c:v>
                </c:pt>
                <c:pt idx="412">
                  <c:v>1.510710926096308E-2</c:v>
                </c:pt>
                <c:pt idx="413">
                  <c:v>1.518554666438458E-2</c:v>
                </c:pt>
                <c:pt idx="414">
                  <c:v>1.5223491866711136E-2</c:v>
                </c:pt>
                <c:pt idx="415">
                  <c:v>1.5236138554690819E-2</c:v>
                </c:pt>
                <c:pt idx="416">
                  <c:v>1.5261924416802599E-2</c:v>
                </c:pt>
                <c:pt idx="417">
                  <c:v>1.5287703252514806E-2</c:v>
                </c:pt>
                <c:pt idx="418">
                  <c:v>1.5352833301663602E-2</c:v>
                </c:pt>
                <c:pt idx="419">
                  <c:v>1.5429587545606267E-2</c:v>
                </c:pt>
                <c:pt idx="420">
                  <c:v>1.5429587545606267E-2</c:v>
                </c:pt>
                <c:pt idx="421">
                  <c:v>1.5455314870634897E-2</c:v>
                </c:pt>
                <c:pt idx="422">
                  <c:v>1.5507195441590202E-2</c:v>
                </c:pt>
                <c:pt idx="423">
                  <c:v>1.5519821741686944E-2</c:v>
                </c:pt>
                <c:pt idx="424">
                  <c:v>1.5583825274444657E-2</c:v>
                </c:pt>
                <c:pt idx="425">
                  <c:v>1.5609501033543499E-2</c:v>
                </c:pt>
                <c:pt idx="426">
                  <c:v>1.5635167659585423E-2</c:v>
                </c:pt>
                <c:pt idx="427">
                  <c:v>1.5699918186522131E-2</c:v>
                </c:pt>
                <c:pt idx="428">
                  <c:v>1.5712526626080647E-2</c:v>
                </c:pt>
                <c:pt idx="429">
                  <c:v>1.5763358405583221E-2</c:v>
                </c:pt>
                <c:pt idx="430">
                  <c:v>1.5788967000158121E-2</c:v>
                </c:pt>
                <c:pt idx="431">
                  <c:v>1.5814565383894325E-2</c:v>
                </c:pt>
                <c:pt idx="432">
                  <c:v>1.5866118616522415E-2</c:v>
                </c:pt>
                <c:pt idx="433">
                  <c:v>1.5878708886505732E-2</c:v>
                </c:pt>
                <c:pt idx="434">
                  <c:v>1.5942398749711897E-2</c:v>
                </c:pt>
                <c:pt idx="435">
                  <c:v>1.5967932634137857E-2</c:v>
                </c:pt>
                <c:pt idx="436">
                  <c:v>1.5993455229559743E-2</c:v>
                </c:pt>
                <c:pt idx="437">
                  <c:v>1.6044820480519657E-2</c:v>
                </c:pt>
                <c:pt idx="438">
                  <c:v>1.6070303502671451E-2</c:v>
                </c:pt>
                <c:pt idx="439">
                  <c:v>1.6120893479425615E-2</c:v>
                </c:pt>
                <c:pt idx="440">
                  <c:v>1.6146345105405E-2</c:v>
                </c:pt>
                <c:pt idx="441">
                  <c:v>1.6171784363834794E-2</c:v>
                </c:pt>
                <c:pt idx="442">
                  <c:v>1.62229461644657E-2</c:v>
                </c:pt>
                <c:pt idx="443">
                  <c:v>1.6235487240003059E-2</c:v>
                </c:pt>
                <c:pt idx="444">
                  <c:v>1.6298789748673367E-2</c:v>
                </c:pt>
                <c:pt idx="445">
                  <c:v>1.6324151565256746E-2</c:v>
                </c:pt>
                <c:pt idx="446">
                  <c:v>1.63494999353688E-2</c:v>
                </c:pt>
                <c:pt idx="447">
                  <c:v>1.6400443371831289E-2</c:v>
                </c:pt>
                <c:pt idx="448">
                  <c:v>1.6412954213870529E-2</c:v>
                </c:pt>
                <c:pt idx="449">
                  <c:v>1.6476034692911541E-2</c:v>
                </c:pt>
                <c:pt idx="450">
                  <c:v>1.6501299146521153E-2</c:v>
                </c:pt>
                <c:pt idx="451">
                  <c:v>1.6526549074363652E-2</c:v>
                </c:pt>
                <c:pt idx="452">
                  <c:v>1.6589986830038535E-2</c:v>
                </c:pt>
                <c:pt idx="453">
                  <c:v>1.6602460649592921E-2</c:v>
                </c:pt>
                <c:pt idx="454">
                  <c:v>1.6652575429270317E-2</c:v>
                </c:pt>
                <c:pt idx="455">
                  <c:v>1.6677734963724822E-2</c:v>
                </c:pt>
                <c:pt idx="456">
                  <c:v>1.6702878892747165E-2</c:v>
                </c:pt>
                <c:pt idx="457">
                  <c:v>1.6753343078929742E-2</c:v>
                </c:pt>
                <c:pt idx="458">
                  <c:v>1.6765780782185959E-2</c:v>
                </c:pt>
                <c:pt idx="459">
                  <c:v>1.6828143677577248E-2</c:v>
                </c:pt>
                <c:pt idx="460">
                  <c:v>1.6840563059527934E-2</c:v>
                </c:pt>
                <c:pt idx="461">
                  <c:v>1.6865608043177334E-2</c:v>
                </c:pt>
                <c:pt idx="462">
                  <c:v>1.6890636194121338E-2</c:v>
                </c:pt>
                <c:pt idx="463">
                  <c:v>1.6990577333910923E-2</c:v>
                </c:pt>
                <c:pt idx="464">
                  <c:v>1.6990577333910923E-2</c:v>
                </c:pt>
                <c:pt idx="465">
                  <c:v>1.7015518968565548E-2</c:v>
                </c:pt>
                <c:pt idx="466">
                  <c:v>1.704044282935779E-2</c:v>
                </c:pt>
                <c:pt idx="467">
                  <c:v>1.7065348759404082E-2</c:v>
                </c:pt>
                <c:pt idx="468">
                  <c:v>1.7152460278660055E-2</c:v>
                </c:pt>
                <c:pt idx="469">
                  <c:v>1.7164790034170041E-2</c:v>
                </c:pt>
                <c:pt idx="470">
                  <c:v>1.7189603956954853E-2</c:v>
                </c:pt>
                <c:pt idx="471">
                  <c:v>1.7214399007531564E-2</c:v>
                </c:pt>
                <c:pt idx="472">
                  <c:v>1.7239175028964045E-2</c:v>
                </c:pt>
                <c:pt idx="473">
                  <c:v>1.7325811897657969E-2</c:v>
                </c:pt>
                <c:pt idx="474">
                  <c:v>1.7338085684290346E-2</c:v>
                </c:pt>
                <c:pt idx="475">
                  <c:v>1.7362764205717852E-2</c:v>
                </c:pt>
                <c:pt idx="476">
                  <c:v>1.738742275623734E-2</c:v>
                </c:pt>
                <c:pt idx="477">
                  <c:v>1.7412061178863219E-2</c:v>
                </c:pt>
                <c:pt idx="478">
                  <c:v>1.7498198404405987E-2</c:v>
                </c:pt>
                <c:pt idx="479">
                  <c:v>1.7510410450475196E-2</c:v>
                </c:pt>
                <c:pt idx="480">
                  <c:v>1.7534945878604165E-2</c:v>
                </c:pt>
                <c:pt idx="481">
                  <c:v>1.7559460236778957E-2</c:v>
                </c:pt>
                <c:pt idx="482">
                  <c:v>1.7596251053201076E-2</c:v>
                </c:pt>
                <c:pt idx="483">
                  <c:v>1.7669566240281511E-2</c:v>
                </c:pt>
                <c:pt idx="484">
                  <c:v>1.7693961079162768E-2</c:v>
                </c:pt>
                <c:pt idx="485">
                  <c:v>1.7718333879270139E-2</c:v>
                </c:pt>
                <c:pt idx="486">
                  <c:v>1.774268448437168E-2</c:v>
                </c:pt>
                <c:pt idx="487">
                  <c:v>1.7767012738229726E-2</c:v>
                </c:pt>
                <c:pt idx="488">
                  <c:v>1.7864099116228691E-2</c:v>
                </c:pt>
                <c:pt idx="489">
                  <c:v>1.7864099116228691E-2</c:v>
                </c:pt>
                <c:pt idx="490">
                  <c:v>1.7888313270061046E-2</c:v>
                </c:pt>
                <c:pt idx="491">
                  <c:v>1.7912504135078569E-2</c:v>
                </c:pt>
                <c:pt idx="492">
                  <c:v>1.7985118148826851E-2</c:v>
                </c:pt>
                <c:pt idx="493">
                  <c:v>1.8021118692239331E-2</c:v>
                </c:pt>
                <c:pt idx="494">
                  <c:v>1.8033103657726441E-2</c:v>
                </c:pt>
                <c:pt idx="495">
                  <c:v>1.8057151507629488E-2</c:v>
                </c:pt>
                <c:pt idx="496">
                  <c:v>1.8081174974579294E-2</c:v>
                </c:pt>
                <c:pt idx="497">
                  <c:v>1.8105173902244649E-2</c:v>
                </c:pt>
                <c:pt idx="498">
                  <c:v>1.8177021886112973E-2</c:v>
                </c:pt>
                <c:pt idx="499">
                  <c:v>1.8200921093187862E-2</c:v>
                </c:pt>
                <c:pt idx="500">
                  <c:v>1.8224794979219468E-2</c:v>
                </c:pt>
                <c:pt idx="501">
                  <c:v>1.8248643387837049E-2</c:v>
                </c:pt>
                <c:pt idx="502">
                  <c:v>1.8272466162662399E-2</c:v>
                </c:pt>
                <c:pt idx="503">
                  <c:v>1.8307982573985044E-2</c:v>
                </c:pt>
                <c:pt idx="504">
                  <c:v>1.8367497796269592E-2</c:v>
                </c:pt>
                <c:pt idx="505">
                  <c:v>1.8379290160581794E-2</c:v>
                </c:pt>
                <c:pt idx="506">
                  <c:v>1.8402968089824723E-2</c:v>
                </c:pt>
                <c:pt idx="507">
                  <c:v>1.8426619291605419E-2</c:v>
                </c:pt>
                <c:pt idx="508">
                  <c:v>1.8509250344356853E-2</c:v>
                </c:pt>
                <c:pt idx="509">
                  <c:v>1.8520955346036944E-2</c:v>
                </c:pt>
                <c:pt idx="510">
                  <c:v>1.8544472140647604E-2</c:v>
                </c:pt>
                <c:pt idx="511">
                  <c:v>1.8567962045755927E-2</c:v>
                </c:pt>
                <c:pt idx="512">
                  <c:v>1.8673405718578531E-2</c:v>
                </c:pt>
                <c:pt idx="513">
                  <c:v>1.8673405718578531E-2</c:v>
                </c:pt>
                <c:pt idx="514">
                  <c:v>1.8685008195523222E-2</c:v>
                </c:pt>
                <c:pt idx="515">
                  <c:v>1.8708336743692242E-2</c:v>
                </c:pt>
                <c:pt idx="516">
                  <c:v>1.8731638395728209E-2</c:v>
                </c:pt>
                <c:pt idx="517">
                  <c:v>1.8754913150689112E-2</c:v>
                </c:pt>
                <c:pt idx="518">
                  <c:v>1.8917083238323553E-2</c:v>
                </c:pt>
                <c:pt idx="519">
                  <c:v>1.9089467474417268E-2</c:v>
                </c:pt>
                <c:pt idx="520">
                  <c:v>1.9248914810346098E-2</c:v>
                </c:pt>
                <c:pt idx="521">
                  <c:v>1.9407043163807064E-2</c:v>
                </c:pt>
                <c:pt idx="522">
                  <c:v>1.9563852219512151E-2</c:v>
                </c:pt>
                <c:pt idx="523">
                  <c:v>1.9719341664787959E-2</c:v>
                </c:pt>
                <c:pt idx="524">
                  <c:v>1.9862407885166262E-2</c:v>
                </c:pt>
                <c:pt idx="525">
                  <c:v>2.0015343097145359E-2</c:v>
                </c:pt>
                <c:pt idx="526">
                  <c:v>2.0166957807063166E-2</c:v>
                </c:pt>
                <c:pt idx="527">
                  <c:v>2.031725171419891E-2</c:v>
                </c:pt>
                <c:pt idx="528">
                  <c:v>2.0466224520436588E-2</c:v>
                </c:pt>
                <c:pt idx="529">
                  <c:v>2.0613875930266277E-2</c:v>
                </c:pt>
                <c:pt idx="530">
                  <c:v>2.0760205650784604E-2</c:v>
                </c:pt>
                <c:pt idx="531">
                  <c:v>2.0905213391695154E-2</c:v>
                </c:pt>
                <c:pt idx="532">
                  <c:v>2.1100895518842581E-2</c:v>
                </c:pt>
                <c:pt idx="533">
                  <c:v>2.1232529989086615E-2</c:v>
                </c:pt>
                <c:pt idx="534">
                  <c:v>2.1373225072528066E-2</c:v>
                </c:pt>
                <c:pt idx="535">
                  <c:v>2.1512596865852034E-2</c:v>
                </c:pt>
                <c:pt idx="536">
                  <c:v>2.1620482401730378E-2</c:v>
                </c:pt>
                <c:pt idx="537">
                  <c:v>2.1797321530569368E-2</c:v>
                </c:pt>
                <c:pt idx="538">
                  <c:v>2.1979890557114013E-2</c:v>
                </c:pt>
                <c:pt idx="539">
                  <c:v>2.2056845524874771E-2</c:v>
                </c:pt>
                <c:pt idx="540">
                  <c:v>2.2199289263002318E-2</c:v>
                </c:pt>
                <c:pt idx="541">
                  <c:v>2.2321022891484125E-2</c:v>
                </c:pt>
                <c:pt idx="542">
                  <c:v>2.2451124975992637E-2</c:v>
                </c:pt>
                <c:pt idx="543">
                  <c:v>2.2579908105303113E-2</c:v>
                </c:pt>
                <c:pt idx="544">
                  <c:v>2.2707378541038995E-2</c:v>
                </c:pt>
                <c:pt idx="545">
                  <c:v>2.2833542549148472E-2</c:v>
                </c:pt>
                <c:pt idx="546">
                  <c:v>2.295840639986085E-2</c:v>
                </c:pt>
                <c:pt idx="547">
                  <c:v>2.3081976367643784E-2</c:v>
                </c:pt>
                <c:pt idx="548">
                  <c:v>2.3222290303090178E-2</c:v>
                </c:pt>
                <c:pt idx="549">
                  <c:v>2.3298401498303076E-2</c:v>
                </c:pt>
                <c:pt idx="550">
                  <c:v>2.3444985780798119E-2</c:v>
                </c:pt>
                <c:pt idx="551">
                  <c:v>2.3572221122491518E-2</c:v>
                </c:pt>
                <c:pt idx="552">
                  <c:v>2.3680637860434756E-2</c:v>
                </c:pt>
                <c:pt idx="553">
                  <c:v>2.3796576526567415E-2</c:v>
                </c:pt>
                <c:pt idx="554">
                  <c:v>2.391126534622165E-2</c:v>
                </c:pt>
                <c:pt idx="555">
                  <c:v>2.4024710626275942E-2</c:v>
                </c:pt>
                <c:pt idx="556">
                  <c:v>2.4145304400380173E-2</c:v>
                </c:pt>
                <c:pt idx="557">
                  <c:v>2.4247895814393457E-2</c:v>
                </c:pt>
                <c:pt idx="558">
                  <c:v>2.4324653738933645E-2</c:v>
                </c:pt>
                <c:pt idx="559">
                  <c:v>2.4433495053081178E-2</c:v>
                </c:pt>
                <c:pt idx="560">
                  <c:v>2.4541123457176538E-2</c:v>
                </c:pt>
                <c:pt idx="561">
                  <c:v>2.4647545426593771E-2</c:v>
                </c:pt>
                <c:pt idx="562">
                  <c:v>2.4752767440291687E-2</c:v>
                </c:pt>
                <c:pt idx="563">
                  <c:v>2.4864673201200962E-2</c:v>
                </c:pt>
                <c:pt idx="564">
                  <c:v>2.4967438838024467E-2</c:v>
                </c:pt>
                <c:pt idx="565">
                  <c:v>2.506902403758092E-2</c:v>
                </c:pt>
                <c:pt idx="566">
                  <c:v>2.5169435255772501E-2</c:v>
                </c:pt>
                <c:pt idx="567">
                  <c:v>2.526110518271962E-2</c:v>
                </c:pt>
                <c:pt idx="568">
                  <c:v>2.540844207415572E-2</c:v>
                </c:pt>
                <c:pt idx="569">
                  <c:v>2.54562634279616E-2</c:v>
                </c:pt>
                <c:pt idx="570">
                  <c:v>2.5552104860325487E-2</c:v>
                </c:pt>
                <c:pt idx="571">
                  <c:v>2.5654057423760972E-2</c:v>
                </c:pt>
                <c:pt idx="572">
                  <c:v>2.5747505219541555E-2</c:v>
                </c:pt>
                <c:pt idx="573">
                  <c:v>2.5839793967020852E-2</c:v>
                </c:pt>
                <c:pt idx="574">
                  <c:v>2.5930923505651675E-2</c:v>
                </c:pt>
                <c:pt idx="575">
                  <c:v>2.6020893676897545E-2</c:v>
                </c:pt>
                <c:pt idx="576">
                  <c:v>2.6102816084441292E-2</c:v>
                </c:pt>
                <c:pt idx="577">
                  <c:v>2.6190543578006101E-2</c:v>
                </c:pt>
                <c:pt idx="578">
                  <c:v>2.6277111314273419E-2</c:v>
                </c:pt>
                <c:pt idx="579">
                  <c:v>2.6362519143451908E-2</c:v>
                </c:pt>
                <c:pt idx="580">
                  <c:v>2.6446766917753925E-2</c:v>
                </c:pt>
                <c:pt idx="581">
                  <c:v>2.6529854491394656E-2</c:v>
                </c:pt>
                <c:pt idx="582">
                  <c:v>2.6611781720593419E-2</c:v>
                </c:pt>
                <c:pt idx="583">
                  <c:v>2.6692548463572358E-2</c:v>
                </c:pt>
                <c:pt idx="584">
                  <c:v>2.6803453529845981E-2</c:v>
                </c:pt>
                <c:pt idx="585">
                  <c:v>2.6875344657857757E-2</c:v>
                </c:pt>
                <c:pt idx="586">
                  <c:v>2.6952320203857308E-2</c:v>
                </c:pt>
                <c:pt idx="587">
                  <c:v>2.7028134398158373E-2</c:v>
                </c:pt>
                <c:pt idx="588">
                  <c:v>2.7133118505188965E-2</c:v>
                </c:pt>
                <c:pt idx="589">
                  <c:v>2.7182137163242557E-2</c:v>
                </c:pt>
                <c:pt idx="590">
                  <c:v>2.7248607539988885E-2</c:v>
                </c:pt>
                <c:pt idx="591">
                  <c:v>2.7319775006872403E-2</c:v>
                </c:pt>
                <c:pt idx="592">
                  <c:v>2.7389780472005316E-2</c:v>
                </c:pt>
                <c:pt idx="593">
                  <c:v>2.7458623811534265E-2</c:v>
                </c:pt>
                <c:pt idx="594">
                  <c:v>2.7531782436327548E-2</c:v>
                </c:pt>
                <c:pt idx="595">
                  <c:v>2.7592862816188033E-2</c:v>
                </c:pt>
                <c:pt idx="596">
                  <c:v>2.76583121311464E-2</c:v>
                </c:pt>
                <c:pt idx="597">
                  <c:v>2.7722687029459171E-2</c:v>
                </c:pt>
                <c:pt idx="598">
                  <c:v>2.7786016799393288E-2</c:v>
                </c:pt>
                <c:pt idx="599">
                  <c:v>2.7848330734681601E-2</c:v>
                </c:pt>
                <c:pt idx="600">
                  <c:v>2.7909658134366865E-2</c:v>
                </c:pt>
                <c:pt idx="601">
                  <c:v>2.797002830265485E-2</c:v>
                </c:pt>
                <c:pt idx="602">
                  <c:v>2.8029470548769572E-2</c:v>
                </c:pt>
                <c:pt idx="603">
                  <c:v>2.8088014186810718E-2</c:v>
                </c:pt>
                <c:pt idx="604">
                  <c:v>2.8150596501843879E-2</c:v>
                </c:pt>
                <c:pt idx="605">
                  <c:v>2.8202522918656936E-2</c:v>
                </c:pt>
                <c:pt idx="606">
                  <c:v>2.8258546663851483E-2</c:v>
                </c:pt>
                <c:pt idx="607">
                  <c:v>2.8313789103502091E-2</c:v>
                </c:pt>
                <c:pt idx="608">
                  <c:v>2.8373036991390051E-2</c:v>
                </c:pt>
                <c:pt idx="609">
                  <c:v>2.8422047416457954E-2</c:v>
                </c:pt>
                <c:pt idx="610">
                  <c:v>2.8456326223131989E-2</c:v>
                </c:pt>
                <c:pt idx="611">
                  <c:v>2.8508856776372309E-2</c:v>
                </c:pt>
                <c:pt idx="612">
                  <c:v>2.8560747452966818E-2</c:v>
                </c:pt>
                <c:pt idx="613">
                  <c:v>2.8612028249752793E-2</c:v>
                </c:pt>
                <c:pt idx="614">
                  <c:v>2.866731858978154E-2</c:v>
                </c:pt>
                <c:pt idx="615">
                  <c:v>2.8717443955172242E-2</c:v>
                </c:pt>
                <c:pt idx="616">
                  <c:v>2.8767050147181301E-2</c:v>
                </c:pt>
                <c:pt idx="617">
                  <c:v>2.8834203833324787E-2</c:v>
                </c:pt>
                <c:pt idx="618">
                  <c:v>2.8864824406395113E-2</c:v>
                </c:pt>
                <c:pt idx="619">
                  <c:v>2.890858582352273E-2</c:v>
                </c:pt>
                <c:pt idx="620">
                  <c:v>2.89564367325762E-2</c:v>
                </c:pt>
                <c:pt idx="621">
                  <c:v>2.9003900293244258E-2</c:v>
                </c:pt>
                <c:pt idx="622">
                  <c:v>2.905097687242016E-2</c:v>
                </c:pt>
                <c:pt idx="623">
                  <c:v>2.910203733571071E-2</c:v>
                </c:pt>
                <c:pt idx="624">
                  <c:v>2.9148315938196279E-2</c:v>
                </c:pt>
                <c:pt idx="625">
                  <c:v>2.9194207451279118E-2</c:v>
                </c:pt>
                <c:pt idx="626">
                  <c:v>2.9239711848358527E-2</c:v>
                </c:pt>
                <c:pt idx="627">
                  <c:v>2.929124623157672E-2</c:v>
                </c:pt>
                <c:pt idx="628">
                  <c:v>2.9348610698748501E-2</c:v>
                </c:pt>
                <c:pt idx="629">
                  <c:v>2.9392787642098992E-2</c:v>
                </c:pt>
                <c:pt idx="630">
                  <c:v>2.9438612408024142E-2</c:v>
                </c:pt>
                <c:pt idx="631">
                  <c:v>2.9479979810090179E-2</c:v>
                </c:pt>
                <c:pt idx="632">
                  <c:v>2.9522994984188883E-2</c:v>
                </c:pt>
                <c:pt idx="633">
                  <c:v>2.9565622851701223E-2</c:v>
                </c:pt>
                <c:pt idx="634">
                  <c:v>2.9609773857943576E-2</c:v>
                </c:pt>
                <c:pt idx="635">
                  <c:v>2.9653785948354355E-2</c:v>
                </c:pt>
                <c:pt idx="636">
                  <c:v>2.9699270454443805E-2</c:v>
                </c:pt>
                <c:pt idx="637">
                  <c:v>2.9740300223349694E-2</c:v>
                </c:pt>
                <c:pt idx="638">
                  <c:v>2.9780942506609839E-2</c:v>
                </c:pt>
                <c:pt idx="639">
                  <c:v>2.9821197280402424E-2</c:v>
                </c:pt>
                <c:pt idx="640">
                  <c:v>2.9857118968428936E-2</c:v>
                </c:pt>
                <c:pt idx="641">
                  <c:v>2.989662308453097E-2</c:v>
                </c:pt>
                <c:pt idx="642">
                  <c:v>2.9935739650401971E-2</c:v>
                </c:pt>
                <c:pt idx="643">
                  <c:v>2.9985462879716911E-2</c:v>
                </c:pt>
                <c:pt idx="644">
                  <c:v>3.0012810040467918E-2</c:v>
                </c:pt>
                <c:pt idx="645">
                  <c:v>3.0059973879711765E-2</c:v>
                </c:pt>
                <c:pt idx="646">
                  <c:v>3.0092132403675965E-2</c:v>
                </c:pt>
                <c:pt idx="647">
                  <c:v>3.0129304400408837E-2</c:v>
                </c:pt>
                <c:pt idx="648">
                  <c:v>3.017509643328585E-2</c:v>
                </c:pt>
                <c:pt idx="649">
                  <c:v>3.0198834346860933E-2</c:v>
                </c:pt>
                <c:pt idx="650">
                  <c:v>3.0234970254962808E-2</c:v>
                </c:pt>
                <c:pt idx="651">
                  <c:v>3.0270775718113718E-2</c:v>
                </c:pt>
                <c:pt idx="652">
                  <c:v>3.0306261860015404E-2</c:v>
                </c:pt>
                <c:pt idx="653">
                  <c:v>3.0348786321111765E-2</c:v>
                </c:pt>
                <c:pt idx="654">
                  <c:v>3.0379981095112921E-2</c:v>
                </c:pt>
                <c:pt idx="655">
                  <c:v>3.0414563779653746E-2</c:v>
                </c:pt>
                <c:pt idx="656">
                  <c:v>3.044887259539519E-2</c:v>
                </c:pt>
                <c:pt idx="657">
                  <c:v>3.0482918610976305E-2</c:v>
                </c:pt>
                <c:pt idx="658">
                  <c:v>3.0516712895903277E-2</c:v>
                </c:pt>
                <c:pt idx="659">
                  <c:v>3.0550266520536377E-2</c:v>
                </c:pt>
                <c:pt idx="660">
                  <c:v>3.0583590556073049E-2</c:v>
                </c:pt>
                <c:pt idx="661">
                  <c:v>3.0621408241825129E-2</c:v>
                </c:pt>
                <c:pt idx="662">
                  <c:v>3.0647107844851959E-2</c:v>
                </c:pt>
                <c:pt idx="663">
                  <c:v>3.0675136918045385E-2</c:v>
                </c:pt>
                <c:pt idx="664">
                  <c:v>3.0707665057675134E-2</c:v>
                </c:pt>
                <c:pt idx="665">
                  <c:v>3.0740018148546103E-2</c:v>
                </c:pt>
                <c:pt idx="666">
                  <c:v>3.0775770545059207E-2</c:v>
                </c:pt>
                <c:pt idx="667">
                  <c:v>3.0807802319566358E-2</c:v>
                </c:pt>
                <c:pt idx="668">
                  <c:v>3.0844237784616223E-2</c:v>
                </c:pt>
                <c:pt idx="669">
                  <c:v>3.0871453336099482E-2</c:v>
                </c:pt>
                <c:pt idx="670">
                  <c:v>3.0903094854598141E-2</c:v>
                </c:pt>
                <c:pt idx="671">
                  <c:v>3.0934628565452899E-2</c:v>
                </c:pt>
                <c:pt idx="672">
                  <c:v>3.096701055590239E-2</c:v>
                </c:pt>
                <c:pt idx="673">
                  <c:v>3.0993869845752659E-2</c:v>
                </c:pt>
                <c:pt idx="674">
                  <c:v>3.1028644101422122E-2</c:v>
                </c:pt>
                <c:pt idx="675">
                  <c:v>3.1059789256804488E-2</c:v>
                </c:pt>
                <c:pt idx="676">
                  <c:v>3.1090837726311375E-2</c:v>
                </c:pt>
                <c:pt idx="677">
                  <c:v>3.1121789505420935E-2</c:v>
                </c:pt>
                <c:pt idx="678">
                  <c:v>3.115264458962573E-2</c:v>
                </c:pt>
                <c:pt idx="679">
                  <c:v>3.1184282828080612E-2</c:v>
                </c:pt>
                <c:pt idx="680">
                  <c:v>3.1214934966013519E-2</c:v>
                </c:pt>
                <c:pt idx="681">
                  <c:v>3.1245490401040962E-2</c:v>
                </c:pt>
                <c:pt idx="682">
                  <c:v>3.1275949128736151E-2</c:v>
                </c:pt>
                <c:pt idx="683">
                  <c:v>3.1306311144687238E-2</c:v>
                </c:pt>
                <c:pt idx="684">
                  <c:v>3.1336576444496854E-2</c:v>
                </c:pt>
                <c:pt idx="685">
                  <c:v>3.1366745023779931E-2</c:v>
                </c:pt>
                <c:pt idx="686">
                  <c:v>3.1396816878166353E-2</c:v>
                </c:pt>
                <c:pt idx="687">
                  <c:v>3.142679200330091E-2</c:v>
                </c:pt>
                <c:pt idx="688">
                  <c:v>3.1463605452492133E-2</c:v>
                </c:pt>
                <c:pt idx="689">
                  <c:v>3.1493378449983886E-2</c:v>
                </c:pt>
                <c:pt idx="690">
                  <c:v>3.1523054692664088E-2</c:v>
                </c:pt>
                <c:pt idx="691">
                  <c:v>3.1552634176186645E-2</c:v>
                </c:pt>
                <c:pt idx="692">
                  <c:v>3.1578666826608225E-2</c:v>
                </c:pt>
                <c:pt idx="693">
                  <c:v>3.1608057132516992E-2</c:v>
                </c:pt>
                <c:pt idx="694">
                  <c:v>3.1645702481706832E-2</c:v>
                </c:pt>
                <c:pt idx="695">
                  <c:v>3.1674871602532233E-2</c:v>
                </c:pt>
                <c:pt idx="696">
                  <c:v>3.1703943947893928E-2</c:v>
                </c:pt>
                <c:pt idx="697">
                  <c:v>3.1743199445852008E-2</c:v>
                </c:pt>
                <c:pt idx="698">
                  <c:v>3.1772060499187613E-2</c:v>
                </c:pt>
                <c:pt idx="699">
                  <c:v>3.1800814701299002E-2</c:v>
                </c:pt>
                <c:pt idx="700">
                  <c:v>3.1829456188720337E-2</c:v>
                </c:pt>
                <c:pt idx="701">
                  <c:v>3.1847775790306607E-2</c:v>
                </c:pt>
                <c:pt idx="702">
                  <c:v>3.1876198969744224E-2</c:v>
                </c:pt>
                <c:pt idx="703">
                  <c:v>3.1904493874022166E-2</c:v>
                </c:pt>
                <c:pt idx="704">
                  <c:v>3.1946150285316235E-2</c:v>
                </c:pt>
                <c:pt idx="705">
                  <c:v>3.1970767661810263E-2</c:v>
                </c:pt>
                <c:pt idx="706">
                  <c:v>3.1998609710509066E-2</c:v>
                </c:pt>
                <c:pt idx="707">
                  <c:v>3.2029638001025554E-2</c:v>
                </c:pt>
                <c:pt idx="708">
                  <c:v>3.2053826638652423E-2</c:v>
                </c:pt>
                <c:pt idx="709">
                  <c:v>3.2071235794536579E-2</c:v>
                </c:pt>
                <c:pt idx="710">
                  <c:v>3.2108381566750895E-2</c:v>
                </c:pt>
                <c:pt idx="711">
                  <c:v>3.2138685715349634E-2</c:v>
                </c:pt>
                <c:pt idx="712">
                  <c:v>3.2162227561581137E-2</c:v>
                </c:pt>
                <c:pt idx="713">
                  <c:v>3.2179076647912988E-2</c:v>
                </c:pt>
                <c:pt idx="714">
                  <c:v>3.2199060465735979E-2</c:v>
                </c:pt>
                <c:pt idx="715">
                  <c:v>3.2225380285396718E-2</c:v>
                </c:pt>
                <c:pt idx="716">
                  <c:v>3.2251494890670099E-2</c:v>
                </c:pt>
                <c:pt idx="717">
                  <c:v>3.2277398254264747E-2</c:v>
                </c:pt>
                <c:pt idx="718">
                  <c:v>3.2306278618359198E-2</c:v>
                </c:pt>
                <c:pt idx="719">
                  <c:v>3.2331725957628836E-2</c:v>
                </c:pt>
                <c:pt idx="720">
                  <c:v>3.2356943825009067E-2</c:v>
                </c:pt>
                <c:pt idx="721">
                  <c:v>3.2381926224762367E-2</c:v>
                </c:pt>
                <c:pt idx="722">
                  <c:v>3.240666716093555E-2</c:v>
                </c:pt>
                <c:pt idx="723">
                  <c:v>3.2428044805350775E-2</c:v>
                </c:pt>
                <c:pt idx="724">
                  <c:v>3.2452302188143156E-2</c:v>
                </c:pt>
                <c:pt idx="725">
                  <c:v>3.2476306982663468E-2</c:v>
                </c:pt>
                <c:pt idx="726">
                  <c:v>3.2503431730235059E-2</c:v>
                </c:pt>
                <c:pt idx="727">
                  <c:v>3.2526610972602961E-2</c:v>
                </c:pt>
                <c:pt idx="728">
                  <c:v>3.2549841986028866E-2</c:v>
                </c:pt>
                <c:pt idx="729">
                  <c:v>3.2572820353922151E-2</c:v>
                </c:pt>
                <c:pt idx="730">
                  <c:v>3.259554606761457E-2</c:v>
                </c:pt>
                <c:pt idx="731">
                  <c:v>3.2615030898404646E-2</c:v>
                </c:pt>
                <c:pt idx="732">
                  <c:v>3.2637267328172653E-2</c:v>
                </c:pt>
                <c:pt idx="733">
                  <c:v>3.2659251100276586E-2</c:v>
                </c:pt>
                <c:pt idx="734">
                  <c:v>3.2680982206468458E-2</c:v>
                </c:pt>
                <c:pt idx="735">
                  <c:v>3.2702460638595235E-2</c:v>
                </c:pt>
                <c:pt idx="736">
                  <c:v>3.2723686388597947E-2</c:v>
                </c:pt>
                <c:pt idx="737">
                  <c:v>3.2744659448514346E-2</c:v>
                </c:pt>
                <c:pt idx="738">
                  <c:v>3.2765379810474039E-2</c:v>
                </c:pt>
                <c:pt idx="739">
                  <c:v>3.2785847466702919E-2</c:v>
                </c:pt>
                <c:pt idx="740">
                  <c:v>3.2823099475735695E-2</c:v>
                </c:pt>
                <c:pt idx="741">
                  <c:v>3.2840144375860081E-2</c:v>
                </c:pt>
                <c:pt idx="742">
                  <c:v>3.2859772481556991E-2</c:v>
                </c:pt>
                <c:pt idx="743">
                  <c:v>3.287914773959625E-2</c:v>
                </c:pt>
                <c:pt idx="744">
                  <c:v>3.2889949187746681E-2</c:v>
                </c:pt>
                <c:pt idx="745">
                  <c:v>3.2908867771326837E-2</c:v>
                </c:pt>
                <c:pt idx="746">
                  <c:v>3.2927533552519442E-2</c:v>
                </c:pt>
                <c:pt idx="747">
                  <c:v>3.2945946524243826E-2</c:v>
                </c:pt>
                <c:pt idx="748">
                  <c:v>3.2964106679514105E-2</c:v>
                </c:pt>
                <c:pt idx="749">
                  <c:v>3.2990089450667857E-2</c:v>
                </c:pt>
                <c:pt idx="750">
                  <c:v>3.3007701998706354E-2</c:v>
                </c:pt>
                <c:pt idx="751">
                  <c:v>3.3025080600473031E-2</c:v>
                </c:pt>
                <c:pt idx="752">
                  <c:v>3.3042237314239269E-2</c:v>
                </c:pt>
                <c:pt idx="753">
                  <c:v>3.305126025038839E-2</c:v>
                </c:pt>
                <c:pt idx="754">
                  <c:v>3.3068036006817854E-2</c:v>
                </c:pt>
                <c:pt idx="755">
                  <c:v>3.3084621950006346E-2</c:v>
                </c:pt>
                <c:pt idx="756">
                  <c:v>3.3114123655628852E-2</c:v>
                </c:pt>
                <c:pt idx="757">
                  <c:v>3.3127728511710378E-2</c:v>
                </c:pt>
                <c:pt idx="758">
                  <c:v>3.314119327329719E-2</c:v>
                </c:pt>
                <c:pt idx="759">
                  <c:v>3.3159742234509931E-2</c:v>
                </c:pt>
                <c:pt idx="760">
                  <c:v>3.3172950207784449E-2</c:v>
                </c:pt>
                <c:pt idx="761">
                  <c:v>3.3188652630029493E-2</c:v>
                </c:pt>
                <c:pt idx="762">
                  <c:v>3.3204253772474511E-2</c:v>
                </c:pt>
                <c:pt idx="763">
                  <c:v>3.3219765698268261E-2</c:v>
                </c:pt>
                <c:pt idx="764">
                  <c:v>3.3237809820900625E-2</c:v>
                </c:pt>
                <c:pt idx="765">
                  <c:v>3.3250570154464004E-2</c:v>
                </c:pt>
                <c:pt idx="766">
                  <c:v>3.3252820055620178E-2</c:v>
                </c:pt>
                <c:pt idx="767">
                  <c:v>3.3268076663539731E-2</c:v>
                </c:pt>
                <c:pt idx="768">
                  <c:v>3.328330172102939E-2</c:v>
                </c:pt>
                <c:pt idx="769">
                  <c:v>3.3298507621095555E-2</c:v>
                </c:pt>
                <c:pt idx="770">
                  <c:v>3.3316336825466357E-2</c:v>
                </c:pt>
                <c:pt idx="771">
                  <c:v>3.3331547123644251E-2</c:v>
                </c:pt>
                <c:pt idx="772">
                  <c:v>3.3346775720437073E-2</c:v>
                </c:pt>
                <c:pt idx="773">
                  <c:v>3.3362034943392606E-2</c:v>
                </c:pt>
                <c:pt idx="774">
                  <c:v>3.3377337120432816E-2</c:v>
                </c:pt>
                <c:pt idx="775">
                  <c:v>3.3390034770986954E-2</c:v>
                </c:pt>
                <c:pt idx="776">
                  <c:v>3.3407659453119694E-2</c:v>
                </c:pt>
                <c:pt idx="777">
                  <c:v>3.3420935912442551E-2</c:v>
                </c:pt>
                <c:pt idx="778">
                  <c:v>3.3438715123694077E-2</c:v>
                </c:pt>
                <c:pt idx="779">
                  <c:v>3.3454792325334125E-2</c:v>
                </c:pt>
                <c:pt idx="780">
                  <c:v>3.3470485801002127E-2</c:v>
                </c:pt>
                <c:pt idx="781">
                  <c:v>3.3486246895540188E-2</c:v>
                </c:pt>
                <c:pt idx="782">
                  <c:v>3.3502075610536496E-2</c:v>
                </c:pt>
                <c:pt idx="783">
                  <c:v>3.3529367876192297E-2</c:v>
                </c:pt>
                <c:pt idx="784">
                  <c:v>3.3533504800215323E-2</c:v>
                </c:pt>
                <c:pt idx="785">
                  <c:v>3.3549539734851544E-2</c:v>
                </c:pt>
                <c:pt idx="786">
                  <c:v>3.3565642289524189E-2</c:v>
                </c:pt>
                <c:pt idx="787">
                  <c:v>3.3581812465846989E-2</c:v>
                </c:pt>
                <c:pt idx="788">
                  <c:v>3.3598050265438981E-2</c:v>
                </c:pt>
                <c:pt idx="789">
                  <c:v>3.3614355689928037E-2</c:v>
                </c:pt>
                <c:pt idx="790">
                  <c:v>3.3630728740946005E-2</c:v>
                </c:pt>
                <c:pt idx="791">
                  <c:v>3.3647169420134876E-2</c:v>
                </c:pt>
                <c:pt idx="792">
                  <c:v>3.3677524982707895E-2</c:v>
                </c:pt>
                <c:pt idx="793">
                  <c:v>3.3691355395061295E-2</c:v>
                </c:pt>
                <c:pt idx="794">
                  <c:v>3.3708024480429956E-2</c:v>
                </c:pt>
                <c:pt idx="795">
                  <c:v>3.372476122924406E-2</c:v>
                </c:pt>
                <c:pt idx="796">
                  <c:v>3.3741565643217696E-2</c:v>
                </c:pt>
                <c:pt idx="797">
                  <c:v>3.3761240675439896E-2</c:v>
                </c:pt>
                <c:pt idx="798">
                  <c:v>3.377946402345184E-2</c:v>
                </c:pt>
                <c:pt idx="799">
                  <c:v>3.3792384893338197E-2</c:v>
                </c:pt>
                <c:pt idx="800">
                  <c:v>3.3809459985226512E-2</c:v>
                </c:pt>
                <c:pt idx="801">
                  <c:v>3.3826602682932409E-2</c:v>
                </c:pt>
                <c:pt idx="802">
                  <c:v>3.3843810673176392E-2</c:v>
                </c:pt>
                <c:pt idx="803">
                  <c:v>3.3861078934569744E-2</c:v>
                </c:pt>
                <c:pt idx="804">
                  <c:v>3.387840228433156E-2</c:v>
                </c:pt>
                <c:pt idx="805">
                  <c:v>3.3895775539503771E-2</c:v>
                </c:pt>
                <c:pt idx="806">
                  <c:v>3.3913193516950296E-2</c:v>
                </c:pt>
                <c:pt idx="807">
                  <c:v>3.3930651033356608E-2</c:v>
                </c:pt>
                <c:pt idx="808">
                  <c:v>3.3953853118932814E-2</c:v>
                </c:pt>
                <c:pt idx="809">
                  <c:v>3.3968520410776179E-2</c:v>
                </c:pt>
                <c:pt idx="810">
                  <c:v>3.3983208980473217E-2</c:v>
                </c:pt>
                <c:pt idx="811">
                  <c:v>3.4003630723689129E-2</c:v>
                </c:pt>
                <c:pt idx="812">
                  <c:v>3.4018350271087523E-2</c:v>
                </c:pt>
                <c:pt idx="813">
                  <c:v>3.4038793739337582E-2</c:v>
                </c:pt>
                <c:pt idx="814">
                  <c:v>3.4053525302537677E-2</c:v>
                </c:pt>
                <c:pt idx="815">
                  <c:v>3.4071112509479487E-2</c:v>
                </c:pt>
                <c:pt idx="816">
                  <c:v>3.4091546829997661E-2</c:v>
                </c:pt>
                <c:pt idx="817">
                  <c:v>3.4106260380993937E-2</c:v>
                </c:pt>
                <c:pt idx="818">
                  <c:v>3.4112407987494195E-2</c:v>
                </c:pt>
                <c:pt idx="819">
                  <c:v>3.4129944680815552E-2</c:v>
                </c:pt>
                <c:pt idx="820">
                  <c:v>3.4147454437202469E-2</c:v>
                </c:pt>
                <c:pt idx="821">
                  <c:v>3.4164931958235986E-2</c:v>
                </c:pt>
                <c:pt idx="822">
                  <c:v>3.4185212469216006E-2</c:v>
                </c:pt>
                <c:pt idx="823">
                  <c:v>3.4213955261436044E-2</c:v>
                </c:pt>
                <c:pt idx="824">
                  <c:v>3.4219952490230181E-2</c:v>
                </c:pt>
                <c:pt idx="825">
                  <c:v>3.4237244852251165E-2</c:v>
                </c:pt>
                <c:pt idx="826">
                  <c:v>3.4254478421051747E-2</c:v>
                </c:pt>
                <c:pt idx="827">
                  <c:v>3.4268823407777808E-2</c:v>
                </c:pt>
                <c:pt idx="828">
                  <c:v>3.4296056768453272E-2</c:v>
                </c:pt>
                <c:pt idx="829">
                  <c:v>3.4302962848121676E-2</c:v>
                </c:pt>
                <c:pt idx="830">
                  <c:v>3.4319928569951079E-2</c:v>
                </c:pt>
                <c:pt idx="831">
                  <c:v>3.433963608805108E-2</c:v>
                </c:pt>
                <c:pt idx="832">
                  <c:v>3.435645977750186E-2</c:v>
                </c:pt>
                <c:pt idx="833">
                  <c:v>3.4373214123007555E-2</c:v>
                </c:pt>
                <c:pt idx="834">
                  <c:v>3.4389899122834154E-2</c:v>
                </c:pt>
                <c:pt idx="835">
                  <c:v>3.4406514775254256E-2</c:v>
                </c:pt>
                <c:pt idx="836">
                  <c:v>3.4420266814553784E-2</c:v>
                </c:pt>
                <c:pt idx="837">
                  <c:v>3.4436747158189854E-2</c:v>
                </c:pt>
                <c:pt idx="838">
                  <c:v>3.4453158155240429E-2</c:v>
                </c:pt>
                <c:pt idx="839">
                  <c:v>3.4469499804016708E-2</c:v>
                </c:pt>
                <c:pt idx="840">
                  <c:v>3.4485772102835162E-2</c:v>
                </c:pt>
                <c:pt idx="841">
                  <c:v>3.4501975050020665E-2</c:v>
                </c:pt>
                <c:pt idx="842">
                  <c:v>3.4518108643905615E-2</c:v>
                </c:pt>
                <c:pt idx="843">
                  <c:v>3.4534172882829013E-2</c:v>
                </c:pt>
                <c:pt idx="844">
                  <c:v>3.456400105449263E-2</c:v>
                </c:pt>
                <c:pt idx="845">
                  <c:v>3.4577146469457247E-2</c:v>
                </c:pt>
                <c:pt idx="846">
                  <c:v>3.4592988848779156E-2</c:v>
                </c:pt>
                <c:pt idx="847">
                  <c:v>3.4608761842400422E-2</c:v>
                </c:pt>
                <c:pt idx="848">
                  <c:v>3.4616206869923061E-2</c:v>
                </c:pt>
                <c:pt idx="849">
                  <c:v>3.464350768351708E-2</c:v>
                </c:pt>
                <c:pt idx="850">
                  <c:v>3.4655664492505373E-2</c:v>
                </c:pt>
                <c:pt idx="851">
                  <c:v>3.4671159926803218E-2</c:v>
                </c:pt>
                <c:pt idx="852">
                  <c:v>3.4689324610429791E-2</c:v>
                </c:pt>
                <c:pt idx="853">
                  <c:v>3.4701942611998021E-2</c:v>
                </c:pt>
                <c:pt idx="854">
                  <c:v>3.4717230399591278E-2</c:v>
                </c:pt>
                <c:pt idx="855">
                  <c:v>3.4732452028057061E-2</c:v>
                </c:pt>
                <c:pt idx="856">
                  <c:v>3.4747610735532057E-2</c:v>
                </c:pt>
                <c:pt idx="857">
                  <c:v>3.4762709760256194E-2</c:v>
                </c:pt>
                <c:pt idx="858">
                  <c:v>3.4777752340575722E-2</c:v>
                </c:pt>
                <c:pt idx="859">
                  <c:v>3.4792741714940158E-2</c:v>
                </c:pt>
                <c:pt idx="860">
                  <c:v>3.481312347425098E-2</c:v>
                </c:pt>
                <c:pt idx="861">
                  <c:v>3.481441347306654E-2</c:v>
                </c:pt>
                <c:pt idx="862">
                  <c:v>3.4837422988323187E-2</c:v>
                </c:pt>
                <c:pt idx="863">
                  <c:v>3.485495233476367E-2</c:v>
                </c:pt>
                <c:pt idx="864">
                  <c:v>3.4867003850276412E-2</c:v>
                </c:pt>
                <c:pt idx="865">
                  <c:v>3.4881742002023215E-2</c:v>
                </c:pt>
                <c:pt idx="866">
                  <c:v>3.4896449619784733E-2</c:v>
                </c:pt>
                <c:pt idx="867">
                  <c:v>3.4911129942810697E-2</c:v>
                </c:pt>
                <c:pt idx="868">
                  <c:v>3.4928510936269509E-2</c:v>
                </c:pt>
                <c:pt idx="869">
                  <c:v>3.4940421662134943E-2</c:v>
                </c:pt>
                <c:pt idx="870">
                  <c:v>3.4946858022124681E-2</c:v>
                </c:pt>
                <c:pt idx="871">
                  <c:v>3.4961456002094569E-2</c:v>
                </c:pt>
                <c:pt idx="872">
                  <c:v>3.4976042436463933E-2</c:v>
                </c:pt>
                <c:pt idx="873">
                  <c:v>3.4990620617506053E-2</c:v>
                </c:pt>
                <c:pt idx="874">
                  <c:v>3.5002459256812418E-2</c:v>
                </c:pt>
                <c:pt idx="875">
                  <c:v>3.5027978658287773E-2</c:v>
                </c:pt>
                <c:pt idx="876">
                  <c:v>3.5042559110813977E-2</c:v>
                </c:pt>
                <c:pt idx="877">
                  <c:v>3.505714466638897E-2</c:v>
                </c:pt>
                <c:pt idx="878">
                  <c:v>3.5071738565316354E-2</c:v>
                </c:pt>
                <c:pt idx="879">
                  <c:v>3.5078100763135896E-2</c:v>
                </c:pt>
                <c:pt idx="880">
                  <c:v>3.509898070154098E-2</c:v>
                </c:pt>
                <c:pt idx="881">
                  <c:v>3.5107341920641799E-2</c:v>
                </c:pt>
                <c:pt idx="882">
                  <c:v>3.5121986788244804E-2</c:v>
                </c:pt>
                <c:pt idx="883">
                  <c:v>3.5144922026095801E-2</c:v>
                </c:pt>
                <c:pt idx="884">
                  <c:v>3.5159607044927883E-2</c:v>
                </c:pt>
                <c:pt idx="885">
                  <c:v>3.5174308278451395E-2</c:v>
                </c:pt>
                <c:pt idx="886">
                  <c:v>3.5189025727024537E-2</c:v>
                </c:pt>
                <c:pt idx="887">
                  <c:v>3.519545424484706E-2</c:v>
                </c:pt>
                <c:pt idx="888">
                  <c:v>3.5210196362358413E-2</c:v>
                </c:pt>
                <c:pt idx="889">
                  <c:v>3.5224954689426095E-2</c:v>
                </c:pt>
                <c:pt idx="890">
                  <c:v>3.5239729226406315E-2</c:v>
                </c:pt>
                <c:pt idx="891">
                  <c:v>3.5254519973652629E-2</c:v>
                </c:pt>
                <c:pt idx="892">
                  <c:v>3.5269326931521683E-2</c:v>
                </c:pt>
                <c:pt idx="893">
                  <c:v>3.528415010036922E-2</c:v>
                </c:pt>
                <c:pt idx="894">
                  <c:v>3.5298989480551456E-2</c:v>
                </c:pt>
                <c:pt idx="895">
                  <c:v>3.5313845072426339E-2</c:v>
                </c:pt>
                <c:pt idx="896">
                  <c:v>3.5339884727605402E-2</c:v>
                </c:pt>
                <c:pt idx="897">
                  <c:v>3.5351987957840822E-2</c:v>
                </c:pt>
                <c:pt idx="898">
                  <c:v>3.5366900015195372E-2</c:v>
                </c:pt>
                <c:pt idx="899">
                  <c:v>3.5381828292308008E-2</c:v>
                </c:pt>
                <c:pt idx="900">
                  <c:v>3.5399711983807654E-2</c:v>
                </c:pt>
                <c:pt idx="901">
                  <c:v>3.5411733507268388E-2</c:v>
                </c:pt>
                <c:pt idx="902">
                  <c:v>3.5429518735500085E-2</c:v>
                </c:pt>
                <c:pt idx="903">
                  <c:v>3.5441703605647183E-2</c:v>
                </c:pt>
                <c:pt idx="904">
                  <c:v>3.5456712987033817E-2</c:v>
                </c:pt>
                <c:pt idx="905">
                  <c:v>3.5471738590374391E-2</c:v>
                </c:pt>
                <c:pt idx="906">
                  <c:v>3.54895975822518E-2</c:v>
                </c:pt>
                <c:pt idx="907">
                  <c:v>3.5501829722869971E-2</c:v>
                </c:pt>
                <c:pt idx="908">
                  <c:v>3.5516883232950817E-2</c:v>
                </c:pt>
                <c:pt idx="909">
                  <c:v>3.5523475204441234E-2</c:v>
                </c:pt>
                <c:pt idx="910">
                  <c:v>3.5546973359938075E-2</c:v>
                </c:pt>
                <c:pt idx="911">
                  <c:v>3.5561996863910185E-2</c:v>
                </c:pt>
                <c:pt idx="912">
                  <c:v>3.557699725258235E-2</c:v>
                </c:pt>
                <c:pt idx="913">
                  <c:v>3.5594777820333524E-2</c:v>
                </c:pt>
                <c:pt idx="914">
                  <c:v>3.5606902455976197E-2</c:v>
                </c:pt>
                <c:pt idx="915">
                  <c:v>3.5621794156183433E-2</c:v>
                </c:pt>
                <c:pt idx="916">
                  <c:v>3.56394322778553E-2</c:v>
                </c:pt>
                <c:pt idx="917">
                  <c:v>3.5651422965867631E-2</c:v>
                </c:pt>
                <c:pt idx="918">
                  <c:v>3.5666146959668271E-2</c:v>
                </c:pt>
                <c:pt idx="919">
                  <c:v>3.5680801935338451E-2</c:v>
                </c:pt>
                <c:pt idx="920">
                  <c:v>3.5698150795912591E-2</c:v>
                </c:pt>
                <c:pt idx="921">
                  <c:v>3.5709878598859914E-2</c:v>
                </c:pt>
                <c:pt idx="922">
                  <c:v>3.5716021825887324E-2</c:v>
                </c:pt>
                <c:pt idx="923">
                  <c:v>3.5727612079161065E-2</c:v>
                </c:pt>
                <c:pt idx="924">
                  <c:v>3.5741858298363398E-2</c:v>
                </c:pt>
                <c:pt idx="925">
                  <c:v>3.5755997264113638E-2</c:v>
                </c:pt>
                <c:pt idx="926">
                  <c:v>3.577002227484697E-2</c:v>
                </c:pt>
                <c:pt idx="927">
                  <c:v>3.5786638625869817E-2</c:v>
                </c:pt>
                <c:pt idx="928">
                  <c:v>3.5800406046695168E-2</c:v>
                </c:pt>
                <c:pt idx="929">
                  <c:v>3.5824802407139152E-2</c:v>
                </c:pt>
                <c:pt idx="930">
                  <c:v>3.5827531622791231E-2</c:v>
                </c:pt>
                <c:pt idx="931">
                  <c:v>3.5838203437035331E-2</c:v>
                </c:pt>
                <c:pt idx="932">
                  <c:v>3.5851404184085493E-2</c:v>
                </c:pt>
                <c:pt idx="933">
                  <c:v>3.5864447976979907E-2</c:v>
                </c:pt>
                <c:pt idx="934">
                  <c:v>3.5877334724787109E-2</c:v>
                </c:pt>
                <c:pt idx="935">
                  <c:v>3.5892697678872654E-2</c:v>
                </c:pt>
                <c:pt idx="936">
                  <c:v>3.590526035064584E-2</c:v>
                </c:pt>
                <c:pt idx="937">
                  <c:v>3.5917665953139243E-2</c:v>
                </c:pt>
                <c:pt idx="938">
                  <c:v>3.5929914483450127E-2</c:v>
                </c:pt>
                <c:pt idx="939">
                  <c:v>3.5946257296459554E-2</c:v>
                </c:pt>
                <c:pt idx="940">
                  <c:v>3.5958111960759487E-2</c:v>
                </c:pt>
                <c:pt idx="941">
                  <c:v>3.5969809558170411E-2</c:v>
                </c:pt>
                <c:pt idx="942">
                  <c:v>3.598135008596922E-2</c:v>
                </c:pt>
                <c:pt idx="943">
                  <c:v>3.5992733541469875E-2</c:v>
                </c:pt>
                <c:pt idx="944">
                  <c:v>3.6003959922022565E-2</c:v>
                </c:pt>
                <c:pt idx="945">
                  <c:v>3.6015029225013692E-2</c:v>
                </c:pt>
                <c:pt idx="946">
                  <c:v>3.6025941447867631E-2</c:v>
                </c:pt>
                <c:pt idx="947">
                  <c:v>3.603920330213161E-2</c:v>
                </c:pt>
                <c:pt idx="948">
                  <c:v>3.6054781842413619E-2</c:v>
                </c:pt>
                <c:pt idx="949">
                  <c:v>3.6065192246435493E-2</c:v>
                </c:pt>
                <c:pt idx="950">
                  <c:v>3.6075445513957902E-2</c:v>
                </c:pt>
                <c:pt idx="951">
                  <c:v>3.6085541642554966E-2</c:v>
                </c:pt>
                <c:pt idx="952">
                  <c:v>3.6093026559948553E-2</c:v>
                </c:pt>
                <c:pt idx="953">
                  <c:v>3.6102818655407404E-2</c:v>
                </c:pt>
                <c:pt idx="954">
                  <c:v>3.6112453620403301E-2</c:v>
                </c:pt>
                <c:pt idx="955">
                  <c:v>3.6124610543316456E-2</c:v>
                </c:pt>
                <c:pt idx="956">
                  <c:v>3.614111393036528E-2</c:v>
                </c:pt>
                <c:pt idx="957">
                  <c:v>3.6150201632144767E-2</c:v>
                </c:pt>
                <c:pt idx="958">
                  <c:v>3.6159132147314289E-2</c:v>
                </c:pt>
                <c:pt idx="959">
                  <c:v>3.6167905473737057E-2</c:v>
                </c:pt>
                <c:pt idx="960">
                  <c:v>3.6169418150268466E-2</c:v>
                </c:pt>
                <c:pt idx="961">
                  <c:v>3.6177908241497865E-2</c:v>
                </c:pt>
                <c:pt idx="962">
                  <c:v>3.6186241184590573E-2</c:v>
                </c:pt>
                <c:pt idx="963">
                  <c:v>3.6194416977587497E-2</c:v>
                </c:pt>
                <c:pt idx="964">
                  <c:v>3.6209414202524985E-2</c:v>
                </c:pt>
                <c:pt idx="965">
                  <c:v>3.6217244353714789E-2</c:v>
                </c:pt>
                <c:pt idx="966">
                  <c:v>3.6224917302257562E-2</c:v>
                </c:pt>
                <c:pt idx="967">
                  <c:v>3.6234726152922107E-2</c:v>
                </c:pt>
                <c:pt idx="968">
                  <c:v>3.6239791584096466E-2</c:v>
                </c:pt>
                <c:pt idx="969">
                  <c:v>3.6240171478356641E-2</c:v>
                </c:pt>
                <c:pt idx="970">
                  <c:v>3.6254037033807925E-2</c:v>
                </c:pt>
                <c:pt idx="971">
                  <c:v>3.6263174968909129E-2</c:v>
                </c:pt>
                <c:pt idx="972">
                  <c:v>3.6267653637761126E-2</c:v>
                </c:pt>
                <c:pt idx="973">
                  <c:v>3.6267531247182232E-2</c:v>
                </c:pt>
                <c:pt idx="974">
                  <c:v>3.6269531859167155E-2</c:v>
                </c:pt>
                <c:pt idx="975">
                  <c:v>3.6275842904408474E-2</c:v>
                </c:pt>
                <c:pt idx="976">
                  <c:v>3.6281996808798303E-2</c:v>
                </c:pt>
                <c:pt idx="977">
                  <c:v>3.6287993570903974E-2</c:v>
                </c:pt>
                <c:pt idx="978">
                  <c:v>3.6296014352621912E-2</c:v>
                </c:pt>
                <c:pt idx="979">
                  <c:v>3.6301686167854334E-2</c:v>
                </c:pt>
                <c:pt idx="980">
                  <c:v>3.6307200821017023E-2</c:v>
                </c:pt>
                <c:pt idx="981">
                  <c:v>3.6312558310819143E-2</c:v>
                </c:pt>
                <c:pt idx="982">
                  <c:v>3.6317758636007197E-2</c:v>
                </c:pt>
                <c:pt idx="983">
                  <c:v>3.6320674079965753E-2</c:v>
                </c:pt>
                <c:pt idx="984">
                  <c:v>3.6325570809045873E-2</c:v>
                </c:pt>
                <c:pt idx="985">
                  <c:v>3.6330310385698346E-2</c:v>
                </c:pt>
                <c:pt idx="986">
                  <c:v>3.6337628530172826E-2</c:v>
                </c:pt>
                <c:pt idx="987">
                  <c:v>3.6341402751410345E-2</c:v>
                </c:pt>
                <c:pt idx="988">
                  <c:v>3.6345660064635375E-2</c:v>
                </c:pt>
                <c:pt idx="989">
                  <c:v>3.6349760205497371E-2</c:v>
                </c:pt>
                <c:pt idx="990">
                  <c:v>3.6355885729373198E-2</c:v>
                </c:pt>
                <c:pt idx="991">
                  <c:v>3.6355977133257493E-2</c:v>
                </c:pt>
                <c:pt idx="992">
                  <c:v>3.6359087066217932E-2</c:v>
                </c:pt>
                <c:pt idx="993">
                  <c:v>3.6362569386800984E-2</c:v>
                </c:pt>
                <c:pt idx="994">
                  <c:v>3.6365894546343175E-2</c:v>
                </c:pt>
                <c:pt idx="995">
                  <c:v>3.6369062544070303E-2</c:v>
                </c:pt>
                <c:pt idx="996">
                  <c:v>3.6372073379245737E-2</c:v>
                </c:pt>
                <c:pt idx="997">
                  <c:v>3.6374927051166822E-2</c:v>
                </c:pt>
                <c:pt idx="998">
                  <c:v>3.6377623559170666E-2</c:v>
                </c:pt>
                <c:pt idx="999">
                  <c:v>3.6380162902629271E-2</c:v>
                </c:pt>
                <c:pt idx="1000">
                  <c:v>3.6394189513742237E-2</c:v>
                </c:pt>
                <c:pt idx="1001">
                  <c:v>3.6394421055064671E-2</c:v>
                </c:pt>
                <c:pt idx="1002">
                  <c:v>3.6396433778049936E-2</c:v>
                </c:pt>
                <c:pt idx="1003">
                  <c:v>3.6398289255520959E-2</c:v>
                </c:pt>
                <c:pt idx="1004">
                  <c:v>3.6394299074267167E-2</c:v>
                </c:pt>
                <c:pt idx="1005">
                  <c:v>3.6395873282062105E-2</c:v>
                </c:pt>
                <c:pt idx="1006">
                  <c:v>3.6397290290419319E-2</c:v>
                </c:pt>
                <c:pt idx="1007">
                  <c:v>3.6398550099005514E-2</c:v>
                </c:pt>
                <c:pt idx="1008">
                  <c:v>3.6399652707524537E-2</c:v>
                </c:pt>
                <c:pt idx="1009">
                  <c:v>3.6406120340654435E-2</c:v>
                </c:pt>
                <c:pt idx="1010">
                  <c:v>3.6406880197411305E-2</c:v>
                </c:pt>
                <c:pt idx="1011">
                  <c:v>3.6407494048681766E-2</c:v>
                </c:pt>
                <c:pt idx="1012">
                  <c:v>3.6407968452470275E-2</c:v>
                </c:pt>
                <c:pt idx="1013">
                  <c:v>3.6402895165272516E-2</c:v>
                </c:pt>
                <c:pt idx="1014">
                  <c:v>3.6403131155872258E-2</c:v>
                </c:pt>
                <c:pt idx="1015">
                  <c:v>3.6403245167509111E-2</c:v>
                </c:pt>
                <c:pt idx="1016">
                  <c:v>3.6410388652998317E-2</c:v>
                </c:pt>
                <c:pt idx="1017">
                  <c:v>3.640847829163471E-2</c:v>
                </c:pt>
                <c:pt idx="1018">
                  <c:v>3.6408253730363632E-2</c:v>
                </c:pt>
                <c:pt idx="1019">
                  <c:v>3.6409709216571197E-2</c:v>
                </c:pt>
                <c:pt idx="1020">
                  <c:v>3.6407530544013258E-2</c:v>
                </c:pt>
                <c:pt idx="1021">
                  <c:v>3.6401740843582039E-2</c:v>
                </c:pt>
                <c:pt idx="1022">
                  <c:v>3.6406485660509663E-2</c:v>
                </c:pt>
                <c:pt idx="1023">
                  <c:v>3.6407623655376656E-2</c:v>
                </c:pt>
                <c:pt idx="1024">
                  <c:v>3.6405171545408198E-2</c:v>
                </c:pt>
                <c:pt idx="1025">
                  <c:v>3.6399142446791197E-2</c:v>
                </c:pt>
                <c:pt idx="1026">
                  <c:v>3.6394831271316472E-2</c:v>
                </c:pt>
                <c:pt idx="1027">
                  <c:v>3.6394001613149769E-2</c:v>
                </c:pt>
                <c:pt idx="1028">
                  <c:v>3.6393136032563118E-2</c:v>
                </c:pt>
                <c:pt idx="1029">
                  <c:v>3.6392241265510182E-2</c:v>
                </c:pt>
                <c:pt idx="1030">
                  <c:v>3.6393086497007468E-2</c:v>
                </c:pt>
                <c:pt idx="1031">
                  <c:v>3.6392154333081642E-2</c:v>
                </c:pt>
                <c:pt idx="1032">
                  <c:v>3.6391213332353747E-2</c:v>
                </c:pt>
                <c:pt idx="1033">
                  <c:v>3.6390270194389979E-2</c:v>
                </c:pt>
                <c:pt idx="1034">
                  <c:v>3.6389331618746398E-2</c:v>
                </c:pt>
                <c:pt idx="1035">
                  <c:v>3.6386636956077301E-2</c:v>
                </c:pt>
                <c:pt idx="1036">
                  <c:v>3.6385724816967425E-2</c:v>
                </c:pt>
                <c:pt idx="1037">
                  <c:v>3.6384829680445166E-2</c:v>
                </c:pt>
                <c:pt idx="1038">
                  <c:v>3.6383827486743001E-2</c:v>
                </c:pt>
                <c:pt idx="1039">
                  <c:v>3.638486226383518E-2</c:v>
                </c:pt>
                <c:pt idx="1040">
                  <c:v>3.6384019264983358E-2</c:v>
                </c:pt>
                <c:pt idx="1041">
                  <c:v>3.6383193270335297E-2</c:v>
                </c:pt>
                <c:pt idx="1042">
                  <c:v>3.6382384279869028E-2</c:v>
                </c:pt>
                <c:pt idx="1043">
                  <c:v>3.6379815914421382E-2</c:v>
                </c:pt>
                <c:pt idx="1044">
                  <c:v>3.6379039795405695E-2</c:v>
                </c:pt>
                <c:pt idx="1045">
                  <c:v>3.6378280678809813E-2</c:v>
                </c:pt>
                <c:pt idx="1046">
                  <c:v>3.6377538564613864E-2</c:v>
                </c:pt>
                <c:pt idx="1047">
                  <c:v>3.6376813452799729E-2</c:v>
                </c:pt>
                <c:pt idx="1048">
                  <c:v>3.6376105343348876E-2</c:v>
                </c:pt>
                <c:pt idx="1049">
                  <c:v>3.6375414236243631E-2</c:v>
                </c:pt>
                <c:pt idx="1050">
                  <c:v>3.6374740131465889E-2</c:v>
                </c:pt>
                <c:pt idx="1051">
                  <c:v>3.6374083028999304E-2</c:v>
                </c:pt>
                <c:pt idx="1052">
                  <c:v>3.6384166409695384E-2</c:v>
                </c:pt>
                <c:pt idx="1053">
                  <c:v>3.6381761253425834E-2</c:v>
                </c:pt>
                <c:pt idx="1054">
                  <c:v>3.6381160929568543E-2</c:v>
                </c:pt>
                <c:pt idx="1055">
                  <c:v>3.6380577616472225E-2</c:v>
                </c:pt>
                <c:pt idx="1056">
                  <c:v>3.6374635363643666E-2</c:v>
                </c:pt>
                <c:pt idx="1057">
                  <c:v>3.6374082592923108E-2</c:v>
                </c:pt>
                <c:pt idx="1058">
                  <c:v>3.6373546827810833E-2</c:v>
                </c:pt>
                <c:pt idx="1059">
                  <c:v>3.6373028068294178E-2</c:v>
                </c:pt>
                <c:pt idx="1060">
                  <c:v>3.6372526314358729E-2</c:v>
                </c:pt>
                <c:pt idx="1061">
                  <c:v>3.6377434963051722E-2</c:v>
                </c:pt>
                <c:pt idx="1062">
                  <c:v>3.6376970724881663E-2</c:v>
                </c:pt>
                <c:pt idx="1063">
                  <c:v>3.6376523497363415E-2</c:v>
                </c:pt>
                <c:pt idx="1064">
                  <c:v>3.6376093280486244E-2</c:v>
                </c:pt>
                <c:pt idx="1065">
                  <c:v>3.6370272627979788E-2</c:v>
                </c:pt>
                <c:pt idx="1066">
                  <c:v>3.6369872907282594E-2</c:v>
                </c:pt>
                <c:pt idx="1067">
                  <c:v>3.6369490192087538E-2</c:v>
                </c:pt>
                <c:pt idx="1068">
                  <c:v>3.6378155712622255E-2</c:v>
                </c:pt>
                <c:pt idx="1069">
                  <c:v>3.6376005015748412E-2</c:v>
                </c:pt>
                <c:pt idx="1070">
                  <c:v>3.6373869202081355E-2</c:v>
                </c:pt>
                <c:pt idx="1071">
                  <c:v>3.6375368086142029E-2</c:v>
                </c:pt>
                <c:pt idx="1072">
                  <c:v>3.637326392728462E-2</c:v>
                </c:pt>
                <c:pt idx="1073">
                  <c:v>3.6372986805724511E-2</c:v>
                </c:pt>
                <c:pt idx="1074">
                  <c:v>3.6372726694713503E-2</c:v>
                </c:pt>
                <c:pt idx="1075">
                  <c:v>3.6372483594244713E-2</c:v>
                </c:pt>
                <c:pt idx="1076">
                  <c:v>3.6374073476662307E-2</c:v>
                </c:pt>
                <c:pt idx="1077">
                  <c:v>3.6372048424909313E-2</c:v>
                </c:pt>
                <c:pt idx="1078">
                  <c:v>3.6364585267612874E-2</c:v>
                </c:pt>
                <c:pt idx="1079">
                  <c:v>3.636440542113055E-2</c:v>
                </c:pt>
                <c:pt idx="1080">
                  <c:v>3.6364242578354362E-2</c:v>
                </c:pt>
                <c:pt idx="1081">
                  <c:v>3.6364096739281239E-2</c:v>
                </c:pt>
                <c:pt idx="1082">
                  <c:v>3.6365790118742115E-2</c:v>
                </c:pt>
                <c:pt idx="1083">
                  <c:v>3.6365679490540433E-2</c:v>
                </c:pt>
                <c:pt idx="1084">
                  <c:v>3.6372886737397588E-2</c:v>
                </c:pt>
                <c:pt idx="1085">
                  <c:v>3.6365509250317646E-2</c:v>
                </c:pt>
                <c:pt idx="1086">
                  <c:v>3.6365449638293475E-2</c:v>
                </c:pt>
                <c:pt idx="1087">
                  <c:v>3.6363578782420101E-2</c:v>
                </c:pt>
                <c:pt idx="1088">
                  <c:v>3.636354952677999E-2</c:v>
                </c:pt>
                <c:pt idx="1089">
                  <c:v>3.6363542159636615E-2</c:v>
                </c:pt>
                <c:pt idx="1090">
                  <c:v>3.6363551769562213E-2</c:v>
                </c:pt>
                <c:pt idx="1091">
                  <c:v>3.6365406658989421E-2</c:v>
                </c:pt>
                <c:pt idx="1092">
                  <c:v>3.6365449079290575E-2</c:v>
                </c:pt>
                <c:pt idx="1093">
                  <c:v>3.6365508504981173E-2</c:v>
                </c:pt>
                <c:pt idx="1094">
                  <c:v>3.6365584936061651E-2</c:v>
                </c:pt>
                <c:pt idx="1095">
                  <c:v>3.6365755524338274E-2</c:v>
                </c:pt>
                <c:pt idx="1096">
                  <c:v>3.6363966586389698E-2</c:v>
                </c:pt>
                <c:pt idx="1097">
                  <c:v>3.6364095235448139E-2</c:v>
                </c:pt>
                <c:pt idx="1098">
                  <c:v>3.6364240888205245E-2</c:v>
                </c:pt>
                <c:pt idx="1099">
                  <c:v>3.6364403544665413E-2</c:v>
                </c:pt>
                <c:pt idx="1100">
                  <c:v>3.6364583204832157E-2</c:v>
                </c:pt>
                <c:pt idx="1101">
                  <c:v>3.6364779868710305E-2</c:v>
                </c:pt>
                <c:pt idx="1102">
                  <c:v>3.6364993536304256E-2</c:v>
                </c:pt>
                <c:pt idx="1103">
                  <c:v>3.6365224207619708E-2</c:v>
                </c:pt>
                <c:pt idx="1104">
                  <c:v>3.6372870384229275E-2</c:v>
                </c:pt>
                <c:pt idx="1105">
                  <c:v>3.6371288798110045E-2</c:v>
                </c:pt>
                <c:pt idx="1106">
                  <c:v>3.6371574209984936E-2</c:v>
                </c:pt>
                <c:pt idx="1107">
                  <c:v>3.6371876630716851E-2</c:v>
                </c:pt>
                <c:pt idx="1108">
                  <c:v>3.6366632620242284E-2</c:v>
                </c:pt>
                <c:pt idx="1109">
                  <c:v>3.6374388714501965E-2</c:v>
                </c:pt>
                <c:pt idx="1110">
                  <c:v>3.6369379922223478E-2</c:v>
                </c:pt>
                <c:pt idx="1111">
                  <c:v>3.6373256402375945E-2</c:v>
                </c:pt>
                <c:pt idx="1112">
                  <c:v>3.6375503839626677E-2</c:v>
                </c:pt>
                <c:pt idx="1113">
                  <c:v>3.6374048341570382E-2</c:v>
                </c:pt>
                <c:pt idx="1114">
                  <c:v>3.6374469824543447E-2</c:v>
                </c:pt>
                <c:pt idx="1115">
                  <c:v>3.6374908316447851E-2</c:v>
                </c:pt>
                <c:pt idx="1116">
                  <c:v>3.6375363817295274E-2</c:v>
                </c:pt>
                <c:pt idx="1117">
                  <c:v>3.6375836327097365E-2</c:v>
                </c:pt>
                <c:pt idx="1118">
                  <c:v>3.6376325845865809E-2</c:v>
                </c:pt>
                <c:pt idx="1119">
                  <c:v>3.6376832373613555E-2</c:v>
                </c:pt>
                <c:pt idx="1120">
                  <c:v>3.6381096285143369E-2</c:v>
                </c:pt>
                <c:pt idx="1121">
                  <c:v>3.6372283936445857E-2</c:v>
                </c:pt>
                <c:pt idx="1122">
                  <c:v>3.6378454010865278E-2</c:v>
                </c:pt>
                <c:pt idx="1123">
                  <c:v>3.638090245142514E-2</c:v>
                </c:pt>
                <c:pt idx="1124">
                  <c:v>3.6379620147513711E-2</c:v>
                </c:pt>
                <c:pt idx="1125">
                  <c:v>3.638022872942593E-2</c:v>
                </c:pt>
                <c:pt idx="1126">
                  <c:v>3.6380854320418557E-2</c:v>
                </c:pt>
                <c:pt idx="1127">
                  <c:v>3.6381496920506295E-2</c:v>
                </c:pt>
                <c:pt idx="1128">
                  <c:v>3.6384036794958677E-2</c:v>
                </c:pt>
                <c:pt idx="1129">
                  <c:v>3.6382833148037079E-2</c:v>
                </c:pt>
                <c:pt idx="1130">
                  <c:v>3.6375997934574848E-2</c:v>
                </c:pt>
                <c:pt idx="1131">
                  <c:v>3.6376703428817318E-2</c:v>
                </c:pt>
                <c:pt idx="1132">
                  <c:v>3.6377425925419975E-2</c:v>
                </c:pt>
                <c:pt idx="1133">
                  <c:v>3.6378165424401809E-2</c:v>
                </c:pt>
                <c:pt idx="1134">
                  <c:v>3.6378921925780912E-2</c:v>
                </c:pt>
                <c:pt idx="1135">
                  <c:v>3.638158370966374E-2</c:v>
                </c:pt>
                <c:pt idx="1136">
                  <c:v>3.6382375509647118E-2</c:v>
                </c:pt>
                <c:pt idx="1137">
                  <c:v>3.6383184313791658E-2</c:v>
                </c:pt>
                <c:pt idx="1138">
                  <c:v>3.6384010122118872E-2</c:v>
                </c:pt>
                <c:pt idx="1139">
                  <c:v>3.6382959469317987E-2</c:v>
                </c:pt>
                <c:pt idx="1140">
                  <c:v>3.6386086449678869E-2</c:v>
                </c:pt>
                <c:pt idx="1141">
                  <c:v>3.6384693504213771E-2</c:v>
                </c:pt>
                <c:pt idx="1142">
                  <c:v>3.6385586025493195E-2</c:v>
                </c:pt>
                <c:pt idx="1143">
                  <c:v>3.6388394227235173E-2</c:v>
                </c:pt>
                <c:pt idx="1144">
                  <c:v>3.6389322061109959E-2</c:v>
                </c:pt>
                <c:pt idx="1145">
                  <c:v>3.6390266899322461E-2</c:v>
                </c:pt>
                <c:pt idx="1146">
                  <c:v>3.639122874189684E-2</c:v>
                </c:pt>
                <c:pt idx="1147">
                  <c:v>3.639220758885725E-2</c:v>
                </c:pt>
                <c:pt idx="1148">
                  <c:v>3.6391298208256678E-2</c:v>
                </c:pt>
                <c:pt idx="1149">
                  <c:v>3.6392309748122027E-2</c:v>
                </c:pt>
                <c:pt idx="1150">
                  <c:v>3.6393338290740616E-2</c:v>
                </c:pt>
                <c:pt idx="1151">
                  <c:v>3.6394383836138501E-2</c:v>
                </c:pt>
                <c:pt idx="1152">
                  <c:v>3.6395446384342618E-2</c:v>
                </c:pt>
                <c:pt idx="1153">
                  <c:v>3.639652593537903E-2</c:v>
                </c:pt>
                <c:pt idx="1154">
                  <c:v>3.6397622489275999E-2</c:v>
                </c:pt>
                <c:pt idx="1155">
                  <c:v>3.6398736046059137E-2</c:v>
                </c:pt>
                <c:pt idx="1156">
                  <c:v>3.6409448197222388E-2</c:v>
                </c:pt>
                <c:pt idx="1157">
                  <c:v>3.6408684250509145E-2</c:v>
                </c:pt>
                <c:pt idx="1158">
                  <c:v>3.6409854142944613E-2</c:v>
                </c:pt>
                <c:pt idx="1159">
                  <c:v>3.6411041045222262E-2</c:v>
                </c:pt>
                <c:pt idx="1160">
                  <c:v>3.6409095462042081E-2</c:v>
                </c:pt>
                <c:pt idx="1161">
                  <c:v>3.6415389379042019E-2</c:v>
                </c:pt>
                <c:pt idx="1162">
                  <c:v>3.641470381141769E-2</c:v>
                </c:pt>
                <c:pt idx="1163">
                  <c:v>3.6415958753374313E-2</c:v>
                </c:pt>
                <c:pt idx="1164">
                  <c:v>3.641723070533083E-2</c:v>
                </c:pt>
                <c:pt idx="1165">
                  <c:v>3.6418519667319647E-2</c:v>
                </c:pt>
                <c:pt idx="1166">
                  <c:v>3.64217553892539E-2</c:v>
                </c:pt>
                <c:pt idx="1167">
                  <c:v>3.6421146128100407E-2</c:v>
                </c:pt>
                <c:pt idx="1168">
                  <c:v>3.6422480198493153E-2</c:v>
                </c:pt>
                <c:pt idx="1169">
                  <c:v>3.6423825668827223E-2</c:v>
                </c:pt>
                <c:pt idx="1170">
                  <c:v>3.6425180669054272E-2</c:v>
                </c:pt>
                <c:pt idx="1171">
                  <c:v>3.6426543329117329E-2</c:v>
                </c:pt>
                <c:pt idx="1172">
                  <c:v>3.6427911778955963E-2</c:v>
                </c:pt>
                <c:pt idx="1173">
                  <c:v>3.6429284148504992E-2</c:v>
                </c:pt>
                <c:pt idx="1174">
                  <c:v>3.6430658567694042E-2</c:v>
                </c:pt>
                <c:pt idx="1175">
                  <c:v>3.6432033166446276E-2</c:v>
                </c:pt>
                <c:pt idx="1176">
                  <c:v>3.6435335743603775E-2</c:v>
                </c:pt>
                <c:pt idx="1177">
                  <c:v>3.6434775422313416E-2</c:v>
                </c:pt>
                <c:pt idx="1178">
                  <c:v>3.6436139339249995E-2</c:v>
                </c:pt>
                <c:pt idx="1179">
                  <c:v>3.6437495955394819E-2</c:v>
                </c:pt>
                <c:pt idx="1180">
                  <c:v>3.6440768006197076E-2</c:v>
                </c:pt>
                <c:pt idx="1181">
                  <c:v>3.6440179804899837E-2</c:v>
                </c:pt>
                <c:pt idx="1182">
                  <c:v>3.6433817300342099E-2</c:v>
                </c:pt>
                <c:pt idx="1183">
                  <c:v>3.6435133096277071E-2</c:v>
                </c:pt>
                <c:pt idx="1184">
                  <c:v>3.6436432595733183E-2</c:v>
                </c:pt>
                <c:pt idx="1185">
                  <c:v>3.6437713888025774E-2</c:v>
                </c:pt>
                <c:pt idx="1186">
                  <c:v>3.644088910381138E-2</c:v>
                </c:pt>
                <c:pt idx="1187">
                  <c:v>3.6442126187383669E-2</c:v>
                </c:pt>
                <c:pt idx="1188">
                  <c:v>3.6443339282813493E-2</c:v>
                </c:pt>
                <c:pt idx="1189">
                  <c:v>3.6452156536333651E-2</c:v>
                </c:pt>
                <c:pt idx="1190">
                  <c:v>3.6445685907667481E-2</c:v>
                </c:pt>
                <c:pt idx="1191">
                  <c:v>3.6444912292445057E-2</c:v>
                </c:pt>
                <c:pt idx="1192">
                  <c:v>3.6446012694483276E-2</c:v>
                </c:pt>
                <c:pt idx="1193">
                  <c:v>3.6447080720610481E-2</c:v>
                </c:pt>
                <c:pt idx="1194">
                  <c:v>3.6448116345709089E-2</c:v>
                </c:pt>
                <c:pt idx="1195">
                  <c:v>3.6451014077445831E-2</c:v>
                </c:pt>
                <c:pt idx="1196">
                  <c:v>3.6451982683144341E-2</c:v>
                </c:pt>
                <c:pt idx="1197">
                  <c:v>3.6452918884417769E-2</c:v>
                </c:pt>
                <c:pt idx="1198">
                  <c:v>3.6453822681221756E-2</c:v>
                </c:pt>
                <c:pt idx="1199">
                  <c:v>3.6449403353291637E-2</c:v>
                </c:pt>
                <c:pt idx="1200">
                  <c:v>3.6455882707645486E-2</c:v>
                </c:pt>
                <c:pt idx="1201">
                  <c:v>3.6456675403087523E-2</c:v>
                </c:pt>
                <c:pt idx="1202">
                  <c:v>3.6455664022086463E-2</c:v>
                </c:pt>
                <c:pt idx="1203">
                  <c:v>3.6458163579980885E-2</c:v>
                </c:pt>
                <c:pt idx="1204">
                  <c:v>3.6458859061360184E-2</c:v>
                </c:pt>
                <c:pt idx="1205">
                  <c:v>3.645952213798237E-2</c:v>
                </c:pt>
                <c:pt idx="1206">
                  <c:v>3.6458371607809827E-2</c:v>
                </c:pt>
                <c:pt idx="1207">
                  <c:v>3.6462617705868082E-2</c:v>
                </c:pt>
                <c:pt idx="1208">
                  <c:v>3.6465045589260406E-2</c:v>
                </c:pt>
                <c:pt idx="1209">
                  <c:v>3.6465574523433388E-2</c:v>
                </c:pt>
                <c:pt idx="1210">
                  <c:v>3.6466071046198902E-2</c:v>
                </c:pt>
                <c:pt idx="1211">
                  <c:v>3.6466535157532176E-2</c:v>
                </c:pt>
                <c:pt idx="1212">
                  <c:v>3.6465111644784443E-2</c:v>
                </c:pt>
                <c:pt idx="1213">
                  <c:v>3.6465513207990741E-2</c:v>
                </c:pt>
                <c:pt idx="1214">
                  <c:v>3.6465882362954387E-2</c:v>
                </c:pt>
                <c:pt idx="1215">
                  <c:v>3.6466309370463079E-2</c:v>
                </c:pt>
                <c:pt idx="1216">
                  <c:v>3.6466523448086471E-2</c:v>
                </c:pt>
                <c:pt idx="1217">
                  <c:v>3.6468675058788806E-2</c:v>
                </c:pt>
                <c:pt idx="1218">
                  <c:v>3.64688764150609E-2</c:v>
                </c:pt>
                <c:pt idx="1219">
                  <c:v>3.6469081234254241E-2</c:v>
                </c:pt>
                <c:pt idx="1220">
                  <c:v>3.6471112122978447E-2</c:v>
                </c:pt>
                <c:pt idx="1221">
                  <c:v>3.646755901562726E-2</c:v>
                </c:pt>
                <c:pt idx="1222">
                  <c:v>3.6467668904145219E-2</c:v>
                </c:pt>
                <c:pt idx="1223">
                  <c:v>3.6467746384315693E-2</c:v>
                </c:pt>
                <c:pt idx="1224">
                  <c:v>3.6467791456137377E-2</c:v>
                </c:pt>
                <c:pt idx="1225">
                  <c:v>3.6471454792862269E-2</c:v>
                </c:pt>
                <c:pt idx="1226">
                  <c:v>3.6469607444038682E-2</c:v>
                </c:pt>
                <c:pt idx="1227">
                  <c:v>3.6469552970453907E-2</c:v>
                </c:pt>
                <c:pt idx="1228">
                  <c:v>3.6469466085266168E-2</c:v>
                </c:pt>
                <c:pt idx="1229">
                  <c:v>3.6469346788481544E-2</c:v>
                </c:pt>
                <c:pt idx="1230">
                  <c:v>3.6469195080104377E-2</c:v>
                </c:pt>
                <c:pt idx="1231">
                  <c:v>3.6469010960143364E-2</c:v>
                </c:pt>
                <c:pt idx="1232">
                  <c:v>3.6468794428606316E-2</c:v>
                </c:pt>
                <c:pt idx="1233">
                  <c:v>3.646850727636259E-2</c:v>
                </c:pt>
                <c:pt idx="1234">
                  <c:v>3.6462808738838837E-2</c:v>
                </c:pt>
                <c:pt idx="1235">
                  <c:v>3.6464346122297667E-2</c:v>
                </c:pt>
                <c:pt idx="1236">
                  <c:v>3.646400464334662E-2</c:v>
                </c:pt>
                <c:pt idx="1237">
                  <c:v>3.6463630759390298E-2</c:v>
                </c:pt>
                <c:pt idx="1238">
                  <c:v>3.6463224470447149E-2</c:v>
                </c:pt>
                <c:pt idx="1239">
                  <c:v>3.6462785776536062E-2</c:v>
                </c:pt>
                <c:pt idx="1240">
                  <c:v>3.6462244732542282E-2</c:v>
                </c:pt>
                <c:pt idx="1241">
                  <c:v>3.6461811173899225E-2</c:v>
                </c:pt>
                <c:pt idx="1242">
                  <c:v>3.6461275265219154E-2</c:v>
                </c:pt>
                <c:pt idx="1243">
                  <c:v>3.6462490240728437E-2</c:v>
                </c:pt>
                <c:pt idx="1244">
                  <c:v>3.6458237088315054E-2</c:v>
                </c:pt>
                <c:pt idx="1245">
                  <c:v>3.6459473110051641E-2</c:v>
                </c:pt>
                <c:pt idx="1246">
                  <c:v>3.6460583735918671E-2</c:v>
                </c:pt>
                <c:pt idx="1247">
                  <c:v>3.6458109649293718E-2</c:v>
                </c:pt>
                <c:pt idx="1248">
                  <c:v>3.6457379311816633E-2</c:v>
                </c:pt>
                <c:pt idx="1249">
                  <c:v>3.6456616569654453E-2</c:v>
                </c:pt>
                <c:pt idx="1250">
                  <c:v>3.6455821422843641E-2</c:v>
                </c:pt>
                <c:pt idx="1251">
                  <c:v>3.645310903871507E-2</c:v>
                </c:pt>
                <c:pt idx="1252">
                  <c:v>3.6452246854625205E-2</c:v>
                </c:pt>
                <c:pt idx="1253">
                  <c:v>3.645135226925942E-2</c:v>
                </c:pt>
                <c:pt idx="1254">
                  <c:v>3.6450425282659231E-2</c:v>
                </c:pt>
                <c:pt idx="1255">
                  <c:v>3.6449465894870574E-2</c:v>
                </c:pt>
                <c:pt idx="1256">
                  <c:v>3.6448474105938045E-2</c:v>
                </c:pt>
                <c:pt idx="1257">
                  <c:v>3.6447449915909785E-2</c:v>
                </c:pt>
                <c:pt idx="1258">
                  <c:v>3.6446393324835707E-2</c:v>
                </c:pt>
                <c:pt idx="1259">
                  <c:v>3.6447048998721136E-2</c:v>
                </c:pt>
                <c:pt idx="1260">
                  <c:v>3.6449409308410299E-2</c:v>
                </c:pt>
                <c:pt idx="1261">
                  <c:v>3.6448248222112761E-2</c:v>
                </c:pt>
                <c:pt idx="1262">
                  <c:v>3.6447054725251851E-2</c:v>
                </c:pt>
                <c:pt idx="1263">
                  <c:v>3.6445828817887972E-2</c:v>
                </c:pt>
                <c:pt idx="1264">
                  <c:v>3.6442838237750935E-2</c:v>
                </c:pt>
                <c:pt idx="1265">
                  <c:v>3.6441549953801909E-2</c:v>
                </c:pt>
                <c:pt idx="1266">
                  <c:v>3.6439845970167493E-2</c:v>
                </c:pt>
                <c:pt idx="1267">
                  <c:v>3.643848361298873E-2</c:v>
                </c:pt>
                <c:pt idx="1268">
                  <c:v>3.6442253781261348E-2</c:v>
                </c:pt>
                <c:pt idx="1269">
                  <c:v>3.6440819234466015E-2</c:v>
                </c:pt>
                <c:pt idx="1270">
                  <c:v>3.6439352271159922E-2</c:v>
                </c:pt>
                <c:pt idx="1271">
                  <c:v>3.6437852891413533E-2</c:v>
                </c:pt>
                <c:pt idx="1272">
                  <c:v>3.6431185724520768E-2</c:v>
                </c:pt>
                <c:pt idx="1273">
                  <c:v>3.6429628926808386E-2</c:v>
                </c:pt>
                <c:pt idx="1274">
                  <c:v>3.642803972259491E-2</c:v>
                </c:pt>
                <c:pt idx="1275">
                  <c:v>3.6426418111958542E-2</c:v>
                </c:pt>
                <c:pt idx="1276">
                  <c:v>3.6429869748741454E-2</c:v>
                </c:pt>
                <c:pt idx="1277">
                  <c:v>3.6428175871969275E-2</c:v>
                </c:pt>
                <c:pt idx="1278">
                  <c:v>3.6426449579308628E-2</c:v>
                </c:pt>
                <c:pt idx="1279">
                  <c:v>3.642638504144062E-2</c:v>
                </c:pt>
                <c:pt idx="1280">
                  <c:v>3.6422899746667459E-2</c:v>
                </c:pt>
                <c:pt idx="1281">
                  <c:v>3.6416007917762901E-2</c:v>
                </c:pt>
                <c:pt idx="1282">
                  <c:v>3.641922025151631E-2</c:v>
                </c:pt>
                <c:pt idx="1283">
                  <c:v>3.6419016051226868E-2</c:v>
                </c:pt>
                <c:pt idx="1284">
                  <c:v>3.641541109458149E-2</c:v>
                </c:pt>
                <c:pt idx="1285">
                  <c:v>3.6408419670393863E-2</c:v>
                </c:pt>
                <c:pt idx="1286">
                  <c:v>3.6404764443355858E-2</c:v>
                </c:pt>
                <c:pt idx="1287">
                  <c:v>3.6402756478094545E-2</c:v>
                </c:pt>
                <c:pt idx="1288">
                  <c:v>3.640071611078427E-2</c:v>
                </c:pt>
                <c:pt idx="1289">
                  <c:v>3.6398643341522548E-2</c:v>
                </c:pt>
                <c:pt idx="1290">
                  <c:v>3.6398205238849339E-2</c:v>
                </c:pt>
                <c:pt idx="1291">
                  <c:v>3.6396065137208958E-2</c:v>
                </c:pt>
                <c:pt idx="1292">
                  <c:v>3.6393892630696346E-2</c:v>
                </c:pt>
                <c:pt idx="1293">
                  <c:v>3.6391687719417649E-2</c:v>
                </c:pt>
                <c:pt idx="1294">
                  <c:v>3.6389450403479018E-2</c:v>
                </c:pt>
                <c:pt idx="1295">
                  <c:v>3.6385526290696808E-2</c:v>
                </c:pt>
                <c:pt idx="1296">
                  <c:v>3.6383226710667557E-2</c:v>
                </c:pt>
                <c:pt idx="1297">
                  <c:v>3.6380894729531009E-2</c:v>
                </c:pt>
                <c:pt idx="1298">
                  <c:v>3.6378189933552608E-2</c:v>
                </c:pt>
                <c:pt idx="1299">
                  <c:v>3.637777775774903E-2</c:v>
                </c:pt>
                <c:pt idx="1300">
                  <c:v>3.6375346016188567E-2</c:v>
                </c:pt>
                <c:pt idx="1301">
                  <c:v>3.6372881870760973E-2</c:v>
                </c:pt>
                <c:pt idx="1302">
                  <c:v>3.6368944173484526E-2</c:v>
                </c:pt>
                <c:pt idx="1303">
                  <c:v>3.6365858868761369E-2</c:v>
                </c:pt>
                <c:pt idx="1304">
                  <c:v>3.6363663640233627E-2</c:v>
                </c:pt>
                <c:pt idx="1305">
                  <c:v>3.6361072454424409E-2</c:v>
                </c:pt>
                <c:pt idx="1306">
                  <c:v>3.6358448868577815E-2</c:v>
                </c:pt>
                <c:pt idx="1307">
                  <c:v>3.6355792882819017E-2</c:v>
                </c:pt>
                <c:pt idx="1308">
                  <c:v>3.6353104497277577E-2</c:v>
                </c:pt>
                <c:pt idx="1309">
                  <c:v>3.6350383712083073E-2</c:v>
                </c:pt>
                <c:pt idx="1310">
                  <c:v>3.6347630527366823E-2</c:v>
                </c:pt>
                <c:pt idx="1311">
                  <c:v>3.6344844943261463E-2</c:v>
                </c:pt>
                <c:pt idx="1312">
                  <c:v>3.6350079003661724E-2</c:v>
                </c:pt>
                <c:pt idx="1313">
                  <c:v>3.6345608093881474E-2</c:v>
                </c:pt>
                <c:pt idx="1314">
                  <c:v>3.6342714898376795E-2</c:v>
                </c:pt>
                <c:pt idx="1315">
                  <c:v>3.6339789291198778E-2</c:v>
                </c:pt>
                <c:pt idx="1316">
                  <c:v>3.6332031310409726E-2</c:v>
                </c:pt>
                <c:pt idx="1317">
                  <c:v>3.6329048720446303E-2</c:v>
                </c:pt>
                <c:pt idx="1318">
                  <c:v>3.6326033728864442E-2</c:v>
                </c:pt>
                <c:pt idx="1319">
                  <c:v>3.6322986335807855E-2</c:v>
                </c:pt>
                <c:pt idx="1320">
                  <c:v>3.6319906541425494E-2</c:v>
                </c:pt>
                <c:pt idx="1321">
                  <c:v>3.6321555011182546E-2</c:v>
                </c:pt>
                <c:pt idx="1322">
                  <c:v>3.6318402526421566E-2</c:v>
                </c:pt>
                <c:pt idx="1323">
                  <c:v>3.6315217631185427E-2</c:v>
                </c:pt>
                <c:pt idx="1324">
                  <c:v>3.6312000325632698E-2</c:v>
                </c:pt>
                <c:pt idx="1325">
                  <c:v>3.6304021554907633E-2</c:v>
                </c:pt>
                <c:pt idx="1326">
                  <c:v>3.6300747355761942E-2</c:v>
                </c:pt>
                <c:pt idx="1327">
                  <c:v>3.6297440756368961E-2</c:v>
                </c:pt>
                <c:pt idx="1328">
                  <c:v>3.6301943088499586E-2</c:v>
                </c:pt>
                <c:pt idx="1329">
                  <c:v>3.6296993113129943E-2</c:v>
                </c:pt>
                <c:pt idx="1330">
                  <c:v>3.6292015884649351E-2</c:v>
                </c:pt>
                <c:pt idx="1331">
                  <c:v>3.6290131860728631E-2</c:v>
                </c:pt>
                <c:pt idx="1332">
                  <c:v>3.6285095129163239E-2</c:v>
                </c:pt>
                <c:pt idx="1333">
                  <c:v>3.6281586138087039E-2</c:v>
                </c:pt>
                <c:pt idx="1334">
                  <c:v>3.6278044738351854E-2</c:v>
                </c:pt>
                <c:pt idx="1335">
                  <c:v>3.6274470930133036E-2</c:v>
                </c:pt>
                <c:pt idx="1336">
                  <c:v>3.627241151936153E-2</c:v>
                </c:pt>
                <c:pt idx="1337">
                  <c:v>3.6267226088949285E-2</c:v>
                </c:pt>
                <c:pt idx="1338">
                  <c:v>3.6255845515575889E-2</c:v>
                </c:pt>
                <c:pt idx="1339">
                  <c:v>3.6252155491045532E-2</c:v>
                </c:pt>
                <c:pt idx="1340">
                  <c:v>3.6248433074840866E-2</c:v>
                </c:pt>
                <c:pt idx="1341">
                  <c:v>3.6244678267141624E-2</c:v>
                </c:pt>
                <c:pt idx="1342">
                  <c:v>3.6242422536327742E-2</c:v>
                </c:pt>
                <c:pt idx="1343">
                  <c:v>3.6238600251271805E-2</c:v>
                </c:pt>
                <c:pt idx="1344">
                  <c:v>3.6234745572088924E-2</c:v>
                </c:pt>
                <c:pt idx="1345">
                  <c:v>3.6230858498963132E-2</c:v>
                </c:pt>
                <c:pt idx="1346">
                  <c:v>3.6226939032083287E-2</c:v>
                </c:pt>
                <c:pt idx="1347">
                  <c:v>3.6221469209739059E-2</c:v>
                </c:pt>
                <c:pt idx="1348">
                  <c:v>3.621691623075473E-2</c:v>
                </c:pt>
                <c:pt idx="1349">
                  <c:v>3.6213473733658505E-2</c:v>
                </c:pt>
                <c:pt idx="1350">
                  <c:v>3.6208846720616625E-2</c:v>
                </c:pt>
                <c:pt idx="1351">
                  <c:v>3.6206855798045293E-2</c:v>
                </c:pt>
                <c:pt idx="1352">
                  <c:v>3.6202741972665604E-2</c:v>
                </c:pt>
                <c:pt idx="1353">
                  <c:v>3.6198595754889019E-2</c:v>
                </c:pt>
                <c:pt idx="1354">
                  <c:v>3.6194417144914504E-2</c:v>
                </c:pt>
                <c:pt idx="1355">
                  <c:v>3.6187178452673718E-2</c:v>
                </c:pt>
                <c:pt idx="1356">
                  <c:v>3.6183860846234095E-2</c:v>
                </c:pt>
                <c:pt idx="1357">
                  <c:v>3.6179583173269518E-2</c:v>
                </c:pt>
                <c:pt idx="1358">
                  <c:v>3.6175273112113361E-2</c:v>
                </c:pt>
                <c:pt idx="1359">
                  <c:v>3.6170930662972764E-2</c:v>
                </c:pt>
                <c:pt idx="1360">
                  <c:v>3.6166555826056164E-2</c:v>
                </c:pt>
                <c:pt idx="1361">
                  <c:v>3.6162148601573345E-2</c:v>
                </c:pt>
                <c:pt idx="1362">
                  <c:v>3.6157708989735408E-2</c:v>
                </c:pt>
                <c:pt idx="1363">
                  <c:v>3.61532369907561E-2</c:v>
                </c:pt>
                <c:pt idx="1364">
                  <c:v>3.6156086202757495E-2</c:v>
                </c:pt>
                <c:pt idx="1365">
                  <c:v>3.6150067981470982E-2</c:v>
                </c:pt>
                <c:pt idx="1366">
                  <c:v>3.6145487746833585E-2</c:v>
                </c:pt>
                <c:pt idx="1367">
                  <c:v>3.6140875113326434E-2</c:v>
                </c:pt>
                <c:pt idx="1368">
                  <c:v>3.6136230081175516E-2</c:v>
                </c:pt>
                <c:pt idx="1369">
                  <c:v>3.6133009170004379E-2</c:v>
                </c:pt>
                <c:pt idx="1370">
                  <c:v>3.6121232144127199E-2</c:v>
                </c:pt>
                <c:pt idx="1371">
                  <c:v>3.6122100595147186E-2</c:v>
                </c:pt>
                <c:pt idx="1372">
                  <c:v>3.6117325970715576E-2</c:v>
                </c:pt>
                <c:pt idx="1373">
                  <c:v>3.6112518948795171E-2</c:v>
                </c:pt>
                <c:pt idx="1374">
                  <c:v>3.6107679529621885E-2</c:v>
                </c:pt>
                <c:pt idx="1375">
                  <c:v>3.6102807713432931E-2</c:v>
                </c:pt>
                <c:pt idx="1376">
                  <c:v>3.6097903500467689E-2</c:v>
                </c:pt>
                <c:pt idx="1377">
                  <c:v>3.6092966890966395E-2</c:v>
                </c:pt>
                <c:pt idx="1378">
                  <c:v>3.6087997885171454E-2</c:v>
                </c:pt>
                <c:pt idx="1379">
                  <c:v>3.6082996483325705E-2</c:v>
                </c:pt>
                <c:pt idx="1380">
                  <c:v>3.6080813984473638E-2</c:v>
                </c:pt>
                <c:pt idx="1381">
                  <c:v>3.6074319412150765E-2</c:v>
                </c:pt>
                <c:pt idx="1382">
                  <c:v>3.6067797903948179E-2</c:v>
                </c:pt>
                <c:pt idx="1383">
                  <c:v>3.6064084196243691E-2</c:v>
                </c:pt>
                <c:pt idx="1384">
                  <c:v>3.6057503541985093E-2</c:v>
                </c:pt>
                <c:pt idx="1385">
                  <c:v>3.6053719388606582E-2</c:v>
                </c:pt>
                <c:pt idx="1386">
                  <c:v>3.604707960180574E-2</c:v>
                </c:pt>
                <c:pt idx="1387">
                  <c:v>3.6041819040523157E-2</c:v>
                </c:pt>
                <c:pt idx="1388">
                  <c:v>3.6037929197136095E-2</c:v>
                </c:pt>
                <c:pt idx="1389">
                  <c:v>3.6031200736860225E-2</c:v>
                </c:pt>
                <c:pt idx="1390">
                  <c:v>3.6020251499823852E-2</c:v>
                </c:pt>
                <c:pt idx="1391">
                  <c:v>3.6014872753684098E-2</c:v>
                </c:pt>
                <c:pt idx="1392">
                  <c:v>3.6009461627256718E-2</c:v>
                </c:pt>
                <c:pt idx="1393">
                  <c:v>3.6004018120800958E-2</c:v>
                </c:pt>
                <c:pt idx="1394">
                  <c:v>3.5999928973616535E-2</c:v>
                </c:pt>
                <c:pt idx="1395">
                  <c:v>3.5999951546923939E-2</c:v>
                </c:pt>
                <c:pt idx="1396">
                  <c:v>3.5988874342075379E-2</c:v>
                </c:pt>
                <c:pt idx="1397">
                  <c:v>3.5983298453053668E-2</c:v>
                </c:pt>
                <c:pt idx="1398">
                  <c:v>3.5977690182223514E-2</c:v>
                </c:pt>
                <c:pt idx="1399">
                  <c:v>3.5970677116224099E-2</c:v>
                </c:pt>
                <c:pt idx="1400">
                  <c:v>3.5963935283526552E-2</c:v>
                </c:pt>
                <c:pt idx="1401">
                  <c:v>3.5959304419832402E-2</c:v>
                </c:pt>
                <c:pt idx="1402">
                  <c:v>3.5953569505068332E-2</c:v>
                </c:pt>
                <c:pt idx="1403">
                  <c:v>3.594916311046463E-2</c:v>
                </c:pt>
                <c:pt idx="1404">
                  <c:v>3.5943360554517689E-2</c:v>
                </c:pt>
                <c:pt idx="1405">
                  <c:v>3.5937525618689112E-2</c:v>
                </c:pt>
                <c:pt idx="1406">
                  <c:v>3.5931658303260436E-2</c:v>
                </c:pt>
                <c:pt idx="1407">
                  <c:v>3.5925758608514075E-2</c:v>
                </c:pt>
                <c:pt idx="1408">
                  <c:v>3.5918480101963635E-2</c:v>
                </c:pt>
                <c:pt idx="1409">
                  <c:v>3.5912518551645928E-2</c:v>
                </c:pt>
                <c:pt idx="1410">
                  <c:v>3.5906524625951584E-2</c:v>
                </c:pt>
                <c:pt idx="1411">
                  <c:v>3.5900498325168992E-2</c:v>
                </c:pt>
                <c:pt idx="1412">
                  <c:v>3.5894439649587426E-2</c:v>
                </c:pt>
                <c:pt idx="1413">
                  <c:v>3.5888348599497487E-2</c:v>
                </c:pt>
                <c:pt idx="1414">
                  <c:v>3.5882225175191532E-2</c:v>
                </c:pt>
                <c:pt idx="1415">
                  <c:v>3.5876069376962805E-2</c:v>
                </c:pt>
                <c:pt idx="1416">
                  <c:v>3.5876494921900724E-2</c:v>
                </c:pt>
                <c:pt idx="1417">
                  <c:v>3.5868940308745947E-2</c:v>
                </c:pt>
                <c:pt idx="1418">
                  <c:v>3.5862675667971383E-2</c:v>
                </c:pt>
                <c:pt idx="1419">
                  <c:v>3.5856378642197921E-2</c:v>
                </c:pt>
                <c:pt idx="1420">
                  <c:v>3.5846116190585808E-2</c:v>
                </c:pt>
                <c:pt idx="1421">
                  <c:v>3.5837424996906508E-2</c:v>
                </c:pt>
                <c:pt idx="1422">
                  <c:v>3.5837293257978305E-2</c:v>
                </c:pt>
                <c:pt idx="1423">
                  <c:v>3.5830866695312061E-2</c:v>
                </c:pt>
                <c:pt idx="1424">
                  <c:v>3.5825706590498302E-2</c:v>
                </c:pt>
                <c:pt idx="1425">
                  <c:v>3.5817916419978661E-2</c:v>
                </c:pt>
                <c:pt idx="1426">
                  <c:v>3.5811393016165857E-2</c:v>
                </c:pt>
                <c:pt idx="1427">
                  <c:v>3.5804839079176198E-2</c:v>
                </c:pt>
                <c:pt idx="1428">
                  <c:v>3.5798256458613835E-2</c:v>
                </c:pt>
                <c:pt idx="1429">
                  <c:v>3.5791647004063037E-2</c:v>
                </c:pt>
                <c:pt idx="1430">
                  <c:v>3.5785012565081278E-2</c:v>
                </c:pt>
                <c:pt idx="1431">
                  <c:v>3.5778354991204873E-2</c:v>
                </c:pt>
                <c:pt idx="1432">
                  <c:v>3.5774238418413179E-2</c:v>
                </c:pt>
                <c:pt idx="1433">
                  <c:v>3.576113831175852E-2</c:v>
                </c:pt>
                <c:pt idx="1434">
                  <c:v>3.5758261955194923E-2</c:v>
                </c:pt>
                <c:pt idx="1435">
                  <c:v>3.5752808224614761E-2</c:v>
                </c:pt>
                <c:pt idx="1436">
                  <c:v>3.5744784830435174E-2</c:v>
                </c:pt>
                <c:pt idx="1437">
                  <c:v>3.5738027286068501E-2</c:v>
                </c:pt>
                <c:pt idx="1438">
                  <c:v>3.5731259552870431E-2</c:v>
                </c:pt>
                <c:pt idx="1439">
                  <c:v>3.5724483480179807E-2</c:v>
                </c:pt>
                <c:pt idx="1440">
                  <c:v>3.5718976494351892E-2</c:v>
                </c:pt>
                <c:pt idx="1441">
                  <c:v>3.5710913713546635E-2</c:v>
                </c:pt>
                <c:pt idx="1442">
                  <c:v>3.5699022832320661E-2</c:v>
                </c:pt>
                <c:pt idx="1443">
                  <c:v>3.5692231483092703E-2</c:v>
                </c:pt>
                <c:pt idx="1444">
                  <c:v>3.5685440695537002E-2</c:v>
                </c:pt>
                <c:pt idx="1445">
                  <c:v>3.5678652358969221E-2</c:v>
                </c:pt>
                <c:pt idx="1446">
                  <c:v>3.5673144278355023E-2</c:v>
                </c:pt>
                <c:pt idx="1447">
                  <c:v>3.5666366897135274E-2</c:v>
                </c:pt>
                <c:pt idx="1448">
                  <c:v>3.5659597681590688E-2</c:v>
                </c:pt>
                <c:pt idx="1449">
                  <c:v>3.5652838510736459E-2</c:v>
                </c:pt>
                <c:pt idx="1450">
                  <c:v>3.5646091263565813E-2</c:v>
                </c:pt>
                <c:pt idx="1451">
                  <c:v>3.5638079608819595E-2</c:v>
                </c:pt>
                <c:pt idx="1452">
                  <c:v>3.5629765967790807E-2</c:v>
                </c:pt>
                <c:pt idx="1453">
                  <c:v>3.5624659389697534E-2</c:v>
                </c:pt>
                <c:pt idx="1454">
                  <c:v>3.5617973995117062E-2</c:v>
                </c:pt>
                <c:pt idx="1455">
                  <c:v>3.5612585379492849E-2</c:v>
                </c:pt>
                <c:pt idx="1456">
                  <c:v>3.5605933479504658E-2</c:v>
                </c:pt>
                <c:pt idx="1457">
                  <c:v>3.5599298065614224E-2</c:v>
                </c:pt>
                <c:pt idx="1458">
                  <c:v>3.5592679137659927E-2</c:v>
                </c:pt>
                <c:pt idx="1459">
                  <c:v>3.5586076695478371E-2</c:v>
                </c:pt>
                <c:pt idx="1460">
                  <c:v>3.5578207800618877E-2</c:v>
                </c:pt>
                <c:pt idx="1461">
                  <c:v>3.5571637795523775E-2</c:v>
                </c:pt>
                <c:pt idx="1462">
                  <c:v>3.5565084273995892E-2</c:v>
                </c:pt>
                <c:pt idx="1463">
                  <c:v>3.5558547235875357E-2</c:v>
                </c:pt>
                <c:pt idx="1464">
                  <c:v>3.5552026681004059E-2</c:v>
                </c:pt>
                <c:pt idx="1465">
                  <c:v>3.5545522609220365E-2</c:v>
                </c:pt>
                <c:pt idx="1466">
                  <c:v>3.5539035020367933E-2</c:v>
                </c:pt>
                <c:pt idx="1467">
                  <c:v>3.5532563914286448E-2</c:v>
                </c:pt>
                <c:pt idx="1468">
                  <c:v>3.5532546950444915E-2</c:v>
                </c:pt>
                <c:pt idx="1469">
                  <c:v>3.5524823195684382E-2</c:v>
                </c:pt>
                <c:pt idx="1470">
                  <c:v>3.5518403735784514E-2</c:v>
                </c:pt>
                <c:pt idx="1471">
                  <c:v>3.5507059692778772E-2</c:v>
                </c:pt>
                <c:pt idx="1472">
                  <c:v>3.5501745079282186E-2</c:v>
                </c:pt>
                <c:pt idx="1473">
                  <c:v>3.5500534854488071E-2</c:v>
                </c:pt>
                <c:pt idx="1474">
                  <c:v>3.5492890784526714E-2</c:v>
                </c:pt>
                <c:pt idx="1475">
                  <c:v>3.5486553768003512E-2</c:v>
                </c:pt>
                <c:pt idx="1476">
                  <c:v>3.548023323967836E-2</c:v>
                </c:pt>
                <c:pt idx="1477">
                  <c:v>3.5473929199395703E-2</c:v>
                </c:pt>
                <c:pt idx="1478">
                  <c:v>3.5468935014209856E-2</c:v>
                </c:pt>
                <c:pt idx="1479">
                  <c:v>3.5461370582327047E-2</c:v>
                </c:pt>
                <c:pt idx="1480">
                  <c:v>3.5455116005227348E-2</c:v>
                </c:pt>
                <c:pt idx="1481">
                  <c:v>3.5448877915543617E-2</c:v>
                </c:pt>
                <c:pt idx="1482">
                  <c:v>3.544265631311902E-2</c:v>
                </c:pt>
                <c:pt idx="1483">
                  <c:v>3.5436451197799285E-2</c:v>
                </c:pt>
                <c:pt idx="1484">
                  <c:v>3.5430262569428446E-2</c:v>
                </c:pt>
                <c:pt idx="1485">
                  <c:v>3.5424090427853959E-2</c:v>
                </c:pt>
                <c:pt idx="1486">
                  <c:v>3.5417934772920288E-2</c:v>
                </c:pt>
                <c:pt idx="1487">
                  <c:v>3.5411795604474029E-2</c:v>
                </c:pt>
                <c:pt idx="1488">
                  <c:v>3.5406972021705604E-2</c:v>
                </c:pt>
                <c:pt idx="1489">
                  <c:v>3.5399566726434101E-2</c:v>
                </c:pt>
                <c:pt idx="1490">
                  <c:v>3.5393477016534509E-2</c:v>
                </c:pt>
                <c:pt idx="1491">
                  <c:v>3.5387403792512234E-2</c:v>
                </c:pt>
                <c:pt idx="1492">
                  <c:v>3.5382648494000933E-2</c:v>
                </c:pt>
                <c:pt idx="1493">
                  <c:v>3.537530680149685E-2</c:v>
                </c:pt>
                <c:pt idx="1494">
                  <c:v>3.5365376023866794E-2</c:v>
                </c:pt>
                <c:pt idx="1495">
                  <c:v>3.5359366964748368E-2</c:v>
                </c:pt>
                <c:pt idx="1496">
                  <c:v>3.535337438567672E-2</c:v>
                </c:pt>
                <c:pt idx="1497">
                  <c:v>3.5347398286506029E-2</c:v>
                </c:pt>
                <c:pt idx="1498">
                  <c:v>3.5345352816265191E-2</c:v>
                </c:pt>
                <c:pt idx="1499">
                  <c:v>3.5339411473846491E-2</c:v>
                </c:pt>
                <c:pt idx="1500">
                  <c:v>3.5334792817923122E-2</c:v>
                </c:pt>
                <c:pt idx="1501">
                  <c:v>3.5327578242448927E-2</c:v>
                </c:pt>
                <c:pt idx="1502">
                  <c:v>3.5321686353175383E-2</c:v>
                </c:pt>
                <c:pt idx="1503">
                  <c:v>3.5311887761211691E-2</c:v>
                </c:pt>
                <c:pt idx="1504">
                  <c:v>3.5306027017262202E-2</c:v>
                </c:pt>
                <c:pt idx="1505">
                  <c:v>3.5300182752051087E-2</c:v>
                </c:pt>
                <c:pt idx="1506">
                  <c:v>3.5294354965436044E-2</c:v>
                </c:pt>
                <c:pt idx="1507">
                  <c:v>3.5288543657272568E-2</c:v>
                </c:pt>
                <c:pt idx="1508">
                  <c:v>3.5286681178247584E-2</c:v>
                </c:pt>
                <c:pt idx="1509">
                  <c:v>3.5280904674520774E-2</c:v>
                </c:pt>
                <c:pt idx="1510">
                  <c:v>3.5275144653863146E-2</c:v>
                </c:pt>
                <c:pt idx="1511">
                  <c:v>3.5263005938040076E-2</c:v>
                </c:pt>
                <c:pt idx="1512">
                  <c:v>3.5257284081855612E-2</c:v>
                </c:pt>
                <c:pt idx="1513">
                  <c:v>3.5251578703214E-2</c:v>
                </c:pt>
                <c:pt idx="1514">
                  <c:v>3.5245078446883432E-2</c:v>
                </c:pt>
                <c:pt idx="1515">
                  <c:v>3.5240217377998873E-2</c:v>
                </c:pt>
                <c:pt idx="1516">
                  <c:v>3.5234561431146907E-2</c:v>
                </c:pt>
                <c:pt idx="1517">
                  <c:v>3.5228921961280871E-2</c:v>
                </c:pt>
                <c:pt idx="1518">
                  <c:v>3.5222497028584668E-2</c:v>
                </c:pt>
                <c:pt idx="1519">
                  <c:v>3.5219010229052973E-2</c:v>
                </c:pt>
                <c:pt idx="1520">
                  <c:v>3.5214739382934526E-2</c:v>
                </c:pt>
                <c:pt idx="1521">
                  <c:v>3.5209167093101928E-2</c:v>
                </c:pt>
                <c:pt idx="1522">
                  <c:v>3.5203611282910025E-2</c:v>
                </c:pt>
                <c:pt idx="1523">
                  <c:v>3.5198071952222403E-2</c:v>
                </c:pt>
                <c:pt idx="1524">
                  <c:v>3.5191227984901402E-2</c:v>
                </c:pt>
                <c:pt idx="1525">
                  <c:v>3.5185720969295467E-2</c:v>
                </c:pt>
                <c:pt idx="1526">
                  <c:v>3.5178664732364757E-2</c:v>
                </c:pt>
                <c:pt idx="1527">
                  <c:v>3.5174756370218482E-2</c:v>
                </c:pt>
                <c:pt idx="1528">
                  <c:v>3.5169298786477489E-2</c:v>
                </c:pt>
                <c:pt idx="1529">
                  <c:v>3.5164406167118821E-2</c:v>
                </c:pt>
                <c:pt idx="1530">
                  <c:v>3.5159758052017751E-2</c:v>
                </c:pt>
                <c:pt idx="1531">
                  <c:v>3.5154350552446152E-2</c:v>
                </c:pt>
                <c:pt idx="1532">
                  <c:v>3.5149517283836397E-2</c:v>
                </c:pt>
                <c:pt idx="1533">
                  <c:v>3.514225802036685E-2</c:v>
                </c:pt>
                <c:pt idx="1534">
                  <c:v>3.5136899296730223E-2</c:v>
                </c:pt>
                <c:pt idx="1535">
                  <c:v>3.5131557049312451E-2</c:v>
                </c:pt>
                <c:pt idx="1536">
                  <c:v>3.5126231277982055E-2</c:v>
                </c:pt>
                <c:pt idx="1537">
                  <c:v>3.512225159426817E-2</c:v>
                </c:pt>
                <c:pt idx="1538">
                  <c:v>3.5116959439874758E-2</c:v>
                </c:pt>
                <c:pt idx="1539">
                  <c:v>3.5111683762835182E-2</c:v>
                </c:pt>
                <c:pt idx="1540">
                  <c:v>3.5106424563019538E-2</c:v>
                </c:pt>
                <c:pt idx="1541">
                  <c:v>3.5101181840296196E-2</c:v>
                </c:pt>
                <c:pt idx="1542">
                  <c:v>3.5095955594535252E-2</c:v>
                </c:pt>
                <c:pt idx="1543">
                  <c:v>3.5090745825608123E-2</c:v>
                </c:pt>
                <c:pt idx="1544">
                  <c:v>3.5085552533384905E-2</c:v>
                </c:pt>
                <c:pt idx="1545">
                  <c:v>3.5079637517662902E-2</c:v>
                </c:pt>
                <c:pt idx="1546">
                  <c:v>3.5070472722210845E-2</c:v>
                </c:pt>
                <c:pt idx="1547">
                  <c:v>3.5067398991628682E-2</c:v>
                </c:pt>
                <c:pt idx="1548">
                  <c:v>3.5062270241677351E-2</c:v>
                </c:pt>
                <c:pt idx="1549">
                  <c:v>3.5057157964483256E-2</c:v>
                </c:pt>
                <c:pt idx="1550">
                  <c:v>3.5052062159922077E-2</c:v>
                </c:pt>
                <c:pt idx="1551">
                  <c:v>3.5048321750111619E-2</c:v>
                </c:pt>
                <c:pt idx="1552">
                  <c:v>3.5041198047206255E-2</c:v>
                </c:pt>
                <c:pt idx="1553">
                  <c:v>3.5036873580783938E-2</c:v>
                </c:pt>
                <c:pt idx="1554">
                  <c:v>3.5031843665505803E-2</c:v>
                </c:pt>
                <c:pt idx="1555">
                  <c:v>3.5028171906955854E-2</c:v>
                </c:pt>
                <c:pt idx="1556">
                  <c:v>3.5021833250861341E-2</c:v>
                </c:pt>
                <c:pt idx="1557">
                  <c:v>3.5016852751248176E-2</c:v>
                </c:pt>
                <c:pt idx="1558">
                  <c:v>3.5013232497160054E-2</c:v>
                </c:pt>
                <c:pt idx="1559">
                  <c:v>3.5006941166832103E-2</c:v>
                </c:pt>
                <c:pt idx="1560">
                  <c:v>3.5002010081785002E-2</c:v>
                </c:pt>
                <c:pt idx="1561">
                  <c:v>3.4997095468017624E-2</c:v>
                </c:pt>
                <c:pt idx="1562">
                  <c:v>3.4992197325408314E-2</c:v>
                </c:pt>
                <c:pt idx="1563">
                  <c:v>3.4984576579681056E-2</c:v>
                </c:pt>
                <c:pt idx="1564">
                  <c:v>3.4979715376801702E-2</c:v>
                </c:pt>
                <c:pt idx="1565">
                  <c:v>3.497487064304499E-2</c:v>
                </c:pt>
                <c:pt idx="1566">
                  <c:v>3.4970042378293889E-2</c:v>
                </c:pt>
                <c:pt idx="1567">
                  <c:v>3.4965230582429146E-2</c:v>
                </c:pt>
                <c:pt idx="1568">
                  <c:v>3.4960435255334626E-2</c:v>
                </c:pt>
                <c:pt idx="1569">
                  <c:v>3.495565639689284E-2</c:v>
                </c:pt>
                <c:pt idx="1570">
                  <c:v>3.4950894006986762E-2</c:v>
                </c:pt>
                <c:pt idx="1571">
                  <c:v>3.4946148085501123E-2</c:v>
                </c:pt>
                <c:pt idx="1572">
                  <c:v>3.4945480408127526E-2</c:v>
                </c:pt>
                <c:pt idx="1573">
                  <c:v>3.4940769592528613E-2</c:v>
                </c:pt>
                <c:pt idx="1574">
                  <c:v>3.4936075249913552E-2</c:v>
                </c:pt>
                <c:pt idx="1575">
                  <c:v>3.4931397380165471E-2</c:v>
                </c:pt>
                <c:pt idx="1576">
                  <c:v>3.4925378998357258E-2</c:v>
                </c:pt>
                <c:pt idx="1577">
                  <c:v>3.4920071023806433E-2</c:v>
                </c:pt>
                <c:pt idx="1578">
                  <c:v>3.4915444193440601E-2</c:v>
                </c:pt>
                <c:pt idx="1579">
                  <c:v>3.4910833833830451E-2</c:v>
                </c:pt>
                <c:pt idx="1580">
                  <c:v>3.490623994486243E-2</c:v>
                </c:pt>
                <c:pt idx="1581">
                  <c:v>3.4905745268552515E-2</c:v>
                </c:pt>
                <c:pt idx="1582">
                  <c:v>3.4901186535894052E-2</c:v>
                </c:pt>
                <c:pt idx="1583">
                  <c:v>3.4896644278432712E-2</c:v>
                </c:pt>
                <c:pt idx="1584">
                  <c:v>3.489211849605417E-2</c:v>
                </c:pt>
                <c:pt idx="1585">
                  <c:v>3.4883517555699628E-2</c:v>
                </c:pt>
                <c:pt idx="1586">
                  <c:v>3.4879022488218114E-2</c:v>
                </c:pt>
                <c:pt idx="1587">
                  <c:v>3.4874543890593329E-2</c:v>
                </c:pt>
                <c:pt idx="1588">
                  <c:v>3.487554655179264E-2</c:v>
                </c:pt>
                <c:pt idx="1589">
                  <c:v>3.4869736706453137E-2</c:v>
                </c:pt>
                <c:pt idx="1590">
                  <c:v>3.4865309772205567E-2</c:v>
                </c:pt>
                <c:pt idx="1591">
                  <c:v>3.4862268004555046E-2</c:v>
                </c:pt>
                <c:pt idx="1592">
                  <c:v>3.4856505326491573E-2</c:v>
                </c:pt>
                <c:pt idx="1593">
                  <c:v>3.4848018165687139E-2</c:v>
                </c:pt>
                <c:pt idx="1594">
                  <c:v>3.4847766777084906E-2</c:v>
                </c:pt>
                <c:pt idx="1595">
                  <c:v>3.4844793935777003E-2</c:v>
                </c:pt>
                <c:pt idx="1596">
                  <c:v>3.4839094123109288E-2</c:v>
                </c:pt>
                <c:pt idx="1597">
                  <c:v>3.4830663732386878E-2</c:v>
                </c:pt>
                <c:pt idx="1598">
                  <c:v>3.4823619724853649E-2</c:v>
                </c:pt>
                <c:pt idx="1599">
                  <c:v>3.4819337225761957E-2</c:v>
                </c:pt>
                <c:pt idx="1600">
                  <c:v>3.4815071191880445E-2</c:v>
                </c:pt>
                <c:pt idx="1601">
                  <c:v>3.48108216231049E-2</c:v>
                </c:pt>
                <c:pt idx="1602">
                  <c:v>3.4807964796031099E-2</c:v>
                </c:pt>
                <c:pt idx="1603">
                  <c:v>3.4803748929168016E-2</c:v>
                </c:pt>
                <c:pt idx="1604">
                  <c:v>3.4799549528719977E-2</c:v>
                </c:pt>
                <c:pt idx="1605">
                  <c:v>3.4795366594584647E-2</c:v>
                </c:pt>
                <c:pt idx="1606">
                  <c:v>3.4791200126658373E-2</c:v>
                </c:pt>
                <c:pt idx="1607">
                  <c:v>3.4785669971898941E-2</c:v>
                </c:pt>
                <c:pt idx="1608">
                  <c:v>3.4781535655984352E-2</c:v>
                </c:pt>
                <c:pt idx="1609">
                  <c:v>3.4777417804357821E-2</c:v>
                </c:pt>
                <c:pt idx="1610">
                  <c:v>3.4772731848436184E-2</c:v>
                </c:pt>
                <c:pt idx="1611">
                  <c:v>3.4770614776606118E-2</c:v>
                </c:pt>
                <c:pt idx="1612">
                  <c:v>3.4766547103805334E-2</c:v>
                </c:pt>
                <c:pt idx="1613">
                  <c:v>3.4762495896506033E-2</c:v>
                </c:pt>
                <c:pt idx="1614">
                  <c:v>3.4758461154609843E-2</c:v>
                </c:pt>
                <c:pt idx="1615">
                  <c:v>3.4753056439041634E-2</c:v>
                </c:pt>
                <c:pt idx="1616">
                  <c:v>3.4749053834638575E-2</c:v>
                </c:pt>
                <c:pt idx="1617">
                  <c:v>3.474506769373039E-2</c:v>
                </c:pt>
                <c:pt idx="1618">
                  <c:v>3.474109801622037E-2</c:v>
                </c:pt>
                <c:pt idx="1619">
                  <c:v>3.4737144802011788E-2</c:v>
                </c:pt>
                <c:pt idx="1620">
                  <c:v>3.4733208051007929E-2</c:v>
                </c:pt>
                <c:pt idx="1621">
                  <c:v>3.4729287763112515E-2</c:v>
                </c:pt>
                <c:pt idx="1622">
                  <c:v>3.4725383938230152E-2</c:v>
                </c:pt>
                <c:pt idx="1623">
                  <c:v>3.4721496576265894E-2</c:v>
                </c:pt>
                <c:pt idx="1624">
                  <c:v>3.4725989979382879E-2</c:v>
                </c:pt>
                <c:pt idx="1625">
                  <c:v>3.4720745115710404E-2</c:v>
                </c:pt>
                <c:pt idx="1626">
                  <c:v>3.4716911189453935E-2</c:v>
                </c:pt>
                <c:pt idx="1627">
                  <c:v>3.4713093733774195E-2</c:v>
                </c:pt>
                <c:pt idx="1628">
                  <c:v>3.4705100621723425E-2</c:v>
                </c:pt>
                <c:pt idx="1629">
                  <c:v>3.4701313663351184E-2</c:v>
                </c:pt>
                <c:pt idx="1630">
                  <c:v>3.4697543170452295E-2</c:v>
                </c:pt>
                <c:pt idx="1631">
                  <c:v>3.469378914293373E-2</c:v>
                </c:pt>
                <c:pt idx="1632">
                  <c:v>3.4690051580703304E-2</c:v>
                </c:pt>
                <c:pt idx="1633">
                  <c:v>3.469053487647631E-2</c:v>
                </c:pt>
                <c:pt idx="1634">
                  <c:v>3.4686832712177318E-2</c:v>
                </c:pt>
                <c:pt idx="1635">
                  <c:v>3.4683147017700387E-2</c:v>
                </c:pt>
                <c:pt idx="1636">
                  <c:v>3.467947779295398E-2</c:v>
                </c:pt>
                <c:pt idx="1637">
                  <c:v>3.4671610745655911E-2</c:v>
                </c:pt>
                <c:pt idx="1638">
                  <c:v>3.4667971973229801E-2</c:v>
                </c:pt>
                <c:pt idx="1639">
                  <c:v>3.4664349665455854E-2</c:v>
                </c:pt>
                <c:pt idx="1640">
                  <c:v>3.4667780949438731E-2</c:v>
                </c:pt>
                <c:pt idx="1641">
                  <c:v>3.4662787141244593E-2</c:v>
                </c:pt>
                <c:pt idx="1642">
                  <c:v>3.4657808303686935E-2</c:v>
                </c:pt>
                <c:pt idx="1643">
                  <c:v>3.4655664466875138E-2</c:v>
                </c:pt>
                <c:pt idx="1644">
                  <c:v>3.4650716894317111E-2</c:v>
                </c:pt>
                <c:pt idx="1645">
                  <c:v>3.4647195893052367E-2</c:v>
                </c:pt>
                <c:pt idx="1646">
                  <c:v>3.4643691360616499E-2</c:v>
                </c:pt>
                <c:pt idx="1647">
                  <c:v>3.464020329692185E-2</c:v>
                </c:pt>
                <c:pt idx="1648">
                  <c:v>3.4638146014989428E-2</c:v>
                </c:pt>
                <c:pt idx="1649">
                  <c:v>3.4633276575405485E-2</c:v>
                </c:pt>
                <c:pt idx="1650">
                  <c:v>3.4622760449105651E-2</c:v>
                </c:pt>
                <c:pt idx="1651">
                  <c:v>3.4619334011798952E-2</c:v>
                </c:pt>
                <c:pt idx="1652">
                  <c:v>3.4615924034822804E-2</c:v>
                </c:pt>
                <c:pt idx="1653">
                  <c:v>3.46125305180933E-2</c:v>
                </c:pt>
                <c:pt idx="1654">
                  <c:v>3.4610572018176536E-2</c:v>
                </c:pt>
                <c:pt idx="1655">
                  <c:v>3.4607212277219884E-2</c:v>
                </c:pt>
                <c:pt idx="1656">
                  <c:v>3.4603868997855759E-2</c:v>
                </c:pt>
                <c:pt idx="1657">
                  <c:v>3.4600542180003795E-2</c:v>
                </c:pt>
                <c:pt idx="1658">
                  <c:v>3.4597231823581404E-2</c:v>
                </c:pt>
                <c:pt idx="1659">
                  <c:v>3.4592515078301536E-2</c:v>
                </c:pt>
                <c:pt idx="1660">
                  <c:v>3.4588769796463949E-2</c:v>
                </c:pt>
                <c:pt idx="1661">
                  <c:v>3.4585974943308409E-2</c:v>
                </c:pt>
                <c:pt idx="1662">
                  <c:v>3.4582267283301327E-2</c:v>
                </c:pt>
                <c:pt idx="1663">
                  <c:v>3.4580926960092156E-2</c:v>
                </c:pt>
                <c:pt idx="1664">
                  <c:v>3.4577715370558502E-2</c:v>
                </c:pt>
                <c:pt idx="1665">
                  <c:v>3.4574520241894877E-2</c:v>
                </c:pt>
                <c:pt idx="1666">
                  <c:v>3.4571341574023098E-2</c:v>
                </c:pt>
                <c:pt idx="1667">
                  <c:v>3.4565930725410421E-2</c:v>
                </c:pt>
                <c:pt idx="1668">
                  <c:v>3.4563154767534174E-2</c:v>
                </c:pt>
                <c:pt idx="1669">
                  <c:v>3.4560026955048694E-2</c:v>
                </c:pt>
                <c:pt idx="1670">
                  <c:v>3.4556915601446095E-2</c:v>
                </c:pt>
                <c:pt idx="1671">
                  <c:v>3.4553820706651729E-2</c:v>
                </c:pt>
                <c:pt idx="1672">
                  <c:v>3.4550742270589199E-2</c:v>
                </c:pt>
                <c:pt idx="1673">
                  <c:v>3.454768029318387E-2</c:v>
                </c:pt>
                <c:pt idx="1674">
                  <c:v>3.4544634774360219E-2</c:v>
                </c:pt>
                <c:pt idx="1675">
                  <c:v>3.4541605714045381E-2</c:v>
                </c:pt>
                <c:pt idx="1676">
                  <c:v>3.4545784243831826E-2</c:v>
                </c:pt>
                <c:pt idx="1677">
                  <c:v>3.4541353084428156E-2</c:v>
                </c:pt>
                <c:pt idx="1678">
                  <c:v>3.4538376969590341E-2</c:v>
                </c:pt>
                <c:pt idx="1679">
                  <c:v>3.4535417319304623E-2</c:v>
                </c:pt>
                <c:pt idx="1680">
                  <c:v>3.4532474133497124E-2</c:v>
                </c:pt>
                <c:pt idx="1681">
                  <c:v>3.4524995791595632E-2</c:v>
                </c:pt>
                <c:pt idx="1682">
                  <c:v>3.4526637155025103E-2</c:v>
                </c:pt>
                <c:pt idx="1683">
                  <c:v>3.4523743362214102E-2</c:v>
                </c:pt>
                <c:pt idx="1684">
                  <c:v>3.4520866033590523E-2</c:v>
                </c:pt>
                <c:pt idx="1685">
                  <c:v>3.4518005156165835E-2</c:v>
                </c:pt>
                <c:pt idx="1686">
                  <c:v>3.4515160290230364E-2</c:v>
                </c:pt>
                <c:pt idx="1687">
                  <c:v>3.4512330481808177E-2</c:v>
                </c:pt>
                <c:pt idx="1688">
                  <c:v>3.4509514746315195E-2</c:v>
                </c:pt>
                <c:pt idx="1689">
                  <c:v>3.4506712099170778E-2</c:v>
                </c:pt>
                <c:pt idx="1690">
                  <c:v>3.4503921555802071E-2</c:v>
                </c:pt>
                <c:pt idx="1691">
                  <c:v>3.4501142131640544E-2</c:v>
                </c:pt>
                <c:pt idx="1692">
                  <c:v>3.4501271818338015E-2</c:v>
                </c:pt>
                <c:pt idx="1693">
                  <c:v>3.4497062118540561E-2</c:v>
                </c:pt>
                <c:pt idx="1694">
                  <c:v>3.4492860728807001E-2</c:v>
                </c:pt>
                <c:pt idx="1695">
                  <c:v>3.4491564996048732E-2</c:v>
                </c:pt>
                <c:pt idx="1696">
                  <c:v>3.4487377339463984E-2</c:v>
                </c:pt>
                <c:pt idx="1697">
                  <c:v>3.4486092323017851E-2</c:v>
                </c:pt>
                <c:pt idx="1698">
                  <c:v>3.4481914797800876E-2</c:v>
                </c:pt>
                <c:pt idx="1699">
                  <c:v>3.4479188883529487E-2</c:v>
                </c:pt>
                <c:pt idx="1700">
                  <c:v>3.4477912017938941E-2</c:v>
                </c:pt>
                <c:pt idx="1701">
                  <c:v>3.4473742845519739E-2</c:v>
                </c:pt>
                <c:pt idx="1702">
                  <c:v>3.446668448838093E-2</c:v>
                </c:pt>
                <c:pt idx="1703">
                  <c:v>3.4463963935931673E-2</c:v>
                </c:pt>
                <c:pt idx="1704">
                  <c:v>3.4461241834013737E-2</c:v>
                </c:pt>
                <c:pt idx="1705">
                  <c:v>3.445851718219177E-2</c:v>
                </c:pt>
                <c:pt idx="1706">
                  <c:v>3.4454346783705916E-2</c:v>
                </c:pt>
                <c:pt idx="1707">
                  <c:v>3.4457380171532964E-2</c:v>
                </c:pt>
                <c:pt idx="1708">
                  <c:v>3.4454639140402456E-2</c:v>
                </c:pt>
                <c:pt idx="1709">
                  <c:v>3.4451891507203444E-2</c:v>
                </c:pt>
                <c:pt idx="1710">
                  <c:v>3.444913628747151E-2</c:v>
                </c:pt>
                <c:pt idx="1711">
                  <c:v>3.4442059699611088E-2</c:v>
                </c:pt>
                <c:pt idx="1712">
                  <c:v>3.4438099137968491E-2</c:v>
                </c:pt>
                <c:pt idx="1713">
                  <c:v>3.4436509454596739E-2</c:v>
                </c:pt>
                <c:pt idx="1714">
                  <c:v>3.4433720002995605E-2</c:v>
                </c:pt>
                <c:pt idx="1715">
                  <c:v>3.4435222436166237E-2</c:v>
                </c:pt>
                <c:pt idx="1716">
                  <c:v>3.4432411032715868E-2</c:v>
                </c:pt>
                <c:pt idx="1717">
                  <c:v>3.4429590074025011E-2</c:v>
                </c:pt>
                <c:pt idx="1718">
                  <c:v>3.4426759560133413E-2</c:v>
                </c:pt>
                <c:pt idx="1719">
                  <c:v>3.4419629455637687E-2</c:v>
                </c:pt>
                <c:pt idx="1720">
                  <c:v>3.4416782688577362E-2</c:v>
                </c:pt>
                <c:pt idx="1721">
                  <c:v>3.4413926369081277E-2</c:v>
                </c:pt>
                <c:pt idx="1722">
                  <c:v>3.4411060497190268E-2</c:v>
                </c:pt>
                <c:pt idx="1723">
                  <c:v>3.4408185072945185E-2</c:v>
                </c:pt>
                <c:pt idx="1724">
                  <c:v>3.4405300096387752E-2</c:v>
                </c:pt>
                <c:pt idx="1725">
                  <c:v>3.4402405567558386E-2</c:v>
                </c:pt>
                <c:pt idx="1726">
                  <c:v>3.4399501486498361E-2</c:v>
                </c:pt>
                <c:pt idx="1727">
                  <c:v>3.4396587853248964E-2</c:v>
                </c:pt>
                <c:pt idx="1728">
                  <c:v>3.4399350299327544E-2</c:v>
                </c:pt>
                <c:pt idx="1729">
                  <c:v>3.4394993275968129E-2</c:v>
                </c:pt>
                <c:pt idx="1730">
                  <c:v>3.4392048102916094E-2</c:v>
                </c:pt>
                <c:pt idx="1731">
                  <c:v>3.4389093375208186E-2</c:v>
                </c:pt>
                <c:pt idx="1732">
                  <c:v>3.438159690647221E-2</c:v>
                </c:pt>
                <c:pt idx="1733">
                  <c:v>3.4384571849284042E-2</c:v>
                </c:pt>
                <c:pt idx="1734">
                  <c:v>3.4380171864574365E-2</c:v>
                </c:pt>
                <c:pt idx="1735">
                  <c:v>3.437717891867071E-2</c:v>
                </c:pt>
                <c:pt idx="1736">
                  <c:v>3.4374176418325929E-2</c:v>
                </c:pt>
                <c:pt idx="1737">
                  <c:v>3.4371164363583652E-2</c:v>
                </c:pt>
                <c:pt idx="1738">
                  <c:v>3.4369554514129277E-2</c:v>
                </c:pt>
                <c:pt idx="1739">
                  <c:v>3.4365111591081639E-2</c:v>
                </c:pt>
                <c:pt idx="1740">
                  <c:v>3.4362070873409173E-2</c:v>
                </c:pt>
                <c:pt idx="1741">
                  <c:v>3.4359020601514217E-2</c:v>
                </c:pt>
                <c:pt idx="1742">
                  <c:v>3.4355960775442132E-2</c:v>
                </c:pt>
                <c:pt idx="1743">
                  <c:v>3.4352891395235702E-2</c:v>
                </c:pt>
                <c:pt idx="1744">
                  <c:v>3.4349812460939856E-2</c:v>
                </c:pt>
                <c:pt idx="1745">
                  <c:v>3.4346723972599538E-2</c:v>
                </c:pt>
                <c:pt idx="1746">
                  <c:v>3.4343625930259247E-2</c:v>
                </c:pt>
                <c:pt idx="1747">
                  <c:v>3.4340518333963926E-2</c:v>
                </c:pt>
                <c:pt idx="1748">
                  <c:v>3.4338803210431847E-2</c:v>
                </c:pt>
                <c:pt idx="1749">
                  <c:v>3.433427447968794E-2</c:v>
                </c:pt>
                <c:pt idx="1750">
                  <c:v>3.4331138221797577E-2</c:v>
                </c:pt>
                <c:pt idx="1751">
                  <c:v>3.4327992410133228E-2</c:v>
                </c:pt>
                <c:pt idx="1752">
                  <c:v>3.4326235153753895E-2</c:v>
                </c:pt>
                <c:pt idx="1753">
                  <c:v>3.4321672125663602E-2</c:v>
                </c:pt>
                <c:pt idx="1754">
                  <c:v>3.4312913014470439E-2</c:v>
                </c:pt>
                <c:pt idx="1755">
                  <c:v>3.4309732919997601E-2</c:v>
                </c:pt>
                <c:pt idx="1756">
                  <c:v>3.4306543275465458E-2</c:v>
                </c:pt>
                <c:pt idx="1757">
                  <c:v>3.4303344080919493E-2</c:v>
                </c:pt>
                <c:pt idx="1758">
                  <c:v>3.4301527568652505E-2</c:v>
                </c:pt>
                <c:pt idx="1759">
                  <c:v>3.4298308288002094E-2</c:v>
                </c:pt>
                <c:pt idx="1760">
                  <c:v>3.429507945660424E-2</c:v>
                </c:pt>
                <c:pt idx="1761">
                  <c:v>3.4297398089256304E-2</c:v>
                </c:pt>
                <c:pt idx="1762">
                  <c:v>3.4288593141748466E-2</c:v>
                </c:pt>
                <c:pt idx="1763">
                  <c:v>3.4283948365900888E-2</c:v>
                </c:pt>
                <c:pt idx="1764">
                  <c:v>3.428068232253452E-2</c:v>
                </c:pt>
                <c:pt idx="1765">
                  <c:v>3.4277406729520898E-2</c:v>
                </c:pt>
                <c:pt idx="1766">
                  <c:v>3.4274121586906382E-2</c:v>
                </c:pt>
                <c:pt idx="1767">
                  <c:v>3.4272210219757578E-2</c:v>
                </c:pt>
                <c:pt idx="1768">
                  <c:v>3.4268904984043003E-2</c:v>
                </c:pt>
                <c:pt idx="1769">
                  <c:v>3.4265590198000427E-2</c:v>
                </c:pt>
                <c:pt idx="1770">
                  <c:v>3.4262265861675092E-2</c:v>
                </c:pt>
                <c:pt idx="1771">
                  <c:v>3.4253363468798093E-2</c:v>
                </c:pt>
                <c:pt idx="1772">
                  <c:v>3.4254152713391786E-2</c:v>
                </c:pt>
                <c:pt idx="1773">
                  <c:v>3.4250795633603559E-2</c:v>
                </c:pt>
                <c:pt idx="1774">
                  <c:v>3.4245571499867566E-2</c:v>
                </c:pt>
                <c:pt idx="1775">
                  <c:v>3.4244052823861795E-2</c:v>
                </c:pt>
                <c:pt idx="1776">
                  <c:v>3.4240667094004001E-2</c:v>
                </c:pt>
                <c:pt idx="1777">
                  <c:v>3.4237271814220087E-2</c:v>
                </c:pt>
                <c:pt idx="1778">
                  <c:v>3.4232008031183904E-2</c:v>
                </c:pt>
                <c:pt idx="1779">
                  <c:v>3.4231823504306473E-2</c:v>
                </c:pt>
                <c:pt idx="1780">
                  <c:v>3.4229768454444399E-2</c:v>
                </c:pt>
                <c:pt idx="1781">
                  <c:v>3.422633296363517E-2</c:v>
                </c:pt>
                <c:pt idx="1782">
                  <c:v>3.4222887921413245E-2</c:v>
                </c:pt>
                <c:pt idx="1783">
                  <c:v>3.421943332782857E-2</c:v>
                </c:pt>
                <c:pt idx="1784">
                  <c:v>3.4214603327657918E-2</c:v>
                </c:pt>
                <c:pt idx="1785">
                  <c:v>3.4211130640931758E-2</c:v>
                </c:pt>
                <c:pt idx="1786">
                  <c:v>3.4207648403854707E-2</c:v>
                </c:pt>
                <c:pt idx="1787">
                  <c:v>3.4203157208812174E-2</c:v>
                </c:pt>
                <c:pt idx="1788">
                  <c:v>3.420065527885148E-2</c:v>
                </c:pt>
                <c:pt idx="1789">
                  <c:v>3.4198002710722007E-2</c:v>
                </c:pt>
                <c:pt idx="1790">
                  <c:v>3.4194983738776094E-2</c:v>
                </c:pt>
                <c:pt idx="1791">
                  <c:v>3.4191452736091935E-2</c:v>
                </c:pt>
                <c:pt idx="1792">
                  <c:v>3.4188763208170242E-2</c:v>
                </c:pt>
                <c:pt idx="1793">
                  <c:v>3.4183005338728277E-2</c:v>
                </c:pt>
                <c:pt idx="1794">
                  <c:v>3.4179446700659463E-2</c:v>
                </c:pt>
                <c:pt idx="1795">
                  <c:v>3.417587851269404E-2</c:v>
                </c:pt>
                <c:pt idx="1796">
                  <c:v>3.4172300774883979E-2</c:v>
                </c:pt>
                <c:pt idx="1797">
                  <c:v>3.417141880549291E-2</c:v>
                </c:pt>
                <c:pt idx="1798">
                  <c:v>3.4166468294684449E-2</c:v>
                </c:pt>
                <c:pt idx="1799">
                  <c:v>3.4162860886154729E-2</c:v>
                </c:pt>
                <c:pt idx="1800">
                  <c:v>3.4159243927126791E-2</c:v>
                </c:pt>
                <c:pt idx="1801">
                  <c:v>3.4155617417652336E-2</c:v>
                </c:pt>
                <c:pt idx="1802">
                  <c:v>3.4151981357783488E-2</c:v>
                </c:pt>
                <c:pt idx="1803">
                  <c:v>3.4148335747572818E-2</c:v>
                </c:pt>
                <c:pt idx="1804">
                  <c:v>3.4144680587073761E-2</c:v>
                </c:pt>
                <c:pt idx="1805">
                  <c:v>3.4140491566624118E-2</c:v>
                </c:pt>
                <c:pt idx="1806">
                  <c:v>3.4132785993800666E-2</c:v>
                </c:pt>
                <c:pt idx="1807">
                  <c:v>3.4130972949448564E-2</c:v>
                </c:pt>
                <c:pt idx="1808">
                  <c:v>3.4127281646591776E-2</c:v>
                </c:pt>
                <c:pt idx="1809">
                  <c:v>3.4123580795423401E-2</c:v>
                </c:pt>
                <c:pt idx="1810">
                  <c:v>3.4119870395996135E-2</c:v>
                </c:pt>
                <c:pt idx="1811">
                  <c:v>3.4117488761492946E-2</c:v>
                </c:pt>
                <c:pt idx="1812">
                  <c:v>3.4111887388024544E-2</c:v>
                </c:pt>
                <c:pt idx="1813">
                  <c:v>3.4108681908687634E-2</c:v>
                </c:pt>
                <c:pt idx="1814">
                  <c:v>3.4104933316752753E-2</c:v>
                </c:pt>
                <c:pt idx="1815">
                  <c:v>3.4102509354896525E-2</c:v>
                </c:pt>
                <c:pt idx="1816">
                  <c:v>3.4095535458806392E-2</c:v>
                </c:pt>
                <c:pt idx="1817">
                  <c:v>3.4093630253201251E-2</c:v>
                </c:pt>
                <c:pt idx="1818">
                  <c:v>3.4091174537421082E-2</c:v>
                </c:pt>
                <c:pt idx="1819">
                  <c:v>3.4086047138248136E-2</c:v>
                </c:pt>
                <c:pt idx="1820">
                  <c:v>3.4082241259157139E-2</c:v>
                </c:pt>
                <c:pt idx="1821">
                  <c:v>3.4078425832396231E-2</c:v>
                </c:pt>
                <c:pt idx="1822">
                  <c:v>3.4074600858019437E-2</c:v>
                </c:pt>
                <c:pt idx="1823">
                  <c:v>3.4068892033201841E-2</c:v>
                </c:pt>
                <c:pt idx="1824">
                  <c:v>3.4065047642520691E-2</c:v>
                </c:pt>
                <c:pt idx="1825">
                  <c:v>3.4061193705246184E-2</c:v>
                </c:pt>
                <c:pt idx="1826">
                  <c:v>3.4057330221433535E-2</c:v>
                </c:pt>
                <c:pt idx="1827">
                  <c:v>3.4053457191137497E-2</c:v>
                </c:pt>
                <c:pt idx="1828">
                  <c:v>3.4049574614411965E-2</c:v>
                </c:pt>
                <c:pt idx="1829">
                  <c:v>3.4045682491312568E-2</c:v>
                </c:pt>
                <c:pt idx="1830">
                  <c:v>3.4041780821894525E-2</c:v>
                </c:pt>
                <c:pt idx="1831">
                  <c:v>3.4039186975516014E-2</c:v>
                </c:pt>
                <c:pt idx="1832">
                  <c:v>3.4037897749796486E-2</c:v>
                </c:pt>
                <c:pt idx="1833">
                  <c:v>3.4033964290264916E-2</c:v>
                </c:pt>
                <c:pt idx="1834">
                  <c:v>3.4030021282091469E-2</c:v>
                </c:pt>
                <c:pt idx="1835">
                  <c:v>3.402606872533219E-2</c:v>
                </c:pt>
                <c:pt idx="1836">
                  <c:v>3.4020794543911902E-2</c:v>
                </c:pt>
                <c:pt idx="1837">
                  <c:v>3.4015687733497793E-2</c:v>
                </c:pt>
                <c:pt idx="1838">
                  <c:v>3.4011704858349416E-2</c:v>
                </c:pt>
                <c:pt idx="1839">
                  <c:v>3.4007712435706439E-2</c:v>
                </c:pt>
                <c:pt idx="1840">
                  <c:v>3.4007633066184831E-2</c:v>
                </c:pt>
                <c:pt idx="1841">
                  <c:v>3.4003618375237833E-2</c:v>
                </c:pt>
                <c:pt idx="1842">
                  <c:v>3.3999594134431439E-2</c:v>
                </c:pt>
                <c:pt idx="1843">
                  <c:v>3.3995560343823665E-2</c:v>
                </c:pt>
                <c:pt idx="1844">
                  <c:v>3.398760711209195E-2</c:v>
                </c:pt>
                <c:pt idx="1845">
                  <c:v>3.3983557405690909E-2</c:v>
                </c:pt>
                <c:pt idx="1846">
                  <c:v>3.3979498152199757E-2</c:v>
                </c:pt>
                <c:pt idx="1847">
                  <c:v>3.3975429351676148E-2</c:v>
                </c:pt>
                <c:pt idx="1848">
                  <c:v>3.3975248145831256E-2</c:v>
                </c:pt>
                <c:pt idx="1849">
                  <c:v>3.39711570576555E-2</c:v>
                </c:pt>
                <c:pt idx="1850">
                  <c:v>3.3967056420092234E-2</c:v>
                </c:pt>
                <c:pt idx="1851">
                  <c:v>3.3964242042020178E-2</c:v>
                </c:pt>
                <c:pt idx="1852">
                  <c:v>3.395882649704423E-2</c:v>
                </c:pt>
                <c:pt idx="1853">
                  <c:v>3.3950816064115048E-2</c:v>
                </c:pt>
                <c:pt idx="1854">
                  <c:v>3.3950558377165159E-2</c:v>
                </c:pt>
                <c:pt idx="1855">
                  <c:v>3.3947701527616905E-2</c:v>
                </c:pt>
                <c:pt idx="1856">
                  <c:v>3.3942252060937636E-2</c:v>
                </c:pt>
                <c:pt idx="1857">
                  <c:v>3.3934216272519552E-2</c:v>
                </c:pt>
                <c:pt idx="1858">
                  <c:v>3.3927465621048376E-2</c:v>
                </c:pt>
                <c:pt idx="1859">
                  <c:v>3.3923284405938982E-2</c:v>
                </c:pt>
                <c:pt idx="1860">
                  <c:v>3.3919093646244361E-2</c:v>
                </c:pt>
                <c:pt idx="1861">
                  <c:v>3.3914893342024119E-2</c:v>
                </c:pt>
                <c:pt idx="1862">
                  <c:v>3.391196762794256E-2</c:v>
                </c:pt>
                <c:pt idx="1863">
                  <c:v>3.3907747158958591E-2</c:v>
                </c:pt>
                <c:pt idx="1864">
                  <c:v>3.3903517144789765E-2</c:v>
                </c:pt>
                <c:pt idx="1865">
                  <c:v>3.3899277585495803E-2</c:v>
                </c:pt>
                <c:pt idx="1866">
                  <c:v>3.3895028481137332E-2</c:v>
                </c:pt>
                <c:pt idx="1867">
                  <c:v>3.3889491085001847E-2</c:v>
                </c:pt>
                <c:pt idx="1868">
                  <c:v>3.3885223970773919E-2</c:v>
                </c:pt>
                <c:pt idx="1869">
                  <c:v>3.388094731250043E-2</c:v>
                </c:pt>
                <c:pt idx="1870">
                  <c:v>3.3877323365958979E-2</c:v>
                </c:pt>
                <c:pt idx="1871">
                  <c:v>3.3873639785497664E-2</c:v>
                </c:pt>
                <c:pt idx="1872">
                  <c:v>3.3869333412026213E-2</c:v>
                </c:pt>
                <c:pt idx="1873">
                  <c:v>3.3865017493917605E-2</c:v>
                </c:pt>
                <c:pt idx="1874">
                  <c:v>3.3858216052972206E-2</c:v>
                </c:pt>
                <c:pt idx="1875">
                  <c:v>3.385446703060923E-2</c:v>
                </c:pt>
                <c:pt idx="1876">
                  <c:v>3.385074347639995E-2</c:v>
                </c:pt>
                <c:pt idx="1877">
                  <c:v>3.3846390467949454E-2</c:v>
                </c:pt>
                <c:pt idx="1878">
                  <c:v>3.3842027916002805E-2</c:v>
                </c:pt>
                <c:pt idx="1879">
                  <c:v>3.3837655820622266E-2</c:v>
                </c:pt>
                <c:pt idx="1880">
                  <c:v>3.3833274181869669E-2</c:v>
                </c:pt>
                <c:pt idx="1881">
                  <c:v>3.3828882999805951E-2</c:v>
                </c:pt>
                <c:pt idx="1882">
                  <c:v>3.3824482274494277E-2</c:v>
                </c:pt>
                <c:pt idx="1883">
                  <c:v>3.3820072005997355E-2</c:v>
                </c:pt>
                <c:pt idx="1884">
                  <c:v>3.3823213432799516E-2</c:v>
                </c:pt>
                <c:pt idx="1885">
                  <c:v>3.3817518464432317E-2</c:v>
                </c:pt>
                <c:pt idx="1886">
                  <c:v>3.3813074089762307E-2</c:v>
                </c:pt>
                <c:pt idx="1887">
                  <c:v>3.3808620168006169E-2</c:v>
                </c:pt>
                <c:pt idx="1888">
                  <c:v>3.3800389270920606E-2</c:v>
                </c:pt>
                <c:pt idx="1889">
                  <c:v>3.3795919549321859E-2</c:v>
                </c:pt>
                <c:pt idx="1890">
                  <c:v>3.3791440283318944E-2</c:v>
                </c:pt>
                <c:pt idx="1891">
                  <c:v>3.3786951472976931E-2</c:v>
                </c:pt>
                <c:pt idx="1892">
                  <c:v>3.3782453118358736E-2</c:v>
                </c:pt>
                <c:pt idx="1893">
                  <c:v>3.3781696152296349E-2</c:v>
                </c:pt>
                <c:pt idx="1894">
                  <c:v>3.3777175402759048E-2</c:v>
                </c:pt>
                <c:pt idx="1895">
                  <c:v>3.3772645106657784E-2</c:v>
                </c:pt>
                <c:pt idx="1896">
                  <c:v>3.3768105264058726E-2</c:v>
                </c:pt>
                <c:pt idx="1897">
                  <c:v>3.3759818183395879E-2</c:v>
                </c:pt>
                <c:pt idx="1898">
                  <c:v>3.3755262564482517E-2</c:v>
                </c:pt>
                <c:pt idx="1899">
                  <c:v>3.375069740174725E-2</c:v>
                </c:pt>
                <c:pt idx="1900">
                  <c:v>3.3751092950746797E-2</c:v>
                </c:pt>
                <c:pt idx="1901">
                  <c:v>3.3745262855911805E-2</c:v>
                </c:pt>
                <c:pt idx="1902">
                  <c:v>3.3740665735717615E-2</c:v>
                </c:pt>
                <c:pt idx="1903">
                  <c:v>3.3737298262898743E-2</c:v>
                </c:pt>
                <c:pt idx="1904">
                  <c:v>3.3731442857299211E-2</c:v>
                </c:pt>
                <c:pt idx="1905">
                  <c:v>3.3723106008750017E-2</c:v>
                </c:pt>
                <c:pt idx="1906">
                  <c:v>3.3722181795287756E-2</c:v>
                </c:pt>
                <c:pt idx="1907">
                  <c:v>3.3718771691033662E-2</c:v>
                </c:pt>
                <c:pt idx="1908">
                  <c:v>3.3712882550222582E-2</c:v>
                </c:pt>
                <c:pt idx="1909">
                  <c:v>3.3708218609214136E-2</c:v>
                </c:pt>
                <c:pt idx="1910">
                  <c:v>3.3698619216140299E-2</c:v>
                </c:pt>
                <c:pt idx="1911">
                  <c:v>3.3693940648567379E-2</c:v>
                </c:pt>
                <c:pt idx="1912">
                  <c:v>3.3689252538853756E-2</c:v>
                </c:pt>
                <c:pt idx="1913">
                  <c:v>3.3684554887066627E-2</c:v>
                </c:pt>
                <c:pt idx="1914">
                  <c:v>3.3681074746885815E-2</c:v>
                </c:pt>
                <c:pt idx="1915">
                  <c:v>3.3676356891985192E-2</c:v>
                </c:pt>
                <c:pt idx="1916">
                  <c:v>3.3676528439689664E-2</c:v>
                </c:pt>
                <c:pt idx="1917">
                  <c:v>3.3666892554177735E-2</c:v>
                </c:pt>
                <c:pt idx="1918">
                  <c:v>3.3662146071405018E-2</c:v>
                </c:pt>
                <c:pt idx="1919">
                  <c:v>3.3656168596553307E-2</c:v>
                </c:pt>
                <c:pt idx="1920">
                  <c:v>3.3651404152131893E-2</c:v>
                </c:pt>
                <c:pt idx="1921">
                  <c:v>3.3646630166175015E-2</c:v>
                </c:pt>
                <c:pt idx="1922">
                  <c:v>3.3641162498799893E-2</c:v>
                </c:pt>
                <c:pt idx="1923">
                  <c:v>3.363827052158061E-2</c:v>
                </c:pt>
                <c:pt idx="1924">
                  <c:v>3.3633466784901353E-2</c:v>
                </c:pt>
                <c:pt idx="1925">
                  <c:v>3.3628653506145238E-2</c:v>
                </c:pt>
                <c:pt idx="1926">
                  <c:v>3.3623830685379538E-2</c:v>
                </c:pt>
                <c:pt idx="1927">
                  <c:v>3.3617785882024825E-2</c:v>
                </c:pt>
                <c:pt idx="1928">
                  <c:v>3.3612945107237217E-2</c:v>
                </c:pt>
                <c:pt idx="1929">
                  <c:v>3.3608094791462262E-2</c:v>
                </c:pt>
                <c:pt idx="1930">
                  <c:v>3.3603234934768925E-2</c:v>
                </c:pt>
                <c:pt idx="1931">
                  <c:v>3.359836553722792E-2</c:v>
                </c:pt>
                <c:pt idx="1932">
                  <c:v>3.3593486598906874E-2</c:v>
                </c:pt>
                <c:pt idx="1933">
                  <c:v>3.3588598119876072E-2</c:v>
                </c:pt>
                <c:pt idx="1934">
                  <c:v>3.3583700100204901E-2</c:v>
                </c:pt>
                <c:pt idx="1935">
                  <c:v>3.3578792539963202E-2</c:v>
                </c:pt>
                <c:pt idx="1936">
                  <c:v>3.3579886311446983E-2</c:v>
                </c:pt>
                <c:pt idx="1937">
                  <c:v>3.3573753015342551E-2</c:v>
                </c:pt>
                <c:pt idx="1938">
                  <c:v>3.3568812281208907E-2</c:v>
                </c:pt>
                <c:pt idx="1939">
                  <c:v>3.3563862003543277E-2</c:v>
                </c:pt>
                <c:pt idx="1940">
                  <c:v>3.355530932265581E-2</c:v>
                </c:pt>
                <c:pt idx="1941">
                  <c:v>3.3550343380120376E-2</c:v>
                </c:pt>
                <c:pt idx="1942">
                  <c:v>3.3545367896698389E-2</c:v>
                </c:pt>
                <c:pt idx="1943">
                  <c:v>3.35403828724593E-2</c:v>
                </c:pt>
                <c:pt idx="1944">
                  <c:v>3.3535388307475628E-2</c:v>
                </c:pt>
                <c:pt idx="1945">
                  <c:v>3.3533959930968256E-2</c:v>
                </c:pt>
                <c:pt idx="1946">
                  <c:v>3.3528942977924719E-2</c:v>
                </c:pt>
                <c:pt idx="1947">
                  <c:v>3.3523916866628527E-2</c:v>
                </c:pt>
                <c:pt idx="1948">
                  <c:v>3.3518881866437124E-2</c:v>
                </c:pt>
                <c:pt idx="1949">
                  <c:v>3.3510275292573929E-2</c:v>
                </c:pt>
                <c:pt idx="1950">
                  <c:v>3.3505226266482724E-2</c:v>
                </c:pt>
                <c:pt idx="1951">
                  <c:v>3.3500169068261872E-2</c:v>
                </c:pt>
                <c:pt idx="1952">
                  <c:v>3.3495103971597599E-2</c:v>
                </c:pt>
                <c:pt idx="1953">
                  <c:v>3.349003125017392E-2</c:v>
                </c:pt>
                <c:pt idx="1954">
                  <c:v>3.348850028224374E-2</c:v>
                </c:pt>
                <c:pt idx="1955">
                  <c:v>3.3484592793920021E-2</c:v>
                </c:pt>
                <c:pt idx="1956">
                  <c:v>3.3478314186845187E-2</c:v>
                </c:pt>
                <c:pt idx="1957">
                  <c:v>3.3473211307296163E-2</c:v>
                </c:pt>
                <c:pt idx="1958">
                  <c:v>3.3468102232291387E-2</c:v>
                </c:pt>
                <c:pt idx="1959">
                  <c:v>3.3462987231159057E-2</c:v>
                </c:pt>
                <c:pt idx="1960">
                  <c:v>3.345904488064206E-2</c:v>
                </c:pt>
                <c:pt idx="1961">
                  <c:v>3.3452740527816036E-2</c:v>
                </c:pt>
                <c:pt idx="1962">
                  <c:v>3.34417251344249E-2</c:v>
                </c:pt>
                <c:pt idx="1963">
                  <c:v>3.3436592617025529E-2</c:v>
                </c:pt>
                <c:pt idx="1964">
                  <c:v>3.3431455461296659E-2</c:v>
                </c:pt>
                <c:pt idx="1965">
                  <c:v>3.3426313943862092E-2</c:v>
                </c:pt>
                <c:pt idx="1966">
                  <c:v>3.3421168341342546E-2</c:v>
                </c:pt>
                <c:pt idx="1967">
                  <c:v>3.3417192363477122E-2</c:v>
                </c:pt>
                <c:pt idx="1968">
                  <c:v>3.341203876573428E-2</c:v>
                </c:pt>
                <c:pt idx="1969">
                  <c:v>3.3406881917303365E-2</c:v>
                </c:pt>
                <c:pt idx="1970">
                  <c:v>3.3401722093297496E-2</c:v>
                </c:pt>
                <c:pt idx="1971">
                  <c:v>3.3395388733993371E-2</c:v>
                </c:pt>
                <c:pt idx="1972">
                  <c:v>3.3390224400809076E-2</c:v>
                </c:pt>
                <c:pt idx="1973">
                  <c:v>3.3385057681601021E-2</c:v>
                </c:pt>
                <c:pt idx="1974">
                  <c:v>3.3379149938175076E-2</c:v>
                </c:pt>
                <c:pt idx="1975">
                  <c:v>3.3375885337525737E-2</c:v>
                </c:pt>
                <c:pt idx="1976">
                  <c:v>3.3370710814670267E-2</c:v>
                </c:pt>
                <c:pt idx="1977">
                  <c:v>3.3365533905853471E-2</c:v>
                </c:pt>
                <c:pt idx="1978">
                  <c:v>3.3360354611094246E-2</c:v>
                </c:pt>
                <c:pt idx="1979">
                  <c:v>3.3354432495545087E-2</c:v>
                </c:pt>
                <c:pt idx="1980">
                  <c:v>3.3348083160453228E-2</c:v>
                </c:pt>
                <c:pt idx="1981">
                  <c:v>3.3342897013968149E-2</c:v>
                </c:pt>
                <c:pt idx="1982">
                  <c:v>3.3337708481760958E-2</c:v>
                </c:pt>
                <c:pt idx="1983">
                  <c:v>3.3332517563851076E-2</c:v>
                </c:pt>
                <c:pt idx="1984">
                  <c:v>3.3327324260255739E-2</c:v>
                </c:pt>
                <c:pt idx="1985">
                  <c:v>3.3322128570993925E-2</c:v>
                </c:pt>
                <c:pt idx="1986">
                  <c:v>3.3316930496084633E-2</c:v>
                </c:pt>
                <c:pt idx="1987">
                  <c:v>3.331173003554553E-2</c:v>
                </c:pt>
                <c:pt idx="1988">
                  <c:v>3.3312326026680453E-2</c:v>
                </c:pt>
                <c:pt idx="1989">
                  <c:v>3.3305958416695126E-2</c:v>
                </c:pt>
                <c:pt idx="1990">
                  <c:v>3.3300748206487638E-2</c:v>
                </c:pt>
                <c:pt idx="1991">
                  <c:v>3.3295535610150799E-2</c:v>
                </c:pt>
                <c:pt idx="1992">
                  <c:v>3.3286849105238568E-2</c:v>
                </c:pt>
                <c:pt idx="1993">
                  <c:v>3.3279808516077744E-2</c:v>
                </c:pt>
                <c:pt idx="1994">
                  <c:v>3.3279883504555616E-2</c:v>
                </c:pt>
                <c:pt idx="1995">
                  <c:v>3.3274661363891934E-2</c:v>
                </c:pt>
                <c:pt idx="1996">
                  <c:v>3.3270591433188383E-2</c:v>
                </c:pt>
                <c:pt idx="1997">
                  <c:v>3.3264209924482015E-2</c:v>
                </c:pt>
                <c:pt idx="1998">
                  <c:v>3.3258980625772504E-2</c:v>
                </c:pt>
                <c:pt idx="1999">
                  <c:v>3.3253748941085737E-2</c:v>
                </c:pt>
                <c:pt idx="2000">
                  <c:v>3.3248514870440726E-2</c:v>
                </c:pt>
                <c:pt idx="2001">
                  <c:v>3.3243278413856492E-2</c:v>
                </c:pt>
                <c:pt idx="2002">
                  <c:v>3.3238039571351602E-2</c:v>
                </c:pt>
                <c:pt idx="2003">
                  <c:v>3.3232798342945506E-2</c:v>
                </c:pt>
                <c:pt idx="2004">
                  <c:v>3.3229853530707523E-2</c:v>
                </c:pt>
                <c:pt idx="2005">
                  <c:v>3.3218862538117476E-2</c:v>
                </c:pt>
                <c:pt idx="2006">
                  <c:v>3.3217060342508813E-2</c:v>
                </c:pt>
                <c:pt idx="2007">
                  <c:v>3.3212957015624336E-2</c:v>
                </c:pt>
                <c:pt idx="2008">
                  <c:v>3.3206556413061063E-2</c:v>
                </c:pt>
                <c:pt idx="2009">
                  <c:v>3.3201300869646545E-2</c:v>
                </c:pt>
                <c:pt idx="2010">
                  <c:v>3.319604294046434E-2</c:v>
                </c:pt>
                <c:pt idx="2011">
                  <c:v>3.3190782625533453E-2</c:v>
                </c:pt>
                <c:pt idx="2012">
                  <c:v>3.3186664113658143E-2</c:v>
                </c:pt>
                <c:pt idx="2013">
                  <c:v>3.3180254838500824E-2</c:v>
                </c:pt>
                <c:pt idx="2014">
                  <c:v>3.317041590071762E-2</c:v>
                </c:pt>
                <c:pt idx="2015">
                  <c:v>3.3165148650081966E-2</c:v>
                </c:pt>
                <c:pt idx="2016">
                  <c:v>3.3159879014355735E-2</c:v>
                </c:pt>
                <c:pt idx="2017">
                  <c:v>3.3154606993557913E-2</c:v>
                </c:pt>
                <c:pt idx="2018">
                  <c:v>3.3150472835221073E-2</c:v>
                </c:pt>
                <c:pt idx="2019">
                  <c:v>3.314519539209549E-2</c:v>
                </c:pt>
                <c:pt idx="2020">
                  <c:v>3.3139915563813217E-2</c:v>
                </c:pt>
                <c:pt idx="2021">
                  <c:v>3.313463335039446E-2</c:v>
                </c:pt>
                <c:pt idx="2022">
                  <c:v>3.3129348751857669E-2</c:v>
                </c:pt>
                <c:pt idx="2023">
                  <c:v>3.3122924783314328E-2</c:v>
                </c:pt>
                <c:pt idx="2024">
                  <c:v>3.3116504797076611E-2</c:v>
                </c:pt>
                <c:pt idx="2025">
                  <c:v>3.3112344966843468E-2</c:v>
                </c:pt>
                <c:pt idx="2026">
                  <c:v>3.3107051481244883E-2</c:v>
                </c:pt>
                <c:pt idx="2027">
                  <c:v>3.3102889983064161E-2</c:v>
                </c:pt>
                <c:pt idx="2028">
                  <c:v>3.3097591074214873E-2</c:v>
                </c:pt>
                <c:pt idx="2029">
                  <c:v>3.3092289780380632E-2</c:v>
                </c:pt>
                <c:pt idx="2030">
                  <c:v>3.3086986101579875E-2</c:v>
                </c:pt>
                <c:pt idx="2031">
                  <c:v>3.3081680037830623E-2</c:v>
                </c:pt>
                <c:pt idx="2032">
                  <c:v>3.3075240485742598E-2</c:v>
                </c:pt>
                <c:pt idx="2033">
                  <c:v>3.3069930306350255E-2</c:v>
                </c:pt>
                <c:pt idx="2034">
                  <c:v>3.3064617742206079E-2</c:v>
                </c:pt>
                <c:pt idx="2035">
                  <c:v>3.3059302793328603E-2</c:v>
                </c:pt>
                <c:pt idx="2036">
                  <c:v>3.3053985459736382E-2</c:v>
                </c:pt>
                <c:pt idx="2037">
                  <c:v>3.3048665741448845E-2</c:v>
                </c:pt>
                <c:pt idx="2038">
                  <c:v>3.3043343638484109E-2</c:v>
                </c:pt>
                <c:pt idx="2039">
                  <c:v>3.303801915086247E-2</c:v>
                </c:pt>
                <c:pt idx="2040">
                  <c:v>3.3038321667453963E-2</c:v>
                </c:pt>
                <c:pt idx="2041">
                  <c:v>3.3031863899410187E-2</c:v>
                </c:pt>
                <c:pt idx="2042">
                  <c:v>3.3026529635779164E-2</c:v>
                </c:pt>
                <c:pt idx="2043">
                  <c:v>3.3017018860579346E-2</c:v>
                </c:pt>
                <c:pt idx="2044">
                  <c:v>3.3012484187469389E-2</c:v>
                </c:pt>
                <c:pt idx="2045">
                  <c:v>3.3011635144555365E-2</c:v>
                </c:pt>
                <c:pt idx="2046">
                  <c:v>3.3005168730114769E-2</c:v>
                </c:pt>
                <c:pt idx="2047">
                  <c:v>3.2999822541010811E-2</c:v>
                </c:pt>
                <c:pt idx="2048">
                  <c:v>3.2994473966869386E-2</c:v>
                </c:pt>
                <c:pt idx="2049">
                  <c:v>3.2989123007711244E-2</c:v>
                </c:pt>
                <c:pt idx="2050">
                  <c:v>3.2984888991335871E-2</c:v>
                </c:pt>
                <c:pt idx="2051">
                  <c:v>3.2978413934421684E-2</c:v>
                </c:pt>
                <c:pt idx="2052">
                  <c:v>3.2973055820328299E-2</c:v>
                </c:pt>
                <c:pt idx="2053">
                  <c:v>3.2967695321296828E-2</c:v>
                </c:pt>
                <c:pt idx="2054">
                  <c:v>3.2962332437344991E-2</c:v>
                </c:pt>
                <c:pt idx="2055">
                  <c:v>3.2956967168492224E-2</c:v>
                </c:pt>
                <c:pt idx="2056">
                  <c:v>3.2951599514758415E-2</c:v>
                </c:pt>
                <c:pt idx="2057">
                  <c:v>3.2946229476163422E-2</c:v>
                </c:pt>
                <c:pt idx="2058">
                  <c:v>3.2940857052726709E-2</c:v>
                </c:pt>
                <c:pt idx="2059">
                  <c:v>3.2935482244468135E-2</c:v>
                </c:pt>
                <c:pt idx="2060">
                  <c:v>3.2931217803702728E-2</c:v>
                </c:pt>
                <c:pt idx="2061">
                  <c:v>3.2924725473560186E-2</c:v>
                </c:pt>
                <c:pt idx="2062">
                  <c:v>3.2919343510950556E-2</c:v>
                </c:pt>
                <c:pt idx="2063">
                  <c:v>3.2913959163595984E-2</c:v>
                </c:pt>
                <c:pt idx="2064">
                  <c:v>3.2909682549809895E-2</c:v>
                </c:pt>
                <c:pt idx="2065">
                  <c:v>3.2903183314733686E-2</c:v>
                </c:pt>
                <c:pt idx="2066">
                  <c:v>3.2893356653743482E-2</c:v>
                </c:pt>
                <c:pt idx="2067">
                  <c:v>3.2887965403413343E-2</c:v>
                </c:pt>
                <c:pt idx="2068">
                  <c:v>3.2882571768977464E-2</c:v>
                </c:pt>
                <c:pt idx="2069">
                  <c:v>3.2877175750455734E-2</c:v>
                </c:pt>
                <c:pt idx="2070">
                  <c:v>3.2872883495138568E-2</c:v>
                </c:pt>
                <c:pt idx="2071">
                  <c:v>3.2867482049104821E-2</c:v>
                </c:pt>
                <c:pt idx="2072">
                  <c:v>3.2866497570930117E-2</c:v>
                </c:pt>
                <c:pt idx="2073">
                  <c:v>3.2856672004563117E-2</c:v>
                </c:pt>
                <c:pt idx="2074">
                  <c:v>3.2851263406095121E-2</c:v>
                </c:pt>
                <c:pt idx="2075">
                  <c:v>3.2844749574573437E-2</c:v>
                </c:pt>
                <c:pt idx="2076">
                  <c:v>3.2839336867981551E-2</c:v>
                </c:pt>
                <c:pt idx="2077">
                  <c:v>3.2833921777456178E-2</c:v>
                </c:pt>
                <c:pt idx="2078">
                  <c:v>3.2828504303016738E-2</c:v>
                </c:pt>
                <c:pt idx="2079">
                  <c:v>3.2824184652549285E-2</c:v>
                </c:pt>
                <c:pt idx="2080">
                  <c:v>3.2818761749734575E-2</c:v>
                </c:pt>
                <c:pt idx="2081">
                  <c:v>3.2813336462930151E-2</c:v>
                </c:pt>
                <c:pt idx="2082">
                  <c:v>3.2807908792155352E-2</c:v>
                </c:pt>
                <c:pt idx="2083">
                  <c:v>3.2796859006854057E-2</c:v>
                </c:pt>
                <c:pt idx="2084">
                  <c:v>3.279471738100468E-2</c:v>
                </c:pt>
                <c:pt idx="2085">
                  <c:v>3.2789281536763137E-2</c:v>
                </c:pt>
                <c:pt idx="2086">
                  <c:v>3.2781971021483731E-2</c:v>
                </c:pt>
                <c:pt idx="2087">
                  <c:v>3.2778402696646038E-2</c:v>
                </c:pt>
                <c:pt idx="2088">
                  <c:v>3.2772959700809137E-2</c:v>
                </c:pt>
                <c:pt idx="2089">
                  <c:v>3.276751432114635E-2</c:v>
                </c:pt>
                <c:pt idx="2090">
                  <c:v>3.2760195555594507E-2</c:v>
                </c:pt>
                <c:pt idx="2091">
                  <c:v>3.2757708401070208E-2</c:v>
                </c:pt>
                <c:pt idx="2092">
                  <c:v>3.2753346538617036E-2</c:v>
                </c:pt>
                <c:pt idx="2093">
                  <c:v>3.2747890298868328E-2</c:v>
                </c:pt>
                <c:pt idx="2094">
                  <c:v>3.2742431675124875E-2</c:v>
                </c:pt>
                <c:pt idx="2095">
                  <c:v>3.2736970667407973E-2</c:v>
                </c:pt>
                <c:pt idx="2096">
                  <c:v>3.2730418595711332E-2</c:v>
                </c:pt>
                <c:pt idx="2097">
                  <c:v>3.2724953483152984E-2</c:v>
                </c:pt>
                <c:pt idx="2098">
                  <c:v>3.2717923407166283E-2</c:v>
                </c:pt>
                <c:pt idx="2099">
                  <c:v>3.2714016106708453E-2</c:v>
                </c:pt>
                <c:pt idx="2100">
                  <c:v>3.2708543842861149E-2</c:v>
                </c:pt>
                <c:pt idx="2101">
                  <c:v>3.2703372176853027E-2</c:v>
                </c:pt>
                <c:pt idx="2102">
                  <c:v>3.2698676863776859E-2</c:v>
                </c:pt>
                <c:pt idx="2103">
                  <c:v>3.2693196784978715E-2</c:v>
                </c:pt>
                <c:pt idx="2104">
                  <c:v>3.2688014197733331E-2</c:v>
                </c:pt>
                <c:pt idx="2105">
                  <c:v>3.2681146768155207E-2</c:v>
                </c:pt>
                <c:pt idx="2106">
                  <c:v>3.2675660202258081E-2</c:v>
                </c:pt>
                <c:pt idx="2107">
                  <c:v>3.2670171252755509E-2</c:v>
                </c:pt>
                <c:pt idx="2108">
                  <c:v>3.2664679919666283E-2</c:v>
                </c:pt>
                <c:pt idx="2109">
                  <c:v>3.2661346304798972E-2</c:v>
                </c:pt>
                <c:pt idx="2110">
                  <c:v>3.2654769488208016E-2</c:v>
                </c:pt>
                <c:pt idx="2111">
                  <c:v>3.2649270339594583E-2</c:v>
                </c:pt>
                <c:pt idx="2112">
                  <c:v>3.2643768807343515E-2</c:v>
                </c:pt>
                <c:pt idx="2113">
                  <c:v>3.2638264891475234E-2</c:v>
                </c:pt>
                <c:pt idx="2114">
                  <c:v>3.2632758592009717E-2</c:v>
                </c:pt>
                <c:pt idx="2115">
                  <c:v>3.262724990896565E-2</c:v>
                </c:pt>
                <c:pt idx="2116">
                  <c:v>3.2621738842363017E-2</c:v>
                </c:pt>
                <c:pt idx="2117">
                  <c:v>3.2615437561914713E-2</c:v>
                </c:pt>
                <c:pt idx="2118">
                  <c:v>3.260777345354339E-2</c:v>
                </c:pt>
                <c:pt idx="2119">
                  <c:v>3.2603044548739385E-2</c:v>
                </c:pt>
                <c:pt idx="2120">
                  <c:v>3.259752528014602E-2</c:v>
                </c:pt>
                <c:pt idx="2121">
                  <c:v>3.2592003628352205E-2</c:v>
                </c:pt>
                <c:pt idx="2122">
                  <c:v>3.2587550990925661E-2</c:v>
                </c:pt>
                <c:pt idx="2123">
                  <c:v>3.2582023906414501E-2</c:v>
                </c:pt>
                <c:pt idx="2124">
                  <c:v>3.2575704320113238E-2</c:v>
                </c:pt>
                <c:pt idx="2125">
                  <c:v>3.2570962587602344E-2</c:v>
                </c:pt>
                <c:pt idx="2126">
                  <c:v>3.2565428353341537E-2</c:v>
                </c:pt>
                <c:pt idx="2127">
                  <c:v>3.2559891735870594E-2</c:v>
                </c:pt>
                <c:pt idx="2128">
                  <c:v>3.2552493952804282E-2</c:v>
                </c:pt>
                <c:pt idx="2129">
                  <c:v>3.2547744621176967E-2</c:v>
                </c:pt>
                <c:pt idx="2130">
                  <c:v>3.2543267584395734E-2</c:v>
                </c:pt>
                <c:pt idx="2131">
                  <c:v>3.2537721434283011E-2</c:v>
                </c:pt>
                <c:pt idx="2132">
                  <c:v>3.2532172901059753E-2</c:v>
                </c:pt>
                <c:pt idx="2133">
                  <c:v>3.2526621984744736E-2</c:v>
                </c:pt>
                <c:pt idx="2134">
                  <c:v>3.2521068685360678E-2</c:v>
                </c:pt>
                <c:pt idx="2135">
                  <c:v>3.2513656510287356E-2</c:v>
                </c:pt>
                <c:pt idx="2136">
                  <c:v>3.2508098772453448E-2</c:v>
                </c:pt>
                <c:pt idx="2137">
                  <c:v>3.2502538651738834E-2</c:v>
                </c:pt>
                <c:pt idx="2138">
                  <c:v>3.249697614816284E-2</c:v>
                </c:pt>
                <c:pt idx="2139">
                  <c:v>3.2491411261747427E-2</c:v>
                </c:pt>
                <c:pt idx="2140">
                  <c:v>3.2485843992510165E-2</c:v>
                </c:pt>
                <c:pt idx="2141">
                  <c:v>3.248027434047257E-2</c:v>
                </c:pt>
                <c:pt idx="2142">
                  <c:v>3.247470230565265E-2</c:v>
                </c:pt>
                <c:pt idx="2143">
                  <c:v>3.2469127888072366E-2</c:v>
                </c:pt>
                <c:pt idx="2144">
                  <c:v>3.2465664311080132E-2</c:v>
                </c:pt>
                <c:pt idx="2145">
                  <c:v>3.2460083789557857E-2</c:v>
                </c:pt>
                <c:pt idx="2146">
                  <c:v>3.2454500885080007E-2</c:v>
                </c:pt>
                <c:pt idx="2147">
                  <c:v>3.244891559766961E-2</c:v>
                </c:pt>
                <c:pt idx="2148">
                  <c:v>3.2442273993882699E-2</c:v>
                </c:pt>
                <c:pt idx="2149">
                  <c:v>3.2435087206093116E-2</c:v>
                </c:pt>
                <c:pt idx="2150">
                  <c:v>3.2429494759119847E-2</c:v>
                </c:pt>
                <c:pt idx="2151">
                  <c:v>3.242389992942523E-2</c:v>
                </c:pt>
                <c:pt idx="2152">
                  <c:v>3.2418302717028051E-2</c:v>
                </c:pt>
                <c:pt idx="2153">
                  <c:v>3.2415854293371425E-2</c:v>
                </c:pt>
                <c:pt idx="2154">
                  <c:v>3.2410250304119426E-2</c:v>
                </c:pt>
                <c:pt idx="2155">
                  <c:v>3.2404643931848484E-2</c:v>
                </c:pt>
                <c:pt idx="2156">
                  <c:v>3.2399035176579223E-2</c:v>
                </c:pt>
                <c:pt idx="2157">
                  <c:v>3.2390280915217527E-2</c:v>
                </c:pt>
                <c:pt idx="2158">
                  <c:v>3.2384669407031323E-2</c:v>
                </c:pt>
                <c:pt idx="2159">
                  <c:v>3.2379055516283207E-2</c:v>
                </c:pt>
                <c:pt idx="2160">
                  <c:v>3.2377622016732305E-2</c:v>
                </c:pt>
                <c:pt idx="2161">
                  <c:v>3.2370955655989242E-2</c:v>
                </c:pt>
                <c:pt idx="2162">
                  <c:v>3.2365332603165015E-2</c:v>
                </c:pt>
                <c:pt idx="2163">
                  <c:v>3.2360750843390511E-2</c:v>
                </c:pt>
                <c:pt idx="2164">
                  <c:v>3.2354079348974586E-2</c:v>
                </c:pt>
                <c:pt idx="2165">
                  <c:v>3.2345322139144143E-2</c:v>
                </c:pt>
                <c:pt idx="2166">
                  <c:v>3.2342816563530954E-2</c:v>
                </c:pt>
                <c:pt idx="2167">
                  <c:v>3.233822258428333E-2</c:v>
                </c:pt>
                <c:pt idx="2168">
                  <c:v>3.2331544247000001E-2</c:v>
                </c:pt>
                <c:pt idx="2169">
                  <c:v>3.2322785572385361E-2</c:v>
                </c:pt>
                <c:pt idx="2170">
                  <c:v>3.2315067513104451E-2</c:v>
                </c:pt>
                <c:pt idx="2171">
                  <c:v>3.2309426378129613E-2</c:v>
                </c:pt>
                <c:pt idx="2172">
                  <c:v>3.2303782861103983E-2</c:v>
                </c:pt>
                <c:pt idx="2173">
                  <c:v>3.2298136962046982E-2</c:v>
                </c:pt>
                <c:pt idx="2174">
                  <c:v>3.2293524972526147E-2</c:v>
                </c:pt>
                <c:pt idx="2175">
                  <c:v>3.22878736365384E-2</c:v>
                </c:pt>
                <c:pt idx="2176">
                  <c:v>3.2282219918456131E-2</c:v>
                </c:pt>
                <c:pt idx="2177">
                  <c:v>3.2276563818300422E-2</c:v>
                </c:pt>
                <c:pt idx="2178">
                  <c:v>3.2270905336090158E-2</c:v>
                </c:pt>
                <c:pt idx="2179">
                  <c:v>3.226421154617154E-2</c:v>
                </c:pt>
                <c:pt idx="2180">
                  <c:v>3.2258548973457604E-2</c:v>
                </c:pt>
                <c:pt idx="2181">
                  <c:v>3.2252884018873065E-2</c:v>
                </c:pt>
                <c:pt idx="2182">
                  <c:v>3.2246406868511809E-2</c:v>
                </c:pt>
                <c:pt idx="2183">
                  <c:v>3.2242577194941717E-2</c:v>
                </c:pt>
                <c:pt idx="2184">
                  <c:v>3.2236904420834558E-2</c:v>
                </c:pt>
                <c:pt idx="2185">
                  <c:v>3.2231229264812949E-2</c:v>
                </c:pt>
                <c:pt idx="2186">
                  <c:v>3.2225551726901051E-2</c:v>
                </c:pt>
                <c:pt idx="2187">
                  <c:v>3.2218844273212643E-2</c:v>
                </c:pt>
                <c:pt idx="2188">
                  <c:v>3.2213162646098227E-2</c:v>
                </c:pt>
                <c:pt idx="2189">
                  <c:v>3.2207478637273947E-2</c:v>
                </c:pt>
                <c:pt idx="2190">
                  <c:v>3.2201792246761014E-2</c:v>
                </c:pt>
                <c:pt idx="2191">
                  <c:v>3.2196103474578852E-2</c:v>
                </c:pt>
                <c:pt idx="2192">
                  <c:v>3.2190412320747777E-2</c:v>
                </c:pt>
                <c:pt idx="2193">
                  <c:v>3.2184718785288995E-2</c:v>
                </c:pt>
                <c:pt idx="2194">
                  <c:v>3.2179022868220601E-2</c:v>
                </c:pt>
                <c:pt idx="2195">
                  <c:v>3.2173324569563802E-2</c:v>
                </c:pt>
                <c:pt idx="2196">
                  <c:v>3.2173752582553006E-2</c:v>
                </c:pt>
                <c:pt idx="2197">
                  <c:v>3.2167024703235805E-2</c:v>
                </c:pt>
                <c:pt idx="2198">
                  <c:v>3.21613158806534E-2</c:v>
                </c:pt>
                <c:pt idx="2199">
                  <c:v>3.215560467596143E-2</c:v>
                </c:pt>
                <c:pt idx="2200">
                  <c:v>3.2146834860294231E-2</c:v>
                </c:pt>
                <c:pt idx="2201">
                  <c:v>3.214112092028544E-2</c:v>
                </c:pt>
                <c:pt idx="2202">
                  <c:v>3.2135404598589663E-2</c:v>
                </c:pt>
                <c:pt idx="2203">
                  <c:v>3.2129685895226565E-2</c:v>
                </c:pt>
                <c:pt idx="2204">
                  <c:v>3.2123964810218862E-2</c:v>
                </c:pt>
                <c:pt idx="2205">
                  <c:v>3.2121287428689603E-2</c:v>
                </c:pt>
                <c:pt idx="2206">
                  <c:v>3.2115559629307282E-2</c:v>
                </c:pt>
                <c:pt idx="2207">
                  <c:v>3.2109829650890799E-2</c:v>
                </c:pt>
                <c:pt idx="2208">
                  <c:v>3.2104097622582026E-2</c:v>
                </c:pt>
                <c:pt idx="2209">
                  <c:v>3.2095325216097911E-2</c:v>
                </c:pt>
                <c:pt idx="2210">
                  <c:v>3.2089591261237269E-2</c:v>
                </c:pt>
                <c:pt idx="2211">
                  <c:v>3.2083855599632581E-2</c:v>
                </c:pt>
                <c:pt idx="2212">
                  <c:v>3.2083173796223566E-2</c:v>
                </c:pt>
                <c:pt idx="2213">
                  <c:v>3.2076421798433612E-2</c:v>
                </c:pt>
                <c:pt idx="2214">
                  <c:v>3.2069669636751653E-2</c:v>
                </c:pt>
                <c:pt idx="2215">
                  <c:v>3.2064936356353428E-2</c:v>
                </c:pt>
                <c:pt idx="2216">
                  <c:v>3.2058183096537608E-2</c:v>
                </c:pt>
                <c:pt idx="2217">
                  <c:v>3.2052438430344977E-2</c:v>
                </c:pt>
                <c:pt idx="2218">
                  <c:v>3.204669300559998E-2</c:v>
                </c:pt>
                <c:pt idx="2219">
                  <c:v>3.2040946951426431E-2</c:v>
                </c:pt>
                <c:pt idx="2220">
                  <c:v>3.2036207398198117E-2</c:v>
                </c:pt>
                <c:pt idx="2221">
                  <c:v>3.2029453471292782E-2</c:v>
                </c:pt>
                <c:pt idx="2222">
                  <c:v>3.2018676223573482E-2</c:v>
                </c:pt>
                <c:pt idx="2223">
                  <c:v>3.2012931232038175E-2</c:v>
                </c:pt>
                <c:pt idx="2224">
                  <c:v>3.2007186227702052E-2</c:v>
                </c:pt>
                <c:pt idx="2225">
                  <c:v>3.2001441343191404E-2</c:v>
                </c:pt>
                <c:pt idx="2226">
                  <c:v>3.1996700892077901E-2</c:v>
                </c:pt>
                <c:pt idx="2227">
                  <c:v>3.1990956206116687E-2</c:v>
                </c:pt>
                <c:pt idx="2228">
                  <c:v>3.1985212040896285E-2</c:v>
                </c:pt>
                <c:pt idx="2229">
                  <c:v>3.1979468528320856E-2</c:v>
                </c:pt>
                <c:pt idx="2230">
                  <c:v>3.1973725800291043E-2</c:v>
                </c:pt>
                <c:pt idx="2231">
                  <c:v>3.1966981979281002E-2</c:v>
                </c:pt>
                <c:pt idx="2232">
                  <c:v>3.1960421659750077E-2</c:v>
                </c:pt>
                <c:pt idx="2233">
                  <c:v>3.1955502318517806E-2</c:v>
                </c:pt>
                <c:pt idx="2234">
                  <c:v>3.194894439474958E-2</c:v>
                </c:pt>
                <c:pt idx="2235">
                  <c:v>3.1945027137751887E-2</c:v>
                </c:pt>
                <c:pt idx="2236">
                  <c:v>3.1939290545801413E-2</c:v>
                </c:pt>
                <c:pt idx="2237">
                  <c:v>3.1933555002148645E-2</c:v>
                </c:pt>
                <c:pt idx="2238">
                  <c:v>3.1927820506784804E-2</c:v>
                </c:pt>
                <c:pt idx="2239">
                  <c:v>3.191799238215156E-2</c:v>
                </c:pt>
                <c:pt idx="2240">
                  <c:v>3.1914537754635784E-2</c:v>
                </c:pt>
                <c:pt idx="2241">
                  <c:v>3.1908806982945223E-2</c:v>
                </c:pt>
                <c:pt idx="2242">
                  <c:v>3.190307725932634E-2</c:v>
                </c:pt>
                <c:pt idx="2243">
                  <c:v>3.1897348583768109E-2</c:v>
                </c:pt>
                <c:pt idx="2244">
                  <c:v>3.1891620956262128E-2</c:v>
                </c:pt>
                <c:pt idx="2245">
                  <c:v>3.1885894376801768E-2</c:v>
                </c:pt>
                <c:pt idx="2246">
                  <c:v>3.1880168845375562E-2</c:v>
                </c:pt>
                <c:pt idx="2247">
                  <c:v>3.1874444361974667E-2</c:v>
                </c:pt>
                <c:pt idx="2248">
                  <c:v>3.187369435217622E-2</c:v>
                </c:pt>
                <c:pt idx="2249">
                  <c:v>3.1866975533702033E-2</c:v>
                </c:pt>
                <c:pt idx="2250">
                  <c:v>3.186125248429339E-2</c:v>
                </c:pt>
                <c:pt idx="2251">
                  <c:v>3.1855530483599147E-2</c:v>
                </c:pt>
                <c:pt idx="2252">
                  <c:v>3.1849809531611116E-2</c:v>
                </c:pt>
                <c:pt idx="2253">
                  <c:v>3.1838836956424123E-2</c:v>
                </c:pt>
                <c:pt idx="2254">
                  <c:v>3.1838370773715631E-2</c:v>
                </c:pt>
                <c:pt idx="2255">
                  <c:v>3.1832652967790039E-2</c:v>
                </c:pt>
                <c:pt idx="2256">
                  <c:v>3.1826936210534347E-2</c:v>
                </c:pt>
                <c:pt idx="2257">
                  <c:v>3.1821220501938627E-2</c:v>
                </c:pt>
                <c:pt idx="2258">
                  <c:v>3.1815505841994239E-2</c:v>
                </c:pt>
                <c:pt idx="2259">
                  <c:v>3.1809792230693398E-2</c:v>
                </c:pt>
                <c:pt idx="2260">
                  <c:v>3.1804079668025738E-2</c:v>
                </c:pt>
                <c:pt idx="2261">
                  <c:v>3.1798368153983049E-2</c:v>
                </c:pt>
                <c:pt idx="2262">
                  <c:v>3.1792657688555825E-2</c:v>
                </c:pt>
                <c:pt idx="2263">
                  <c:v>3.1786948271734561E-2</c:v>
                </c:pt>
                <c:pt idx="2264">
                  <c:v>3.1783215717371589E-2</c:v>
                </c:pt>
                <c:pt idx="2265">
                  <c:v>3.1776520057300937E-2</c:v>
                </c:pt>
                <c:pt idx="2266">
                  <c:v>3.1769826312822685E-2</c:v>
                </c:pt>
                <c:pt idx="2267">
                  <c:v>3.1765107714612009E-2</c:v>
                </c:pt>
                <c:pt idx="2268">
                  <c:v>3.1758416916416447E-2</c:v>
                </c:pt>
                <c:pt idx="2269">
                  <c:v>3.1753699566889601E-2</c:v>
                </c:pt>
                <c:pt idx="2270">
                  <c:v>3.1747011714220584E-2</c:v>
                </c:pt>
                <c:pt idx="2271">
                  <c:v>3.1741310685929405E-2</c:v>
                </c:pt>
                <c:pt idx="2272">
                  <c:v>3.17365952107126E-2</c:v>
                </c:pt>
                <c:pt idx="2273">
                  <c:v>3.1729911774916478E-2</c:v>
                </c:pt>
                <c:pt idx="2274">
                  <c:v>3.172027943194973E-2</c:v>
                </c:pt>
                <c:pt idx="2275">
                  <c:v>3.171458428971391E-2</c:v>
                </c:pt>
                <c:pt idx="2276">
                  <c:v>3.1708890195248578E-2</c:v>
                </c:pt>
                <c:pt idx="2277">
                  <c:v>3.1703197148546233E-2</c:v>
                </c:pt>
                <c:pt idx="2278">
                  <c:v>3.169750514959848E-2</c:v>
                </c:pt>
                <c:pt idx="2279">
                  <c:v>3.1692795674657041E-2</c:v>
                </c:pt>
                <c:pt idx="2280">
                  <c:v>3.1687105349112656E-2</c:v>
                </c:pt>
                <c:pt idx="2281">
                  <c:v>3.1681416071475524E-2</c:v>
                </c:pt>
                <c:pt idx="2282">
                  <c:v>3.1675727841736424E-2</c:v>
                </c:pt>
                <c:pt idx="2283">
                  <c:v>3.1669060870856594E-2</c:v>
                </c:pt>
                <c:pt idx="2284">
                  <c:v>3.166191793213638E-2</c:v>
                </c:pt>
                <c:pt idx="2285">
                  <c:v>3.1657690493330004E-2</c:v>
                </c:pt>
                <c:pt idx="2286">
                  <c:v>3.1652006876097455E-2</c:v>
                </c:pt>
                <c:pt idx="2287">
                  <c:v>3.1647302411203962E-2</c:v>
                </c:pt>
                <c:pt idx="2288">
                  <c:v>3.1641620468669029E-2</c:v>
                </c:pt>
                <c:pt idx="2289">
                  <c:v>3.1635939573970193E-2</c:v>
                </c:pt>
                <c:pt idx="2290">
                  <c:v>3.1630259727099999E-2</c:v>
                </c:pt>
                <c:pt idx="2291">
                  <c:v>3.1624580928047465E-2</c:v>
                </c:pt>
                <c:pt idx="2292">
                  <c:v>3.1617927173566519E-2</c:v>
                </c:pt>
                <c:pt idx="2293">
                  <c:v>3.1612250889875043E-2</c:v>
                </c:pt>
                <c:pt idx="2294">
                  <c:v>3.1606575653796834E-2</c:v>
                </c:pt>
                <c:pt idx="2295">
                  <c:v>3.1600901465323052E-2</c:v>
                </c:pt>
                <c:pt idx="2296">
                  <c:v>3.1595228324447083E-2</c:v>
                </c:pt>
                <c:pt idx="2297">
                  <c:v>3.1589556231157445E-2</c:v>
                </c:pt>
                <c:pt idx="2298">
                  <c:v>3.1583885185447066E-2</c:v>
                </c:pt>
                <c:pt idx="2299">
                  <c:v>3.157821518730667E-2</c:v>
                </c:pt>
                <c:pt idx="2300">
                  <c:v>3.157740965483935E-2</c:v>
                </c:pt>
                <c:pt idx="2301">
                  <c:v>3.1570767361432953E-2</c:v>
                </c:pt>
                <c:pt idx="2302">
                  <c:v>3.1565098833277981E-2</c:v>
                </c:pt>
                <c:pt idx="2303">
                  <c:v>3.155943135337206E-2</c:v>
                </c:pt>
                <c:pt idx="2304">
                  <c:v>3.1548585869585019E-2</c:v>
                </c:pt>
                <c:pt idx="2305">
                  <c:v>3.1549070165096921E-2</c:v>
                </c:pt>
                <c:pt idx="2306">
                  <c:v>3.1542435203055295E-2</c:v>
                </c:pt>
                <c:pt idx="2307">
                  <c:v>3.1536771916053565E-2</c:v>
                </c:pt>
                <c:pt idx="2308">
                  <c:v>3.1532079052123116E-2</c:v>
                </c:pt>
                <c:pt idx="2309">
                  <c:v>3.1525448486653375E-2</c:v>
                </c:pt>
                <c:pt idx="2310">
                  <c:v>3.1519788344236771E-2</c:v>
                </c:pt>
                <c:pt idx="2311">
                  <c:v>3.1514129249997934E-2</c:v>
                </c:pt>
                <c:pt idx="2312">
                  <c:v>3.1508471203926483E-2</c:v>
                </c:pt>
                <c:pt idx="2313">
                  <c:v>3.1502814206015077E-2</c:v>
                </c:pt>
                <c:pt idx="2314">
                  <c:v>3.1497158256253779E-2</c:v>
                </c:pt>
                <c:pt idx="2315">
                  <c:v>3.1491503354633514E-2</c:v>
                </c:pt>
                <c:pt idx="2316">
                  <c:v>3.1487781605826465E-2</c:v>
                </c:pt>
                <c:pt idx="2317">
                  <c:v>3.147729990835222E-2</c:v>
                </c:pt>
                <c:pt idx="2318">
                  <c:v>3.1474544938535097E-2</c:v>
                </c:pt>
                <c:pt idx="2319">
                  <c:v>3.146985902743752E-2</c:v>
                </c:pt>
                <c:pt idx="2320">
                  <c:v>3.1463244568346968E-2</c:v>
                </c:pt>
                <c:pt idx="2321">
                  <c:v>3.1457595955389696E-2</c:v>
                </c:pt>
                <c:pt idx="2322">
                  <c:v>3.1451948390512109E-2</c:v>
                </c:pt>
                <c:pt idx="2323">
                  <c:v>3.1446301873705118E-2</c:v>
                </c:pt>
                <c:pt idx="2324">
                  <c:v>3.1441619129734658E-2</c:v>
                </c:pt>
                <c:pt idx="2325">
                  <c:v>3.1435011984264925E-2</c:v>
                </c:pt>
                <c:pt idx="2326">
                  <c:v>3.1426483018918212E-2</c:v>
                </c:pt>
                <c:pt idx="2327">
                  <c:v>3.1420841935502881E-2</c:v>
                </c:pt>
                <c:pt idx="2328">
                  <c:v>3.1415201899582829E-2</c:v>
                </c:pt>
                <c:pt idx="2329">
                  <c:v>3.1409562911148388E-2</c:v>
                </c:pt>
                <c:pt idx="2330">
                  <c:v>3.1403924970192093E-2</c:v>
                </c:pt>
                <c:pt idx="2331">
                  <c:v>3.1401167468713742E-2</c:v>
                </c:pt>
                <c:pt idx="2332">
                  <c:v>3.1395530384140342E-2</c:v>
                </c:pt>
                <c:pt idx="2333">
                  <c:v>3.1390853351605894E-2</c:v>
                </c:pt>
                <c:pt idx="2334">
                  <c:v>3.1384259358929682E-2</c:v>
                </c:pt>
                <c:pt idx="2335">
                  <c:v>3.1375750977260482E-2</c:v>
                </c:pt>
                <c:pt idx="2336">
                  <c:v>3.1367706074646076E-2</c:v>
                </c:pt>
                <c:pt idx="2337">
                  <c:v>3.1364488712123738E-2</c:v>
                </c:pt>
                <c:pt idx="2338">
                  <c:v>3.1358859150670694E-2</c:v>
                </c:pt>
                <c:pt idx="2339">
                  <c:v>3.1356100135114695E-2</c:v>
                </c:pt>
                <c:pt idx="2340">
                  <c:v>3.1350471434146022E-2</c:v>
                </c:pt>
                <c:pt idx="2341">
                  <c:v>3.1344843781087657E-2</c:v>
                </c:pt>
                <c:pt idx="2342">
                  <c:v>3.1339217175931806E-2</c:v>
                </c:pt>
                <c:pt idx="2343">
                  <c:v>3.1330727054211742E-2</c:v>
                </c:pt>
                <c:pt idx="2344">
                  <c:v>3.1325103777020601E-2</c:v>
                </c:pt>
                <c:pt idx="2345">
                  <c:v>3.1319481547175405E-2</c:v>
                </c:pt>
                <c:pt idx="2346">
                  <c:v>3.1313860364668683E-2</c:v>
                </c:pt>
                <c:pt idx="2347">
                  <c:v>3.1308240229490782E-2</c:v>
                </c:pt>
                <c:pt idx="2348">
                  <c:v>3.1302621141632916E-2</c:v>
                </c:pt>
                <c:pt idx="2349">
                  <c:v>3.1297003101086733E-2</c:v>
                </c:pt>
                <c:pt idx="2350">
                  <c:v>3.1291386107843461E-2</c:v>
                </c:pt>
                <c:pt idx="2351">
                  <c:v>3.1285770161895182E-2</c:v>
                </c:pt>
                <c:pt idx="2352">
                  <c:v>3.1283959953227532E-2</c:v>
                </c:pt>
                <c:pt idx="2353">
                  <c:v>3.1277393678205187E-2</c:v>
                </c:pt>
                <c:pt idx="2354">
                  <c:v>3.127177964718135E-2</c:v>
                </c:pt>
                <c:pt idx="2355">
                  <c:v>3.1266166663943794E-2</c:v>
                </c:pt>
                <c:pt idx="2356">
                  <c:v>3.1260554728484755E-2</c:v>
                </c:pt>
                <c:pt idx="2357">
                  <c:v>3.1254943840794289E-2</c:v>
                </c:pt>
                <c:pt idx="2358">
                  <c:v>3.1250282744638827E-2</c:v>
                </c:pt>
                <c:pt idx="2359">
                  <c:v>3.123862449700008E-2</c:v>
                </c:pt>
                <c:pt idx="2360">
                  <c:v>3.123811746425181E-2</c:v>
                </c:pt>
                <c:pt idx="2361">
                  <c:v>3.1232510767550521E-2</c:v>
                </c:pt>
                <c:pt idx="2362">
                  <c:v>3.1227852230908116E-2</c:v>
                </c:pt>
                <c:pt idx="2363">
                  <c:v>3.1221300517314102E-2</c:v>
                </c:pt>
                <c:pt idx="2364">
                  <c:v>3.1215696963761259E-2</c:v>
                </c:pt>
                <c:pt idx="2365">
                  <c:v>3.1207256879646379E-2</c:v>
                </c:pt>
                <c:pt idx="2366">
                  <c:v>3.1204492999743091E-2</c:v>
                </c:pt>
                <c:pt idx="2367">
                  <c:v>3.1198892589259619E-2</c:v>
                </c:pt>
                <c:pt idx="2368">
                  <c:v>3.1193293226448798E-2</c:v>
                </c:pt>
                <c:pt idx="2369">
                  <c:v>3.1188639175368675E-2</c:v>
                </c:pt>
                <c:pt idx="2370">
                  <c:v>3.118209764380795E-2</c:v>
                </c:pt>
                <c:pt idx="2371">
                  <c:v>3.117650142396021E-2</c:v>
                </c:pt>
                <c:pt idx="2372">
                  <c:v>3.1171849297759159E-2</c:v>
                </c:pt>
                <c:pt idx="2373">
                  <c:v>3.1165312127167742E-2</c:v>
                </c:pt>
                <c:pt idx="2374">
                  <c:v>3.115971905020444E-2</c:v>
                </c:pt>
                <c:pt idx="2375">
                  <c:v>3.1154127020852001E-2</c:v>
                </c:pt>
                <c:pt idx="2376">
                  <c:v>3.1149477463481574E-2</c:v>
                </c:pt>
                <c:pt idx="2377">
                  <c:v>3.1142946104943846E-2</c:v>
                </c:pt>
                <c:pt idx="2378">
                  <c:v>3.1134535466788699E-2</c:v>
                </c:pt>
                <c:pt idx="2379">
                  <c:v>3.1128008693008139E-2</c:v>
                </c:pt>
                <c:pt idx="2380">
                  <c:v>3.1122423519200058E-2</c:v>
                </c:pt>
                <c:pt idx="2381">
                  <c:v>3.1116839392251367E-2</c:v>
                </c:pt>
                <c:pt idx="2382">
                  <c:v>3.1111256312154126E-2</c:v>
                </c:pt>
                <c:pt idx="2383">
                  <c:v>3.1110367092212252E-2</c:v>
                </c:pt>
                <c:pt idx="2384">
                  <c:v>3.1101031420863394E-2</c:v>
                </c:pt>
                <c:pt idx="2385">
                  <c:v>3.1095451077757987E-2</c:v>
                </c:pt>
                <c:pt idx="2386">
                  <c:v>3.1089871781643207E-2</c:v>
                </c:pt>
                <c:pt idx="2387">
                  <c:v>3.1083356614133976E-2</c:v>
                </c:pt>
                <c:pt idx="2388">
                  <c:v>3.1077779814962125E-2</c:v>
                </c:pt>
                <c:pt idx="2389">
                  <c:v>3.1072204062582098E-2</c:v>
                </c:pt>
                <c:pt idx="2390">
                  <c:v>3.1066629356984624E-2</c:v>
                </c:pt>
                <c:pt idx="2391">
                  <c:v>3.1061991005634861E-2</c:v>
                </c:pt>
                <c:pt idx="2392">
                  <c:v>3.10564179912842E-2</c:v>
                </c:pt>
                <c:pt idx="2393">
                  <c:v>3.1050846023864872E-2</c:v>
                </c:pt>
                <c:pt idx="2394">
                  <c:v>3.1045275103368093E-2</c:v>
                </c:pt>
                <c:pt idx="2395">
                  <c:v>3.1035589445069595E-2</c:v>
                </c:pt>
                <c:pt idx="2396">
                  <c:v>3.1030021618114304E-2</c:v>
                </c:pt>
                <c:pt idx="2397">
                  <c:v>3.1024454837876202E-2</c:v>
                </c:pt>
                <c:pt idx="2398">
                  <c:v>3.1018889104346897E-2</c:v>
                </c:pt>
                <c:pt idx="2399">
                  <c:v>3.1013324417517557E-2</c:v>
                </c:pt>
                <c:pt idx="2400">
                  <c:v>3.1007760777380673E-2</c:v>
                </c:pt>
                <c:pt idx="2401">
                  <c:v>3.1002198183926532E-2</c:v>
                </c:pt>
                <c:pt idx="2402">
                  <c:v>3.0996636637146736E-2</c:v>
                </c:pt>
                <c:pt idx="2403">
                  <c:v>3.099200639977228E-2</c:v>
                </c:pt>
                <c:pt idx="2404">
                  <c:v>3.0988306316333175E-2</c:v>
                </c:pt>
                <c:pt idx="2405">
                  <c:v>3.098274670967335E-2</c:v>
                </c:pt>
                <c:pt idx="2406">
                  <c:v>3.0977188150175881E-2</c:v>
                </c:pt>
                <c:pt idx="2407">
                  <c:v>3.0971630637829473E-2</c:v>
                </c:pt>
                <c:pt idx="2408">
                  <c:v>3.0965145878912113E-2</c:v>
                </c:pt>
                <c:pt idx="2409">
                  <c:v>3.0958003904185957E-2</c:v>
                </c:pt>
                <c:pt idx="2410">
                  <c:v>3.0952450231469496E-2</c:v>
                </c:pt>
                <c:pt idx="2411">
                  <c:v>3.0946897605693493E-2</c:v>
                </c:pt>
                <c:pt idx="2412">
                  <c:v>3.0944125822597129E-2</c:v>
                </c:pt>
                <c:pt idx="2413">
                  <c:v>3.0938574095036447E-2</c:v>
                </c:pt>
                <c:pt idx="2414">
                  <c:v>3.0933023414908875E-2</c:v>
                </c:pt>
                <c:pt idx="2415">
                  <c:v>3.0927473782206245E-2</c:v>
                </c:pt>
                <c:pt idx="2416">
                  <c:v>3.0919150180632921E-2</c:v>
                </c:pt>
                <c:pt idx="2417">
                  <c:v>3.091360383632363E-2</c:v>
                </c:pt>
                <c:pt idx="2418">
                  <c:v>3.0908058538894518E-2</c:v>
                </c:pt>
                <c:pt idx="2419">
                  <c:v>3.0902514288338595E-2</c:v>
                </c:pt>
                <c:pt idx="2420">
                  <c:v>3.089974132976725E-2</c:v>
                </c:pt>
                <c:pt idx="2421">
                  <c:v>3.0894197981432055E-2</c:v>
                </c:pt>
                <c:pt idx="2422">
                  <c:v>3.0888655680460345E-2</c:v>
                </c:pt>
                <c:pt idx="2423">
                  <c:v>3.0884036680207148E-2</c:v>
                </c:pt>
                <c:pt idx="2424">
                  <c:v>3.087757422057472E-2</c:v>
                </c:pt>
                <c:pt idx="2425">
                  <c:v>3.0869270768830271E-2</c:v>
                </c:pt>
                <c:pt idx="2426">
                  <c:v>3.086649695003818E-2</c:v>
                </c:pt>
                <c:pt idx="2427">
                  <c:v>3.0861880553435174E-2</c:v>
                </c:pt>
                <c:pt idx="2428">
                  <c:v>3.085542386878239E-2</c:v>
                </c:pt>
                <c:pt idx="2429">
                  <c:v>3.0847129358841312E-2</c:v>
                </c:pt>
                <c:pt idx="2430">
                  <c:v>3.083975779374578E-2</c:v>
                </c:pt>
                <c:pt idx="2431">
                  <c:v>3.0834226895790899E-2</c:v>
                </c:pt>
                <c:pt idx="2432">
                  <c:v>3.082869704425157E-2</c:v>
                </c:pt>
                <c:pt idx="2433">
                  <c:v>3.0823168239118959E-2</c:v>
                </c:pt>
                <c:pt idx="2434">
                  <c:v>3.0818558307341169E-2</c:v>
                </c:pt>
                <c:pt idx="2435">
                  <c:v>3.0813031200290008E-2</c:v>
                </c:pt>
                <c:pt idx="2436">
                  <c:v>3.0807505139793339E-2</c:v>
                </c:pt>
                <c:pt idx="2437">
                  <c:v>3.0801980125841059E-2</c:v>
                </c:pt>
                <c:pt idx="2438">
                  <c:v>3.0796456158425703E-2</c:v>
                </c:pt>
                <c:pt idx="2439">
                  <c:v>3.0790017382410821E-2</c:v>
                </c:pt>
                <c:pt idx="2440">
                  <c:v>3.0784495901892937E-2</c:v>
                </c:pt>
                <c:pt idx="2441">
                  <c:v>3.0778975467715526E-2</c:v>
                </c:pt>
                <c:pt idx="2442">
                  <c:v>3.0773582299196123E-2</c:v>
                </c:pt>
                <c:pt idx="2443">
                  <c:v>3.0768852019102347E-2</c:v>
                </c:pt>
                <c:pt idx="2444">
                  <c:v>3.0763334330727574E-2</c:v>
                </c:pt>
                <c:pt idx="2445">
                  <c:v>3.0757817688829993E-2</c:v>
                </c:pt>
                <c:pt idx="2446">
                  <c:v>3.0749150794424324E-2</c:v>
                </c:pt>
                <c:pt idx="2447">
                  <c:v>3.0745087184097575E-2</c:v>
                </c:pt>
                <c:pt idx="2448">
                  <c:v>3.0740361725264502E-2</c:v>
                </c:pt>
                <c:pt idx="2449">
                  <c:v>3.0734849661497754E-2</c:v>
                </c:pt>
                <c:pt idx="2450">
                  <c:v>3.0729338643993312E-2</c:v>
                </c:pt>
                <c:pt idx="2451">
                  <c:v>3.072382867274278E-2</c:v>
                </c:pt>
                <c:pt idx="2452">
                  <c:v>3.0718319747740419E-2</c:v>
                </c:pt>
                <c:pt idx="2453">
                  <c:v>3.0712811868973861E-2</c:v>
                </c:pt>
                <c:pt idx="2454">
                  <c:v>3.0707305036437371E-2</c:v>
                </c:pt>
                <c:pt idx="2455">
                  <c:v>3.0701799250120784E-2</c:v>
                </c:pt>
                <c:pt idx="2456">
                  <c:v>3.070174982012238E-2</c:v>
                </c:pt>
                <c:pt idx="2457">
                  <c:v>3.0695334917649465E-2</c:v>
                </c:pt>
                <c:pt idx="2458">
                  <c:v>3.0689830315948553E-2</c:v>
                </c:pt>
                <c:pt idx="2459">
                  <c:v>3.0684326761288811E-2</c:v>
                </c:pt>
                <c:pt idx="2460">
                  <c:v>3.0676101266127662E-2</c:v>
                </c:pt>
                <c:pt idx="2461">
                  <c:v>3.0670600976428552E-2</c:v>
                </c:pt>
                <c:pt idx="2462">
                  <c:v>3.0665101733231778E-2</c:v>
                </c:pt>
                <c:pt idx="2463">
                  <c:v>3.0659603536529047E-2</c:v>
                </c:pt>
                <c:pt idx="2464">
                  <c:v>3.0654106386312052E-2</c:v>
                </c:pt>
                <c:pt idx="2465">
                  <c:v>3.065132744234517E-2</c:v>
                </c:pt>
                <c:pt idx="2466">
                  <c:v>3.064583149441959E-2</c:v>
                </c:pt>
                <c:pt idx="2467">
                  <c:v>3.0640337204630868E-2</c:v>
                </c:pt>
                <c:pt idx="2468">
                  <c:v>3.0634844929478773E-2</c:v>
                </c:pt>
                <c:pt idx="2469">
                  <c:v>3.0626641084962977E-2</c:v>
                </c:pt>
                <c:pt idx="2470">
                  <c:v>3.0621154377044813E-2</c:v>
                </c:pt>
                <c:pt idx="2471">
                  <c:v>3.0615670630351356E-2</c:v>
                </c:pt>
                <c:pt idx="2472">
                  <c:v>3.0613807515011967E-2</c:v>
                </c:pt>
                <c:pt idx="2473">
                  <c:v>3.060742625049474E-2</c:v>
                </c:pt>
                <c:pt idx="2474">
                  <c:v>3.0601953549441549E-2</c:v>
                </c:pt>
                <c:pt idx="2475">
                  <c:v>3.0597389774131806E-2</c:v>
                </c:pt>
                <c:pt idx="2476">
                  <c:v>3.0591022033874822E-2</c:v>
                </c:pt>
                <c:pt idx="2477">
                  <c:v>3.0582850620971859E-2</c:v>
                </c:pt>
                <c:pt idx="2478">
                  <c:v>3.0580111410135287E-2</c:v>
                </c:pt>
                <c:pt idx="2479">
                  <c:v>3.0575569668660457E-2</c:v>
                </c:pt>
                <c:pt idx="2480">
                  <c:v>3.0569224529887227E-2</c:v>
                </c:pt>
                <c:pt idx="2481">
                  <c:v>3.0561075721238048E-2</c:v>
                </c:pt>
                <c:pt idx="2482">
                  <c:v>3.0553838311885094E-2</c:v>
                </c:pt>
                <c:pt idx="2483">
                  <c:v>3.0548417904056876E-2</c:v>
                </c:pt>
                <c:pt idx="2484">
                  <c:v>3.0543005133359363E-2</c:v>
                </c:pt>
                <c:pt idx="2485">
                  <c:v>3.0537600365920462E-2</c:v>
                </c:pt>
                <c:pt idx="2486">
                  <c:v>3.0533109989150375E-2</c:v>
                </c:pt>
                <c:pt idx="2487">
                  <c:v>3.0527722605041004E-2</c:v>
                </c:pt>
                <c:pt idx="2488">
                  <c:v>3.0522344331158489E-2</c:v>
                </c:pt>
                <c:pt idx="2489">
                  <c:v>3.0516975531633978E-2</c:v>
                </c:pt>
                <c:pt idx="2490">
                  <c:v>3.0511616570597731E-2</c:v>
                </c:pt>
                <c:pt idx="2491">
                  <c:v>3.0505360332321631E-2</c:v>
                </c:pt>
                <c:pt idx="2492">
                  <c:v>3.0500021748082643E-2</c:v>
                </c:pt>
                <c:pt idx="2493">
                  <c:v>3.0494693677508733E-2</c:v>
                </c:pt>
                <c:pt idx="2494">
                  <c:v>3.0488617327764041E-2</c:v>
                </c:pt>
                <c:pt idx="2495">
                  <c:v>3.0484977770896239E-2</c:v>
                </c:pt>
                <c:pt idx="2496">
                  <c:v>3.0479681546757429E-2</c:v>
                </c:pt>
                <c:pt idx="2497">
                  <c:v>3.047439583690564E-2</c:v>
                </c:pt>
                <c:pt idx="2498">
                  <c:v>3.0469120641258306E-2</c:v>
                </c:pt>
                <c:pt idx="2499">
                  <c:v>3.0462946036384542E-2</c:v>
                </c:pt>
                <c:pt idx="2500">
                  <c:v>3.0457691559148022E-2</c:v>
                </c:pt>
                <c:pt idx="2501">
                  <c:v>3.0452447594915007E-2</c:v>
                </c:pt>
                <c:pt idx="2502">
                  <c:v>3.0447214143605121E-2</c:v>
                </c:pt>
                <c:pt idx="2503">
                  <c:v>3.0441991205137107E-2</c:v>
                </c:pt>
                <c:pt idx="2504">
                  <c:v>3.043677877942837E-2</c:v>
                </c:pt>
                <c:pt idx="2505">
                  <c:v>3.0431576866397213E-2</c:v>
                </c:pt>
                <c:pt idx="2506">
                  <c:v>3.0426385465963258E-2</c:v>
                </c:pt>
                <c:pt idx="2507">
                  <c:v>3.0421204578045685E-2</c:v>
                </c:pt>
                <c:pt idx="2508">
                  <c:v>3.0421511900945872E-2</c:v>
                </c:pt>
                <c:pt idx="2509">
                  <c:v>3.0415440476182103E-2</c:v>
                </c:pt>
                <c:pt idx="2510">
                  <c:v>3.0410292722593543E-2</c:v>
                </c:pt>
                <c:pt idx="2511">
                  <c:v>3.0405155485938546E-2</c:v>
                </c:pt>
                <c:pt idx="2512">
                  <c:v>3.0397285954032335E-2</c:v>
                </c:pt>
                <c:pt idx="2513">
                  <c:v>3.0392168783812099E-2</c:v>
                </c:pt>
                <c:pt idx="2514">
                  <c:v>3.0387062127437393E-2</c:v>
                </c:pt>
                <c:pt idx="2515">
                  <c:v>3.038196598482916E-2</c:v>
                </c:pt>
                <c:pt idx="2516">
                  <c:v>3.037688035590571E-2</c:v>
                </c:pt>
                <c:pt idx="2517">
                  <c:v>3.0374552917001106E-2</c:v>
                </c:pt>
                <c:pt idx="2518">
                  <c:v>3.036948929658094E-2</c:v>
                </c:pt>
                <c:pt idx="2519">
                  <c:v>3.0364436192438511E-2</c:v>
                </c:pt>
                <c:pt idx="2520">
                  <c:v>3.0359393604494318E-2</c:v>
                </c:pt>
                <c:pt idx="2521">
                  <c:v>3.0351609913778655E-2</c:v>
                </c:pt>
                <c:pt idx="2522">
                  <c:v>3.0346587365291382E-2</c:v>
                </c:pt>
                <c:pt idx="2523">
                  <c:v>3.0341575329931088E-2</c:v>
                </c:pt>
                <c:pt idx="2524">
                  <c:v>3.0341165233637096E-2</c:v>
                </c:pt>
                <c:pt idx="2525">
                  <c:v>3.0335257107418339E-2</c:v>
                </c:pt>
                <c:pt idx="2526">
                  <c:v>3.0329358912469254E-2</c:v>
                </c:pt>
                <c:pt idx="2527">
                  <c:v>3.0325309308830043E-2</c:v>
                </c:pt>
                <c:pt idx="2528">
                  <c:v>3.0319431474395937E-2</c:v>
                </c:pt>
                <c:pt idx="2529">
                  <c:v>3.0314483528614666E-2</c:v>
                </c:pt>
                <c:pt idx="2530">
                  <c:v>3.0309546098229691E-2</c:v>
                </c:pt>
                <c:pt idx="2531">
                  <c:v>3.0304619183161508E-2</c:v>
                </c:pt>
                <c:pt idx="2532">
                  <c:v>3.03006238496491E-2</c:v>
                </c:pt>
                <c:pt idx="2533">
                  <c:v>3.02947968986635E-2</c:v>
                </c:pt>
                <c:pt idx="2534">
                  <c:v>3.0286215372215257E-2</c:v>
                </c:pt>
                <c:pt idx="2535">
                  <c:v>3.0281329145345984E-2</c:v>
                </c:pt>
                <c:pt idx="2536">
                  <c:v>3.0276453429651944E-2</c:v>
                </c:pt>
                <c:pt idx="2537">
                  <c:v>3.0271588225057582E-2</c:v>
                </c:pt>
                <c:pt idx="2538">
                  <c:v>3.0266733531485165E-2</c:v>
                </c:pt>
                <c:pt idx="2539">
                  <c:v>3.0262812485519729E-2</c:v>
                </c:pt>
                <c:pt idx="2540">
                  <c:v>3.0257979161367018E-2</c:v>
                </c:pt>
                <c:pt idx="2541">
                  <c:v>3.0253156348943495E-2</c:v>
                </c:pt>
                <c:pt idx="2542">
                  <c:v>3.0248344048174912E-2</c:v>
                </c:pt>
                <c:pt idx="2543">
                  <c:v>3.0242617726302913E-2</c:v>
                </c:pt>
                <c:pt idx="2544">
                  <c:v>3.0237142436841093E-2</c:v>
                </c:pt>
                <c:pt idx="2545">
                  <c:v>3.0233044978735534E-2</c:v>
                </c:pt>
                <c:pt idx="2546">
                  <c:v>3.0227593713159452E-2</c:v>
                </c:pt>
                <c:pt idx="2547">
                  <c:v>3.0224440216480544E-2</c:v>
                </c:pt>
                <c:pt idx="2548">
                  <c:v>3.0219690984044593E-2</c:v>
                </c:pt>
                <c:pt idx="2549">
                  <c:v>3.0214952262733723E-2</c:v>
                </c:pt>
                <c:pt idx="2550">
                  <c:v>3.0210224052474557E-2</c:v>
                </c:pt>
                <c:pt idx="2551">
                  <c:v>3.0202143003238882E-2</c:v>
                </c:pt>
                <c:pt idx="2552">
                  <c:v>3.0199199787706851E-2</c:v>
                </c:pt>
                <c:pt idx="2553">
                  <c:v>3.0194504251834203E-2</c:v>
                </c:pt>
                <c:pt idx="2554">
                  <c:v>3.018981922577435E-2</c:v>
                </c:pt>
                <c:pt idx="2555">
                  <c:v>3.0185144709453954E-2</c:v>
                </c:pt>
                <c:pt idx="2556">
                  <c:v>3.0180480702800098E-2</c:v>
                </c:pt>
                <c:pt idx="2557">
                  <c:v>3.0175827205739001E-2</c:v>
                </c:pt>
                <c:pt idx="2558">
                  <c:v>3.017118421819863E-2</c:v>
                </c:pt>
                <c:pt idx="2559">
                  <c:v>3.0166551740104759E-2</c:v>
                </c:pt>
                <c:pt idx="2560">
                  <c:v>3.0165653031412588E-2</c:v>
                </c:pt>
                <c:pt idx="2561">
                  <c:v>3.0160111728673139E-2</c:v>
                </c:pt>
                <c:pt idx="2562">
                  <c:v>3.0155511883430706E-2</c:v>
                </c:pt>
                <c:pt idx="2563">
                  <c:v>3.0150922550125109E-2</c:v>
                </c:pt>
                <c:pt idx="2564">
                  <c:v>3.0141866974311864E-2</c:v>
                </c:pt>
                <c:pt idx="2565">
                  <c:v>3.0142708211730072E-2</c:v>
                </c:pt>
                <c:pt idx="2566">
                  <c:v>3.0137217621095204E-2</c:v>
                </c:pt>
                <c:pt idx="2567">
                  <c:v>3.013267033480542E-2</c:v>
                </c:pt>
                <c:pt idx="2568">
                  <c:v>3.0129067472218805E-2</c:v>
                </c:pt>
                <c:pt idx="2569">
                  <c:v>3.012360729686929E-2</c:v>
                </c:pt>
                <c:pt idx="2570">
                  <c:v>3.0119091545078195E-2</c:v>
                </c:pt>
                <c:pt idx="2571">
                  <c:v>3.0114586304642775E-2</c:v>
                </c:pt>
                <c:pt idx="2572">
                  <c:v>3.0110091575492173E-2</c:v>
                </c:pt>
                <c:pt idx="2573">
                  <c:v>3.0105607357552067E-2</c:v>
                </c:pt>
                <c:pt idx="2574">
                  <c:v>3.0101133650753325E-2</c:v>
                </c:pt>
                <c:pt idx="2575">
                  <c:v>3.0096670455023788E-2</c:v>
                </c:pt>
                <c:pt idx="2576">
                  <c:v>3.0094091734748755E-2</c:v>
                </c:pt>
                <c:pt idx="2577">
                  <c:v>3.008496416786283E-2</c:v>
                </c:pt>
                <c:pt idx="2578">
                  <c:v>3.0083343933539612E-2</c:v>
                </c:pt>
                <c:pt idx="2579">
                  <c:v>3.0079860869162967E-2</c:v>
                </c:pt>
                <c:pt idx="2580">
                  <c:v>3.0074512139927928E-2</c:v>
                </c:pt>
                <c:pt idx="2581">
                  <c:v>3.0070112009125075E-2</c:v>
                </c:pt>
                <c:pt idx="2582">
                  <c:v>3.0065722388896689E-2</c:v>
                </c:pt>
                <c:pt idx="2583">
                  <c:v>3.0061343279172335E-2</c:v>
                </c:pt>
                <c:pt idx="2584">
                  <c:v>3.0057914702517275E-2</c:v>
                </c:pt>
                <c:pt idx="2585">
                  <c:v>3.0052616590958335E-2</c:v>
                </c:pt>
                <c:pt idx="2586">
                  <c:v>3.0044506696427761E-2</c:v>
                </c:pt>
                <c:pt idx="2587">
                  <c:v>3.0040168062799927E-2</c:v>
                </c:pt>
                <c:pt idx="2588">
                  <c:v>3.0035839935662795E-2</c:v>
                </c:pt>
                <c:pt idx="2589">
                  <c:v>3.0031522314947916E-2</c:v>
                </c:pt>
                <c:pt idx="2590">
                  <c:v>3.0028157215293203E-2</c:v>
                </c:pt>
                <c:pt idx="2591">
                  <c:v>3.0023861002038604E-2</c:v>
                </c:pt>
                <c:pt idx="2592">
                  <c:v>3.0019575295921141E-2</c:v>
                </c:pt>
                <c:pt idx="2593">
                  <c:v>3.0019073807556747E-2</c:v>
                </c:pt>
                <c:pt idx="2594">
                  <c:v>3.001103540482444E-2</c:v>
                </c:pt>
                <c:pt idx="2595">
                  <c:v>3.0005837221763639E-2</c:v>
                </c:pt>
                <c:pt idx="2596">
                  <c:v>3.0000722038591325E-2</c:v>
                </c:pt>
                <c:pt idx="2597">
                  <c:v>2.999735957237849E-2</c:v>
                </c:pt>
                <c:pt idx="2598">
                  <c:v>2.9993136506452359E-2</c:v>
                </c:pt>
                <c:pt idx="2599">
                  <c:v>2.998986954727605E-2</c:v>
                </c:pt>
                <c:pt idx="2600">
                  <c:v>2.9985667895840045E-2</c:v>
                </c:pt>
                <c:pt idx="2601">
                  <c:v>2.9981476750939897E-2</c:v>
                </c:pt>
                <c:pt idx="2602">
                  <c:v>2.997729611251105E-2</c:v>
                </c:pt>
                <c:pt idx="2603">
                  <c:v>2.9973125980487618E-2</c:v>
                </c:pt>
                <c:pt idx="2604">
                  <c:v>2.9968018729476676E-2</c:v>
                </c:pt>
                <c:pt idx="2605">
                  <c:v>2.9963869202468268E-2</c:v>
                </c:pt>
                <c:pt idx="2606">
                  <c:v>2.9959730180759911E-2</c:v>
                </c:pt>
                <c:pt idx="2607">
                  <c:v>2.9955601664285368E-2</c:v>
                </c:pt>
                <c:pt idx="2608">
                  <c:v>2.9951483652981479E-2</c:v>
                </c:pt>
                <c:pt idx="2609">
                  <c:v>2.9947376146783767E-2</c:v>
                </c:pt>
                <c:pt idx="2610">
                  <c:v>2.9943279145628637E-2</c:v>
                </c:pt>
                <c:pt idx="2611">
                  <c:v>2.9939192649450726E-2</c:v>
                </c:pt>
                <c:pt idx="2612">
                  <c:v>2.9939872138580823E-2</c:v>
                </c:pt>
                <c:pt idx="2613">
                  <c:v>2.9934857031675685E-2</c:v>
                </c:pt>
                <c:pt idx="2614">
                  <c:v>2.9930803713784194E-2</c:v>
                </c:pt>
                <c:pt idx="2615">
                  <c:v>2.992676090424581E-2</c:v>
                </c:pt>
                <c:pt idx="2616">
                  <c:v>2.9919870317539048E-2</c:v>
                </c:pt>
                <c:pt idx="2617">
                  <c:v>2.9919660176043191E-2</c:v>
                </c:pt>
                <c:pt idx="2618">
                  <c:v>2.9914695525102897E-2</c:v>
                </c:pt>
                <c:pt idx="2619">
                  <c:v>2.9906504692344949E-2</c:v>
                </c:pt>
                <c:pt idx="2620">
                  <c:v>2.9906704479594568E-2</c:v>
                </c:pt>
                <c:pt idx="2621">
                  <c:v>2.9902724718825414E-2</c:v>
                </c:pt>
                <c:pt idx="2622">
                  <c:v>2.98997109401705E-2</c:v>
                </c:pt>
                <c:pt idx="2623">
                  <c:v>2.9894796720939126E-2</c:v>
                </c:pt>
                <c:pt idx="2624">
                  <c:v>2.9890848483696251E-2</c:v>
                </c:pt>
                <c:pt idx="2625">
                  <c:v>2.9886910754168723E-2</c:v>
                </c:pt>
                <c:pt idx="2626">
                  <c:v>2.9882983532293888E-2</c:v>
                </c:pt>
                <c:pt idx="2627">
                  <c:v>2.9879066818009958E-2</c:v>
                </c:pt>
                <c:pt idx="2628">
                  <c:v>2.9875160611253847E-2</c:v>
                </c:pt>
                <c:pt idx="2629">
                  <c:v>2.987126491196291E-2</c:v>
                </c:pt>
                <c:pt idx="2630">
                  <c:v>2.9867379720076213E-2</c:v>
                </c:pt>
                <c:pt idx="2631">
                  <c:v>2.9863505035530674E-2</c:v>
                </c:pt>
                <c:pt idx="2632">
                  <c:v>2.9860600616546506E-2</c:v>
                </c:pt>
                <c:pt idx="2633">
                  <c:v>2.9855787188217221E-2</c:v>
                </c:pt>
                <c:pt idx="2634">
                  <c:v>2.985194402532616E-2</c:v>
                </c:pt>
                <c:pt idx="2635">
                  <c:v>2.9848111369530833E-2</c:v>
                </c:pt>
                <c:pt idx="2636">
                  <c:v>2.9845250717933678E-2</c:v>
                </c:pt>
                <c:pt idx="2637">
                  <c:v>2.9840477578981953E-2</c:v>
                </c:pt>
                <c:pt idx="2638">
                  <c:v>2.9832827905340416E-2</c:v>
                </c:pt>
                <c:pt idx="2639">
                  <c:v>2.9829035523266184E-2</c:v>
                </c:pt>
                <c:pt idx="2640">
                  <c:v>2.9825253644386731E-2</c:v>
                </c:pt>
                <c:pt idx="2641">
                  <c:v>2.9821482268645085E-2</c:v>
                </c:pt>
                <c:pt idx="2642">
                  <c:v>2.9818685147143163E-2</c:v>
                </c:pt>
                <c:pt idx="2643">
                  <c:v>2.9814935219450403E-2</c:v>
                </c:pt>
                <c:pt idx="2644">
                  <c:v>2.9815055294743036E-2</c:v>
                </c:pt>
                <c:pt idx="2645">
                  <c:v>2.9807466875581355E-2</c:v>
                </c:pt>
                <c:pt idx="2646">
                  <c:v>2.9803748459287363E-2</c:v>
                </c:pt>
                <c:pt idx="2647">
                  <c:v>2.9799074576783071E-2</c:v>
                </c:pt>
                <c:pt idx="2648">
                  <c:v>2.9795376721360099E-2</c:v>
                </c:pt>
                <c:pt idx="2649">
                  <c:v>2.9791689368609004E-2</c:v>
                </c:pt>
                <c:pt idx="2650">
                  <c:v>2.9788012518469732E-2</c:v>
                </c:pt>
                <c:pt idx="2651">
                  <c:v>2.9785313931903208E-2</c:v>
                </c:pt>
                <c:pt idx="2652">
                  <c:v>2.9781658536838326E-2</c:v>
                </c:pt>
                <c:pt idx="2653">
                  <c:v>2.9778013645109232E-2</c:v>
                </c:pt>
                <c:pt idx="2654">
                  <c:v>2.9774379256659697E-2</c:v>
                </c:pt>
                <c:pt idx="2655">
                  <c:v>2.9766296500778191E-2</c:v>
                </c:pt>
                <c:pt idx="2656">
                  <c:v>2.9765596612298037E-2</c:v>
                </c:pt>
                <c:pt idx="2657">
                  <c:v>2.9761998234659543E-2</c:v>
                </c:pt>
                <c:pt idx="2658">
                  <c:v>2.9756927473369558E-2</c:v>
                </c:pt>
                <c:pt idx="2659">
                  <c:v>2.9754832988410026E-2</c:v>
                </c:pt>
                <c:pt idx="2660">
                  <c:v>2.9751266119687005E-2</c:v>
                </c:pt>
                <c:pt idx="2661">
                  <c:v>2.974770975382279E-2</c:v>
                </c:pt>
                <c:pt idx="2662">
                  <c:v>2.9742685173215298E-2</c:v>
                </c:pt>
                <c:pt idx="2663">
                  <c:v>2.9741602045557085E-2</c:v>
                </c:pt>
                <c:pt idx="2664">
                  <c:v>2.9739051723130832E-2</c:v>
                </c:pt>
                <c:pt idx="2665">
                  <c:v>2.9735538292480504E-2</c:v>
                </c:pt>
                <c:pt idx="2666">
                  <c:v>2.9732035366193208E-2</c:v>
                </c:pt>
                <c:pt idx="2667">
                  <c:v>2.9728542944215074E-2</c:v>
                </c:pt>
                <c:pt idx="2668">
                  <c:v>2.9724085098306114E-2</c:v>
                </c:pt>
                <c:pt idx="2669">
                  <c:v>2.9720613218999225E-2</c:v>
                </c:pt>
                <c:pt idx="2670">
                  <c:v>2.9716164807520488E-2</c:v>
                </c:pt>
                <c:pt idx="2671">
                  <c:v>2.9713700970090455E-2</c:v>
                </c:pt>
                <c:pt idx="2672">
                  <c:v>2.9710260600379807E-2</c:v>
                </c:pt>
                <c:pt idx="2673">
                  <c:v>2.97073199432971E-2</c:v>
                </c:pt>
                <c:pt idx="2674">
                  <c:v>2.9704390106368814E-2</c:v>
                </c:pt>
                <c:pt idx="2675">
                  <c:v>2.9700981716877736E-2</c:v>
                </c:pt>
                <c:pt idx="2676">
                  <c:v>2.9698079122146167E-2</c:v>
                </c:pt>
                <c:pt idx="2677">
                  <c:v>2.9693216297090402E-2</c:v>
                </c:pt>
                <c:pt idx="2678">
                  <c:v>2.9689838945110243E-2</c:v>
                </c:pt>
                <c:pt idx="2679">
                  <c:v>2.9686472095897701E-2</c:v>
                </c:pt>
                <c:pt idx="2680">
                  <c:v>2.9683115749398612E-2</c:v>
                </c:pt>
                <c:pt idx="2681">
                  <c:v>2.9681734110231416E-2</c:v>
                </c:pt>
                <c:pt idx="2682">
                  <c:v>2.9677417094275384E-2</c:v>
                </c:pt>
                <c:pt idx="2683">
                  <c:v>2.9674092733811951E-2</c:v>
                </c:pt>
                <c:pt idx="2684">
                  <c:v>2.9670778876736682E-2</c:v>
                </c:pt>
                <c:pt idx="2685">
                  <c:v>2.9667475522999177E-2</c:v>
                </c:pt>
                <c:pt idx="2686">
                  <c:v>2.9664182672546432E-2</c:v>
                </c:pt>
                <c:pt idx="2687">
                  <c:v>2.9660900325325455E-2</c:v>
                </c:pt>
                <c:pt idx="2688">
                  <c:v>2.9657628481284105E-2</c:v>
                </c:pt>
                <c:pt idx="2689">
                  <c:v>2.9653902091922677E-2</c:v>
                </c:pt>
                <c:pt idx="2690">
                  <c:v>2.9647693706628727E-2</c:v>
                </c:pt>
                <c:pt idx="2691">
                  <c:v>2.9645902336837705E-2</c:v>
                </c:pt>
                <c:pt idx="2692">
                  <c:v>2.9642671532768155E-2</c:v>
                </c:pt>
                <c:pt idx="2693">
                  <c:v>2.9639451229853713E-2</c:v>
                </c:pt>
                <c:pt idx="2694">
                  <c:v>2.9632289531191215E-2</c:v>
                </c:pt>
                <c:pt idx="2695">
                  <c:v>2.9633042127292519E-2</c:v>
                </c:pt>
                <c:pt idx="2696">
                  <c:v>2.9629398641945685E-2</c:v>
                </c:pt>
                <c:pt idx="2697">
                  <c:v>2.9626675028751805E-2</c:v>
                </c:pt>
                <c:pt idx="2698">
                  <c:v>2.9623507230864505E-2</c:v>
                </c:pt>
                <c:pt idx="2699">
                  <c:v>2.9621340612273145E-2</c:v>
                </c:pt>
                <c:pt idx="2700">
                  <c:v>2.9615763311811694E-2</c:v>
                </c:pt>
                <c:pt idx="2701">
                  <c:v>2.9614066842135741E-2</c:v>
                </c:pt>
                <c:pt idx="2702">
                  <c:v>2.961193320782252E-2</c:v>
                </c:pt>
                <c:pt idx="2703">
                  <c:v>2.9607825753270249E-2</c:v>
                </c:pt>
                <c:pt idx="2704">
                  <c:v>2.960472095977542E-2</c:v>
                </c:pt>
                <c:pt idx="2705">
                  <c:v>2.960162666684189E-2</c:v>
                </c:pt>
                <c:pt idx="2706">
                  <c:v>2.9598542874420469E-2</c:v>
                </c:pt>
                <c:pt idx="2707">
                  <c:v>2.9594036780601102E-2</c:v>
                </c:pt>
                <c:pt idx="2708">
                  <c:v>2.9590974988932279E-2</c:v>
                </c:pt>
                <c:pt idx="2709">
                  <c:v>2.9587923696745407E-2</c:v>
                </c:pt>
                <c:pt idx="2710">
                  <c:v>2.9584882903992783E-2</c:v>
                </c:pt>
                <c:pt idx="2711">
                  <c:v>2.958185261062583E-2</c:v>
                </c:pt>
                <c:pt idx="2712">
                  <c:v>2.9578832816599943E-2</c:v>
                </c:pt>
                <c:pt idx="2713">
                  <c:v>2.95758235218661E-2</c:v>
                </c:pt>
                <c:pt idx="2714">
                  <c:v>2.9572824726377928E-2</c:v>
                </c:pt>
                <c:pt idx="2715">
                  <c:v>2.9570835073475847E-2</c:v>
                </c:pt>
                <c:pt idx="2716">
                  <c:v>2.9569856394008866E-2</c:v>
                </c:pt>
                <c:pt idx="2717">
                  <c:v>2.9566890620545964E-2</c:v>
                </c:pt>
                <c:pt idx="2718">
                  <c:v>2.9563935348770408E-2</c:v>
                </c:pt>
                <c:pt idx="2719">
                  <c:v>2.9560990578639187E-2</c:v>
                </c:pt>
                <c:pt idx="2720">
                  <c:v>2.9556218335159552E-2</c:v>
                </c:pt>
                <c:pt idx="2721">
                  <c:v>2.9553297056556054E-2</c:v>
                </c:pt>
                <c:pt idx="2722">
                  <c:v>2.955038627856714E-2</c:v>
                </c:pt>
                <c:pt idx="2723">
                  <c:v>2.9547486001146511E-2</c:v>
                </c:pt>
                <c:pt idx="2724">
                  <c:v>2.9547607320707863E-2</c:v>
                </c:pt>
                <c:pt idx="2725">
                  <c:v>2.9544729591258718E-2</c:v>
                </c:pt>
                <c:pt idx="2726">
                  <c:v>2.9541862364865203E-2</c:v>
                </c:pt>
                <c:pt idx="2727">
                  <c:v>2.9539005641480473E-2</c:v>
                </c:pt>
                <c:pt idx="2728">
                  <c:v>2.9533142120965836E-2</c:v>
                </c:pt>
                <c:pt idx="2729">
                  <c:v>2.9530304845999607E-2</c:v>
                </c:pt>
                <c:pt idx="2730">
                  <c:v>2.9527478071284103E-2</c:v>
                </c:pt>
                <c:pt idx="2731">
                  <c:v>2.9524661796774768E-2</c:v>
                </c:pt>
                <c:pt idx="2732">
                  <c:v>2.9524879568104925E-2</c:v>
                </c:pt>
                <c:pt idx="2733">
                  <c:v>2.952208586182313E-2</c:v>
                </c:pt>
                <c:pt idx="2734">
                  <c:v>2.9519302658232955E-2</c:v>
                </c:pt>
                <c:pt idx="2735">
                  <c:v>2.9517539586793269E-2</c:v>
                </c:pt>
                <c:pt idx="2736">
                  <c:v>2.9513767758951259E-2</c:v>
                </c:pt>
                <c:pt idx="2737">
                  <c:v>2.9507984651587753E-2</c:v>
                </c:pt>
                <c:pt idx="2738">
                  <c:v>2.9508274869907002E-2</c:v>
                </c:pt>
                <c:pt idx="2739">
                  <c:v>2.9506555915766026E-2</c:v>
                </c:pt>
                <c:pt idx="2740">
                  <c:v>2.9502823990747776E-2</c:v>
                </c:pt>
                <c:pt idx="2741">
                  <c:v>2.9497076553369844E-2</c:v>
                </c:pt>
                <c:pt idx="2742">
                  <c:v>2.9493362875759037E-2</c:v>
                </c:pt>
                <c:pt idx="2743">
                  <c:v>2.9490672069161276E-2</c:v>
                </c:pt>
                <c:pt idx="2744">
                  <c:v>2.9487991761335482E-2</c:v>
                </c:pt>
                <c:pt idx="2745">
                  <c:v>2.9485321952239484E-2</c:v>
                </c:pt>
                <c:pt idx="2746">
                  <c:v>2.9483677674146658E-2</c:v>
                </c:pt>
                <c:pt idx="2747">
                  <c:v>2.948102939701901E-2</c:v>
                </c:pt>
                <c:pt idx="2748">
                  <c:v>2.9482457094706264E-2</c:v>
                </c:pt>
                <c:pt idx="2749">
                  <c:v>2.9475764341144014E-2</c:v>
                </c:pt>
                <c:pt idx="2750">
                  <c:v>2.9473147562313669E-2</c:v>
                </c:pt>
                <c:pt idx="2751">
                  <c:v>2.9469523568657039E-2</c:v>
                </c:pt>
                <c:pt idx="2752">
                  <c:v>2.94669272495066E-2</c:v>
                </c:pt>
                <c:pt idx="2753">
                  <c:v>2.9464341428755671E-2</c:v>
                </c:pt>
                <c:pt idx="2754">
                  <c:v>2.9461399060171287E-2</c:v>
                </c:pt>
                <c:pt idx="2755">
                  <c:v>2.9460221157592847E-2</c:v>
                </c:pt>
                <c:pt idx="2756">
                  <c:v>2.9457667374248927E-2</c:v>
                </c:pt>
                <c:pt idx="2757">
                  <c:v>2.9455124090010415E-2</c:v>
                </c:pt>
                <c:pt idx="2758">
                  <c:v>2.9451148712876487E-2</c:v>
                </c:pt>
                <c:pt idx="2759">
                  <c:v>2.944868742090833E-2</c:v>
                </c:pt>
                <c:pt idx="2760">
                  <c:v>2.9446534635293942E-2</c:v>
                </c:pt>
                <c:pt idx="2761">
                  <c:v>2.94440328002906E-2</c:v>
                </c:pt>
                <c:pt idx="2762">
                  <c:v>2.9441541463328818E-2</c:v>
                </c:pt>
                <c:pt idx="2763">
                  <c:v>2.9439060624367304E-2</c:v>
                </c:pt>
                <c:pt idx="2764">
                  <c:v>2.943659028336873E-2</c:v>
                </c:pt>
                <c:pt idx="2765">
                  <c:v>2.9434130440293565E-2</c:v>
                </c:pt>
                <c:pt idx="2766">
                  <c:v>2.9431681095103596E-2</c:v>
                </c:pt>
                <c:pt idx="2767">
                  <c:v>2.9429242247760178E-2</c:v>
                </c:pt>
                <c:pt idx="2768">
                  <c:v>2.9431949959205603E-2</c:v>
                </c:pt>
                <c:pt idx="2769">
                  <c:v>2.9428506893313503E-2</c:v>
                </c:pt>
                <c:pt idx="2770">
                  <c:v>2.942610175824777E-2</c:v>
                </c:pt>
                <c:pt idx="2771">
                  <c:v>2.9423707124335532E-2</c:v>
                </c:pt>
                <c:pt idx="2772">
                  <c:v>2.9418234692250991E-2</c:v>
                </c:pt>
                <c:pt idx="2773">
                  <c:v>2.9415859388362546E-2</c:v>
                </c:pt>
                <c:pt idx="2774">
                  <c:v>2.9413494582920367E-2</c:v>
                </c:pt>
                <c:pt idx="2775">
                  <c:v>2.9411140275887326E-2</c:v>
                </c:pt>
                <c:pt idx="2776">
                  <c:v>2.9408796467227168E-2</c:v>
                </c:pt>
                <c:pt idx="2777">
                  <c:v>2.9409559842959038E-2</c:v>
                </c:pt>
                <c:pt idx="2778">
                  <c:v>2.9407238716058461E-2</c:v>
                </c:pt>
                <c:pt idx="2779">
                  <c:v>2.9404928090010118E-2</c:v>
                </c:pt>
                <c:pt idx="2780">
                  <c:v>2.9402627964776183E-2</c:v>
                </c:pt>
                <c:pt idx="2781">
                  <c:v>2.9397234898214837E-2</c:v>
                </c:pt>
                <c:pt idx="2782">
                  <c:v>2.9394954079014882E-2</c:v>
                </c:pt>
                <c:pt idx="2783">
                  <c:v>2.9392683757932275E-2</c:v>
                </c:pt>
                <c:pt idx="2784">
                  <c:v>2.939560538110142E-2</c:v>
                </c:pt>
                <c:pt idx="2785">
                  <c:v>2.9392321817185985E-2</c:v>
                </c:pt>
                <c:pt idx="2786">
                  <c:v>2.938904772842095E-2</c:v>
                </c:pt>
                <c:pt idx="2787">
                  <c:v>2.9387859214030955E-2</c:v>
                </c:pt>
                <c:pt idx="2788">
                  <c:v>2.9384604987833487E-2</c:v>
                </c:pt>
                <c:pt idx="2789">
                  <c:v>2.9382399368290568E-2</c:v>
                </c:pt>
                <c:pt idx="2790">
                  <c:v>2.9380204249199769E-2</c:v>
                </c:pt>
                <c:pt idx="2791">
                  <c:v>2.937801963052929E-2</c:v>
                </c:pt>
                <c:pt idx="2792">
                  <c:v>2.9376886479774773E-2</c:v>
                </c:pt>
                <c:pt idx="2793">
                  <c:v>2.9373681894299727E-2</c:v>
                </c:pt>
                <c:pt idx="2794">
                  <c:v>2.9366319859082526E-2</c:v>
                </c:pt>
                <c:pt idx="2795">
                  <c:v>2.9364174360479438E-2</c:v>
                </c:pt>
                <c:pt idx="2796">
                  <c:v>2.9362039357819909E-2</c:v>
                </c:pt>
                <c:pt idx="2797">
                  <c:v>2.9359914851070822E-2</c:v>
                </c:pt>
                <c:pt idx="2798">
                  <c:v>2.9358844710011548E-2</c:v>
                </c:pt>
                <c:pt idx="2799">
                  <c:v>2.9356741774457504E-2</c:v>
                </c:pt>
                <c:pt idx="2800">
                  <c:v>2.9354649335574242E-2</c:v>
                </c:pt>
                <c:pt idx="2801">
                  <c:v>2.9352567393329268E-2</c:v>
                </c:pt>
                <c:pt idx="2802">
                  <c:v>2.9350495947690073E-2</c:v>
                </c:pt>
                <c:pt idx="2803">
                  <c:v>2.9347388222858314E-2</c:v>
                </c:pt>
                <c:pt idx="2804">
                  <c:v>2.934504503816894E-2</c:v>
                </c:pt>
                <c:pt idx="2805">
                  <c:v>2.934329664592249E-2</c:v>
                </c:pt>
                <c:pt idx="2806">
                  <c:v>2.9340977451249278E-2</c:v>
                </c:pt>
                <c:pt idx="2807">
                  <c:v>2.9340296167447242E-2</c:v>
                </c:pt>
                <c:pt idx="2808">
                  <c:v>2.9338287700765041E-2</c:v>
                </c:pt>
                <c:pt idx="2809">
                  <c:v>2.9336289730464628E-2</c:v>
                </c:pt>
                <c:pt idx="2810">
                  <c:v>2.9334302256514816E-2</c:v>
                </c:pt>
                <c:pt idx="2811">
                  <c:v>2.9330919578305189E-2</c:v>
                </c:pt>
                <c:pt idx="2812">
                  <c:v>2.932902658346042E-2</c:v>
                </c:pt>
                <c:pt idx="2813">
                  <c:v>2.9327071506226612E-2</c:v>
                </c:pt>
                <c:pt idx="2814">
                  <c:v>2.9325126924358708E-2</c:v>
                </c:pt>
                <c:pt idx="2815">
                  <c:v>2.9323192837825345E-2</c:v>
                </c:pt>
                <c:pt idx="2816">
                  <c:v>2.9321269246596501E-2</c:v>
                </c:pt>
                <c:pt idx="2817">
                  <c:v>2.9319356150642142E-2</c:v>
                </c:pt>
                <c:pt idx="2818">
                  <c:v>2.9317453549933557E-2</c:v>
                </c:pt>
                <c:pt idx="2819">
                  <c:v>2.9315561444439395E-2</c:v>
                </c:pt>
                <c:pt idx="2820">
                  <c:v>2.9318965487192598E-2</c:v>
                </c:pt>
                <c:pt idx="2821">
                  <c:v>2.931603940717702E-2</c:v>
                </c:pt>
                <c:pt idx="2822">
                  <c:v>2.931418118508709E-2</c:v>
                </c:pt>
                <c:pt idx="2823">
                  <c:v>2.9312333461517699E-2</c:v>
                </c:pt>
                <c:pt idx="2824">
                  <c:v>2.9310496236440328E-2</c:v>
                </c:pt>
                <c:pt idx="2825">
                  <c:v>2.9305509310613372E-2</c:v>
                </c:pt>
                <c:pt idx="2826">
                  <c:v>2.9306853281642398E-2</c:v>
                </c:pt>
                <c:pt idx="2827">
                  <c:v>2.9305047551864801E-2</c:v>
                </c:pt>
                <c:pt idx="2828">
                  <c:v>2.9303252320461267E-2</c:v>
                </c:pt>
                <c:pt idx="2829">
                  <c:v>2.9301467587405872E-2</c:v>
                </c:pt>
                <c:pt idx="2830">
                  <c:v>2.9299693352667498E-2</c:v>
                </c:pt>
                <c:pt idx="2831">
                  <c:v>2.9297929616219364E-2</c:v>
                </c:pt>
                <c:pt idx="2832">
                  <c:v>2.9296176378033383E-2</c:v>
                </c:pt>
                <c:pt idx="2833">
                  <c:v>2.9294433638081468E-2</c:v>
                </c:pt>
                <c:pt idx="2834">
                  <c:v>2.9292701396335098E-2</c:v>
                </c:pt>
                <c:pt idx="2835">
                  <c:v>2.9290979652767921E-2</c:v>
                </c:pt>
                <c:pt idx="2836">
                  <c:v>2.9291402612463366E-2</c:v>
                </c:pt>
                <c:pt idx="2837">
                  <c:v>2.9288635317102296E-2</c:v>
                </c:pt>
                <c:pt idx="2838">
                  <c:v>2.9285877410862839E-2</c:v>
                </c:pt>
                <c:pt idx="2839">
                  <c:v>2.9285266544503353E-2</c:v>
                </c:pt>
                <c:pt idx="2840">
                  <c:v>2.9282528406652453E-2</c:v>
                </c:pt>
                <c:pt idx="2841">
                  <c:v>2.9281939767489485E-2</c:v>
                </c:pt>
                <c:pt idx="2842">
                  <c:v>2.9279221394507681E-2</c:v>
                </c:pt>
                <c:pt idx="2843">
                  <c:v>2.9277583635393623E-2</c:v>
                </c:pt>
                <c:pt idx="2844">
                  <c:v>2.9277028343226069E-2</c:v>
                </c:pt>
                <c:pt idx="2845">
                  <c:v>2.9274339610952549E-2</c:v>
                </c:pt>
                <c:pt idx="2846">
                  <c:v>2.9268441683487547E-2</c:v>
                </c:pt>
                <c:pt idx="2847">
                  <c:v>2.9266843432634779E-2</c:v>
                </c:pt>
                <c:pt idx="2848">
                  <c:v>2.926525567620767E-2</c:v>
                </c:pt>
                <c:pt idx="2849">
                  <c:v>2.9263678414180608E-2</c:v>
                </c:pt>
                <c:pt idx="2850">
                  <c:v>2.9263186873975545E-2</c:v>
                </c:pt>
                <c:pt idx="2851">
                  <c:v>2.9261631224751162E-2</c:v>
                </c:pt>
                <c:pt idx="2852">
                  <c:v>2.9260086070706889E-2</c:v>
                </c:pt>
                <c:pt idx="2853">
                  <c:v>2.9258551411817688E-2</c:v>
                </c:pt>
                <c:pt idx="2854">
                  <c:v>2.9257027248058967E-2</c:v>
                </c:pt>
                <c:pt idx="2855">
                  <c:v>2.925443522307572E-2</c:v>
                </c:pt>
                <c:pt idx="2856">
                  <c:v>2.9253369401371448E-2</c:v>
                </c:pt>
                <c:pt idx="2857">
                  <c:v>2.9251438113485378E-2</c:v>
                </c:pt>
                <c:pt idx="2858">
                  <c:v>2.9249955299980687E-2</c:v>
                </c:pt>
                <c:pt idx="2859">
                  <c:v>2.9249563855401232E-2</c:v>
                </c:pt>
                <c:pt idx="2860">
                  <c:v>2.9248102661932153E-2</c:v>
                </c:pt>
                <c:pt idx="2861">
                  <c:v>2.9246651963430608E-2</c:v>
                </c:pt>
                <c:pt idx="2862">
                  <c:v>2.9245211759872877E-2</c:v>
                </c:pt>
                <c:pt idx="2863">
                  <c:v>2.9243782051237878E-2</c:v>
                </c:pt>
                <c:pt idx="2864">
                  <c:v>2.9241278795559676E-2</c:v>
                </c:pt>
                <c:pt idx="2865">
                  <c:v>2.9239869440714692E-2</c:v>
                </c:pt>
                <c:pt idx="2866">
                  <c:v>2.9238470579874491E-2</c:v>
                </c:pt>
                <c:pt idx="2867">
                  <c:v>2.9237082213016106E-2</c:v>
                </c:pt>
                <c:pt idx="2868">
                  <c:v>2.9235704340120988E-2</c:v>
                </c:pt>
                <c:pt idx="2869">
                  <c:v>2.9234336961165289E-2</c:v>
                </c:pt>
                <c:pt idx="2870">
                  <c:v>2.9232980076128252E-2</c:v>
                </c:pt>
                <c:pt idx="2871">
                  <c:v>2.923163368498868E-2</c:v>
                </c:pt>
                <c:pt idx="2872">
                  <c:v>2.9235744757440448E-2</c:v>
                </c:pt>
                <c:pt idx="2873">
                  <c:v>2.9233332291549046E-2</c:v>
                </c:pt>
                <c:pt idx="2874">
                  <c:v>2.9232019957185058E-2</c:v>
                </c:pt>
                <c:pt idx="2875">
                  <c:v>2.9228887111249276E-2</c:v>
                </c:pt>
                <c:pt idx="2876">
                  <c:v>2.9226150866882745E-2</c:v>
                </c:pt>
                <c:pt idx="2877">
                  <c:v>2.9229238796240134E-2</c:v>
                </c:pt>
                <c:pt idx="2878">
                  <c:v>2.9226875591633564E-2</c:v>
                </c:pt>
                <c:pt idx="2879">
                  <c:v>2.9225615743119188E-2</c:v>
                </c:pt>
                <c:pt idx="2880">
                  <c:v>2.9225461195664559E-2</c:v>
                </c:pt>
                <c:pt idx="2881">
                  <c:v>2.9223127537396861E-2</c:v>
                </c:pt>
                <c:pt idx="2882">
                  <c:v>2.9221899180149592E-2</c:v>
                </c:pt>
                <c:pt idx="2883">
                  <c:v>2.9220681319952039E-2</c:v>
                </c:pt>
                <c:pt idx="2884">
                  <c:v>2.9219473956784325E-2</c:v>
                </c:pt>
                <c:pt idx="2885">
                  <c:v>2.9218277090628735E-2</c:v>
                </c:pt>
                <c:pt idx="2886">
                  <c:v>2.9217090721463668E-2</c:v>
                </c:pt>
                <c:pt idx="2887">
                  <c:v>2.921591484927313E-2</c:v>
                </c:pt>
                <c:pt idx="2888">
                  <c:v>2.9216949651907687E-2</c:v>
                </c:pt>
                <c:pt idx="2889">
                  <c:v>2.9210293274176107E-2</c:v>
                </c:pt>
                <c:pt idx="2890">
                  <c:v>2.9212450214350823E-2</c:v>
                </c:pt>
                <c:pt idx="2891">
                  <c:v>2.9212418330770634E-2</c:v>
                </c:pt>
                <c:pt idx="2892">
                  <c:v>2.9210192942261792E-2</c:v>
                </c:pt>
                <c:pt idx="2893">
                  <c:v>2.9209080051520502E-2</c:v>
                </c:pt>
                <c:pt idx="2894">
                  <c:v>2.9207977657625412E-2</c:v>
                </c:pt>
                <c:pt idx="2895">
                  <c:v>2.9206885760557515E-2</c:v>
                </c:pt>
                <c:pt idx="2896">
                  <c:v>2.9206909666460119E-2</c:v>
                </c:pt>
                <c:pt idx="2897">
                  <c:v>2.9204733456834595E-2</c:v>
                </c:pt>
                <c:pt idx="2898">
                  <c:v>2.9199247744639743E-2</c:v>
                </c:pt>
                <c:pt idx="2899">
                  <c:v>2.9198195174702235E-2</c:v>
                </c:pt>
                <c:pt idx="2900">
                  <c:v>2.9197153098120748E-2</c:v>
                </c:pt>
                <c:pt idx="2901">
                  <c:v>2.9196121514877608E-2</c:v>
                </c:pt>
                <c:pt idx="2902">
                  <c:v>2.9196209231085648E-2</c:v>
                </c:pt>
                <c:pt idx="2903">
                  <c:v>2.9195199302688032E-2</c:v>
                </c:pt>
                <c:pt idx="2904">
                  <c:v>2.9198641680000345E-2</c:v>
                </c:pt>
                <c:pt idx="2905">
                  <c:v>2.9193210928291032E-2</c:v>
                </c:pt>
                <c:pt idx="2906">
                  <c:v>2.9192232482260463E-2</c:v>
                </c:pt>
                <c:pt idx="2907">
                  <c:v>2.919015237464137E-2</c:v>
                </c:pt>
                <c:pt idx="2908">
                  <c:v>2.9189899945838427E-2</c:v>
                </c:pt>
                <c:pt idx="2909">
                  <c:v>2.9188246607229202E-2</c:v>
                </c:pt>
                <c:pt idx="2910">
                  <c:v>2.9187309463329043E-2</c:v>
                </c:pt>
                <c:pt idx="2911">
                  <c:v>2.9187497663164103E-2</c:v>
                </c:pt>
                <c:pt idx="2912">
                  <c:v>2.9186582181453886E-2</c:v>
                </c:pt>
                <c:pt idx="2913">
                  <c:v>2.9185677193745378E-2</c:v>
                </c:pt>
                <c:pt idx="2914">
                  <c:v>2.9184782700024964E-2</c:v>
                </c:pt>
                <c:pt idx="2915">
                  <c:v>2.9183898700278592E-2</c:v>
                </c:pt>
                <c:pt idx="2916">
                  <c:v>2.9181906956322421E-2</c:v>
                </c:pt>
                <c:pt idx="2917">
                  <c:v>2.9181043264421218E-2</c:v>
                </c:pt>
                <c:pt idx="2918">
                  <c:v>2.9180190065607962E-2</c:v>
                </c:pt>
                <c:pt idx="2919">
                  <c:v>2.9179347359868959E-2</c:v>
                </c:pt>
                <c:pt idx="2920">
                  <c:v>2.9178515147190522E-2</c:v>
                </c:pt>
                <c:pt idx="2921">
                  <c:v>2.9177693427559399E-2</c:v>
                </c:pt>
                <c:pt idx="2922">
                  <c:v>2.9176882200964108E-2</c:v>
                </c:pt>
                <c:pt idx="2923">
                  <c:v>2.9176081467392284E-2</c:v>
                </c:pt>
                <c:pt idx="2924">
                  <c:v>2.9180910999426695E-2</c:v>
                </c:pt>
                <c:pt idx="2925">
                  <c:v>2.9179009793097118E-2</c:v>
                </c:pt>
                <c:pt idx="2926">
                  <c:v>2.9178243289885511E-2</c:v>
                </c:pt>
                <c:pt idx="2927">
                  <c:v>2.9177487283026667E-2</c:v>
                </c:pt>
                <c:pt idx="2928">
                  <c:v>2.917336164912478E-2</c:v>
                </c:pt>
                <c:pt idx="2929">
                  <c:v>2.9177134409956725E-2</c:v>
                </c:pt>
                <c:pt idx="2930">
                  <c:v>2.9172615846195977E-2</c:v>
                </c:pt>
                <c:pt idx="2931">
                  <c:v>2.9174568218892472E-2</c:v>
                </c:pt>
                <c:pt idx="2932">
                  <c:v>2.9173864693625026E-2</c:v>
                </c:pt>
                <c:pt idx="2933">
                  <c:v>2.9173171664642068E-2</c:v>
                </c:pt>
                <c:pt idx="2934">
                  <c:v>2.9173620249573391E-2</c:v>
                </c:pt>
                <c:pt idx="2935">
                  <c:v>2.9171817095482524E-2</c:v>
                </c:pt>
                <c:pt idx="2936">
                  <c:v>2.91711555552852E-2</c:v>
                </c:pt>
                <c:pt idx="2937">
                  <c:v>2.9170504511328292E-2</c:v>
                </c:pt>
                <c:pt idx="2938">
                  <c:v>2.9169863963601866E-2</c:v>
                </c:pt>
                <c:pt idx="2939">
                  <c:v>2.9169233912095978E-2</c:v>
                </c:pt>
                <c:pt idx="2940">
                  <c:v>2.9168614356800262E-2</c:v>
                </c:pt>
                <c:pt idx="2941">
                  <c:v>2.9168005297703917E-2</c:v>
                </c:pt>
                <c:pt idx="2942">
                  <c:v>2.9167406734799162E-2</c:v>
                </c:pt>
                <c:pt idx="2943">
                  <c:v>2.9166818668074333E-2</c:v>
                </c:pt>
                <c:pt idx="2944">
                  <c:v>2.9167379210533417E-2</c:v>
                </c:pt>
                <c:pt idx="2945">
                  <c:v>2.916567402313118E-2</c:v>
                </c:pt>
                <c:pt idx="2946">
                  <c:v>2.9165117444893411E-2</c:v>
                </c:pt>
                <c:pt idx="2947">
                  <c:v>2.9164571362800568E-2</c:v>
                </c:pt>
                <c:pt idx="2948">
                  <c:v>2.9165176711647776E-2</c:v>
                </c:pt>
                <c:pt idx="2949">
                  <c:v>2.91635106870138E-2</c:v>
                </c:pt>
                <c:pt idx="2950">
                  <c:v>2.9159569815918301E-2</c:v>
                </c:pt>
                <c:pt idx="2951">
                  <c:v>2.9159063591281148E-2</c:v>
                </c:pt>
                <c:pt idx="2952">
                  <c:v>2.9158567860215281E-2</c:v>
                </c:pt>
                <c:pt idx="2953">
                  <c:v>2.9158082622711478E-2</c:v>
                </c:pt>
                <c:pt idx="2954">
                  <c:v>2.9161042679485293E-2</c:v>
                </c:pt>
                <c:pt idx="2955">
                  <c:v>2.9161726471689096E-2</c:v>
                </c:pt>
                <c:pt idx="2956">
                  <c:v>2.9160128949084114E-2</c:v>
                </c:pt>
                <c:pt idx="2957">
                  <c:v>2.9159687827984681E-2</c:v>
                </c:pt>
                <c:pt idx="2958">
                  <c:v>2.9159257202942893E-2</c:v>
                </c:pt>
                <c:pt idx="2959">
                  <c:v>2.9155391562093617E-2</c:v>
                </c:pt>
                <c:pt idx="2960">
                  <c:v>2.9154979779326611E-2</c:v>
                </c:pt>
                <c:pt idx="2961">
                  <c:v>2.9154578490065013E-2</c:v>
                </c:pt>
                <c:pt idx="2962">
                  <c:v>2.9154187694304425E-2</c:v>
                </c:pt>
                <c:pt idx="2963">
                  <c:v>2.9153807392038263E-2</c:v>
                </c:pt>
                <c:pt idx="2964">
                  <c:v>2.9156893869535867E-2</c:v>
                </c:pt>
                <c:pt idx="2965">
                  <c:v>2.9156536716716114E-2</c:v>
                </c:pt>
                <c:pt idx="2966">
                  <c:v>2.9156190059904316E-2</c:v>
                </c:pt>
                <c:pt idx="2967">
                  <c:v>2.915224933221864E-2</c:v>
                </c:pt>
                <c:pt idx="2968">
                  <c:v>2.9151925994534977E-2</c:v>
                </c:pt>
                <c:pt idx="2969">
                  <c:v>2.9151613150309726E-2</c:v>
                </c:pt>
                <c:pt idx="2970">
                  <c:v>2.9151268463178583E-2</c:v>
                </c:pt>
                <c:pt idx="2971">
                  <c:v>2.915101894221557E-2</c:v>
                </c:pt>
                <c:pt idx="2972">
                  <c:v>2.9150737578337881E-2</c:v>
                </c:pt>
                <c:pt idx="2973">
                  <c:v>2.9150466707900152E-2</c:v>
                </c:pt>
                <c:pt idx="2974">
                  <c:v>2.9150169990790366E-2</c:v>
                </c:pt>
                <c:pt idx="2975">
                  <c:v>2.9151116698894641E-2</c:v>
                </c:pt>
                <c:pt idx="2976">
                  <c:v>2.9152039153260412E-2</c:v>
                </c:pt>
                <c:pt idx="2977">
                  <c:v>2.9151811719041562E-2</c:v>
                </c:pt>
                <c:pt idx="2978">
                  <c:v>2.9151594779930977E-2</c:v>
                </c:pt>
                <c:pt idx="2979">
                  <c:v>2.9151388335923435E-2</c:v>
                </c:pt>
                <c:pt idx="2980">
                  <c:v>2.9150028342556693E-2</c:v>
                </c:pt>
                <c:pt idx="2981">
                  <c:v>2.9149790884867771E-2</c:v>
                </c:pt>
                <c:pt idx="2982">
                  <c:v>2.9149666459822639E-2</c:v>
                </c:pt>
                <c:pt idx="2983">
                  <c:v>2.9149501259829499E-2</c:v>
                </c:pt>
                <c:pt idx="2984">
                  <c:v>2.9149346554082706E-2</c:v>
                </c:pt>
                <c:pt idx="2985">
                  <c:v>2.9150350427872191E-2</c:v>
                </c:pt>
                <c:pt idx="2986">
                  <c:v>2.9150236991226895E-2</c:v>
                </c:pt>
                <c:pt idx="2987">
                  <c:v>2.9150113952682327E-2</c:v>
                </c:pt>
                <c:pt idx="2988">
                  <c:v>2.9151154995785595E-2</c:v>
                </c:pt>
                <c:pt idx="2989">
                  <c:v>2.9148726158553222E-2</c:v>
                </c:pt>
                <c:pt idx="2990">
                  <c:v>2.91486303384796E-2</c:v>
                </c:pt>
                <c:pt idx="2991">
                  <c:v>2.9148543006201795E-2</c:v>
                </c:pt>
                <c:pt idx="2992">
                  <c:v>2.9148463760432067E-2</c:v>
                </c:pt>
                <c:pt idx="2993">
                  <c:v>2.9149564186968503E-2</c:v>
                </c:pt>
                <c:pt idx="2994">
                  <c:v>2.9149500244970285E-2</c:v>
                </c:pt>
                <c:pt idx="2995">
                  <c:v>2.9149443148779031E-2</c:v>
                </c:pt>
                <c:pt idx="2996">
                  <c:v>2.9149392499254457E-2</c:v>
                </c:pt>
                <c:pt idx="2997">
                  <c:v>2.9149347897257146E-2</c:v>
                </c:pt>
                <c:pt idx="2998">
                  <c:v>2.9149308943648981E-2</c:v>
                </c:pt>
                <c:pt idx="2999">
                  <c:v>2.9149275239290978E-2</c:v>
                </c:pt>
                <c:pt idx="3000">
                  <c:v>2.9149246385045031E-2</c:v>
                </c:pt>
                <c:pt idx="3001">
                  <c:v>2.9149218835660951E-2</c:v>
                </c:pt>
                <c:pt idx="3002">
                  <c:v>2.9145677630960366E-2</c:v>
                </c:pt>
                <c:pt idx="3003">
                  <c:v>2.9146837129666141E-2</c:v>
                </c:pt>
                <c:pt idx="3004">
                  <c:v>2.914682355788464E-2</c:v>
                </c:pt>
                <c:pt idx="3005">
                  <c:v>2.9146812871387238E-2</c:v>
                </c:pt>
                <c:pt idx="3006">
                  <c:v>2.9147978681664969E-2</c:v>
                </c:pt>
                <c:pt idx="3007">
                  <c:v>2.9146798540407758E-2</c:v>
                </c:pt>
                <c:pt idx="3008">
                  <c:v>2.9146793566292573E-2</c:v>
                </c:pt>
                <c:pt idx="3009">
                  <c:v>2.9146790909049355E-2</c:v>
                </c:pt>
                <c:pt idx="3010">
                  <c:v>2.9146788597078963E-2</c:v>
                </c:pt>
                <c:pt idx="3011">
                  <c:v>2.9147960814353842E-2</c:v>
                </c:pt>
                <c:pt idx="3012">
                  <c:v>2.9146785005601954E-2</c:v>
                </c:pt>
                <c:pt idx="3013">
                  <c:v>2.9146783265194577E-2</c:v>
                </c:pt>
                <c:pt idx="3014">
                  <c:v>2.9147955593253349E-2</c:v>
                </c:pt>
                <c:pt idx="3015">
                  <c:v>2.9146779794669172E-2</c:v>
                </c:pt>
                <c:pt idx="3016">
                  <c:v>2.9146778064550266E-2</c:v>
                </c:pt>
                <c:pt idx="3017">
                  <c:v>2.9146776337860707E-2</c:v>
                </c:pt>
                <c:pt idx="3018">
                  <c:v>2.9146774614600489E-2</c:v>
                </c:pt>
                <c:pt idx="3019">
                  <c:v>2.9145598401415895E-2</c:v>
                </c:pt>
                <c:pt idx="3020">
                  <c:v>2.9145596685887842E-2</c:v>
                </c:pt>
                <c:pt idx="3021">
                  <c:v>2.914559497378821E-2</c:v>
                </c:pt>
                <c:pt idx="3022">
                  <c:v>2.9145593265117436E-2</c:v>
                </c:pt>
                <c:pt idx="3023">
                  <c:v>2.9145591559875964E-2</c:v>
                </c:pt>
                <c:pt idx="3024">
                  <c:v>2.9145589858064234E-2</c:v>
                </c:pt>
                <c:pt idx="3025">
                  <c:v>2.9145588159681362E-2</c:v>
                </c:pt>
                <c:pt idx="3026">
                  <c:v>2.9145586464726907E-2</c:v>
                </c:pt>
                <c:pt idx="3027">
                  <c:v>2.9145584773202199E-2</c:v>
                </c:pt>
                <c:pt idx="3028">
                  <c:v>2.9149105284823524E-2</c:v>
                </c:pt>
                <c:pt idx="3029">
                  <c:v>2.9149103600485636E-2</c:v>
                </c:pt>
                <c:pt idx="3030">
                  <c:v>2.9149101919577182E-2</c:v>
                </c:pt>
                <c:pt idx="3031">
                  <c:v>2.9149100242099893E-2</c:v>
                </c:pt>
                <c:pt idx="3032">
                  <c:v>2.9147924199157283E-2</c:v>
                </c:pt>
                <c:pt idx="3033">
                  <c:v>2.9147922528918253E-2</c:v>
                </c:pt>
                <c:pt idx="3034">
                  <c:v>2.9147920862108614E-2</c:v>
                </c:pt>
                <c:pt idx="3035">
                  <c:v>2.9147919198729232E-2</c:v>
                </c:pt>
                <c:pt idx="3036">
                  <c:v>2.9147917538779242E-2</c:v>
                </c:pt>
                <c:pt idx="3037">
                  <c:v>2.9151438463011436E-2</c:v>
                </c:pt>
                <c:pt idx="3038">
                  <c:v>2.9151436810256944E-2</c:v>
                </c:pt>
                <c:pt idx="3039">
                  <c:v>2.9151435160933683E-2</c:v>
                </c:pt>
                <c:pt idx="3040">
                  <c:v>2.9151433515039942E-2</c:v>
                </c:pt>
                <c:pt idx="3041">
                  <c:v>2.9147909290473596E-2</c:v>
                </c:pt>
                <c:pt idx="3042">
                  <c:v>2.914790765110168E-2</c:v>
                </c:pt>
                <c:pt idx="3043">
                  <c:v>2.9147906015159149E-2</c:v>
                </c:pt>
                <c:pt idx="3044">
                  <c:v>2.91526012861608E-2</c:v>
                </c:pt>
                <c:pt idx="3045">
                  <c:v>2.9151425337030273E-2</c:v>
                </c:pt>
                <c:pt idx="3046">
                  <c:v>2.9151423711719634E-2</c:v>
                </c:pt>
                <c:pt idx="3047">
                  <c:v>2.91525964105721E-2</c:v>
                </c:pt>
                <c:pt idx="3048">
                  <c:v>2.9151420471390768E-2</c:v>
                </c:pt>
                <c:pt idx="3049">
                  <c:v>2.9147896271526363E-2</c:v>
                </c:pt>
                <c:pt idx="3050">
                  <c:v>2.9151417244782971E-2</c:v>
                </c:pt>
                <c:pt idx="3051">
                  <c:v>2.91525899578189E-2</c:v>
                </c:pt>
                <c:pt idx="3052">
                  <c:v>2.91514140318971E-2</c:v>
                </c:pt>
                <c:pt idx="3053">
                  <c:v>2.9147889844364613E-2</c:v>
                </c:pt>
                <c:pt idx="3054">
                  <c:v>2.9145540170090717E-2</c:v>
                </c:pt>
                <c:pt idx="3055">
                  <c:v>2.9145538575070469E-2</c:v>
                </c:pt>
                <c:pt idx="3056">
                  <c:v>2.9145536983478638E-2</c:v>
                </c:pt>
                <c:pt idx="3057">
                  <c:v>2.9145535395316551E-2</c:v>
                </c:pt>
                <c:pt idx="3058">
                  <c:v>2.914670781758422E-2</c:v>
                </c:pt>
                <c:pt idx="3059">
                  <c:v>2.9146706236398926E-2</c:v>
                </c:pt>
                <c:pt idx="3060">
                  <c:v>2.9146704658642102E-2</c:v>
                </c:pt>
                <c:pt idx="3061">
                  <c:v>2.914670308431418E-2</c:v>
                </c:pt>
                <c:pt idx="3062">
                  <c:v>2.9146701513416483E-2</c:v>
                </c:pt>
                <c:pt idx="3063">
                  <c:v>2.9145525938355371E-2</c:v>
                </c:pt>
                <c:pt idx="3064">
                  <c:v>2.9145524374197505E-2</c:v>
                </c:pt>
                <c:pt idx="3065">
                  <c:v>2.914552281346806E-2</c:v>
                </c:pt>
                <c:pt idx="3066">
                  <c:v>2.914552103397659E-2</c:v>
                </c:pt>
                <c:pt idx="3067">
                  <c:v>2.9146693710367728E-2</c:v>
                </c:pt>
                <c:pt idx="3068">
                  <c:v>2.9146692160046096E-2</c:v>
                </c:pt>
                <c:pt idx="3069">
                  <c:v>2.9146690613153812E-2</c:v>
                </c:pt>
                <c:pt idx="3070">
                  <c:v>2.9146689069691312E-2</c:v>
                </c:pt>
                <c:pt idx="3071">
                  <c:v>2.9145513521103169E-2</c:v>
                </c:pt>
                <c:pt idx="3072">
                  <c:v>2.914551198437839E-2</c:v>
                </c:pt>
                <c:pt idx="3073">
                  <c:v>2.9145510451082029E-2</c:v>
                </c:pt>
                <c:pt idx="3074">
                  <c:v>2.9145508921214081E-2</c:v>
                </c:pt>
                <c:pt idx="3075">
                  <c:v>2.914550739477632E-2</c:v>
                </c:pt>
                <c:pt idx="3076">
                  <c:v>2.914550587176698E-2</c:v>
                </c:pt>
                <c:pt idx="3077">
                  <c:v>2.9145504352186935E-2</c:v>
                </c:pt>
                <c:pt idx="3078">
                  <c:v>2.9145502836035755E-2</c:v>
                </c:pt>
                <c:pt idx="3079">
                  <c:v>2.9145501323314314E-2</c:v>
                </c:pt>
                <c:pt idx="3080">
                  <c:v>2.9152544816970407E-2</c:v>
                </c:pt>
                <c:pt idx="3081">
                  <c:v>2.9151368987053974E-2</c:v>
                </c:pt>
                <c:pt idx="3082">
                  <c:v>2.9151367485240678E-2</c:v>
                </c:pt>
                <c:pt idx="3083">
                  <c:v>2.9151365986858184E-2</c:v>
                </c:pt>
                <c:pt idx="3084">
                  <c:v>2.9147841894445605E-2</c:v>
                </c:pt>
                <c:pt idx="3085">
                  <c:v>2.914784040254785E-2</c:v>
                </c:pt>
                <c:pt idx="3086">
                  <c:v>2.9147838914080359E-2</c:v>
                </c:pt>
                <c:pt idx="3087">
                  <c:v>2.9147837429042693E-2</c:v>
                </c:pt>
                <c:pt idx="3088">
                  <c:v>2.9147835947434413E-2</c:v>
                </c:pt>
                <c:pt idx="3089">
                  <c:v>2.9151357068601082E-2</c:v>
                </c:pt>
                <c:pt idx="3090">
                  <c:v>2.915135559423207E-2</c:v>
                </c:pt>
                <c:pt idx="3091">
                  <c:v>2.9151354123293002E-2</c:v>
                </c:pt>
                <c:pt idx="3092">
                  <c:v>2.9151352655784304E-2</c:v>
                </c:pt>
                <c:pt idx="3093">
                  <c:v>2.9147828590838209E-2</c:v>
                </c:pt>
                <c:pt idx="3094">
                  <c:v>2.9147827129807565E-2</c:v>
                </c:pt>
                <c:pt idx="3095">
                  <c:v>2.9147825672207188E-2</c:v>
                </c:pt>
                <c:pt idx="3096">
                  <c:v>2.9153695536450527E-2</c:v>
                </c:pt>
                <c:pt idx="3097">
                  <c:v>2.9152519696517953E-2</c:v>
                </c:pt>
                <c:pt idx="3098">
                  <c:v>2.915134392277386E-2</c:v>
                </c:pt>
                <c:pt idx="3099">
                  <c:v>2.9152516806354976E-2</c:v>
                </c:pt>
                <c:pt idx="3100">
                  <c:v>2.9151341039212946E-2</c:v>
                </c:pt>
                <c:pt idx="3101">
                  <c:v>2.9151339602579335E-2</c:v>
                </c:pt>
                <c:pt idx="3102">
                  <c:v>2.9151338169375672E-2</c:v>
                </c:pt>
                <c:pt idx="3103">
                  <c:v>2.9151336739601956E-2</c:v>
                </c:pt>
                <c:pt idx="3104">
                  <c:v>2.9152509640985074E-2</c:v>
                </c:pt>
                <c:pt idx="3105">
                  <c:v>2.915133389034779E-2</c:v>
                </c:pt>
                <c:pt idx="3106">
                  <c:v>2.9145461776022907E-2</c:v>
                </c:pt>
                <c:pt idx="3107">
                  <c:v>2.9145460359315711E-2</c:v>
                </c:pt>
                <c:pt idx="3108">
                  <c:v>2.9145458946038261E-2</c:v>
                </c:pt>
                <c:pt idx="3109">
                  <c:v>2.9145457536189669E-2</c:v>
                </c:pt>
                <c:pt idx="3110">
                  <c:v>2.9146630143263619E-2</c:v>
                </c:pt>
                <c:pt idx="3111">
                  <c:v>2.914662874040513E-2</c:v>
                </c:pt>
                <c:pt idx="3112">
                  <c:v>2.9146627340975985E-2</c:v>
                </c:pt>
                <c:pt idx="3113">
                  <c:v>2.9146625944977064E-2</c:v>
                </c:pt>
                <c:pt idx="3114">
                  <c:v>2.9146624552405732E-2</c:v>
                </c:pt>
                <c:pt idx="3115">
                  <c:v>2.9145449149106377E-2</c:v>
                </c:pt>
                <c:pt idx="3116">
                  <c:v>2.9145447565562914E-2</c:v>
                </c:pt>
                <c:pt idx="3117">
                  <c:v>2.9145446380845177E-2</c:v>
                </c:pt>
                <c:pt idx="3118">
                  <c:v>2.9145444805140305E-2</c:v>
                </c:pt>
                <c:pt idx="3119">
                  <c:v>2.914661764099407E-2</c:v>
                </c:pt>
                <c:pt idx="3120">
                  <c:v>2.9146616269000562E-2</c:v>
                </c:pt>
                <c:pt idx="3121">
                  <c:v>2.9146614900435519E-2</c:v>
                </c:pt>
                <c:pt idx="3122">
                  <c:v>2.9146613535300261E-2</c:v>
                </c:pt>
                <c:pt idx="3123">
                  <c:v>2.9146611203046312E-2</c:v>
                </c:pt>
                <c:pt idx="3124">
                  <c:v>2.914543660616864E-2</c:v>
                </c:pt>
                <c:pt idx="3125">
                  <c:v>2.9145435251675105E-2</c:v>
                </c:pt>
                <c:pt idx="3126">
                  <c:v>2.9145433900610432E-2</c:v>
                </c:pt>
                <c:pt idx="3127">
                  <c:v>2.9145432552975057E-2</c:v>
                </c:pt>
                <c:pt idx="3128">
                  <c:v>2.9145431208769425E-2</c:v>
                </c:pt>
                <c:pt idx="3129">
                  <c:v>2.9145429867992654E-2</c:v>
                </c:pt>
                <c:pt idx="3130">
                  <c:v>2.914542853064386E-2</c:v>
                </c:pt>
                <c:pt idx="3131">
                  <c:v>2.9145427196724808E-2</c:v>
                </c:pt>
                <c:pt idx="3132">
                  <c:v>2.9151296578673609E-2</c:v>
                </c:pt>
                <c:pt idx="3133">
                  <c:v>2.9150120983669016E-2</c:v>
                </c:pt>
                <c:pt idx="3134">
                  <c:v>2.9150119660592017E-2</c:v>
                </c:pt>
                <c:pt idx="3135">
                  <c:v>2.9150118340944924E-2</c:v>
                </c:pt>
                <c:pt idx="3136">
                  <c:v>2.9147767924902545E-2</c:v>
                </c:pt>
                <c:pt idx="3137">
                  <c:v>2.9151289981133029E-2</c:v>
                </c:pt>
                <c:pt idx="3138">
                  <c:v>2.9150114402585664E-2</c:v>
                </c:pt>
                <c:pt idx="3139">
                  <c:v>2.9150113096659484E-2</c:v>
                </c:pt>
                <c:pt idx="3140">
                  <c:v>2.9150111794163644E-2</c:v>
                </c:pt>
                <c:pt idx="3141">
                  <c:v>2.9150110495098139E-2</c:v>
                </c:pt>
                <c:pt idx="3142">
                  <c:v>2.915010919946211E-2</c:v>
                </c:pt>
                <c:pt idx="3143">
                  <c:v>2.9150107907256848E-2</c:v>
                </c:pt>
                <c:pt idx="3144">
                  <c:v>2.9150106618482354E-2</c:v>
                </c:pt>
                <c:pt idx="3145">
                  <c:v>2.9150105333136903E-2</c:v>
                </c:pt>
                <c:pt idx="3146">
                  <c:v>2.9150104051222654E-2</c:v>
                </c:pt>
                <c:pt idx="3147">
                  <c:v>2.9150102772737874E-2</c:v>
                </c:pt>
                <c:pt idx="3148">
                  <c:v>2.915245010218509E-2</c:v>
                </c:pt>
                <c:pt idx="3149">
                  <c:v>2.9151274496947054E-2</c:v>
                </c:pt>
                <c:pt idx="3150">
                  <c:v>2.9150098957865998E-2</c:v>
                </c:pt>
                <c:pt idx="3151">
                  <c:v>2.9151271964275347E-2</c:v>
                </c:pt>
                <c:pt idx="3152">
                  <c:v>2.9150096431768611E-2</c:v>
                </c:pt>
                <c:pt idx="3153">
                  <c:v>2.9151269445326426E-2</c:v>
                </c:pt>
                <c:pt idx="3154">
                  <c:v>2.9150093919392144E-2</c:v>
                </c:pt>
                <c:pt idx="3155">
                  <c:v>2.9150092668349198E-2</c:v>
                </c:pt>
                <c:pt idx="3156">
                  <c:v>2.9151265692631066E-2</c:v>
                </c:pt>
                <c:pt idx="3157">
                  <c:v>2.9150090176553886E-2</c:v>
                </c:pt>
                <c:pt idx="3158">
                  <c:v>2.9146566497285899E-2</c:v>
                </c:pt>
                <c:pt idx="3159">
                  <c:v>2.9146565259527434E-2</c:v>
                </c:pt>
                <c:pt idx="3160">
                  <c:v>2.9146564025197871E-2</c:v>
                </c:pt>
                <c:pt idx="3161">
                  <c:v>2.9146562794297653E-2</c:v>
                </c:pt>
                <c:pt idx="3162">
                  <c:v>2.9146561566827222E-2</c:v>
                </c:pt>
                <c:pt idx="3163">
                  <c:v>2.9150082783493021E-2</c:v>
                </c:pt>
                <c:pt idx="3164">
                  <c:v>2.9150081563321384E-2</c:v>
                </c:pt>
                <c:pt idx="3165">
                  <c:v>2.915125461979079E-2</c:v>
                </c:pt>
                <c:pt idx="3166">
                  <c:v>2.9150079133269977E-2</c:v>
                </c:pt>
                <c:pt idx="3167">
                  <c:v>2.9146555480915225E-2</c:v>
                </c:pt>
                <c:pt idx="3168">
                  <c:v>2.9146553757830693E-2</c:v>
                </c:pt>
                <c:pt idx="3169">
                  <c:v>2.9146553070556282E-2</c:v>
                </c:pt>
                <c:pt idx="3170">
                  <c:v>2.9146551870520166E-2</c:v>
                </c:pt>
                <c:pt idx="3171">
                  <c:v>2.9150073118169778E-2</c:v>
                </c:pt>
                <c:pt idx="3172">
                  <c:v>2.9150071925440401E-2</c:v>
                </c:pt>
                <c:pt idx="3173">
                  <c:v>2.9150070736140933E-2</c:v>
                </c:pt>
                <c:pt idx="3174">
                  <c:v>2.9150069550271801E-2</c:v>
                </c:pt>
                <c:pt idx="3175">
                  <c:v>2.914654592178284E-2</c:v>
                </c:pt>
                <c:pt idx="3176">
                  <c:v>2.9146544742324549E-2</c:v>
                </c:pt>
                <c:pt idx="3177">
                  <c:v>2.914654356629429E-2</c:v>
                </c:pt>
                <c:pt idx="3178">
                  <c:v>2.9146542393693371E-2</c:v>
                </c:pt>
                <c:pt idx="3179">
                  <c:v>2.9146541224522236E-2</c:v>
                </c:pt>
                <c:pt idx="3180">
                  <c:v>2.9146540058780448E-2</c:v>
                </c:pt>
                <c:pt idx="3181">
                  <c:v>2.9146538896468004E-2</c:v>
                </c:pt>
                <c:pt idx="3182">
                  <c:v>2.9146537737584906E-2</c:v>
                </c:pt>
                <c:pt idx="3183">
                  <c:v>2.914653658213115E-2</c:v>
                </c:pt>
                <c:pt idx="3184">
                  <c:v>2.9151232156301655E-2</c:v>
                </c:pt>
                <c:pt idx="3185">
                  <c:v>2.9150056732104947E-2</c:v>
                </c:pt>
                <c:pt idx="3186">
                  <c:v>2.9150055587398131E-2</c:v>
                </c:pt>
                <c:pt idx="3187">
                  <c:v>2.9150054446122519E-2</c:v>
                </c:pt>
                <c:pt idx="3188">
                  <c:v>2.9146530856303428E-2</c:v>
                </c:pt>
                <c:pt idx="3189">
                  <c:v>2.915122645068632E-2</c:v>
                </c:pt>
                <c:pt idx="3190">
                  <c:v>2.9150051042873808E-2</c:v>
                </c:pt>
                <c:pt idx="3191">
                  <c:v>2.9147700907121057E-2</c:v>
                </c:pt>
                <c:pt idx="3192">
                  <c:v>2.9150048791192588E-2</c:v>
                </c:pt>
                <c:pt idx="3193">
                  <c:v>2.9150047670497267E-2</c:v>
                </c:pt>
                <c:pt idx="3194">
                  <c:v>2.9151220830832492E-2</c:v>
                </c:pt>
                <c:pt idx="3195">
                  <c:v>2.9150045439397206E-2</c:v>
                </c:pt>
                <c:pt idx="3196">
                  <c:v>2.9150044328992895E-2</c:v>
                </c:pt>
                <c:pt idx="3197">
                  <c:v>2.9150043222018061E-2</c:v>
                </c:pt>
                <c:pt idx="3198">
                  <c:v>2.9150042118473996E-2</c:v>
                </c:pt>
                <c:pt idx="3199">
                  <c:v>2.9150041018359399E-2</c:v>
                </c:pt>
                <c:pt idx="3200">
                  <c:v>2.9150039921675575E-2</c:v>
                </c:pt>
                <c:pt idx="3201">
                  <c:v>2.9150038828422518E-2</c:v>
                </c:pt>
                <c:pt idx="3202">
                  <c:v>2.9150037738598505E-2</c:v>
                </c:pt>
                <c:pt idx="3203">
                  <c:v>2.9150036652204826E-2</c:v>
                </c:pt>
                <c:pt idx="3204">
                  <c:v>2.9151209848409777E-2</c:v>
                </c:pt>
                <c:pt idx="3205">
                  <c:v>2.9150034489709348E-2</c:v>
                </c:pt>
                <c:pt idx="3206">
                  <c:v>2.9150033413606249E-2</c:v>
                </c:pt>
                <c:pt idx="3207">
                  <c:v>2.9150032340933919E-2</c:v>
                </c:pt>
                <c:pt idx="3208">
                  <c:v>2.9151205551494266E-2</c:v>
                </c:pt>
                <c:pt idx="3209">
                  <c:v>2.9150030205879838E-2</c:v>
                </c:pt>
                <c:pt idx="3210">
                  <c:v>2.9145332653083826E-2</c:v>
                </c:pt>
                <c:pt idx="3211">
                  <c:v>2.9145331593493841E-2</c:v>
                </c:pt>
                <c:pt idx="3212">
                  <c:v>2.9145330537331388E-2</c:v>
                </c:pt>
                <c:pt idx="3213">
                  <c:v>2.9145329484598241E-2</c:v>
                </c:pt>
                <c:pt idx="3214">
                  <c:v>2.9146502464035988E-2</c:v>
                </c:pt>
                <c:pt idx="3215">
                  <c:v>2.9146501418322143E-2</c:v>
                </c:pt>
                <c:pt idx="3216">
                  <c:v>2.9151197122325934E-2</c:v>
                </c:pt>
                <c:pt idx="3217">
                  <c:v>2.9146499337182927E-2</c:v>
                </c:pt>
                <c:pt idx="3218">
                  <c:v>2.9146498301757116E-2</c:v>
                </c:pt>
                <c:pt idx="3219">
                  <c:v>2.9145323240212458E-2</c:v>
                </c:pt>
                <c:pt idx="3220">
                  <c:v>2.9145322211483093E-2</c:v>
                </c:pt>
                <c:pt idx="3221">
                  <c:v>2.9145321186183026E-2</c:v>
                </c:pt>
                <c:pt idx="3222">
                  <c:v>2.9145320164312701E-2</c:v>
                </c:pt>
                <c:pt idx="3223">
                  <c:v>2.9146493176069987E-2</c:v>
                </c:pt>
                <c:pt idx="3224">
                  <c:v>2.9146492161220245E-2</c:v>
                </c:pt>
                <c:pt idx="3225">
                  <c:v>2.9146491149800287E-2</c:v>
                </c:pt>
                <c:pt idx="3226">
                  <c:v>2.9146490141808794E-2</c:v>
                </c:pt>
                <c:pt idx="3227">
                  <c:v>2.9142966803982633E-2</c:v>
                </c:pt>
                <c:pt idx="3228">
                  <c:v>2.9146487708109837E-2</c:v>
                </c:pt>
                <c:pt idx="3229">
                  <c:v>2.9146486711876852E-2</c:v>
                </c:pt>
                <c:pt idx="3230">
                  <c:v>2.9145311546080827E-2</c:v>
                </c:pt>
                <c:pt idx="3231">
                  <c:v>2.914648472969979E-2</c:v>
                </c:pt>
                <c:pt idx="3232">
                  <c:v>2.9146483743754399E-2</c:v>
                </c:pt>
                <c:pt idx="3233">
                  <c:v>2.9146482761239233E-2</c:v>
                </c:pt>
                <c:pt idx="3234">
                  <c:v>2.9145307610457732E-2</c:v>
                </c:pt>
                <c:pt idx="3235">
                  <c:v>2.9147654901746246E-2</c:v>
                </c:pt>
                <c:pt idx="3236">
                  <c:v>2.9148828088106638E-2</c:v>
                </c:pt>
                <c:pt idx="3237">
                  <c:v>2.9148827119643936E-2</c:v>
                </c:pt>
                <c:pt idx="3238">
                  <c:v>2.9148826154609796E-2</c:v>
                </c:pt>
                <c:pt idx="3239">
                  <c:v>2.9148825193005958E-2</c:v>
                </c:pt>
                <c:pt idx="3240">
                  <c:v>2.9147650075741296E-2</c:v>
                </c:pt>
                <c:pt idx="3241">
                  <c:v>2.9147649120829518E-2</c:v>
                </c:pt>
                <c:pt idx="3242">
                  <c:v>2.9147647898124518E-2</c:v>
                </c:pt>
                <c:pt idx="3243">
                  <c:v>2.9147647221294124E-2</c:v>
                </c:pt>
                <c:pt idx="3244">
                  <c:v>2.9147646276670946E-2</c:v>
                </c:pt>
                <c:pt idx="3245">
                  <c:v>2.9148819361260001E-2</c:v>
                </c:pt>
                <c:pt idx="3246">
                  <c:v>2.9148818557817473E-2</c:v>
                </c:pt>
                <c:pt idx="3247">
                  <c:v>2.9148817623652987E-2</c:v>
                </c:pt>
                <c:pt idx="3248">
                  <c:v>2.9149990783713983E-2</c:v>
                </c:pt>
                <c:pt idx="3249">
                  <c:v>2.9147641604999809E-2</c:v>
                </c:pt>
                <c:pt idx="3250">
                  <c:v>2.9147640680954708E-2</c:v>
                </c:pt>
                <c:pt idx="3251">
                  <c:v>2.9147639760338993E-2</c:v>
                </c:pt>
                <c:pt idx="3252">
                  <c:v>2.9147638843152666E-2</c:v>
                </c:pt>
                <c:pt idx="3253">
                  <c:v>2.9149986315004039E-2</c:v>
                </c:pt>
                <c:pt idx="3254">
                  <c:v>2.9148811180540423E-2</c:v>
                </c:pt>
                <c:pt idx="3255">
                  <c:v>2.9148810273816595E-2</c:v>
                </c:pt>
                <c:pt idx="3256">
                  <c:v>2.9148809370521764E-2</c:v>
                </c:pt>
                <c:pt idx="3257">
                  <c:v>2.9148808470656366E-2</c:v>
                </c:pt>
                <c:pt idx="3258">
                  <c:v>2.9148807574221267E-2</c:v>
                </c:pt>
                <c:pt idx="3259">
                  <c:v>2.9148806681216465E-2</c:v>
                </c:pt>
                <c:pt idx="3260">
                  <c:v>2.9148805791640225E-2</c:v>
                </c:pt>
                <c:pt idx="3261">
                  <c:v>2.9148804779183152E-2</c:v>
                </c:pt>
                <c:pt idx="3262">
                  <c:v>2.9145281597326191E-2</c:v>
                </c:pt>
                <c:pt idx="3263">
                  <c:v>2.9146454880439585E-2</c:v>
                </c:pt>
                <c:pt idx="3264">
                  <c:v>2.9146454004234542E-2</c:v>
                </c:pt>
                <c:pt idx="3265">
                  <c:v>2.9146453131458843E-2</c:v>
                </c:pt>
                <c:pt idx="3266">
                  <c:v>2.9141756489889849E-2</c:v>
                </c:pt>
                <c:pt idx="3267">
                  <c:v>2.9146451396196801E-2</c:v>
                </c:pt>
                <c:pt idx="3268">
                  <c:v>2.9146450410776702E-2</c:v>
                </c:pt>
                <c:pt idx="3269">
                  <c:v>2.9146449674651256E-2</c:v>
                </c:pt>
                <c:pt idx="3270">
                  <c:v>2.9146448819022282E-2</c:v>
                </c:pt>
                <c:pt idx="3271">
                  <c:v>2.9147622068252509E-2</c:v>
                </c:pt>
                <c:pt idx="3272">
                  <c:v>2.9145272958451384E-2</c:v>
                </c:pt>
                <c:pt idx="3273">
                  <c:v>2.9146446272713185E-2</c:v>
                </c:pt>
                <c:pt idx="3274">
                  <c:v>2.9147619532762875E-2</c:v>
                </c:pt>
                <c:pt idx="3275">
                  <c:v>2.9146444592320655E-2</c:v>
                </c:pt>
                <c:pt idx="3276">
                  <c:v>2.9146443757269068E-2</c:v>
                </c:pt>
                <c:pt idx="3277">
                  <c:v>2.9146442925645506E-2</c:v>
                </c:pt>
                <c:pt idx="3278">
                  <c:v>2.9146442097452169E-2</c:v>
                </c:pt>
                <c:pt idx="3279">
                  <c:v>2.9145267115269973E-2</c:v>
                </c:pt>
                <c:pt idx="3280">
                  <c:v>2.9145266294245843E-2</c:v>
                </c:pt>
                <c:pt idx="3281">
                  <c:v>2.9145265476651895E-2</c:v>
                </c:pt>
                <c:pt idx="3282">
                  <c:v>2.9145264662485921E-2</c:v>
                </c:pt>
                <c:pt idx="3283">
                  <c:v>2.9145263851749693E-2</c:v>
                </c:pt>
                <c:pt idx="3284">
                  <c:v>2.9145263044441438E-2</c:v>
                </c:pt>
                <c:pt idx="3285">
                  <c:v>2.9145262240562929E-2</c:v>
                </c:pt>
                <c:pt idx="3286">
                  <c:v>2.91452614401146E-2</c:v>
                </c:pt>
                <c:pt idx="3287">
                  <c:v>2.9146434684408362E-2</c:v>
                </c:pt>
                <c:pt idx="3288">
                  <c:v>2.9148782162999008E-2</c:v>
                </c:pt>
                <c:pt idx="3289">
                  <c:v>2.9148781373381942E-2</c:v>
                </c:pt>
                <c:pt idx="3290">
                  <c:v>2.9148780587194306E-2</c:v>
                </c:pt>
                <c:pt idx="3291">
                  <c:v>2.9148779804436534E-2</c:v>
                </c:pt>
                <c:pt idx="3292">
                  <c:v>2.914760463479062E-2</c:v>
                </c:pt>
                <c:pt idx="3293">
                  <c:v>2.914760385968998E-2</c:v>
                </c:pt>
                <c:pt idx="3294">
                  <c:v>2.9147603088019166E-2</c:v>
                </c:pt>
                <c:pt idx="3295">
                  <c:v>2.9147602319777741E-2</c:v>
                </c:pt>
                <c:pt idx="3296">
                  <c:v>2.9151124251047031E-2</c:v>
                </c:pt>
                <c:pt idx="3297">
                  <c:v>2.9151123490216493E-2</c:v>
                </c:pt>
                <c:pt idx="3298">
                  <c:v>2.915112273281633E-2</c:v>
                </c:pt>
                <c:pt idx="3299">
                  <c:v>2.9151121978847398E-2</c:v>
                </c:pt>
                <c:pt idx="3300">
                  <c:v>2.9147598530016666E-2</c:v>
                </c:pt>
                <c:pt idx="3301">
                  <c:v>2.9147597782352878E-2</c:v>
                </c:pt>
                <c:pt idx="3302">
                  <c:v>2.9147597038119786E-2</c:v>
                </c:pt>
                <c:pt idx="3303">
                  <c:v>2.9147596297315212E-2</c:v>
                </c:pt>
                <c:pt idx="3304">
                  <c:v>2.9151118260456643E-2</c:v>
                </c:pt>
                <c:pt idx="3305">
                  <c:v>2.9151117527069958E-2</c:v>
                </c:pt>
                <c:pt idx="3306">
                  <c:v>2.9151116797114508E-2</c:v>
                </c:pt>
                <c:pt idx="3307">
                  <c:v>2.9152290430684253E-2</c:v>
                </c:pt>
                <c:pt idx="3308">
                  <c:v>2.9151115347493439E-2</c:v>
                </c:pt>
                <c:pt idx="3309">
                  <c:v>2.9147591924514073E-2</c:v>
                </c:pt>
                <c:pt idx="3310">
                  <c:v>2.9151113911594296E-2</c:v>
                </c:pt>
                <c:pt idx="3311">
                  <c:v>2.9152287559635403E-2</c:v>
                </c:pt>
                <c:pt idx="3312">
                  <c:v>2.9151112489416653E-2</c:v>
                </c:pt>
                <c:pt idx="3313">
                  <c:v>2.9147589077905878E-2</c:v>
                </c:pt>
                <c:pt idx="3314">
                  <c:v>2.9145240219112186E-2</c:v>
                </c:pt>
                <c:pt idx="3315">
                  <c:v>2.9145239519086513E-2</c:v>
                </c:pt>
                <c:pt idx="3316">
                  <c:v>2.9145238822489702E-2</c:v>
                </c:pt>
                <c:pt idx="3317">
                  <c:v>2.9145238129322629E-2</c:v>
                </c:pt>
                <c:pt idx="3318">
                  <c:v>2.9146411486696919E-2</c:v>
                </c:pt>
                <c:pt idx="3319">
                  <c:v>2.9146410800577185E-2</c:v>
                </c:pt>
                <c:pt idx="3320">
                  <c:v>2.9146410117887239E-2</c:v>
                </c:pt>
                <c:pt idx="3321">
                  <c:v>2.9146409438626633E-2</c:v>
                </c:pt>
                <c:pt idx="3322">
                  <c:v>2.9146408762795374E-2</c:v>
                </c:pt>
                <c:pt idx="3323">
                  <c:v>2.9145234042328463E-2</c:v>
                </c:pt>
                <c:pt idx="3324">
                  <c:v>2.9145233373164731E-2</c:v>
                </c:pt>
                <c:pt idx="3325">
                  <c:v>2.9145232707430302E-2</c:v>
                </c:pt>
                <c:pt idx="3326">
                  <c:v>2.9146405999455487E-2</c:v>
                </c:pt>
                <c:pt idx="3327">
                  <c:v>2.914640543507881E-2</c:v>
                </c:pt>
                <c:pt idx="3328">
                  <c:v>2.914640477982362E-2</c:v>
                </c:pt>
                <c:pt idx="3329">
                  <c:v>2.9146404127998213E-2</c:v>
                </c:pt>
                <c:pt idx="3330">
                  <c:v>2.914640311062873E-2</c:v>
                </c:pt>
                <c:pt idx="3331">
                  <c:v>2.9145228693147032E-2</c:v>
                </c:pt>
                <c:pt idx="3332">
                  <c:v>2.9145228143302223E-2</c:v>
                </c:pt>
                <c:pt idx="3333">
                  <c:v>2.9145227504999552E-2</c:v>
                </c:pt>
                <c:pt idx="3334">
                  <c:v>2.9145226870127064E-2</c:v>
                </c:pt>
                <c:pt idx="3335">
                  <c:v>2.9145226238683437E-2</c:v>
                </c:pt>
                <c:pt idx="3336">
                  <c:v>2.9145225610669113E-2</c:v>
                </c:pt>
                <c:pt idx="3337">
                  <c:v>2.9145224986083205E-2</c:v>
                </c:pt>
                <c:pt idx="3338">
                  <c:v>2.91452243649266E-2</c:v>
                </c:pt>
                <c:pt idx="3339">
                  <c:v>2.9145223747199734E-2</c:v>
                </c:pt>
                <c:pt idx="3340">
                  <c:v>2.915226838614822E-2</c:v>
                </c:pt>
                <c:pt idx="3341">
                  <c:v>2.915109340984819E-2</c:v>
                </c:pt>
                <c:pt idx="3342">
                  <c:v>2.915109280339008E-2</c:v>
                </c:pt>
                <c:pt idx="3343">
                  <c:v>2.9151092200361484E-2</c:v>
                </c:pt>
                <c:pt idx="3344">
                  <c:v>2.9147568877277385E-2</c:v>
                </c:pt>
                <c:pt idx="3345">
                  <c:v>2.9147568280518895E-2</c:v>
                </c:pt>
                <c:pt idx="3346">
                  <c:v>2.9147567687189357E-2</c:v>
                </c:pt>
                <c:pt idx="3347">
                  <c:v>2.9147567097290081E-2</c:v>
                </c:pt>
                <c:pt idx="3348">
                  <c:v>2.9147566510819754E-2</c:v>
                </c:pt>
                <c:pt idx="3349">
                  <c:v>2.9151088654229926E-2</c:v>
                </c:pt>
                <c:pt idx="3350">
                  <c:v>2.9151088075214809E-2</c:v>
                </c:pt>
                <c:pt idx="3351">
                  <c:v>2.9151087499629209E-2</c:v>
                </c:pt>
                <c:pt idx="3352">
                  <c:v>2.915108692747527E-2</c:v>
                </c:pt>
                <c:pt idx="3353">
                  <c:v>2.9147563629915933E-2</c:v>
                </c:pt>
                <c:pt idx="3354">
                  <c:v>2.9147563064023246E-2</c:v>
                </c:pt>
                <c:pt idx="3355">
                  <c:v>2.9147562501561256E-2</c:v>
                </c:pt>
                <c:pt idx="3356">
                  <c:v>2.9152259042742597E-2</c:v>
                </c:pt>
                <c:pt idx="3357">
                  <c:v>2.9151084118161631E-2</c:v>
                </c:pt>
                <c:pt idx="3358">
                  <c:v>2.9151083566590366E-2</c:v>
                </c:pt>
                <c:pt idx="3359">
                  <c:v>2.9152257388630455E-2</c:v>
                </c:pt>
                <c:pt idx="3360">
                  <c:v>2.9151082473738536E-2</c:v>
                </c:pt>
                <c:pt idx="3361">
                  <c:v>2.9147559198810395E-2</c:v>
                </c:pt>
                <c:pt idx="3362">
                  <c:v>2.9151081394608633E-2</c:v>
                </c:pt>
                <c:pt idx="3363">
                  <c:v>2.9152255231177631E-2</c:v>
                </c:pt>
                <c:pt idx="3364">
                  <c:v>2.9151080329201086E-2</c:v>
                </c:pt>
                <c:pt idx="3365">
                  <c:v>2.9151079801643734E-2</c:v>
                </c:pt>
                <c:pt idx="3366">
                  <c:v>2.9146382421293648E-2</c:v>
                </c:pt>
                <c:pt idx="3367">
                  <c:v>2.9146381899784218E-2</c:v>
                </c:pt>
                <c:pt idx="3368">
                  <c:v>2.9146381381704136E-2</c:v>
                </c:pt>
                <c:pt idx="3369">
                  <c:v>2.9146380867052957E-2</c:v>
                </c:pt>
                <c:pt idx="3370">
                  <c:v>2.9147554476184171E-2</c:v>
                </c:pt>
                <c:pt idx="3371">
                  <c:v>2.9152251080950087E-2</c:v>
                </c:pt>
                <c:pt idx="3372">
                  <c:v>2.914755346443873E-2</c:v>
                </c:pt>
                <c:pt idx="3373">
                  <c:v>2.9147552963709654E-2</c:v>
                </c:pt>
                <c:pt idx="3374">
                  <c:v>2.9147552466410841E-2</c:v>
                </c:pt>
                <c:pt idx="3375">
                  <c:v>2.9146377851165198E-2</c:v>
                </c:pt>
                <c:pt idx="3376">
                  <c:v>2.9146377360520309E-2</c:v>
                </c:pt>
                <c:pt idx="3377">
                  <c:v>2.9146376873303889E-2</c:v>
                </c:pt>
                <c:pt idx="3378">
                  <c:v>2.9146376320684838E-2</c:v>
                </c:pt>
                <c:pt idx="3379">
                  <c:v>2.9147550031360211E-2</c:v>
                </c:pt>
                <c:pt idx="3380">
                  <c:v>2.9147549554639034E-2</c:v>
                </c:pt>
                <c:pt idx="3381">
                  <c:v>2.914754908134768E-2</c:v>
                </c:pt>
                <c:pt idx="3382">
                  <c:v>2.9147548611485719E-2</c:v>
                </c:pt>
                <c:pt idx="3383">
                  <c:v>2.9146374022025995E-2</c:v>
                </c:pt>
                <c:pt idx="3384">
                  <c:v>2.9146373558815424E-2</c:v>
                </c:pt>
                <c:pt idx="3385">
                  <c:v>2.9146373099034201E-2</c:v>
                </c:pt>
                <c:pt idx="3386">
                  <c:v>2.9146372642682761E-2</c:v>
                </c:pt>
                <c:pt idx="3387">
                  <c:v>2.9146372189761103E-2</c:v>
                </c:pt>
                <c:pt idx="3388">
                  <c:v>2.9146371740267914E-2</c:v>
                </c:pt>
                <c:pt idx="3389">
                  <c:v>2.9146371294204509E-2</c:v>
                </c:pt>
                <c:pt idx="3390">
                  <c:v>2.9146370851571325E-2</c:v>
                </c:pt>
                <c:pt idx="3391">
                  <c:v>2.914637041236617E-2</c:v>
                </c:pt>
                <c:pt idx="3392">
                  <c:v>2.9152241231263247E-2</c:v>
                </c:pt>
                <c:pt idx="3393">
                  <c:v>2.9151066422790011E-2</c:v>
                </c:pt>
                <c:pt idx="3394">
                  <c:v>2.9151065994715661E-2</c:v>
                </c:pt>
                <c:pt idx="3395">
                  <c:v>2.9151065570071685E-2</c:v>
                </c:pt>
                <c:pt idx="3396">
                  <c:v>2.91475423935341E-2</c:v>
                </c:pt>
                <c:pt idx="3397">
                  <c:v>2.9147541975116448E-2</c:v>
                </c:pt>
                <c:pt idx="3398">
                  <c:v>2.9147541560128623E-2</c:v>
                </c:pt>
                <c:pt idx="3399">
                  <c:v>2.9147541148571498E-2</c:v>
                </c:pt>
                <c:pt idx="3400">
                  <c:v>2.9147540740443758E-2</c:v>
                </c:pt>
                <c:pt idx="3401">
                  <c:v>2.9151063094248697E-2</c:v>
                </c:pt>
                <c:pt idx="3402">
                  <c:v>2.9151062693617769E-2</c:v>
                </c:pt>
                <c:pt idx="3403">
                  <c:v>2.9151062296418506E-2</c:v>
                </c:pt>
                <c:pt idx="3404">
                  <c:v>2.915106190264876E-2</c:v>
                </c:pt>
                <c:pt idx="3405">
                  <c:v>2.914753875124719E-2</c:v>
                </c:pt>
                <c:pt idx="3406">
                  <c:v>2.9147538363697528E-2</c:v>
                </c:pt>
                <c:pt idx="3407">
                  <c:v>2.9147537979576376E-2</c:v>
                </c:pt>
                <c:pt idx="3408">
                  <c:v>2.9147537598885925E-2</c:v>
                </c:pt>
                <c:pt idx="3409">
                  <c:v>2.9147537221623988E-2</c:v>
                </c:pt>
                <c:pt idx="3410">
                  <c:v>2.915105961207071E-2</c:v>
                </c:pt>
                <c:pt idx="3411">
                  <c:v>2.915223362332843E-2</c:v>
                </c:pt>
                <c:pt idx="3412">
                  <c:v>2.9151058875989837E-2</c:v>
                </c:pt>
                <c:pt idx="3413">
                  <c:v>2.9151058513093884E-2</c:v>
                </c:pt>
                <c:pt idx="3414">
                  <c:v>2.9151058153629599E-2</c:v>
                </c:pt>
                <c:pt idx="3415">
                  <c:v>2.9151057797595258E-2</c:v>
                </c:pt>
                <c:pt idx="3416">
                  <c:v>2.9152231827084849E-2</c:v>
                </c:pt>
                <c:pt idx="3417">
                  <c:v>2.9151057095817268E-2</c:v>
                </c:pt>
                <c:pt idx="3418">
                  <c:v>2.9145185782687318E-2</c:v>
                </c:pt>
                <c:pt idx="3419">
                  <c:v>2.9145185439287753E-2</c:v>
                </c:pt>
                <c:pt idx="3420">
                  <c:v>2.9145185099316608E-2</c:v>
                </c:pt>
                <c:pt idx="3421">
                  <c:v>2.9145184762775649E-2</c:v>
                </c:pt>
                <c:pt idx="3422">
                  <c:v>2.9145184429663545E-2</c:v>
                </c:pt>
                <c:pt idx="3423">
                  <c:v>2.9146358168526381E-2</c:v>
                </c:pt>
                <c:pt idx="3424">
                  <c:v>2.9146357842490919E-2</c:v>
                </c:pt>
                <c:pt idx="3425">
                  <c:v>2.914635751988524E-2</c:v>
                </c:pt>
                <c:pt idx="3426">
                  <c:v>2.9146357200708468E-2</c:v>
                </c:pt>
                <c:pt idx="3427">
                  <c:v>2.9145182815538139E-2</c:v>
                </c:pt>
                <c:pt idx="3428">
                  <c:v>2.9145182503000518E-2</c:v>
                </c:pt>
                <c:pt idx="3429">
                  <c:v>2.91451821938922E-2</c:v>
                </c:pt>
                <c:pt idx="3430">
                  <c:v>2.9145181844824685E-2</c:v>
                </c:pt>
                <c:pt idx="3431">
                  <c:v>2.9146355656265652E-2</c:v>
                </c:pt>
                <c:pt idx="3432">
                  <c:v>2.9146355357665386E-2</c:v>
                </c:pt>
                <c:pt idx="3433">
                  <c:v>2.9146355062494026E-2</c:v>
                </c:pt>
                <c:pt idx="3434">
                  <c:v>2.9146354770752891E-2</c:v>
                </c:pt>
                <c:pt idx="3435">
                  <c:v>2.914635444153316E-2</c:v>
                </c:pt>
                <c:pt idx="3436">
                  <c:v>2.9145180085697477E-2</c:v>
                </c:pt>
                <c:pt idx="3437">
                  <c:v>2.9145179804511132E-2</c:v>
                </c:pt>
                <c:pt idx="3438">
                  <c:v>2.914517952675497E-2</c:v>
                </c:pt>
                <c:pt idx="3439">
                  <c:v>2.9145179252427229E-2</c:v>
                </c:pt>
                <c:pt idx="3440">
                  <c:v>2.9145178981527901E-2</c:v>
                </c:pt>
                <c:pt idx="3441">
                  <c:v>2.9145178714058761E-2</c:v>
                </c:pt>
                <c:pt idx="3442">
                  <c:v>2.9145178450018482E-2</c:v>
                </c:pt>
                <c:pt idx="3443">
                  <c:v>2.9145178189406616E-2</c:v>
                </c:pt>
                <c:pt idx="3444">
                  <c:v>2.915104892848594E-2</c:v>
                </c:pt>
                <c:pt idx="3445">
                  <c:v>2.9149874350348548E-2</c:v>
                </c:pt>
                <c:pt idx="3446">
                  <c:v>2.9149874100923852E-2</c:v>
                </c:pt>
                <c:pt idx="3447">
                  <c:v>2.9148699452833771E-2</c:v>
                </c:pt>
                <c:pt idx="3448">
                  <c:v>2.9146351011915692E-2</c:v>
                </c:pt>
                <c:pt idx="3449">
                  <c:v>2.9151047699641816E-2</c:v>
                </c:pt>
                <c:pt idx="3450">
                  <c:v>2.9149873137528003E-2</c:v>
                </c:pt>
                <c:pt idx="3451">
                  <c:v>2.9149872905254125E-2</c:v>
                </c:pt>
                <c:pt idx="3452">
                  <c:v>2.9151047003500179E-2</c:v>
                </c:pt>
                <c:pt idx="3453">
                  <c:v>2.9149872450997816E-2</c:v>
                </c:pt>
                <c:pt idx="3454">
                  <c:v>2.9149872229015383E-2</c:v>
                </c:pt>
                <c:pt idx="3455">
                  <c:v>2.9149872010462426E-2</c:v>
                </c:pt>
                <c:pt idx="3456">
                  <c:v>2.9149871795339802E-2</c:v>
                </c:pt>
                <c:pt idx="3457">
                  <c:v>2.9149871583647517E-2</c:v>
                </c:pt>
                <c:pt idx="3458">
                  <c:v>2.9149871375385137E-2</c:v>
                </c:pt>
                <c:pt idx="3459">
                  <c:v>2.9149871170553527E-2</c:v>
                </c:pt>
                <c:pt idx="3460">
                  <c:v>2.9152219689998645E-2</c:v>
                </c:pt>
                <c:pt idx="3461">
                  <c:v>2.9146348161862311E-2</c:v>
                </c:pt>
                <c:pt idx="3462">
                  <c:v>2.9149870576638988E-2</c:v>
                </c:pt>
                <c:pt idx="3463">
                  <c:v>2.9151044715128104E-2</c:v>
                </c:pt>
                <c:pt idx="3464">
                  <c:v>2.914987019784707E-2</c:v>
                </c:pt>
                <c:pt idx="3465">
                  <c:v>2.9149870013596618E-2</c:v>
                </c:pt>
                <c:pt idx="3466">
                  <c:v>2.9149869832776502E-2</c:v>
                </c:pt>
                <c:pt idx="3467">
                  <c:v>2.9149869655385428E-2</c:v>
                </c:pt>
                <c:pt idx="3468">
                  <c:v>2.9151043812177271E-2</c:v>
                </c:pt>
                <c:pt idx="3469">
                  <c:v>2.9149869310895152E-2</c:v>
                </c:pt>
                <c:pt idx="3470">
                  <c:v>2.9145172449098939E-2</c:v>
                </c:pt>
                <c:pt idx="3471">
                  <c:v>2.9145172284502207E-2</c:v>
                </c:pt>
                <c:pt idx="3472">
                  <c:v>2.9145172123334333E-2</c:v>
                </c:pt>
                <c:pt idx="3473">
                  <c:v>2.9145171965595316E-2</c:v>
                </c:pt>
                <c:pt idx="3474">
                  <c:v>2.9146345891372143E-2</c:v>
                </c:pt>
                <c:pt idx="3475">
                  <c:v>2.9146345740725176E-2</c:v>
                </c:pt>
                <c:pt idx="3476">
                  <c:v>2.9151042545841849E-2</c:v>
                </c:pt>
                <c:pt idx="3477">
                  <c:v>2.9146345449717958E-2</c:v>
                </c:pt>
                <c:pt idx="3478">
                  <c:v>2.9146345309359025E-2</c:v>
                </c:pt>
                <c:pt idx="3479">
                  <c:v>2.9145171091175662E-2</c:v>
                </c:pt>
                <c:pt idx="3480">
                  <c:v>2.914634498276401E-2</c:v>
                </c:pt>
                <c:pt idx="3481">
                  <c:v>2.9145170827136264E-2</c:v>
                </c:pt>
                <c:pt idx="3482">
                  <c:v>2.9145170700259633E-2</c:v>
                </c:pt>
                <c:pt idx="3483">
                  <c:v>2.914634465900277E-2</c:v>
                </c:pt>
                <c:pt idx="3484">
                  <c:v>2.9146344539220347E-2</c:v>
                </c:pt>
                <c:pt idx="3485">
                  <c:v>2.9146344422865948E-2</c:v>
                </c:pt>
                <c:pt idx="3486">
                  <c:v>2.9146344309942212E-2</c:v>
                </c:pt>
                <c:pt idx="3487">
                  <c:v>2.9146344200446501E-2</c:v>
                </c:pt>
                <c:pt idx="3488">
                  <c:v>2.9145170011010756E-2</c:v>
                </c:pt>
                <c:pt idx="3489">
                  <c:v>2.9145169908138348E-2</c:v>
                </c:pt>
                <c:pt idx="3490">
                  <c:v>2.9145169808693919E-2</c:v>
                </c:pt>
                <c:pt idx="3491">
                  <c:v>2.914516971267879E-2</c:v>
                </c:pt>
                <c:pt idx="3492">
                  <c:v>2.9145169620093843E-2</c:v>
                </c:pt>
                <c:pt idx="3493">
                  <c:v>2.9145169530937317E-2</c:v>
                </c:pt>
                <c:pt idx="3494">
                  <c:v>2.9145169445209205E-2</c:v>
                </c:pt>
                <c:pt idx="3495">
                  <c:v>2.9145169362911279E-2</c:v>
                </c:pt>
                <c:pt idx="3496">
                  <c:v>2.9151040340537091E-2</c:v>
                </c:pt>
                <c:pt idx="3497">
                  <c:v>2.9149865928718453E-2</c:v>
                </c:pt>
                <c:pt idx="3498">
                  <c:v>2.9149865857664801E-2</c:v>
                </c:pt>
                <c:pt idx="3499">
                  <c:v>2.9149865790040627E-2</c:v>
                </c:pt>
                <c:pt idx="3500">
                  <c:v>2.9146343089085827E-2</c:v>
                </c:pt>
                <c:pt idx="3501">
                  <c:v>2.9151040003614775E-2</c:v>
                </c:pt>
                <c:pt idx="3502">
                  <c:v>2.9147517087769623E-2</c:v>
                </c:pt>
                <c:pt idx="3503">
                  <c:v>2.9149865553847291E-2</c:v>
                </c:pt>
                <c:pt idx="3504">
                  <c:v>2.9149865503373937E-2</c:v>
                </c:pt>
                <c:pt idx="3505">
                  <c:v>2.9149865456331348E-2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71808"/>
        <c:axId val="67167372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41977</c:v>
                </c:pt>
                <c:pt idx="1">
                  <c:v>42009</c:v>
                </c:pt>
                <c:pt idx="2">
                  <c:v>42039</c:v>
                </c:pt>
                <c:pt idx="3">
                  <c:v>42067</c:v>
                </c:pt>
                <c:pt idx="4">
                  <c:v>42101</c:v>
                </c:pt>
                <c:pt idx="5">
                  <c:v>42129</c:v>
                </c:pt>
                <c:pt idx="6">
                  <c:v>42220</c:v>
                </c:pt>
                <c:pt idx="7">
                  <c:v>42312</c:v>
                </c:pt>
                <c:pt idx="8">
                  <c:v>42494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3.2699999999999995E-3</c:v>
                </c:pt>
                <c:pt idx="1">
                  <c:v>3.4099999999999998E-3</c:v>
                </c:pt>
                <c:pt idx="2">
                  <c:v>3.62E-3</c:v>
                </c:pt>
                <c:pt idx="3">
                  <c:v>3.9000000000000003E-3</c:v>
                </c:pt>
                <c:pt idx="4">
                  <c:v>4.3299999999999996E-3</c:v>
                </c:pt>
                <c:pt idx="5">
                  <c:v>4.8199999999999996E-3</c:v>
                </c:pt>
                <c:pt idx="6">
                  <c:v>6.7999999999999996E-3</c:v>
                </c:pt>
                <c:pt idx="7">
                  <c:v>9.1000000000000004E-3</c:v>
                </c:pt>
                <c:pt idx="8">
                  <c:v>1.3780000000000001E-2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71808"/>
        <c:axId val="671673728"/>
      </c:scatterChart>
      <c:dateAx>
        <c:axId val="671671808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716737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1673728"/>
        <c:scaling>
          <c:orientation val="minMax"/>
          <c:max val="2.5000000000000001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1671808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3.6419289666422827E-3</c:v>
                </c:pt>
                <c:pt idx="1">
                  <c:v>3.6360414515268502E-3</c:v>
                </c:pt>
                <c:pt idx="2">
                  <c:v>3.6273876530490412E-3</c:v>
                </c:pt>
                <c:pt idx="3">
                  <c:v>3.6218638112650581E-3</c:v>
                </c:pt>
                <c:pt idx="4">
                  <c:v>3.6161876854556851E-3</c:v>
                </c:pt>
                <c:pt idx="5">
                  <c:v>3.5990612077796413E-3</c:v>
                </c:pt>
                <c:pt idx="6">
                  <c:v>3.5990612077796413E-3</c:v>
                </c:pt>
                <c:pt idx="7">
                  <c:v>3.5874894965104431E-3</c:v>
                </c:pt>
                <c:pt idx="8">
                  <c:v>3.5816863467097448E-3</c:v>
                </c:pt>
                <c:pt idx="9">
                  <c:v>3.5758620262438257E-3</c:v>
                </c:pt>
                <c:pt idx="10">
                  <c:v>3.5700165351126856E-3</c:v>
                </c:pt>
                <c:pt idx="11">
                  <c:v>3.5582901540465173E-3</c:v>
                </c:pt>
                <c:pt idx="12">
                  <c:v>3.5464228640957884E-3</c:v>
                </c:pt>
                <c:pt idx="13">
                  <c:v>3.54047151971848E-3</c:v>
                </c:pt>
                <c:pt idx="14">
                  <c:v>3.5344990045960145E-3</c:v>
                </c:pt>
                <c:pt idx="15">
                  <c:v>3.5285053189682003E-3</c:v>
                </c:pt>
                <c:pt idx="16">
                  <c:v>3.5164817270594284E-3</c:v>
                </c:pt>
                <c:pt idx="17">
                  <c:v>3.4982193305310716E-3</c:v>
                </c:pt>
                <c:pt idx="18">
                  <c:v>3.4982193305310716E-3</c:v>
                </c:pt>
                <c:pt idx="19">
                  <c:v>3.4920986209918681E-3</c:v>
                </c:pt>
                <c:pt idx="20">
                  <c:v>3.4859495776373706E-3</c:v>
                </c:pt>
                <c:pt idx="21">
                  <c:v>3.4734855004003862E-3</c:v>
                </c:pt>
                <c:pt idx="22">
                  <c:v>3.4607405656394974E-3</c:v>
                </c:pt>
                <c:pt idx="23">
                  <c:v>3.4542779400048573E-3</c:v>
                </c:pt>
                <c:pt idx="24">
                  <c:v>3.4477511652841741E-3</c:v>
                </c:pt>
                <c:pt idx="25">
                  <c:v>3.4411602413975118E-3</c:v>
                </c:pt>
                <c:pt idx="26">
                  <c:v>3.427797201283056E-3</c:v>
                </c:pt>
                <c:pt idx="27">
                  <c:v>3.4141550554700473E-3</c:v>
                </c:pt>
                <c:pt idx="28">
                  <c:v>3.4072433863130414E-3</c:v>
                </c:pt>
                <c:pt idx="29">
                  <c:v>3.4002675681499284E-3</c:v>
                </c:pt>
                <c:pt idx="30">
                  <c:v>3.3932276008208362E-3</c:v>
                </c:pt>
                <c:pt idx="31">
                  <c:v>3.3789655507732164E-3</c:v>
                </c:pt>
                <c:pt idx="32">
                  <c:v>3.3644262416032689E-3</c:v>
                </c:pt>
                <c:pt idx="33">
                  <c:v>3.3570655290837692E-3</c:v>
                </c:pt>
                <c:pt idx="34">
                  <c:v>3.3345961220927478E-3</c:v>
                </c:pt>
                <c:pt idx="35">
                  <c:v>3.3115541253181391E-3</c:v>
                </c:pt>
                <c:pt idx="36">
                  <c:v>3.303744369915762E-3</c:v>
                </c:pt>
                <c:pt idx="37">
                  <c:v>3.291916489480684E-3</c:v>
                </c:pt>
                <c:pt idx="38">
                  <c:v>3.2718722110303133E-3</c:v>
                </c:pt>
                <c:pt idx="39">
                  <c:v>3.2555898822383966E-3</c:v>
                </c:pt>
                <c:pt idx="40">
                  <c:v>3.2476381280233113E-3</c:v>
                </c:pt>
                <c:pt idx="41">
                  <c:v>3.239929268872288E-3</c:v>
                </c:pt>
                <c:pt idx="42">
                  <c:v>3.232463304945199E-3</c:v>
                </c:pt>
                <c:pt idx="43">
                  <c:v>3.2183697987697713E-3</c:v>
                </c:pt>
                <c:pt idx="44">
                  <c:v>3.2050283999573992E-3</c:v>
                </c:pt>
                <c:pt idx="45">
                  <c:v>3.1987769112706843E-3</c:v>
                </c:pt>
                <c:pt idx="46">
                  <c:v>3.1927683177279675E-3</c:v>
                </c:pt>
                <c:pt idx="47">
                  <c:v>3.1870026192493128E-3</c:v>
                </c:pt>
                <c:pt idx="48">
                  <c:v>3.1763088965952591E-3</c:v>
                </c:pt>
                <c:pt idx="49">
                  <c:v>3.1663687751759539E-3</c:v>
                </c:pt>
                <c:pt idx="50">
                  <c:v>3.1618175516179292E-3</c:v>
                </c:pt>
                <c:pt idx="51">
                  <c:v>3.1534437892943856E-3</c:v>
                </c:pt>
                <c:pt idx="52">
                  <c:v>3.1534437892943856E-3</c:v>
                </c:pt>
                <c:pt idx="53">
                  <c:v>3.1461500666285502E-3</c:v>
                </c:pt>
                <c:pt idx="54">
                  <c:v>3.1396110041370662E-3</c:v>
                </c:pt>
                <c:pt idx="55">
                  <c:v>3.1367600451481792E-3</c:v>
                </c:pt>
                <c:pt idx="56">
                  <c:v>3.1341519810634821E-3</c:v>
                </c:pt>
                <c:pt idx="57">
                  <c:v>3.131786811882975E-3</c:v>
                </c:pt>
                <c:pt idx="58">
                  <c:v>3.1278932998368703E-3</c:v>
                </c:pt>
                <c:pt idx="59">
                  <c:v>3.124755084202846E-3</c:v>
                </c:pt>
                <c:pt idx="60">
                  <c:v>3.1236043894633525E-3</c:v>
                </c:pt>
                <c:pt idx="61">
                  <c:v>3.1226655459803965E-3</c:v>
                </c:pt>
                <c:pt idx="62">
                  <c:v>3.1218143786038155E-3</c:v>
                </c:pt>
                <c:pt idx="63">
                  <c:v>3.1203278639324594E-3</c:v>
                </c:pt>
                <c:pt idx="64">
                  <c:v>3.1189760335248451E-3</c:v>
                </c:pt>
                <c:pt idx="65">
                  <c:v>3.1184080283619409E-3</c:v>
                </c:pt>
                <c:pt idx="66">
                  <c:v>3.1178966555778231E-3</c:v>
                </c:pt>
                <c:pt idx="67">
                  <c:v>3.117441915332364E-3</c:v>
                </c:pt>
                <c:pt idx="68">
                  <c:v>3.1167481927596441E-3</c:v>
                </c:pt>
                <c:pt idx="69">
                  <c:v>3.1161892784581369E-3</c:v>
                </c:pt>
                <c:pt idx="70">
                  <c:v>3.1160177003464185E-3</c:v>
                </c:pt>
                <c:pt idx="71">
                  <c:v>3.1158444414192132E-3</c:v>
                </c:pt>
                <c:pt idx="72">
                  <c:v>3.1158444414192132E-3</c:v>
                </c:pt>
                <c:pt idx="73">
                  <c:v>3.1159435591199269E-3</c:v>
                </c:pt>
                <c:pt idx="74">
                  <c:v>3.1161775129096014E-3</c:v>
                </c:pt>
                <c:pt idx="75">
                  <c:v>3.1164023618490688E-3</c:v>
                </c:pt>
                <c:pt idx="76">
                  <c:v>3.1166838431673227E-3</c:v>
                </c:pt>
                <c:pt idx="77">
                  <c:v>3.1170219570242352E-3</c:v>
                </c:pt>
                <c:pt idx="78">
                  <c:v>3.1179139629333719E-3</c:v>
                </c:pt>
                <c:pt idx="79">
                  <c:v>3.1189407367193667E-3</c:v>
                </c:pt>
                <c:pt idx="80">
                  <c:v>3.1195620127100199E-3</c:v>
                </c:pt>
                <c:pt idx="81">
                  <c:v>3.1202435114074945E-3</c:v>
                </c:pt>
                <c:pt idx="82">
                  <c:v>3.1209995936443136E-3</c:v>
                </c:pt>
                <c:pt idx="83">
                  <c:v>3.1227994254212632E-3</c:v>
                </c:pt>
                <c:pt idx="84">
                  <c:v>3.1248056601462793E-3</c:v>
                </c:pt>
                <c:pt idx="85">
                  <c:v>3.125952611240379E-3</c:v>
                </c:pt>
                <c:pt idx="86">
                  <c:v>3.1271777360419861E-3</c:v>
                </c:pt>
                <c:pt idx="87">
                  <c:v>3.1284810347109726E-3</c:v>
                </c:pt>
                <c:pt idx="88">
                  <c:v>3.1313754482731326E-3</c:v>
                </c:pt>
                <c:pt idx="89">
                  <c:v>3.1344759668616717E-3</c:v>
                </c:pt>
                <c:pt idx="90">
                  <c:v>3.1361701343080028E-3</c:v>
                </c:pt>
                <c:pt idx="91">
                  <c:v>3.1379424755417773E-3</c:v>
                </c:pt>
                <c:pt idx="92">
                  <c:v>3.1397929906429312E-3</c:v>
                </c:pt>
                <c:pt idx="93">
                  <c:v>3.1437820533497529E-3</c:v>
                </c:pt>
                <c:pt idx="94">
                  <c:v>3.1479767885222998E-3</c:v>
                </c:pt>
                <c:pt idx="95">
                  <c:v>3.1502181725606704E-3</c:v>
                </c:pt>
                <c:pt idx="96">
                  <c:v>3.1525377303065483E-3</c:v>
                </c:pt>
                <c:pt idx="97">
                  <c:v>3.1549354617599334E-3</c:v>
                </c:pt>
                <c:pt idx="98">
                  <c:v>3.1600192418235196E-3</c:v>
                </c:pt>
                <c:pt idx="99">
                  <c:v>3.1653081258475879E-3</c:v>
                </c:pt>
                <c:pt idx="100">
                  <c:v>3.1680967262381898E-3</c:v>
                </c:pt>
                <c:pt idx="101">
                  <c:v>3.1709635005761072E-3</c:v>
                </c:pt>
                <c:pt idx="102">
                  <c:v>3.1801672244711199E-3</c:v>
                </c:pt>
                <c:pt idx="103">
                  <c:v>3.1898121747175878E-3</c:v>
                </c:pt>
                <c:pt idx="104">
                  <c:v>3.1932644366339247E-3</c:v>
                </c:pt>
                <c:pt idx="105">
                  <c:v>3.1968331432441488E-3</c:v>
                </c:pt>
                <c:pt idx="106">
                  <c:v>3.204387228015193E-3</c:v>
                </c:pt>
                <c:pt idx="107">
                  <c:v>3.212272417902895E-3</c:v>
                </c:pt>
                <c:pt idx="108">
                  <c:v>3.2164233485421079E-3</c:v>
                </c:pt>
                <c:pt idx="109">
                  <c:v>3.2206907239551441E-3</c:v>
                </c:pt>
                <c:pt idx="110">
                  <c:v>3.2250745442219397E-3</c:v>
                </c:pt>
                <c:pt idx="111">
                  <c:v>3.234259390438865E-3</c:v>
                </c:pt>
                <c:pt idx="112">
                  <c:v>3.2437742734270358E-3</c:v>
                </c:pt>
                <c:pt idx="113">
                  <c:v>3.2487403178027563E-3</c:v>
                </c:pt>
                <c:pt idx="114">
                  <c:v>3.2538228069523001E-3</c:v>
                </c:pt>
                <c:pt idx="115">
                  <c:v>3.2590217410355393E-3</c:v>
                </c:pt>
                <c:pt idx="116">
                  <c:v>3.269837457624547E-3</c:v>
                </c:pt>
                <c:pt idx="117">
                  <c:v>3.280981925666282E-3</c:v>
                </c:pt>
                <c:pt idx="118">
                  <c:v>3.2867630839383821E-3</c:v>
                </c:pt>
                <c:pt idx="119">
                  <c:v>3.2926606870642416E-3</c:v>
                </c:pt>
                <c:pt idx="120">
                  <c:v>3.2986747352037327E-3</c:v>
                </c:pt>
                <c:pt idx="121">
                  <c:v>3.3143378488498243E-3</c:v>
                </c:pt>
                <c:pt idx="122">
                  <c:v>3.3305922075488326E-3</c:v>
                </c:pt>
                <c:pt idx="123">
                  <c:v>3.3379082773787871E-3</c:v>
                </c:pt>
                <c:pt idx="124">
                  <c:v>3.3459441446304083E-3</c:v>
                </c:pt>
                <c:pt idx="125">
                  <c:v>3.3644466461346667E-3</c:v>
                </c:pt>
                <c:pt idx="126">
                  <c:v>3.3852855877736232E-3</c:v>
                </c:pt>
                <c:pt idx="127">
                  <c:v>3.3969204424533217E-3</c:v>
                </c:pt>
                <c:pt idx="128">
                  <c:v>3.409275094874431E-3</c:v>
                </c:pt>
                <c:pt idx="129">
                  <c:v>3.4223495450369512E-3</c:v>
                </c:pt>
                <c:pt idx="130">
                  <c:v>3.4509308513186454E-3</c:v>
                </c:pt>
                <c:pt idx="131">
                  <c:v>3.4818453250995418E-3</c:v>
                </c:pt>
                <c:pt idx="132">
                  <c:v>3.4985187654079652E-3</c:v>
                </c:pt>
                <c:pt idx="133">
                  <c:v>3.5159120040173519E-3</c:v>
                </c:pt>
                <c:pt idx="134">
                  <c:v>3.5340250410076379E-3</c:v>
                </c:pt>
                <c:pt idx="135">
                  <c:v>3.5829601146408763E-3</c:v>
                </c:pt>
                <c:pt idx="136">
                  <c:v>3.6353872062289128E-3</c:v>
                </c:pt>
                <c:pt idx="137">
                  <c:v>3.6578190361424845E-3</c:v>
                </c:pt>
                <c:pt idx="138">
                  <c:v>3.6809706653162522E-3</c:v>
                </c:pt>
                <c:pt idx="139">
                  <c:v>3.729711894955301E-3</c:v>
                </c:pt>
                <c:pt idx="140">
                  <c:v>3.7807751774909804E-3</c:v>
                </c:pt>
                <c:pt idx="141">
                  <c:v>3.8075258051240013E-3</c:v>
                </c:pt>
                <c:pt idx="142">
                  <c:v>3.8349962329764509E-3</c:v>
                </c:pt>
                <c:pt idx="143">
                  <c:v>3.8629441450410695E-3</c:v>
                </c:pt>
                <c:pt idx="144">
                  <c:v>3.9169202304822903E-3</c:v>
                </c:pt>
                <c:pt idx="145">
                  <c:v>3.96836409636947E-3</c:v>
                </c:pt>
                <c:pt idx="146">
                  <c:v>3.9928838430824953E-3</c:v>
                </c:pt>
                <c:pt idx="147">
                  <c:v>4.0166694930920954E-3</c:v>
                </c:pt>
                <c:pt idx="148">
                  <c:v>4.0397210462383981E-3</c:v>
                </c:pt>
                <c:pt idx="149">
                  <c:v>4.0834234783915235E-3</c:v>
                </c:pt>
                <c:pt idx="150">
                  <c:v>4.1245862869132566E-3</c:v>
                </c:pt>
                <c:pt idx="151">
                  <c:v>4.1439673535048627E-3</c:v>
                </c:pt>
                <c:pt idx="152">
                  <c:v>4.1626143224338108E-3</c:v>
                </c:pt>
                <c:pt idx="153">
                  <c:v>4.1805271936201649E-3</c:v>
                </c:pt>
                <c:pt idx="154">
                  <c:v>4.2139552677689096E-3</c:v>
                </c:pt>
                <c:pt idx="155">
                  <c:v>4.2448376983017511E-3</c:v>
                </c:pt>
                <c:pt idx="156">
                  <c:v>4.2590800790165417E-3</c:v>
                </c:pt>
                <c:pt idx="157">
                  <c:v>4.2725883612693139E-3</c:v>
                </c:pt>
                <c:pt idx="158">
                  <c:v>4.2853625451400035E-3</c:v>
                </c:pt>
                <c:pt idx="159">
                  <c:v>4.308515481215025E-3</c:v>
                </c:pt>
                <c:pt idx="160">
                  <c:v>4.3291182944837914E-3</c:v>
                </c:pt>
                <c:pt idx="161">
                  <c:v>4.3382219850052195E-3</c:v>
                </c:pt>
                <c:pt idx="162">
                  <c:v>4.3465915765850127E-3</c:v>
                </c:pt>
                <c:pt idx="163">
                  <c:v>4.3542270693031071E-3</c:v>
                </c:pt>
                <c:pt idx="164">
                  <c:v>4.3671040337045497E-3</c:v>
                </c:pt>
                <c:pt idx="165">
                  <c:v>4.377586368118358E-3</c:v>
                </c:pt>
                <c:pt idx="166">
                  <c:v>4.387631987334828E-3</c:v>
                </c:pt>
                <c:pt idx="167">
                  <c:v>4.387631987334828E-3</c:v>
                </c:pt>
                <c:pt idx="168">
                  <c:v>4.3929785098395513E-3</c:v>
                </c:pt>
                <c:pt idx="169">
                  <c:v>4.4044448023949911E-3</c:v>
                </c:pt>
                <c:pt idx="170">
                  <c:v>4.4165226864478768E-3</c:v>
                </c:pt>
                <c:pt idx="171">
                  <c:v>4.4229482522872843E-3</c:v>
                </c:pt>
                <c:pt idx="172">
                  <c:v>4.4295896268575774E-3</c:v>
                </c:pt>
                <c:pt idx="173">
                  <c:v>4.4364468100788201E-3</c:v>
                </c:pt>
                <c:pt idx="174">
                  <c:v>4.4509355678723495E-3</c:v>
                </c:pt>
                <c:pt idx="175">
                  <c:v>4.4660336304325199E-3</c:v>
                </c:pt>
                <c:pt idx="176">
                  <c:v>4.473969857388127E-3</c:v>
                </c:pt>
                <c:pt idx="177">
                  <c:v>4.4821218931545559E-3</c:v>
                </c:pt>
                <c:pt idx="178">
                  <c:v>4.4904897377318065E-3</c:v>
                </c:pt>
                <c:pt idx="179">
                  <c:v>4.508001238541226E-3</c:v>
                </c:pt>
                <c:pt idx="180">
                  <c:v>4.5261192043088982E-3</c:v>
                </c:pt>
                <c:pt idx="181">
                  <c:v>4.5355660931800656E-3</c:v>
                </c:pt>
                <c:pt idx="182">
                  <c:v>4.5452287907821187E-3</c:v>
                </c:pt>
                <c:pt idx="183">
                  <c:v>4.5551072975147378E-3</c:v>
                </c:pt>
                <c:pt idx="184">
                  <c:v>4.5756418294562451E-3</c:v>
                </c:pt>
                <c:pt idx="185">
                  <c:v>4.5967794135126638E-3</c:v>
                </c:pt>
                <c:pt idx="186">
                  <c:v>4.6077555884416199E-3</c:v>
                </c:pt>
                <c:pt idx="187">
                  <c:v>4.6190406899349057E-3</c:v>
                </c:pt>
                <c:pt idx="188">
                  <c:v>4.630653341335389E-3</c:v>
                </c:pt>
                <c:pt idx="189">
                  <c:v>4.6550306688519782E-3</c:v>
                </c:pt>
                <c:pt idx="190">
                  <c:v>4.6803794478478267E-3</c:v>
                </c:pt>
                <c:pt idx="191">
                  <c:v>4.6936298497435303E-3</c:v>
                </c:pt>
                <c:pt idx="192">
                  <c:v>4.7072078019461117E-3</c:v>
                </c:pt>
                <c:pt idx="193">
                  <c:v>4.7211133042956988E-3</c:v>
                </c:pt>
                <c:pt idx="194">
                  <c:v>4.7500788175103281E-3</c:v>
                </c:pt>
                <c:pt idx="195">
                  <c:v>4.7800108170026334E-3</c:v>
                </c:pt>
                <c:pt idx="196">
                  <c:v>4.7955540712063538E-3</c:v>
                </c:pt>
                <c:pt idx="197">
                  <c:v>4.8114248758768241E-3</c:v>
                </c:pt>
                <c:pt idx="198">
                  <c:v>4.8276232310939804E-3</c:v>
                </c:pt>
                <c:pt idx="199">
                  <c:v>4.861177416763951E-3</c:v>
                </c:pt>
                <c:pt idx="200">
                  <c:v>4.8956921579090817E-3</c:v>
                </c:pt>
                <c:pt idx="201">
                  <c:v>4.9135282664192204E-3</c:v>
                </c:pt>
                <c:pt idx="202">
                  <c:v>4.9316919257158531E-3</c:v>
                </c:pt>
                <c:pt idx="203">
                  <c:v>4.9501831358789161E-3</c:v>
                </c:pt>
                <c:pt idx="204">
                  <c:v>4.9981530016185438E-3</c:v>
                </c:pt>
                <c:pt idx="205">
                  <c:v>5.0475524511295333E-3</c:v>
                </c:pt>
                <c:pt idx="206">
                  <c:v>5.0680089675303464E-3</c:v>
                </c:pt>
                <c:pt idx="207">
                  <c:v>5.0887930351173338E-3</c:v>
                </c:pt>
                <c:pt idx="208">
                  <c:v>5.1314962929271957E-3</c:v>
                </c:pt>
                <c:pt idx="209">
                  <c:v>5.1750820691154331E-3</c:v>
                </c:pt>
                <c:pt idx="210">
                  <c:v>5.197424272243012E-3</c:v>
                </c:pt>
                <c:pt idx="211">
                  <c:v>5.2430316172635827E-3</c:v>
                </c:pt>
                <c:pt idx="212">
                  <c:v>5.2430316172635827E-3</c:v>
                </c:pt>
                <c:pt idx="213">
                  <c:v>5.290049829014265E-3</c:v>
                </c:pt>
                <c:pt idx="214">
                  <c:v>5.3379380636453533E-3</c:v>
                </c:pt>
                <c:pt idx="215">
                  <c:v>5.3624337915714193E-3</c:v>
                </c:pt>
                <c:pt idx="216">
                  <c:v>5.3872371660457219E-3</c:v>
                </c:pt>
                <c:pt idx="217">
                  <c:v>5.4123481872281332E-3</c:v>
                </c:pt>
                <c:pt idx="218">
                  <c:v>5.4636786378647884E-3</c:v>
                </c:pt>
                <c:pt idx="219">
                  <c:v>5.5158687403178419E-3</c:v>
                </c:pt>
                <c:pt idx="220">
                  <c:v>5.5425179960000293E-3</c:v>
                </c:pt>
                <c:pt idx="221">
                  <c:v>5.5694748987900056E-3</c:v>
                </c:pt>
                <c:pt idx="222">
                  <c:v>5.5967394487677069E-3</c:v>
                </c:pt>
                <c:pt idx="223">
                  <c:v>5.652382784866461E-3</c:v>
                </c:pt>
                <c:pt idx="224">
                  <c:v>5.7088741215149952E-3</c:v>
                </c:pt>
                <c:pt idx="225">
                  <c:v>5.7376769083905543E-3</c:v>
                </c:pt>
                <c:pt idx="226">
                  <c:v>5.7667873427735827E-3</c:v>
                </c:pt>
                <c:pt idx="227">
                  <c:v>5.7962054249038886E-3</c:v>
                </c:pt>
                <c:pt idx="228">
                  <c:v>5.8561623411623742E-3</c:v>
                </c:pt>
                <c:pt idx="229">
                  <c:v>5.9169542314574386E-3</c:v>
                </c:pt>
                <c:pt idx="230">
                  <c:v>5.9479105531234922E-3</c:v>
                </c:pt>
                <c:pt idx="231">
                  <c:v>5.9790898229294953E-3</c:v>
                </c:pt>
                <c:pt idx="232">
                  <c:v>6.010153241327032E-3</c:v>
                </c:pt>
                <c:pt idx="233">
                  <c:v>6.0717139746380155E-3</c:v>
                </c:pt>
                <c:pt idx="234">
                  <c:v>6.132401401082177E-3</c:v>
                </c:pt>
                <c:pt idx="235">
                  <c:v>6.1624620622424686E-3</c:v>
                </c:pt>
                <c:pt idx="236">
                  <c:v>6.2219817296771396E-3</c:v>
                </c:pt>
                <c:pt idx="237">
                  <c:v>6.2219817296771396E-3</c:v>
                </c:pt>
                <c:pt idx="238">
                  <c:v>6.2807419127697273E-3</c:v>
                </c:pt>
                <c:pt idx="239">
                  <c:v>6.3386144437238556E-3</c:v>
                </c:pt>
                <c:pt idx="240">
                  <c:v>6.3672712426576794E-3</c:v>
                </c:pt>
                <c:pt idx="241">
                  <c:v>6.3957274896164762E-3</c:v>
                </c:pt>
                <c:pt idx="242">
                  <c:v>6.4239831845203099E-3</c:v>
                </c:pt>
                <c:pt idx="243">
                  <c:v>6.4799427013007005E-3</c:v>
                </c:pt>
                <c:pt idx="244">
                  <c:v>6.5350004435060782E-3</c:v>
                </c:pt>
                <c:pt idx="245">
                  <c:v>6.5622533777354164E-3</c:v>
                </c:pt>
                <c:pt idx="246">
                  <c:v>6.5893057597499194E-3</c:v>
                </c:pt>
                <c:pt idx="247">
                  <c:v>6.6161575894696512E-3</c:v>
                </c:pt>
                <c:pt idx="248">
                  <c:v>6.6693162913367132E-3</c:v>
                </c:pt>
                <c:pt idx="249">
                  <c:v>6.721559384041953E-3</c:v>
                </c:pt>
                <c:pt idx="250">
                  <c:v>6.747408451488468E-3</c:v>
                </c:pt>
                <c:pt idx="251">
                  <c:v>6.7730569663204676E-3</c:v>
                </c:pt>
                <c:pt idx="252">
                  <c:v>6.7985385410906929E-3</c:v>
                </c:pt>
                <c:pt idx="253">
                  <c:v>6.8495685259950534E-3</c:v>
                </c:pt>
                <c:pt idx="254">
                  <c:v>6.9003416140223095E-3</c:v>
                </c:pt>
                <c:pt idx="255">
                  <c:v>6.9257951883106017E-3</c:v>
                </c:pt>
                <c:pt idx="256">
                  <c:v>6.9512498849810811E-3</c:v>
                </c:pt>
                <c:pt idx="257">
                  <c:v>6.9767057040337477E-3</c:v>
                </c:pt>
                <c:pt idx="258">
                  <c:v>7.0785402044659662E-3</c:v>
                </c:pt>
                <c:pt idx="259">
                  <c:v>7.0785402044659662E-3</c:v>
                </c:pt>
                <c:pt idx="260">
                  <c:v>7.1040016355894409E-3</c:v>
                </c:pt>
                <c:pt idx="261">
                  <c:v>7.1294641890951027E-3</c:v>
                </c:pt>
                <c:pt idx="262">
                  <c:v>7.1549278650628878E-3</c:v>
                </c:pt>
                <c:pt idx="263">
                  <c:v>7.2060031931364676E-3</c:v>
                </c:pt>
                <c:pt idx="264">
                  <c:v>7.2567937929957083E-3</c:v>
                </c:pt>
                <c:pt idx="265">
                  <c:v>7.2822630810343014E-3</c:v>
                </c:pt>
                <c:pt idx="266">
                  <c:v>7.3077334913751457E-3</c:v>
                </c:pt>
                <c:pt idx="267">
                  <c:v>7.3332050242580493E-3</c:v>
                </c:pt>
                <c:pt idx="268">
                  <c:v>7.3843032919818086E-3</c:v>
                </c:pt>
                <c:pt idx="269">
                  <c:v>7.4605795246451834E-3</c:v>
                </c:pt>
                <c:pt idx="270">
                  <c:v>7.4605795246451834E-3</c:v>
                </c:pt>
                <c:pt idx="271">
                  <c:v>7.4860577919011462E-3</c:v>
                </c:pt>
                <c:pt idx="272">
                  <c:v>7.5115371816991683E-3</c:v>
                </c:pt>
                <c:pt idx="273">
                  <c:v>7.5626585679966496E-3</c:v>
                </c:pt>
                <c:pt idx="274">
                  <c:v>7.6134659647131286E-3</c:v>
                </c:pt>
                <c:pt idx="275">
                  <c:v>7.6389509665020228E-3</c:v>
                </c:pt>
                <c:pt idx="276">
                  <c:v>7.6644370907530401E-3</c:v>
                </c:pt>
                <c:pt idx="277">
                  <c:v>7.6899243373862447E-3</c:v>
                </c:pt>
                <c:pt idx="278">
                  <c:v>7.7410690214207989E-3</c:v>
                </c:pt>
                <c:pt idx="279">
                  <c:v>7.7918845480606791E-3</c:v>
                </c:pt>
                <c:pt idx="280">
                  <c:v>7.8173774067646917E-3</c:v>
                </c:pt>
                <c:pt idx="281">
                  <c:v>7.8428713879308276E-3</c:v>
                </c:pt>
                <c:pt idx="282">
                  <c:v>7.8683664914791507E-3</c:v>
                </c:pt>
                <c:pt idx="283">
                  <c:v>7.91953465252071E-3</c:v>
                </c:pt>
                <c:pt idx="284">
                  <c:v>7.9703581298939952E-3</c:v>
                </c:pt>
                <c:pt idx="285">
                  <c:v>7.9958588455131263E-3</c:v>
                </c:pt>
                <c:pt idx="286">
                  <c:v>8.0213606835943807E-3</c:v>
                </c:pt>
                <c:pt idx="287">
                  <c:v>8.0982383697953964E-3</c:v>
                </c:pt>
                <c:pt idx="288">
                  <c:v>8.1743952827473265E-3</c:v>
                </c:pt>
                <c:pt idx="289">
                  <c:v>8.1999049778236355E-3</c:v>
                </c:pt>
                <c:pt idx="290">
                  <c:v>8.2639693659980473E-3</c:v>
                </c:pt>
                <c:pt idx="291">
                  <c:v>8.3274702890978602E-3</c:v>
                </c:pt>
                <c:pt idx="292">
                  <c:v>8.3529867186271645E-3</c:v>
                </c:pt>
                <c:pt idx="293">
                  <c:v>8.3785042706185919E-3</c:v>
                </c:pt>
                <c:pt idx="294">
                  <c:v>8.4040229449922066E-3</c:v>
                </c:pt>
                <c:pt idx="295">
                  <c:v>8.4552626141931597E-3</c:v>
                </c:pt>
                <c:pt idx="296">
                  <c:v>8.5061088667082174E-3</c:v>
                </c:pt>
                <c:pt idx="297">
                  <c:v>8.5316331532325762E-3</c:v>
                </c:pt>
                <c:pt idx="298">
                  <c:v>8.5571585621391222E-3</c:v>
                </c:pt>
                <c:pt idx="299">
                  <c:v>8.5826850935077914E-3</c:v>
                </c:pt>
                <c:pt idx="300">
                  <c:v>8.6339489583941997E-3</c:v>
                </c:pt>
                <c:pt idx="301">
                  <c:v>8.6848024431240844E-3</c:v>
                </c:pt>
                <c:pt idx="302">
                  <c:v>8.7103345865635617E-3</c:v>
                </c:pt>
                <c:pt idx="303">
                  <c:v>8.7614022408288861E-3</c:v>
                </c:pt>
                <c:pt idx="304">
                  <c:v>8.7614022408288861E-3</c:v>
                </c:pt>
                <c:pt idx="305">
                  <c:v>8.8126904814433971E-3</c:v>
                </c:pt>
                <c:pt idx="306">
                  <c:v>8.8635510183454613E-3</c:v>
                </c:pt>
                <c:pt idx="307">
                  <c:v>8.8890910187799932E-3</c:v>
                </c:pt>
                <c:pt idx="308">
                  <c:v>8.9146321416766483E-3</c:v>
                </c:pt>
                <c:pt idx="309">
                  <c:v>8.9401743869554906E-3</c:v>
                </c:pt>
                <c:pt idx="310">
                  <c:v>8.9914871836604959E-3</c:v>
                </c:pt>
                <c:pt idx="311">
                  <c:v>9.0423545925322202E-3</c:v>
                </c:pt>
                <c:pt idx="312">
                  <c:v>9.0679024499618066E-3</c:v>
                </c:pt>
                <c:pt idx="313">
                  <c:v>9.0934514298535163E-3</c:v>
                </c:pt>
                <c:pt idx="314">
                  <c:v>9.1190015321274132E-3</c:v>
                </c:pt>
                <c:pt idx="315">
                  <c:v>9.1703390652320138E-3</c:v>
                </c:pt>
                <c:pt idx="316">
                  <c:v>9.221213165684361E-3</c:v>
                </c:pt>
                <c:pt idx="317">
                  <c:v>9.2467688801889381E-3</c:v>
                </c:pt>
                <c:pt idx="318">
                  <c:v>9.2723257170757023E-3</c:v>
                </c:pt>
                <c:pt idx="319">
                  <c:v>9.2978836763446537E-3</c:v>
                </c:pt>
                <c:pt idx="320">
                  <c:v>9.3492461264510496E-3</c:v>
                </c:pt>
                <c:pt idx="321">
                  <c:v>9.4001267379617559E-3</c:v>
                </c:pt>
                <c:pt idx="322">
                  <c:v>9.4256903094613875E-3</c:v>
                </c:pt>
                <c:pt idx="323">
                  <c:v>9.4768208196871484E-3</c:v>
                </c:pt>
                <c:pt idx="324">
                  <c:v>9.4768208196871484E-3</c:v>
                </c:pt>
                <c:pt idx="325">
                  <c:v>9.5282083675307661E-3</c:v>
                </c:pt>
                <c:pt idx="326">
                  <c:v>9.579095309444341E-3</c:v>
                </c:pt>
                <c:pt idx="327">
                  <c:v>9.6046667379390271E-3</c:v>
                </c:pt>
                <c:pt idx="328">
                  <c:v>9.6302392888958366E-3</c:v>
                </c:pt>
                <c:pt idx="329">
                  <c:v>9.6558129622348332E-3</c:v>
                </c:pt>
                <c:pt idx="330">
                  <c:v>9.7072257887376168E-3</c:v>
                </c:pt>
                <c:pt idx="331">
                  <c:v>9.7581188801321161E-3</c:v>
                </c:pt>
                <c:pt idx="332">
                  <c:v>9.783698165701793E-3</c:v>
                </c:pt>
                <c:pt idx="333">
                  <c:v>9.809278573653657E-3</c:v>
                </c:pt>
                <c:pt idx="334">
                  <c:v>9.8348601041475803E-3</c:v>
                </c:pt>
                <c:pt idx="335">
                  <c:v>9.8862983902847645E-3</c:v>
                </c:pt>
                <c:pt idx="336">
                  <c:v>9.9371974501050175E-3</c:v>
                </c:pt>
                <c:pt idx="337">
                  <c:v>9.962784592749685E-3</c:v>
                </c:pt>
                <c:pt idx="338">
                  <c:v>9.9883728578564757E-3</c:v>
                </c:pt>
                <c:pt idx="339">
                  <c:v>1.0013962245345454E-2</c:v>
                </c:pt>
                <c:pt idx="340">
                  <c:v>1.0065426172465308E-2</c:v>
                </c:pt>
                <c:pt idx="341">
                  <c:v>1.0116331019602853E-2</c:v>
                </c:pt>
                <c:pt idx="342">
                  <c:v>1.0141926019322511E-2</c:v>
                </c:pt>
                <c:pt idx="343">
                  <c:v>1.0167522141424357E-2</c:v>
                </c:pt>
                <c:pt idx="344">
                  <c:v>1.0193119385988325E-2</c:v>
                </c:pt>
                <c:pt idx="345">
                  <c:v>1.0244609135492411E-2</c:v>
                </c:pt>
                <c:pt idx="346">
                  <c:v>1.0295519588625623E-2</c:v>
                </c:pt>
                <c:pt idx="347">
                  <c:v>1.0321122445340336E-2</c:v>
                </c:pt>
                <c:pt idx="348">
                  <c:v>1.0346726424517172E-2</c:v>
                </c:pt>
                <c:pt idx="349">
                  <c:v>1.0424149847757747E-2</c:v>
                </c:pt>
                <c:pt idx="350">
                  <c:v>1.0500373871042967E-2</c:v>
                </c:pt>
                <c:pt idx="351">
                  <c:v>1.0525985707294794E-2</c:v>
                </c:pt>
                <c:pt idx="352">
                  <c:v>1.0551598666008744E-2</c:v>
                </c:pt>
                <c:pt idx="353">
                  <c:v>1.0603140605098815E-2</c:v>
                </c:pt>
                <c:pt idx="354">
                  <c:v>1.0654061725405839E-2</c:v>
                </c:pt>
                <c:pt idx="355">
                  <c:v>1.0679680296350469E-2</c:v>
                </c:pt>
                <c:pt idx="356">
                  <c:v>1.0705299989757222E-2</c:v>
                </c:pt>
                <c:pt idx="357">
                  <c:v>1.0730920805546162E-2</c:v>
                </c:pt>
                <c:pt idx="358">
                  <c:v>1.0782489112211024E-2</c:v>
                </c:pt>
                <c:pt idx="359">
                  <c:v>1.0833415293403093E-2</c:v>
                </c:pt>
                <c:pt idx="360">
                  <c:v>1.0859041721422713E-2</c:v>
                </c:pt>
                <c:pt idx="361">
                  <c:v>1.0884669271904457E-2</c:v>
                </c:pt>
                <c:pt idx="362">
                  <c:v>1.091029794492826E-2</c:v>
                </c:pt>
                <c:pt idx="363">
                  <c:v>1.096189280110238E-2</c:v>
                </c:pt>
                <c:pt idx="364">
                  <c:v>1.1012823861165089E-2</c:v>
                </c:pt>
                <c:pt idx="365">
                  <c:v>1.1038458146339636E-2</c:v>
                </c:pt>
                <c:pt idx="366">
                  <c:v>1.1064093554056242E-2</c:v>
                </c:pt>
                <c:pt idx="367">
                  <c:v>1.10897300840751E-2</c:v>
                </c:pt>
                <c:pt idx="368">
                  <c:v>1.1141351672119271E-2</c:v>
                </c:pt>
                <c:pt idx="369">
                  <c:v>1.1192287428851699E-2</c:v>
                </c:pt>
                <c:pt idx="370">
                  <c:v>1.1217929571261109E-2</c:v>
                </c:pt>
                <c:pt idx="371">
                  <c:v>1.124357283597277E-2</c:v>
                </c:pt>
                <c:pt idx="372">
                  <c:v>1.1269217223226491E-2</c:v>
                </c:pt>
                <c:pt idx="373">
                  <c:v>1.1333868998859575E-2</c:v>
                </c:pt>
                <c:pt idx="374">
                  <c:v>1.1397455996107198E-2</c:v>
                </c:pt>
                <c:pt idx="375">
                  <c:v>1.1423107117973785E-2</c:v>
                </c:pt>
                <c:pt idx="376">
                  <c:v>1.1448759362382432E-2</c:v>
                </c:pt>
                <c:pt idx="377">
                  <c:v>1.1500434961382311E-2</c:v>
                </c:pt>
                <c:pt idx="378">
                  <c:v>1.1551379564398445E-2</c:v>
                </c:pt>
                <c:pt idx="379">
                  <c:v>1.1577037421037772E-2</c:v>
                </c:pt>
                <c:pt idx="380">
                  <c:v>1.1602696400219159E-2</c:v>
                </c:pt>
                <c:pt idx="381">
                  <c:v>1.1628356501702797E-2</c:v>
                </c:pt>
                <c:pt idx="382">
                  <c:v>1.1680059380134722E-2</c:v>
                </c:pt>
                <c:pt idx="383">
                  <c:v>1.1731008132418452E-2</c:v>
                </c:pt>
                <c:pt idx="384">
                  <c:v>1.1756673846212706E-2</c:v>
                </c:pt>
                <c:pt idx="385">
                  <c:v>1.1782340682469084E-2</c:v>
                </c:pt>
                <c:pt idx="386">
                  <c:v>1.1808008641187584E-2</c:v>
                </c:pt>
                <c:pt idx="387">
                  <c:v>1.1859738981971901E-2</c:v>
                </c:pt>
                <c:pt idx="388">
                  <c:v>1.1910691700602882E-2</c:v>
                </c:pt>
                <c:pt idx="389">
                  <c:v>1.1936365271552063E-2</c:v>
                </c:pt>
                <c:pt idx="390">
                  <c:v>1.1962039965043303E-2</c:v>
                </c:pt>
                <c:pt idx="391">
                  <c:v>1.198771578091673E-2</c:v>
                </c:pt>
                <c:pt idx="392">
                  <c:v>1.2052516147689207E-2</c:v>
                </c:pt>
                <c:pt idx="393">
                  <c:v>1.2116111697295651E-2</c:v>
                </c:pt>
                <c:pt idx="394">
                  <c:v>1.2141794247941817E-2</c:v>
                </c:pt>
                <c:pt idx="395">
                  <c:v>1.2167477921050107E-2</c:v>
                </c:pt>
                <c:pt idx="396">
                  <c:v>1.2219263735859798E-2</c:v>
                </c:pt>
                <c:pt idx="397">
                  <c:v>1.2270223838104499E-2</c:v>
                </c:pt>
                <c:pt idx="398">
                  <c:v>1.2295913123443469E-2</c:v>
                </c:pt>
                <c:pt idx="399">
                  <c:v>1.2321603531324499E-2</c:v>
                </c:pt>
                <c:pt idx="400">
                  <c:v>1.2347295061667651E-2</c:v>
                </c:pt>
                <c:pt idx="401">
                  <c:v>1.2399108888416777E-2</c:v>
                </c:pt>
                <c:pt idx="402">
                  <c:v>1.2450072407501622E-2</c:v>
                </c:pt>
                <c:pt idx="403">
                  <c:v>1.2475769550075455E-2</c:v>
                </c:pt>
                <c:pt idx="404">
                  <c:v>1.2501467815191347E-2</c:v>
                </c:pt>
                <c:pt idx="405">
                  <c:v>1.2527167202769363E-2</c:v>
                </c:pt>
                <c:pt idx="406">
                  <c:v>1.2579009225017757E-2</c:v>
                </c:pt>
                <c:pt idx="407">
                  <c:v>1.2629975977462848E-2</c:v>
                </c:pt>
                <c:pt idx="408">
                  <c:v>1.265568097735148E-2</c:v>
                </c:pt>
                <c:pt idx="409">
                  <c:v>1.2681387099622299E-2</c:v>
                </c:pt>
                <c:pt idx="410">
                  <c:v>1.2707094344435177E-2</c:v>
                </c:pt>
                <c:pt idx="411">
                  <c:v>1.2758964745929191E-2</c:v>
                </c:pt>
                <c:pt idx="412">
                  <c:v>1.280993454814805E-2</c:v>
                </c:pt>
                <c:pt idx="413">
                  <c:v>1.2835647405271544E-2</c:v>
                </c:pt>
                <c:pt idx="414">
                  <c:v>1.2861361384857162E-2</c:v>
                </c:pt>
                <c:pt idx="415">
                  <c:v>1.2887076486824967E-2</c:v>
                </c:pt>
                <c:pt idx="416">
                  <c:v>1.2938975451417534E-2</c:v>
                </c:pt>
                <c:pt idx="417">
                  <c:v>1.2989948119557226E-2</c:v>
                </c:pt>
                <c:pt idx="418">
                  <c:v>1.3015668833915583E-2</c:v>
                </c:pt>
                <c:pt idx="419">
                  <c:v>1.3067113630018667E-2</c:v>
                </c:pt>
                <c:pt idx="420">
                  <c:v>1.3067113630018667E-2</c:v>
                </c:pt>
                <c:pt idx="421">
                  <c:v>1.3119041341722593E-2</c:v>
                </c:pt>
                <c:pt idx="422">
                  <c:v>1.3170016691770314E-2</c:v>
                </c:pt>
                <c:pt idx="423">
                  <c:v>1.319574526344347E-2</c:v>
                </c:pt>
                <c:pt idx="424">
                  <c:v>1.3221474957498813E-2</c:v>
                </c:pt>
                <c:pt idx="425">
                  <c:v>1.324720577401628E-2</c:v>
                </c:pt>
                <c:pt idx="426">
                  <c:v>1.3299162417057531E-2</c:v>
                </c:pt>
                <c:pt idx="427">
                  <c:v>1.3350140264947186E-2</c:v>
                </c:pt>
                <c:pt idx="428">
                  <c:v>1.3375876693775268E-2</c:v>
                </c:pt>
                <c:pt idx="429">
                  <c:v>1.340161424514541E-2</c:v>
                </c:pt>
                <c:pt idx="430">
                  <c:v>1.3427352918977675E-2</c:v>
                </c:pt>
                <c:pt idx="431">
                  <c:v>1.3479338677688801E-2</c:v>
                </c:pt>
                <c:pt idx="432">
                  <c:v>1.3530318839007904E-2</c:v>
                </c:pt>
                <c:pt idx="433">
                  <c:v>1.3556063125150786E-2</c:v>
                </c:pt>
                <c:pt idx="434">
                  <c:v>1.3581808533835726E-2</c:v>
                </c:pt>
                <c:pt idx="435">
                  <c:v>1.360755506498279E-2</c:v>
                </c:pt>
                <c:pt idx="436">
                  <c:v>1.3659570123882858E-2</c:v>
                </c:pt>
                <c:pt idx="437">
                  <c:v>1.3710552414192279E-2</c:v>
                </c:pt>
                <c:pt idx="438">
                  <c:v>1.3736304557729895E-2</c:v>
                </c:pt>
                <c:pt idx="439">
                  <c:v>1.3762057823649698E-2</c:v>
                </c:pt>
                <c:pt idx="440">
                  <c:v>1.3787812212031625E-2</c:v>
                </c:pt>
                <c:pt idx="441">
                  <c:v>1.3839856755906155E-2</c:v>
                </c:pt>
                <c:pt idx="442">
                  <c:v>1.3890840990500308E-2</c:v>
                </c:pt>
                <c:pt idx="443">
                  <c:v>1.3916600991272787E-2</c:v>
                </c:pt>
                <c:pt idx="444">
                  <c:v>1.3942362114587326E-2</c:v>
                </c:pt>
                <c:pt idx="445">
                  <c:v>1.3968124360284051E-2</c:v>
                </c:pt>
                <c:pt idx="446">
                  <c:v>1.4020198573945208E-2</c:v>
                </c:pt>
                <c:pt idx="447">
                  <c:v>1.407118456801193E-2</c:v>
                </c:pt>
                <c:pt idx="448">
                  <c:v>1.4096952426179143E-2</c:v>
                </c:pt>
                <c:pt idx="449">
                  <c:v>1.4122721406808481E-2</c:v>
                </c:pt>
                <c:pt idx="450">
                  <c:v>1.4148491509899941E-2</c:v>
                </c:pt>
                <c:pt idx="451">
                  <c:v>1.4200595578266473E-2</c:v>
                </c:pt>
                <c:pt idx="452">
                  <c:v>1.4251583146966951E-2</c:v>
                </c:pt>
                <c:pt idx="453">
                  <c:v>1.4277358862369027E-2</c:v>
                </c:pt>
                <c:pt idx="454">
                  <c:v>1.4303135700313163E-2</c:v>
                </c:pt>
                <c:pt idx="455">
                  <c:v>1.4328913660799358E-2</c:v>
                </c:pt>
                <c:pt idx="456">
                  <c:v>1.439422739991647E-2</c:v>
                </c:pt>
                <c:pt idx="457">
                  <c:v>1.4457820300002311E-2</c:v>
                </c:pt>
                <c:pt idx="458">
                  <c:v>1.4483604995261246E-2</c:v>
                </c:pt>
                <c:pt idx="459">
                  <c:v>1.450939081306224E-2</c:v>
                </c:pt>
                <c:pt idx="460">
                  <c:v>1.4561555146821448E-2</c:v>
                </c:pt>
                <c:pt idx="461">
                  <c:v>1.4612545308967384E-2</c:v>
                </c:pt>
                <c:pt idx="462">
                  <c:v>1.463833673915893E-2</c:v>
                </c:pt>
                <c:pt idx="463">
                  <c:v>1.4689922966928393E-2</c:v>
                </c:pt>
                <c:pt idx="464">
                  <c:v>1.4689922966928393E-2</c:v>
                </c:pt>
                <c:pt idx="465">
                  <c:v>1.4742117711508129E-2</c:v>
                </c:pt>
                <c:pt idx="466">
                  <c:v>1.4793108892252604E-2</c:v>
                </c:pt>
                <c:pt idx="467">
                  <c:v>1.4818908179838886E-2</c:v>
                </c:pt>
                <c:pt idx="468">
                  <c:v>1.4844708589807354E-2</c:v>
                </c:pt>
                <c:pt idx="469">
                  <c:v>1.4870510122397818E-2</c:v>
                </c:pt>
                <c:pt idx="470">
                  <c:v>1.4922735463489545E-2</c:v>
                </c:pt>
                <c:pt idx="471">
                  <c:v>1.4973727477221033E-2</c:v>
                </c:pt>
                <c:pt idx="472">
                  <c:v>1.4999534622202049E-2</c:v>
                </c:pt>
                <c:pt idx="473">
                  <c:v>1.5025342889565252E-2</c:v>
                </c:pt>
                <c:pt idx="474">
                  <c:v>1.5051152279470514E-2</c:v>
                </c:pt>
                <c:pt idx="475">
                  <c:v>1.5103408403032148E-2</c:v>
                </c:pt>
                <c:pt idx="476">
                  <c:v>1.5154401063952605E-2</c:v>
                </c:pt>
                <c:pt idx="477">
                  <c:v>1.518021606624842E-2</c:v>
                </c:pt>
                <c:pt idx="478">
                  <c:v>1.5206032191006358E-2</c:v>
                </c:pt>
                <c:pt idx="479">
                  <c:v>1.5231849438386291E-2</c:v>
                </c:pt>
                <c:pt idx="480">
                  <c:v>1.5284136530349102E-2</c:v>
                </c:pt>
                <c:pt idx="481">
                  <c:v>1.5335129652367385E-2</c:v>
                </c:pt>
                <c:pt idx="482">
                  <c:v>1.5360952512137871E-2</c:v>
                </c:pt>
                <c:pt idx="483">
                  <c:v>1.538677649437048E-2</c:v>
                </c:pt>
                <c:pt idx="484">
                  <c:v>1.5412601599065212E-2</c:v>
                </c:pt>
                <c:pt idx="485">
                  <c:v>1.5464919845680214E-2</c:v>
                </c:pt>
                <c:pt idx="486">
                  <c:v>1.5515913242785118E-2</c:v>
                </c:pt>
                <c:pt idx="487">
                  <c:v>1.5541743959950338E-2</c:v>
                </c:pt>
                <c:pt idx="488">
                  <c:v>1.5593408761747085E-2</c:v>
                </c:pt>
                <c:pt idx="489">
                  <c:v>1.5593408761747085E-2</c:v>
                </c:pt>
                <c:pt idx="490">
                  <c:v>1.5645758349318584E-2</c:v>
                </c:pt>
                <c:pt idx="491">
                  <c:v>1.5696751835125866E-2</c:v>
                </c:pt>
                <c:pt idx="492">
                  <c:v>1.5722590409685822E-2</c:v>
                </c:pt>
                <c:pt idx="493">
                  <c:v>1.5748430106867772E-2</c:v>
                </c:pt>
                <c:pt idx="494">
                  <c:v>1.577427092643191E-2</c:v>
                </c:pt>
                <c:pt idx="495">
                  <c:v>1.5826652041450728E-2</c:v>
                </c:pt>
                <c:pt idx="496">
                  <c:v>1.5877645429629439E-2</c:v>
                </c:pt>
                <c:pt idx="497">
                  <c:v>1.5903491861584129E-2</c:v>
                </c:pt>
                <c:pt idx="498">
                  <c:v>1.5929339416160815E-2</c:v>
                </c:pt>
                <c:pt idx="499">
                  <c:v>1.5955188093199624E-2</c:v>
                </c:pt>
                <c:pt idx="500">
                  <c:v>1.6007600922369747E-2</c:v>
                </c:pt>
                <c:pt idx="501">
                  <c:v>1.6058594026135964E-2</c:v>
                </c:pt>
                <c:pt idx="502">
                  <c:v>1.6084448315645261E-2</c:v>
                </c:pt>
                <c:pt idx="503">
                  <c:v>1.6110303727616682E-2</c:v>
                </c:pt>
                <c:pt idx="504">
                  <c:v>1.6136160262130161E-2</c:v>
                </c:pt>
                <c:pt idx="505">
                  <c:v>1.6188562935184336E-2</c:v>
                </c:pt>
                <c:pt idx="506">
                  <c:v>1.6239424738779817E-2</c:v>
                </c:pt>
                <c:pt idx="507">
                  <c:v>1.62651747433884E-2</c:v>
                </c:pt>
                <c:pt idx="508">
                  <c:v>1.6290897834805307E-2</c:v>
                </c:pt>
                <c:pt idx="509">
                  <c:v>1.6316594013110475E-2</c:v>
                </c:pt>
                <c:pt idx="510">
                  <c:v>1.6368640859063532E-2</c:v>
                </c:pt>
                <c:pt idx="511">
                  <c:v>1.6419109595133818E-2</c:v>
                </c:pt>
                <c:pt idx="512">
                  <c:v>1.6470205907275215E-2</c:v>
                </c:pt>
                <c:pt idx="513">
                  <c:v>1.6470205907275215E-2</c:v>
                </c:pt>
                <c:pt idx="514">
                  <c:v>1.6495713693638336E-2</c:v>
                </c:pt>
                <c:pt idx="515">
                  <c:v>1.654740009807476E-2</c:v>
                </c:pt>
                <c:pt idx="516">
                  <c:v>1.659747570717407E-2</c:v>
                </c:pt>
                <c:pt idx="517">
                  <c:v>1.6622848927578815E-2</c:v>
                </c:pt>
                <c:pt idx="518">
                  <c:v>1.6799707900885252E-2</c:v>
                </c:pt>
                <c:pt idx="519">
                  <c:v>1.6975248125641329E-2</c:v>
                </c:pt>
                <c:pt idx="520">
                  <c:v>1.714946959992858E-2</c:v>
                </c:pt>
                <c:pt idx="521">
                  <c:v>1.7322372321828539E-2</c:v>
                </c:pt>
                <c:pt idx="522">
                  <c:v>1.7542738059885821E-2</c:v>
                </c:pt>
                <c:pt idx="523">
                  <c:v>1.7688437449079331E-2</c:v>
                </c:pt>
                <c:pt idx="524">
                  <c:v>1.7833167954579565E-2</c:v>
                </c:pt>
                <c:pt idx="525">
                  <c:v>1.8000795648305257E-2</c:v>
                </c:pt>
                <c:pt idx="526">
                  <c:v>1.8167104580291138E-2</c:v>
                </c:pt>
                <c:pt idx="527">
                  <c:v>1.833209474869868E-2</c:v>
                </c:pt>
                <c:pt idx="528">
                  <c:v>1.8495766151769288E-2</c:v>
                </c:pt>
                <c:pt idx="529">
                  <c:v>1.8658118787664435E-2</c:v>
                </c:pt>
                <c:pt idx="530">
                  <c:v>1.8819152654625526E-2</c:v>
                </c:pt>
                <c:pt idx="531">
                  <c:v>1.8978867750973905E-2</c:v>
                </c:pt>
                <c:pt idx="532">
                  <c:v>1.9137264074711169E-2</c:v>
                </c:pt>
                <c:pt idx="533">
                  <c:v>1.929434162439847E-2</c:v>
                </c:pt>
                <c:pt idx="534">
                  <c:v>1.9450100398117343E-2</c:v>
                </c:pt>
                <c:pt idx="535">
                  <c:v>1.9604540394109193E-2</c:v>
                </c:pt>
                <c:pt idx="536">
                  <c:v>1.9757661610855237E-2</c:v>
                </c:pt>
                <c:pt idx="537">
                  <c:v>1.9909464046596881E-2</c:v>
                </c:pt>
                <c:pt idx="538">
                  <c:v>2.0102700803432683E-2</c:v>
                </c:pt>
                <c:pt idx="539">
                  <c:v>2.0209112568272403E-2</c:v>
                </c:pt>
                <c:pt idx="540">
                  <c:v>2.037797186385859E-2</c:v>
                </c:pt>
                <c:pt idx="541">
                  <c:v>2.0503485946106181E-2</c:v>
                </c:pt>
                <c:pt idx="542">
                  <c:v>2.064869445196571E-2</c:v>
                </c:pt>
                <c:pt idx="543">
                  <c:v>2.079258416706864E-2</c:v>
                </c:pt>
                <c:pt idx="544">
                  <c:v>2.0955414707879427E-2</c:v>
                </c:pt>
                <c:pt idx="545">
                  <c:v>2.1076407218449944E-2</c:v>
                </c:pt>
                <c:pt idx="546">
                  <c:v>2.1216340551770685E-2</c:v>
                </c:pt>
                <c:pt idx="547">
                  <c:v>2.1354955087860006E-2</c:v>
                </c:pt>
                <c:pt idx="548">
                  <c:v>2.149225082543893E-2</c:v>
                </c:pt>
                <c:pt idx="549">
                  <c:v>2.1628227763068608E-2</c:v>
                </c:pt>
                <c:pt idx="550">
                  <c:v>2.1762885898910511E-2</c:v>
                </c:pt>
                <c:pt idx="551">
                  <c:v>2.1896225231845534E-2</c:v>
                </c:pt>
                <c:pt idx="552">
                  <c:v>2.202824576019502E-2</c:v>
                </c:pt>
                <c:pt idx="553">
                  <c:v>2.2158947482600055E-2</c:v>
                </c:pt>
                <c:pt idx="554">
                  <c:v>2.2288330397621792E-2</c:v>
                </c:pt>
                <c:pt idx="555">
                  <c:v>2.241639450382138E-2</c:v>
                </c:pt>
                <c:pt idx="556">
                  <c:v>2.2543139799680034E-2</c:v>
                </c:pt>
                <c:pt idx="557">
                  <c:v>2.2686376694984745E-2</c:v>
                </c:pt>
                <c:pt idx="558">
                  <c:v>2.2792673955338572E-2</c:v>
                </c:pt>
                <c:pt idx="559">
                  <c:v>2.291546281218082E-2</c:v>
                </c:pt>
                <c:pt idx="560">
                  <c:v>2.3036932853406356E-2</c:v>
                </c:pt>
                <c:pt idx="561">
                  <c:v>2.3157084077576329E-2</c:v>
                </c:pt>
                <c:pt idx="562">
                  <c:v>2.3275916483331827E-2</c:v>
                </c:pt>
                <c:pt idx="563">
                  <c:v>2.3393430069393872E-2</c:v>
                </c:pt>
                <c:pt idx="564">
                  <c:v>2.3509624834563425E-2</c:v>
                </c:pt>
                <c:pt idx="565">
                  <c:v>2.3624500777401636E-2</c:v>
                </c:pt>
                <c:pt idx="566">
                  <c:v>2.37380578967894E-2</c:v>
                </c:pt>
                <c:pt idx="567">
                  <c:v>2.3850300248042799E-2</c:v>
                </c:pt>
                <c:pt idx="568">
                  <c:v>2.3977110690429626E-2</c:v>
                </c:pt>
                <c:pt idx="569">
                  <c:v>2.4071234139304565E-2</c:v>
                </c:pt>
                <c:pt idx="570">
                  <c:v>2.4179978413929604E-2</c:v>
                </c:pt>
                <c:pt idx="571">
                  <c:v>2.42875742398585E-2</c:v>
                </c:pt>
                <c:pt idx="572">
                  <c:v>2.4394021616052086E-2</c:v>
                </c:pt>
                <c:pt idx="573">
                  <c:v>2.4499320541551128E-2</c:v>
                </c:pt>
                <c:pt idx="574">
                  <c:v>2.4633017353172804E-2</c:v>
                </c:pt>
                <c:pt idx="575">
                  <c:v>2.4721093859181309E-2</c:v>
                </c:pt>
                <c:pt idx="576">
                  <c:v>2.4808326603169562E-2</c:v>
                </c:pt>
                <c:pt idx="577">
                  <c:v>2.4909031715658614E-2</c:v>
                </c:pt>
                <c:pt idx="578">
                  <c:v>2.5008588372417151E-2</c:v>
                </c:pt>
                <c:pt idx="579">
                  <c:v>2.510699657248594E-2</c:v>
                </c:pt>
                <c:pt idx="580">
                  <c:v>2.5204256315065621E-2</c:v>
                </c:pt>
                <c:pt idx="581">
                  <c:v>2.5300367599117024E-2</c:v>
                </c:pt>
                <c:pt idx="582">
                  <c:v>2.5395330423680917E-2</c:v>
                </c:pt>
                <c:pt idx="583">
                  <c:v>2.5489144787878004E-2</c:v>
                </c:pt>
                <c:pt idx="584">
                  <c:v>2.5581810690828988E-2</c:v>
                </c:pt>
                <c:pt idx="585">
                  <c:v>2.5673328131734507E-2</c:v>
                </c:pt>
                <c:pt idx="586">
                  <c:v>2.5763697109635331E-2</c:v>
                </c:pt>
                <c:pt idx="587">
                  <c:v>2.5852917623572225E-2</c:v>
                </c:pt>
                <c:pt idx="588">
                  <c:v>2.5965942172891943E-2</c:v>
                </c:pt>
                <c:pt idx="589">
                  <c:v>2.6027913256596591E-2</c:v>
                </c:pt>
                <c:pt idx="590">
                  <c:v>2.611368837392547E-2</c:v>
                </c:pt>
                <c:pt idx="591">
                  <c:v>2.6198315024013041E-2</c:v>
                </c:pt>
                <c:pt idx="592">
                  <c:v>2.6281793206139881E-2</c:v>
                </c:pt>
                <c:pt idx="593">
                  <c:v>2.6375790554364897E-2</c:v>
                </c:pt>
                <c:pt idx="594">
                  <c:v>2.6445304162994177E-2</c:v>
                </c:pt>
                <c:pt idx="595">
                  <c:v>2.6525336936282784E-2</c:v>
                </c:pt>
                <c:pt idx="596">
                  <c:v>2.6615396671552105E-2</c:v>
                </c:pt>
                <c:pt idx="597">
                  <c:v>2.6681957068586115E-2</c:v>
                </c:pt>
                <c:pt idx="598">
                  <c:v>2.6758544426082054E-2</c:v>
                </c:pt>
                <c:pt idx="599">
                  <c:v>2.6833983310181608E-2</c:v>
                </c:pt>
                <c:pt idx="600">
                  <c:v>2.6908273720325226E-2</c:v>
                </c:pt>
                <c:pt idx="601">
                  <c:v>2.6981415655473739E-2</c:v>
                </c:pt>
                <c:pt idx="602">
                  <c:v>2.7053409115147531E-2</c:v>
                </c:pt>
                <c:pt idx="603">
                  <c:v>2.7124254098627176E-2</c:v>
                </c:pt>
                <c:pt idx="604">
                  <c:v>2.7193950605273187E-2</c:v>
                </c:pt>
                <c:pt idx="605">
                  <c:v>2.7262498634286203E-2</c:v>
                </c:pt>
                <c:pt idx="606">
                  <c:v>2.7329898185106671E-2</c:v>
                </c:pt>
                <c:pt idx="607">
                  <c:v>2.7396149257095104E-2</c:v>
                </c:pt>
                <c:pt idx="608">
                  <c:v>2.7461251849612012E-2</c:v>
                </c:pt>
                <c:pt idx="609">
                  <c:v>2.7534248510248105E-2</c:v>
                </c:pt>
                <c:pt idx="610">
                  <c:v>2.7588011593593365E-2</c:v>
                </c:pt>
                <c:pt idx="611">
                  <c:v>2.7649668743938705E-2</c:v>
                </c:pt>
                <c:pt idx="612">
                  <c:v>2.7710177412334502E-2</c:v>
                </c:pt>
                <c:pt idx="613">
                  <c:v>2.7769537598301142E-2</c:v>
                </c:pt>
                <c:pt idx="614">
                  <c:v>2.7827749301119198E-2</c:v>
                </c:pt>
                <c:pt idx="615">
                  <c:v>2.7884812520388991E-2</c:v>
                </c:pt>
                <c:pt idx="616">
                  <c:v>2.7940727255471032E-2</c:v>
                </c:pt>
                <c:pt idx="617">
                  <c:v>2.7995493505805769E-2</c:v>
                </c:pt>
                <c:pt idx="618">
                  <c:v>2.8049111270993521E-2</c:v>
                </c:pt>
                <c:pt idx="619">
                  <c:v>2.8101598787326765E-2</c:v>
                </c:pt>
                <c:pt idx="620">
                  <c:v>2.8153466689859741E-2</c:v>
                </c:pt>
                <c:pt idx="621">
                  <c:v>2.8204952059107669E-2</c:v>
                </c:pt>
                <c:pt idx="622">
                  <c:v>2.825605489483074E-2</c:v>
                </c:pt>
                <c:pt idx="623">
                  <c:v>2.8306775196869083E-2</c:v>
                </c:pt>
                <c:pt idx="624">
                  <c:v>2.8357112965222697E-2</c:v>
                </c:pt>
                <c:pt idx="625">
                  <c:v>2.8407068199491903E-2</c:v>
                </c:pt>
                <c:pt idx="626">
                  <c:v>2.8470734266869968E-2</c:v>
                </c:pt>
                <c:pt idx="627">
                  <c:v>2.8519815137197924E-2</c:v>
                </c:pt>
                <c:pt idx="628">
                  <c:v>2.8561579988455321E-2</c:v>
                </c:pt>
                <c:pt idx="629">
                  <c:v>2.8609950437381571E-2</c:v>
                </c:pt>
                <c:pt idx="630">
                  <c:v>2.8664762540557831E-2</c:v>
                </c:pt>
                <c:pt idx="631">
                  <c:v>2.8705543730902505E-2</c:v>
                </c:pt>
                <c:pt idx="632">
                  <c:v>2.875276657509751E-2</c:v>
                </c:pt>
                <c:pt idx="633">
                  <c:v>2.8799606884089002E-2</c:v>
                </c:pt>
                <c:pt idx="634">
                  <c:v>2.8852670255066215E-2</c:v>
                </c:pt>
                <c:pt idx="635">
                  <c:v>2.8892139895742019E-2</c:v>
                </c:pt>
                <c:pt idx="636">
                  <c:v>2.8937832598003865E-2</c:v>
                </c:pt>
                <c:pt idx="637">
                  <c:v>2.8983142764582581E-2</c:v>
                </c:pt>
                <c:pt idx="638">
                  <c:v>2.9028070395078487E-2</c:v>
                </c:pt>
                <c:pt idx="639">
                  <c:v>2.9072615489571518E-2</c:v>
                </c:pt>
                <c:pt idx="640">
                  <c:v>2.9116778047821867E-2</c:v>
                </c:pt>
                <c:pt idx="641">
                  <c:v>2.9160558069589726E-2</c:v>
                </c:pt>
                <c:pt idx="642">
                  <c:v>2.9203955554875094E-2</c:v>
                </c:pt>
                <c:pt idx="643">
                  <c:v>2.9267664887537848E-2</c:v>
                </c:pt>
                <c:pt idx="644">
                  <c:v>2.9289602915198998E-2</c:v>
                </c:pt>
                <c:pt idx="645">
                  <c:v>2.9337857258919797E-2</c:v>
                </c:pt>
                <c:pt idx="646">
                  <c:v>2.9373720127834346E-2</c:v>
                </c:pt>
                <c:pt idx="647">
                  <c:v>2.941520492830918E-2</c:v>
                </c:pt>
                <c:pt idx="648">
                  <c:v>2.9462147715806353E-2</c:v>
                </c:pt>
                <c:pt idx="649">
                  <c:v>2.9497026917173486E-2</c:v>
                </c:pt>
                <c:pt idx="650">
                  <c:v>2.9537364105323149E-2</c:v>
                </c:pt>
                <c:pt idx="651">
                  <c:v>2.957731875563141E-2</c:v>
                </c:pt>
                <c:pt idx="652">
                  <c:v>2.9616890868178203E-2</c:v>
                </c:pt>
                <c:pt idx="653">
                  <c:v>2.9656080442643784E-2</c:v>
                </c:pt>
                <c:pt idx="654">
                  <c:v>2.9694887479028154E-2</c:v>
                </c:pt>
                <c:pt idx="655">
                  <c:v>2.9733311977171439E-2</c:v>
                </c:pt>
                <c:pt idx="656">
                  <c:v>2.9771353936993705E-2</c:v>
                </c:pt>
                <c:pt idx="657">
                  <c:v>2.9809013358255143E-2</c:v>
                </c:pt>
                <c:pt idx="658">
                  <c:v>2.9846290240955753E-2</c:v>
                </c:pt>
                <c:pt idx="659">
                  <c:v>2.9883184584935663E-2</c:v>
                </c:pt>
                <c:pt idx="660">
                  <c:v>2.9919696390035E-2</c:v>
                </c:pt>
                <c:pt idx="661">
                  <c:v>2.9960955752281748E-2</c:v>
                </c:pt>
                <c:pt idx="662">
                  <c:v>2.9996647830934364E-2</c:v>
                </c:pt>
                <c:pt idx="663">
                  <c:v>3.0026936571250218E-2</c:v>
                </c:pt>
                <c:pt idx="664">
                  <c:v>3.0061918219868033E-2</c:v>
                </c:pt>
                <c:pt idx="665">
                  <c:v>3.009651732912566E-2</c:v>
                </c:pt>
                <c:pt idx="666">
                  <c:v>3.0130733898783291E-2</c:v>
                </c:pt>
                <c:pt idx="667">
                  <c:v>3.0164567928840924E-2</c:v>
                </c:pt>
                <c:pt idx="668">
                  <c:v>3.0202766975806483E-2</c:v>
                </c:pt>
                <c:pt idx="669">
                  <c:v>3.0231088369676584E-2</c:v>
                </c:pt>
                <c:pt idx="670">
                  <c:v>3.0263774780214803E-2</c:v>
                </c:pt>
                <c:pt idx="671">
                  <c:v>3.0296097190243287E-2</c:v>
                </c:pt>
                <c:pt idx="672">
                  <c:v>3.0332851922221238E-2</c:v>
                </c:pt>
                <c:pt idx="673">
                  <c:v>3.0360335972856589E-2</c:v>
                </c:pt>
                <c:pt idx="674">
                  <c:v>3.0392311867188937E-2</c:v>
                </c:pt>
                <c:pt idx="675">
                  <c:v>3.0424192096845104E-2</c:v>
                </c:pt>
                <c:pt idx="676">
                  <c:v>3.0455976661745154E-2</c:v>
                </c:pt>
                <c:pt idx="677">
                  <c:v>3.0487665561809152E-2</c:v>
                </c:pt>
                <c:pt idx="678">
                  <c:v>3.0535358475693997E-2</c:v>
                </c:pt>
                <c:pt idx="679">
                  <c:v>3.0566820385864446E-2</c:v>
                </c:pt>
                <c:pt idx="680">
                  <c:v>3.0586636450573579E-2</c:v>
                </c:pt>
                <c:pt idx="681">
                  <c:v>3.0617929025025248E-2</c:v>
                </c:pt>
                <c:pt idx="682">
                  <c:v>3.0649125934640864E-2</c:v>
                </c:pt>
                <c:pt idx="683">
                  <c:v>3.0680227179260555E-2</c:v>
                </c:pt>
                <c:pt idx="684">
                  <c:v>3.0711232758964258E-2</c:v>
                </c:pt>
                <c:pt idx="685">
                  <c:v>3.0742142673751971E-2</c:v>
                </c:pt>
                <c:pt idx="686">
                  <c:v>3.0772956923543759E-2</c:v>
                </c:pt>
                <c:pt idx="687">
                  <c:v>3.0803675508259687E-2</c:v>
                </c:pt>
                <c:pt idx="688">
                  <c:v>3.0834298428059626E-2</c:v>
                </c:pt>
                <c:pt idx="689">
                  <c:v>3.0864825682703767E-2</c:v>
                </c:pt>
                <c:pt idx="690">
                  <c:v>3.0895257272272048E-2</c:v>
                </c:pt>
                <c:pt idx="691">
                  <c:v>3.0925593196844403E-2</c:v>
                </c:pt>
                <c:pt idx="692">
                  <c:v>3.0955833456181026E-2</c:v>
                </c:pt>
                <c:pt idx="693">
                  <c:v>3.0999908746750293E-2</c:v>
                </c:pt>
                <c:pt idx="694">
                  <c:v>3.1033154844353206E-2</c:v>
                </c:pt>
                <c:pt idx="695">
                  <c:v>3.1063053442350608E-2</c:v>
                </c:pt>
                <c:pt idx="696">
                  <c:v>3.1097106127502272E-2</c:v>
                </c:pt>
                <c:pt idx="697">
                  <c:v>3.1122563642638212E-2</c:v>
                </c:pt>
                <c:pt idx="698">
                  <c:v>3.1152175244848479E-2</c:v>
                </c:pt>
                <c:pt idx="699">
                  <c:v>3.1185899934769168E-2</c:v>
                </c:pt>
                <c:pt idx="700">
                  <c:v>3.1211111453322005E-2</c:v>
                </c:pt>
                <c:pt idx="701">
                  <c:v>3.1240436059505328E-2</c:v>
                </c:pt>
                <c:pt idx="702">
                  <c:v>3.1269665000372981E-2</c:v>
                </c:pt>
                <c:pt idx="703">
                  <c:v>3.1298798275765094E-2</c:v>
                </c:pt>
                <c:pt idx="704">
                  <c:v>3.1327835885841537E-2</c:v>
                </c:pt>
                <c:pt idx="705">
                  <c:v>3.1356777830362503E-2</c:v>
                </c:pt>
                <c:pt idx="706">
                  <c:v>3.1385624109487864E-2</c:v>
                </c:pt>
                <c:pt idx="707">
                  <c:v>3.1414374723057747E-2</c:v>
                </c:pt>
                <c:pt idx="708">
                  <c:v>3.1443029671072154E-2</c:v>
                </c:pt>
                <c:pt idx="709">
                  <c:v>3.1471588953690954E-2</c:v>
                </c:pt>
                <c:pt idx="710">
                  <c:v>3.1500052570674342E-2</c:v>
                </c:pt>
                <c:pt idx="711">
                  <c:v>3.1528420522022316E-2</c:v>
                </c:pt>
                <c:pt idx="712">
                  <c:v>3.1556692807734876E-2</c:v>
                </c:pt>
                <c:pt idx="713">
                  <c:v>3.1588886849887032E-2</c:v>
                </c:pt>
                <c:pt idx="714">
                  <c:v>3.1612950382413629E-2</c:v>
                </c:pt>
                <c:pt idx="715">
                  <c:v>3.164093567121995E-2</c:v>
                </c:pt>
                <c:pt idx="716">
                  <c:v>3.1668825294230984E-2</c:v>
                </c:pt>
                <c:pt idx="717">
                  <c:v>3.1696619251686542E-2</c:v>
                </c:pt>
                <c:pt idx="718">
                  <c:v>3.1724317543346814E-2</c:v>
                </c:pt>
                <c:pt idx="719">
                  <c:v>3.17519201692118E-2</c:v>
                </c:pt>
                <c:pt idx="720">
                  <c:v>3.1779427129281501E-2</c:v>
                </c:pt>
                <c:pt idx="721">
                  <c:v>3.1806838423555917E-2</c:v>
                </c:pt>
                <c:pt idx="722">
                  <c:v>3.1834154052035046E-2</c:v>
                </c:pt>
                <c:pt idx="723">
                  <c:v>3.1861326604722962E-2</c:v>
                </c:pt>
                <c:pt idx="724">
                  <c:v>3.1888253967622404E-2</c:v>
                </c:pt>
                <c:pt idx="725">
                  <c:v>3.1914932493970483E-2</c:v>
                </c:pt>
                <c:pt idx="726">
                  <c:v>3.1945117540352896E-2</c:v>
                </c:pt>
                <c:pt idx="727">
                  <c:v>3.1967543036532931E-2</c:v>
                </c:pt>
                <c:pt idx="728">
                  <c:v>3.1993475052667364E-2</c:v>
                </c:pt>
                <c:pt idx="729">
                  <c:v>3.2019158231930689E-2</c:v>
                </c:pt>
                <c:pt idx="730">
                  <c:v>3.2051813824560682E-2</c:v>
                </c:pt>
                <c:pt idx="731">
                  <c:v>3.2073355695807493E-2</c:v>
                </c:pt>
                <c:pt idx="732">
                  <c:v>3.2094714748174269E-2</c:v>
                </c:pt>
                <c:pt idx="733">
                  <c:v>3.2119402579473544E-2</c:v>
                </c:pt>
                <c:pt idx="734">
                  <c:v>3.2143841573741838E-2</c:v>
                </c:pt>
                <c:pt idx="735">
                  <c:v>3.2168031730739344E-2</c:v>
                </c:pt>
                <c:pt idx="736">
                  <c:v>3.2191973050625933E-2</c:v>
                </c:pt>
                <c:pt idx="737">
                  <c:v>3.2215665533241733E-2</c:v>
                </c:pt>
                <c:pt idx="738">
                  <c:v>3.2239109178586745E-2</c:v>
                </c:pt>
                <c:pt idx="739">
                  <c:v>3.2262303986501095E-2</c:v>
                </c:pt>
                <c:pt idx="740">
                  <c:v>3.2285249957064721E-2</c:v>
                </c:pt>
                <c:pt idx="741">
                  <c:v>3.230794709011775E-2</c:v>
                </c:pt>
                <c:pt idx="742">
                  <c:v>3.2330395385740118E-2</c:v>
                </c:pt>
                <c:pt idx="743">
                  <c:v>3.2352594843692017E-2</c:v>
                </c:pt>
                <c:pt idx="744">
                  <c:v>3.2380771365208005E-2</c:v>
                </c:pt>
                <c:pt idx="745">
                  <c:v>3.2396247246984089E-2</c:v>
                </c:pt>
                <c:pt idx="746">
                  <c:v>3.2417700192084453E-2</c:v>
                </c:pt>
                <c:pt idx="747">
                  <c:v>3.2438904299514348E-2</c:v>
                </c:pt>
                <c:pt idx="748">
                  <c:v>3.2462832865762792E-2</c:v>
                </c:pt>
                <c:pt idx="749">
                  <c:v>3.2480566000883115E-2</c:v>
                </c:pt>
                <c:pt idx="750">
                  <c:v>3.2501023594821987E-2</c:v>
                </c:pt>
                <c:pt idx="751">
                  <c:v>3.2521232350930518E-2</c:v>
                </c:pt>
                <c:pt idx="752">
                  <c:v>3.254402337256046E-2</c:v>
                </c:pt>
                <c:pt idx="753">
                  <c:v>3.2560903349097003E-2</c:v>
                </c:pt>
                <c:pt idx="754">
                  <c:v>3.2580365591234894E-2</c:v>
                </c:pt>
                <c:pt idx="755">
                  <c:v>3.25995789952227E-2</c:v>
                </c:pt>
                <c:pt idx="756">
                  <c:v>3.2618543561140356E-2</c:v>
                </c:pt>
                <c:pt idx="757">
                  <c:v>3.2637259288907927E-2</c:v>
                </c:pt>
                <c:pt idx="758">
                  <c:v>3.2655726178445477E-2</c:v>
                </c:pt>
                <c:pt idx="759">
                  <c:v>3.2673944229912877E-2</c:v>
                </c:pt>
                <c:pt idx="760">
                  <c:v>3.2691913442910447E-2</c:v>
                </c:pt>
                <c:pt idx="761">
                  <c:v>3.2709633817757933E-2</c:v>
                </c:pt>
                <c:pt idx="762">
                  <c:v>3.2727105354215524E-2</c:v>
                </c:pt>
                <c:pt idx="763">
                  <c:v>3.2744328052363159E-2</c:v>
                </c:pt>
                <c:pt idx="764">
                  <c:v>3.2761301912040963E-2</c:v>
                </c:pt>
                <c:pt idx="765">
                  <c:v>3.2780395908744708E-2</c:v>
                </c:pt>
                <c:pt idx="766">
                  <c:v>3.2794503116146956E-2</c:v>
                </c:pt>
                <c:pt idx="767">
                  <c:v>3.2810730460415272E-2</c:v>
                </c:pt>
                <c:pt idx="768">
                  <c:v>3.2826708966133822E-2</c:v>
                </c:pt>
                <c:pt idx="769">
                  <c:v>3.2842438633302606E-2</c:v>
                </c:pt>
                <c:pt idx="770">
                  <c:v>3.2857919461841689E-2</c:v>
                </c:pt>
                <c:pt idx="771">
                  <c:v>3.287315145175107E-2</c:v>
                </c:pt>
                <c:pt idx="772">
                  <c:v>3.2888134602950814E-2</c:v>
                </c:pt>
                <c:pt idx="773">
                  <c:v>3.2902868915520855E-2</c:v>
                </c:pt>
                <c:pt idx="774">
                  <c:v>3.2917354389301323E-2</c:v>
                </c:pt>
                <c:pt idx="775">
                  <c:v>3.2931656426775646E-2</c:v>
                </c:pt>
                <c:pt idx="776">
                  <c:v>3.2948059611985769E-2</c:v>
                </c:pt>
                <c:pt idx="777">
                  <c:v>3.2960418897500787E-2</c:v>
                </c:pt>
                <c:pt idx="778">
                  <c:v>3.2976973807183896E-2</c:v>
                </c:pt>
                <c:pt idx="779">
                  <c:v>3.2989446886073637E-2</c:v>
                </c:pt>
                <c:pt idx="780">
                  <c:v>3.3004060449473016E-2</c:v>
                </c:pt>
                <c:pt idx="781">
                  <c:v>3.3018740392494195E-2</c:v>
                </c:pt>
                <c:pt idx="782">
                  <c:v>3.3037712142025555E-2</c:v>
                </c:pt>
                <c:pt idx="783">
                  <c:v>3.3054668037912904E-2</c:v>
                </c:pt>
                <c:pt idx="784">
                  <c:v>3.3065309500104334E-2</c:v>
                </c:pt>
                <c:pt idx="785">
                  <c:v>3.3080264443787755E-2</c:v>
                </c:pt>
                <c:pt idx="786">
                  <c:v>3.3095285767013038E-2</c:v>
                </c:pt>
                <c:pt idx="787">
                  <c:v>3.3110373469860122E-2</c:v>
                </c:pt>
                <c:pt idx="788">
                  <c:v>3.3125527552089196E-2</c:v>
                </c:pt>
                <c:pt idx="789">
                  <c:v>3.3140748013940069E-2</c:v>
                </c:pt>
                <c:pt idx="790">
                  <c:v>3.3156034855412742E-2</c:v>
                </c:pt>
                <c:pt idx="791">
                  <c:v>3.3171388076347341E-2</c:v>
                </c:pt>
                <c:pt idx="792">
                  <c:v>3.318680767690374E-2</c:v>
                </c:pt>
                <c:pt idx="793">
                  <c:v>3.3202293657002002E-2</c:v>
                </c:pt>
                <c:pt idx="794">
                  <c:v>3.3217846016722063E-2</c:v>
                </c:pt>
                <c:pt idx="795">
                  <c:v>3.3233464755983988E-2</c:v>
                </c:pt>
                <c:pt idx="796">
                  <c:v>3.3249149874867712E-2</c:v>
                </c:pt>
                <c:pt idx="797">
                  <c:v>3.3264901373453171E-2</c:v>
                </c:pt>
                <c:pt idx="798">
                  <c:v>3.3285250837487013E-2</c:v>
                </c:pt>
                <c:pt idx="799">
                  <c:v>3.3296603509329614E-2</c:v>
                </c:pt>
                <c:pt idx="800">
                  <c:v>3.3314838227944676E-2</c:v>
                </c:pt>
                <c:pt idx="801">
                  <c:v>3.3328571163773191E-2</c:v>
                </c:pt>
                <c:pt idx="802">
                  <c:v>3.3344654560467646E-2</c:v>
                </c:pt>
                <c:pt idx="803">
                  <c:v>3.3360804336863836E-2</c:v>
                </c:pt>
                <c:pt idx="804">
                  <c:v>3.3379342505304166E-2</c:v>
                </c:pt>
                <c:pt idx="805">
                  <c:v>3.3393303028601551E-2</c:v>
                </c:pt>
                <c:pt idx="806">
                  <c:v>3.3409651944023011E-2</c:v>
                </c:pt>
                <c:pt idx="807">
                  <c:v>3.3426067239146207E-2</c:v>
                </c:pt>
                <c:pt idx="808">
                  <c:v>3.3442548914051073E-2</c:v>
                </c:pt>
                <c:pt idx="809">
                  <c:v>3.345909696857774E-2</c:v>
                </c:pt>
                <c:pt idx="810">
                  <c:v>3.3475711402886077E-2</c:v>
                </c:pt>
                <c:pt idx="811">
                  <c:v>3.349239221689615E-2</c:v>
                </c:pt>
                <c:pt idx="812">
                  <c:v>3.3509139410607958E-2</c:v>
                </c:pt>
                <c:pt idx="813">
                  <c:v>3.3525952984181373E-2</c:v>
                </c:pt>
                <c:pt idx="814">
                  <c:v>3.3542832937456524E-2</c:v>
                </c:pt>
                <c:pt idx="815">
                  <c:v>3.3559779270513346E-2</c:v>
                </c:pt>
                <c:pt idx="816">
                  <c:v>3.3576791983351839E-2</c:v>
                </c:pt>
                <c:pt idx="817">
                  <c:v>3.3596316365143153E-2</c:v>
                </c:pt>
                <c:pt idx="818">
                  <c:v>3.3611016548453776E-2</c:v>
                </c:pt>
                <c:pt idx="819">
                  <c:v>3.3628228400717219E-2</c:v>
                </c:pt>
                <c:pt idx="820">
                  <c:v>3.3645506632762334E-2</c:v>
                </c:pt>
                <c:pt idx="821">
                  <c:v>3.3662851244669056E-2</c:v>
                </c:pt>
                <c:pt idx="822">
                  <c:v>3.3680262236517322E-2</c:v>
                </c:pt>
                <c:pt idx="823">
                  <c:v>3.3697739608067323E-2</c:v>
                </c:pt>
                <c:pt idx="824">
                  <c:v>3.3715283359558867E-2</c:v>
                </c:pt>
                <c:pt idx="825">
                  <c:v>3.3732893490912019E-2</c:v>
                </c:pt>
                <c:pt idx="826">
                  <c:v>3.3750570002126778E-2</c:v>
                </c:pt>
                <c:pt idx="827">
                  <c:v>3.3768284948756389E-2</c:v>
                </c:pt>
                <c:pt idx="828">
                  <c:v>3.378845691285548E-2</c:v>
                </c:pt>
                <c:pt idx="829">
                  <c:v>3.3803527340161565E-2</c:v>
                </c:pt>
                <c:pt idx="830">
                  <c:v>3.382104608093961E-2</c:v>
                </c:pt>
                <c:pt idx="831">
                  <c:v>3.3838496518434624E-2</c:v>
                </c:pt>
                <c:pt idx="832">
                  <c:v>3.3855878652646609E-2</c:v>
                </c:pt>
                <c:pt idx="833">
                  <c:v>3.3873192483415693E-2</c:v>
                </c:pt>
                <c:pt idx="834">
                  <c:v>3.3895352759030217E-2</c:v>
                </c:pt>
                <c:pt idx="835">
                  <c:v>3.3910063548416858E-2</c:v>
                </c:pt>
                <c:pt idx="836">
                  <c:v>3.3924724155784958E-2</c:v>
                </c:pt>
                <c:pt idx="837">
                  <c:v>3.3941764773182115E-2</c:v>
                </c:pt>
                <c:pt idx="838">
                  <c:v>3.3958737087216306E-2</c:v>
                </c:pt>
                <c:pt idx="839">
                  <c:v>3.3975641097807596E-2</c:v>
                </c:pt>
                <c:pt idx="840">
                  <c:v>3.3992476805035921E-2</c:v>
                </c:pt>
                <c:pt idx="841">
                  <c:v>3.4009244208901279E-2</c:v>
                </c:pt>
                <c:pt idx="842">
                  <c:v>3.40259433092438E-2</c:v>
                </c:pt>
                <c:pt idx="843">
                  <c:v>3.4042574106303292E-2</c:v>
                </c:pt>
                <c:pt idx="844">
                  <c:v>3.4059136599839945E-2</c:v>
                </c:pt>
                <c:pt idx="845">
                  <c:v>3.4075630789853761E-2</c:v>
                </c:pt>
                <c:pt idx="846">
                  <c:v>3.4092056676584548E-2</c:v>
                </c:pt>
                <c:pt idx="847">
                  <c:v>3.4108414259632625E-2</c:v>
                </c:pt>
                <c:pt idx="848">
                  <c:v>3.4124703539397672E-2</c:v>
                </c:pt>
                <c:pt idx="849">
                  <c:v>3.4145546534647409E-2</c:v>
                </c:pt>
                <c:pt idx="850">
                  <c:v>3.4157077188279317E-2</c:v>
                </c:pt>
                <c:pt idx="851">
                  <c:v>3.4173161557555787E-2</c:v>
                </c:pt>
                <c:pt idx="852">
                  <c:v>3.4191460056751666E-2</c:v>
                </c:pt>
                <c:pt idx="853">
                  <c:v>3.4205125385460278E-2</c:v>
                </c:pt>
                <c:pt idx="854">
                  <c:v>3.4221004844088299E-2</c:v>
                </c:pt>
                <c:pt idx="855">
                  <c:v>3.4236815999193482E-2</c:v>
                </c:pt>
                <c:pt idx="856">
                  <c:v>3.4254802253759209E-2</c:v>
                </c:pt>
                <c:pt idx="857">
                  <c:v>3.4268233398755399E-2</c:v>
                </c:pt>
                <c:pt idx="858">
                  <c:v>3.4283839643212133E-2</c:v>
                </c:pt>
                <c:pt idx="859">
                  <c:v>3.4299377584146029E-2</c:v>
                </c:pt>
                <c:pt idx="860">
                  <c:v>3.4314847221397216E-2</c:v>
                </c:pt>
                <c:pt idx="861">
                  <c:v>3.4330248555045628E-2</c:v>
                </c:pt>
                <c:pt idx="862">
                  <c:v>3.4345581585171203E-2</c:v>
                </c:pt>
                <c:pt idx="863">
                  <c:v>3.4360846311614068E-2</c:v>
                </c:pt>
                <c:pt idx="864">
                  <c:v>3.4376042734534096E-2</c:v>
                </c:pt>
                <c:pt idx="865">
                  <c:v>3.4391170853691477E-2</c:v>
                </c:pt>
                <c:pt idx="866">
                  <c:v>3.4406230669326021E-2</c:v>
                </c:pt>
                <c:pt idx="867">
                  <c:v>3.4421222181277855E-2</c:v>
                </c:pt>
                <c:pt idx="868">
                  <c:v>3.4436145389626915E-2</c:v>
                </c:pt>
                <c:pt idx="869">
                  <c:v>3.44531168477058E-2</c:v>
                </c:pt>
                <c:pt idx="870">
                  <c:v>3.4465786895276906E-2</c:v>
                </c:pt>
                <c:pt idx="871">
                  <c:v>3.4480505192577837E-2</c:v>
                </c:pt>
                <c:pt idx="872">
                  <c:v>3.4495155186116122E-2</c:v>
                </c:pt>
                <c:pt idx="873">
                  <c:v>3.4509736876051633E-2</c:v>
                </c:pt>
                <c:pt idx="874">
                  <c:v>3.4524250262224498E-2</c:v>
                </c:pt>
                <c:pt idx="875">
                  <c:v>3.453869534479459E-2</c:v>
                </c:pt>
                <c:pt idx="876">
                  <c:v>3.4553072123522099E-2</c:v>
                </c:pt>
                <c:pt idx="877">
                  <c:v>3.4567380598566899E-2</c:v>
                </c:pt>
                <c:pt idx="878">
                  <c:v>3.4581620769928989E-2</c:v>
                </c:pt>
                <c:pt idx="879">
                  <c:v>3.4595794640486233E-2</c:v>
                </c:pt>
                <c:pt idx="880">
                  <c:v>3.4611982964767307E-2</c:v>
                </c:pt>
                <c:pt idx="881">
                  <c:v>3.4624137769689867E-2</c:v>
                </c:pt>
                <c:pt idx="882">
                  <c:v>3.4638333067187332E-2</c:v>
                </c:pt>
                <c:pt idx="883">
                  <c:v>3.4652544186668521E-2</c:v>
                </c:pt>
                <c:pt idx="884">
                  <c:v>3.4666771128213369E-2</c:v>
                </c:pt>
                <c:pt idx="885">
                  <c:v>3.4681013891582069E-2</c:v>
                </c:pt>
                <c:pt idx="886">
                  <c:v>3.469934926464191E-2</c:v>
                </c:pt>
                <c:pt idx="887">
                  <c:v>3.4711587377085351E-2</c:v>
                </c:pt>
                <c:pt idx="888">
                  <c:v>3.4723837113750378E-2</c:v>
                </c:pt>
                <c:pt idx="889">
                  <c:v>3.4738143165133906E-2</c:v>
                </c:pt>
                <c:pt idx="890">
                  <c:v>3.4752465038421221E-2</c:v>
                </c:pt>
                <c:pt idx="891">
                  <c:v>3.4766802733692259E-2</c:v>
                </c:pt>
                <c:pt idx="892">
                  <c:v>3.4781156250947021E-2</c:v>
                </c:pt>
                <c:pt idx="893">
                  <c:v>3.4795525590185505E-2</c:v>
                </c:pt>
                <c:pt idx="894">
                  <c:v>3.4809910751487649E-2</c:v>
                </c:pt>
                <c:pt idx="895">
                  <c:v>3.482431173469358E-2</c:v>
                </c:pt>
                <c:pt idx="896">
                  <c:v>3.4838728539883235E-2</c:v>
                </c:pt>
                <c:pt idx="897">
                  <c:v>3.4853161167136548E-2</c:v>
                </c:pt>
                <c:pt idx="898">
                  <c:v>3.4867609616373585E-2</c:v>
                </c:pt>
                <c:pt idx="899">
                  <c:v>3.4882073887514409E-2</c:v>
                </c:pt>
                <c:pt idx="900">
                  <c:v>3.4900694056281267E-2</c:v>
                </c:pt>
                <c:pt idx="901">
                  <c:v>3.4911049895827162E-2</c:v>
                </c:pt>
                <c:pt idx="902">
                  <c:v>3.4925561632999091E-2</c:v>
                </c:pt>
                <c:pt idx="903">
                  <c:v>3.494008919223468E-2</c:v>
                </c:pt>
                <c:pt idx="904">
                  <c:v>3.4954632573374056E-2</c:v>
                </c:pt>
                <c:pt idx="905">
                  <c:v>3.497127295444713E-2</c:v>
                </c:pt>
                <c:pt idx="906">
                  <c:v>3.4983766801843785E-2</c:v>
                </c:pt>
                <c:pt idx="907">
                  <c:v>3.4998357649014267E-2</c:v>
                </c:pt>
                <c:pt idx="908">
                  <c:v>3.5015052276934355E-2</c:v>
                </c:pt>
                <c:pt idx="909">
                  <c:v>3.5027586809546207E-2</c:v>
                </c:pt>
                <c:pt idx="910">
                  <c:v>3.5042225122747794E-2</c:v>
                </c:pt>
                <c:pt idx="911">
                  <c:v>3.5056879258092977E-2</c:v>
                </c:pt>
                <c:pt idx="912">
                  <c:v>3.5071549215341946E-2</c:v>
                </c:pt>
                <c:pt idx="913">
                  <c:v>3.5086234994654575E-2</c:v>
                </c:pt>
                <c:pt idx="914">
                  <c:v>3.5100936596030863E-2</c:v>
                </c:pt>
                <c:pt idx="915">
                  <c:v>3.5115654019390874E-2</c:v>
                </c:pt>
                <c:pt idx="916">
                  <c:v>3.5130387264814544E-2</c:v>
                </c:pt>
                <c:pt idx="917">
                  <c:v>3.5145136332221938E-2</c:v>
                </c:pt>
                <c:pt idx="918">
                  <c:v>3.5159901221613055E-2</c:v>
                </c:pt>
                <c:pt idx="919">
                  <c:v>3.5174681933147767E-2</c:v>
                </c:pt>
                <c:pt idx="920">
                  <c:v>3.5189478466666202E-2</c:v>
                </c:pt>
                <c:pt idx="921">
                  <c:v>3.5206408164629721E-2</c:v>
                </c:pt>
                <c:pt idx="922">
                  <c:v>3.5219118999814114E-2</c:v>
                </c:pt>
                <c:pt idx="923">
                  <c:v>3.5233962999443591E-2</c:v>
                </c:pt>
                <c:pt idx="924">
                  <c:v>3.5248822821056791E-2</c:v>
                </c:pt>
                <c:pt idx="925">
                  <c:v>3.5263698464893523E-2</c:v>
                </c:pt>
                <c:pt idx="926">
                  <c:v>3.5278589930713977E-2</c:v>
                </c:pt>
                <c:pt idx="927">
                  <c:v>3.5293497218438219E-2</c:v>
                </c:pt>
                <c:pt idx="928">
                  <c:v>3.5308420328306056E-2</c:v>
                </c:pt>
                <c:pt idx="929">
                  <c:v>3.5323359260237552E-2</c:v>
                </c:pt>
                <c:pt idx="930">
                  <c:v>3.5338314014232708E-2</c:v>
                </c:pt>
                <c:pt idx="931">
                  <c:v>3.5353280538332754E-2</c:v>
                </c:pt>
                <c:pt idx="932">
                  <c:v>3.5368145378171789E-2</c:v>
                </c:pt>
                <c:pt idx="933">
                  <c:v>3.5382855858365758E-2</c:v>
                </c:pt>
                <c:pt idx="934">
                  <c:v>3.5397411979154469E-2</c:v>
                </c:pt>
                <c:pt idx="935">
                  <c:v>3.5411813740298115E-2</c:v>
                </c:pt>
                <c:pt idx="936">
                  <c:v>3.542606114187663E-2</c:v>
                </c:pt>
                <c:pt idx="937">
                  <c:v>3.544015418381008E-2</c:v>
                </c:pt>
                <c:pt idx="938">
                  <c:v>3.5459562606119377E-2</c:v>
                </c:pt>
                <c:pt idx="939">
                  <c:v>3.5479179605291122E-2</c:v>
                </c:pt>
                <c:pt idx="940">
                  <c:v>3.5485373075001547E-2</c:v>
                </c:pt>
                <c:pt idx="941">
                  <c:v>3.5498804575633258E-2</c:v>
                </c:pt>
                <c:pt idx="942">
                  <c:v>3.5512081716380095E-2</c:v>
                </c:pt>
                <c:pt idx="943">
                  <c:v>3.5525204497481866E-2</c:v>
                </c:pt>
                <c:pt idx="944">
                  <c:v>3.5538172918778699E-2</c:v>
                </c:pt>
                <c:pt idx="945">
                  <c:v>3.5550986980430466E-2</c:v>
                </c:pt>
                <c:pt idx="946">
                  <c:v>3.5563646682277295E-2</c:v>
                </c:pt>
                <c:pt idx="947">
                  <c:v>3.5576152024239249E-2</c:v>
                </c:pt>
                <c:pt idx="948">
                  <c:v>3.5588503006476202E-2</c:v>
                </c:pt>
                <c:pt idx="949">
                  <c:v>3.5600699628828281E-2</c:v>
                </c:pt>
                <c:pt idx="950">
                  <c:v>3.5612741891375421E-2</c:v>
                </c:pt>
                <c:pt idx="951">
                  <c:v>3.5624629794117624E-2</c:v>
                </c:pt>
                <c:pt idx="952">
                  <c:v>3.5636363336895016E-2</c:v>
                </c:pt>
                <c:pt idx="953">
                  <c:v>3.564794251986747E-2</c:v>
                </c:pt>
                <c:pt idx="954">
                  <c:v>3.5669666448459481E-2</c:v>
                </c:pt>
                <c:pt idx="955">
                  <c:v>3.5677008766157314E-2</c:v>
                </c:pt>
                <c:pt idx="956">
                  <c:v>3.56895994767914E-2</c:v>
                </c:pt>
                <c:pt idx="957">
                  <c:v>3.5698910201222844E-2</c:v>
                </c:pt>
                <c:pt idx="958">
                  <c:v>3.5709629378848362E-2</c:v>
                </c:pt>
                <c:pt idx="959">
                  <c:v>3.5721690855305965E-2</c:v>
                </c:pt>
                <c:pt idx="960">
                  <c:v>3.5730604654125031E-2</c:v>
                </c:pt>
                <c:pt idx="961">
                  <c:v>3.5740860751696246E-2</c:v>
                </c:pt>
                <c:pt idx="962">
                  <c:v>3.5750962489302651E-2</c:v>
                </c:pt>
                <c:pt idx="963">
                  <c:v>3.576090986686431E-2</c:v>
                </c:pt>
                <c:pt idx="964">
                  <c:v>3.5770702884381222E-2</c:v>
                </c:pt>
                <c:pt idx="965">
                  <c:v>3.5780341541853389E-2</c:v>
                </c:pt>
                <c:pt idx="966">
                  <c:v>3.5789825839280809E-2</c:v>
                </c:pt>
                <c:pt idx="967">
                  <c:v>3.5799155776583547E-2</c:v>
                </c:pt>
                <c:pt idx="968">
                  <c:v>3.5808331353761602E-2</c:v>
                </c:pt>
                <c:pt idx="969">
                  <c:v>3.5817352570894911E-2</c:v>
                </c:pt>
                <c:pt idx="970">
                  <c:v>3.5826219427903538E-2</c:v>
                </c:pt>
                <c:pt idx="971">
                  <c:v>3.5834931924707547E-2</c:v>
                </c:pt>
                <c:pt idx="972">
                  <c:v>3.5844700051494982E-2</c:v>
                </c:pt>
                <c:pt idx="973">
                  <c:v>3.5851893837941518E-2</c:v>
                </c:pt>
                <c:pt idx="974">
                  <c:v>3.5860143254371479E-2</c:v>
                </c:pt>
                <c:pt idx="975">
                  <c:v>3.5868238310596823E-2</c:v>
                </c:pt>
                <c:pt idx="976">
                  <c:v>3.5876179006697484E-2</c:v>
                </c:pt>
                <c:pt idx="977">
                  <c:v>3.5883965342433655E-2</c:v>
                </c:pt>
                <c:pt idx="978">
                  <c:v>3.5891597318205015E-2</c:v>
                </c:pt>
                <c:pt idx="979">
                  <c:v>3.5899074933531949E-2</c:v>
                </c:pt>
                <c:pt idx="980">
                  <c:v>3.5906398188734201E-2</c:v>
                </c:pt>
                <c:pt idx="981">
                  <c:v>3.5913567083731834E-2</c:v>
                </c:pt>
                <c:pt idx="982">
                  <c:v>3.5920581618524849E-2</c:v>
                </c:pt>
                <c:pt idx="983">
                  <c:v>3.592744179303331E-2</c:v>
                </c:pt>
                <c:pt idx="984">
                  <c:v>3.5934147607257216E-2</c:v>
                </c:pt>
                <c:pt idx="985">
                  <c:v>3.5940699061196568E-2</c:v>
                </c:pt>
                <c:pt idx="986">
                  <c:v>3.5947997424550238E-2</c:v>
                </c:pt>
                <c:pt idx="987">
                  <c:v>3.5953338888221609E-2</c:v>
                </c:pt>
                <c:pt idx="988">
                  <c:v>3.5959427261307297E-2</c:v>
                </c:pt>
                <c:pt idx="989">
                  <c:v>3.5965361274108432E-2</c:v>
                </c:pt>
                <c:pt idx="990">
                  <c:v>3.5974964603440185E-2</c:v>
                </c:pt>
                <c:pt idx="991">
                  <c:v>3.5977557231152701E-2</c:v>
                </c:pt>
                <c:pt idx="992">
                  <c:v>3.5982237150644636E-2</c:v>
                </c:pt>
                <c:pt idx="993">
                  <c:v>3.598755372214768E-2</c:v>
                </c:pt>
                <c:pt idx="994">
                  <c:v>3.5992715933366171E-2</c:v>
                </c:pt>
                <c:pt idx="995">
                  <c:v>3.599772378422017E-2</c:v>
                </c:pt>
                <c:pt idx="996">
                  <c:v>3.600257727470968E-2</c:v>
                </c:pt>
                <c:pt idx="997">
                  <c:v>3.6007276404834698E-2</c:v>
                </c:pt>
                <c:pt idx="998">
                  <c:v>3.6011821174595227E-2</c:v>
                </c:pt>
                <c:pt idx="999">
                  <c:v>3.6016211583991264E-2</c:v>
                </c:pt>
                <c:pt idx="1000">
                  <c:v>3.6020447633022812E-2</c:v>
                </c:pt>
                <c:pt idx="1001">
                  <c:v>3.6024529321609933E-2</c:v>
                </c:pt>
                <c:pt idx="1002">
                  <c:v>3.6028456649912499E-2</c:v>
                </c:pt>
                <c:pt idx="1003">
                  <c:v>3.6032229617770639E-2</c:v>
                </c:pt>
                <c:pt idx="1004">
                  <c:v>3.6036853761238774E-2</c:v>
                </c:pt>
                <c:pt idx="1005">
                  <c:v>3.6039312472393448E-2</c:v>
                </c:pt>
                <c:pt idx="1006">
                  <c:v>3.604262235907818E-2</c:v>
                </c:pt>
                <c:pt idx="1007">
                  <c:v>3.6045777885318486E-2</c:v>
                </c:pt>
                <c:pt idx="1008">
                  <c:v>3.6049195188319061E-2</c:v>
                </c:pt>
                <c:pt idx="1009">
                  <c:v>3.6051625856625691E-2</c:v>
                </c:pt>
                <c:pt idx="1010">
                  <c:v>3.6054318301612653E-2</c:v>
                </c:pt>
                <c:pt idx="1011">
                  <c:v>3.605720636891796E-2</c:v>
                </c:pt>
                <c:pt idx="1012">
                  <c:v>3.6059240110413171E-2</c:v>
                </c:pt>
                <c:pt idx="1013">
                  <c:v>3.606146947414679E-2</c:v>
                </c:pt>
                <c:pt idx="1014">
                  <c:v>3.6063544477515919E-2</c:v>
                </c:pt>
                <c:pt idx="1015">
                  <c:v>3.6065465120360685E-2</c:v>
                </c:pt>
                <c:pt idx="1016">
                  <c:v>3.606723140284096E-2</c:v>
                </c:pt>
                <c:pt idx="1017">
                  <c:v>3.6068843324796873E-2</c:v>
                </c:pt>
                <c:pt idx="1018">
                  <c:v>3.6070300886388296E-2</c:v>
                </c:pt>
                <c:pt idx="1019">
                  <c:v>3.6071604087455356E-2</c:v>
                </c:pt>
                <c:pt idx="1020">
                  <c:v>3.6072752928157925E-2</c:v>
                </c:pt>
                <c:pt idx="1021">
                  <c:v>3.6073747408416068E-2</c:v>
                </c:pt>
                <c:pt idx="1022">
                  <c:v>3.6074587528149848E-2</c:v>
                </c:pt>
                <c:pt idx="1023">
                  <c:v>3.6075273287519138E-2</c:v>
                </c:pt>
                <c:pt idx="1024">
                  <c:v>3.6075804686364066E-2</c:v>
                </c:pt>
                <c:pt idx="1025">
                  <c:v>3.6076222986558548E-2</c:v>
                </c:pt>
                <c:pt idx="1026">
                  <c:v>3.6076404402720641E-2</c:v>
                </c:pt>
                <c:pt idx="1027">
                  <c:v>3.6076472720312225E-2</c:v>
                </c:pt>
                <c:pt idx="1028">
                  <c:v>3.607638667729951E-2</c:v>
                </c:pt>
                <c:pt idx="1029">
                  <c:v>3.6076146273922305E-2</c:v>
                </c:pt>
                <c:pt idx="1030">
                  <c:v>3.6075751510100673E-2</c:v>
                </c:pt>
                <c:pt idx="1031">
                  <c:v>3.6075202385834615E-2</c:v>
                </c:pt>
                <c:pt idx="1032">
                  <c:v>3.607449890112413E-2</c:v>
                </c:pt>
                <c:pt idx="1033">
                  <c:v>3.6073641055889283E-2</c:v>
                </c:pt>
                <c:pt idx="1034">
                  <c:v>3.6072628850289945E-2</c:v>
                </c:pt>
                <c:pt idx="1035">
                  <c:v>3.6071515230933215E-2</c:v>
                </c:pt>
                <c:pt idx="1036">
                  <c:v>3.6070414237237003E-2</c:v>
                </c:pt>
                <c:pt idx="1037">
                  <c:v>3.6069329942023387E-2</c:v>
                </c:pt>
                <c:pt idx="1038">
                  <c:v>3.6068111194440533E-2</c:v>
                </c:pt>
                <c:pt idx="1039">
                  <c:v>3.6067211446644265E-2</c:v>
                </c:pt>
                <c:pt idx="1040">
                  <c:v>3.6066177246638631E-2</c:v>
                </c:pt>
                <c:pt idx="1041">
                  <c:v>3.6065159745035658E-2</c:v>
                </c:pt>
                <c:pt idx="1042">
                  <c:v>3.606387606507333E-2</c:v>
                </c:pt>
                <c:pt idx="1043">
                  <c:v>3.6063035613684846E-2</c:v>
                </c:pt>
                <c:pt idx="1044">
                  <c:v>3.6062207430482829E-2</c:v>
                </c:pt>
                <c:pt idx="1045">
                  <c:v>3.6061256722490498E-2</c:v>
                </c:pt>
                <c:pt idx="1046">
                  <c:v>3.6060322712900827E-2</c:v>
                </c:pt>
                <c:pt idx="1047">
                  <c:v>3.6059405401713818E-2</c:v>
                </c:pt>
                <c:pt idx="1048">
                  <c:v>3.6058504788929469E-2</c:v>
                </c:pt>
                <c:pt idx="1049">
                  <c:v>3.605762087454778E-2</c:v>
                </c:pt>
                <c:pt idx="1050">
                  <c:v>3.6056753658728624E-2</c:v>
                </c:pt>
                <c:pt idx="1051">
                  <c:v>3.6055903141152257E-2</c:v>
                </c:pt>
                <c:pt idx="1052">
                  <c:v>3.605506932197855E-2</c:v>
                </c:pt>
                <c:pt idx="1053">
                  <c:v>3.605425220128744E-2</c:v>
                </c:pt>
                <c:pt idx="1054">
                  <c:v>3.6053451778919055E-2</c:v>
                </c:pt>
                <c:pt idx="1055">
                  <c:v>3.6052447200898285E-2</c:v>
                </c:pt>
                <c:pt idx="1056">
                  <c:v>3.6051901029470201E-2</c:v>
                </c:pt>
                <c:pt idx="1057">
                  <c:v>3.605115070246967E-2</c:v>
                </c:pt>
                <c:pt idx="1058">
                  <c:v>3.6050417073791863E-2</c:v>
                </c:pt>
                <c:pt idx="1059">
                  <c:v>3.6049700143516716E-2</c:v>
                </c:pt>
                <c:pt idx="1060">
                  <c:v>3.6048901241692022E-2</c:v>
                </c:pt>
                <c:pt idx="1061">
                  <c:v>3.6048316378254341E-2</c:v>
                </c:pt>
                <c:pt idx="1062">
                  <c:v>3.6047649543187177E-2</c:v>
                </c:pt>
                <c:pt idx="1063">
                  <c:v>3.6046999406522673E-2</c:v>
                </c:pt>
                <c:pt idx="1064">
                  <c:v>3.6046276840275837E-2</c:v>
                </c:pt>
                <c:pt idx="1065">
                  <c:v>3.6045749228481583E-2</c:v>
                </c:pt>
                <c:pt idx="1066">
                  <c:v>3.6045149187104997E-2</c:v>
                </c:pt>
                <c:pt idx="1067">
                  <c:v>3.6044565844131071E-2</c:v>
                </c:pt>
                <c:pt idx="1068">
                  <c:v>3.604399919947987E-2</c:v>
                </c:pt>
                <c:pt idx="1069">
                  <c:v>3.6043449253391202E-2</c:v>
                </c:pt>
                <c:pt idx="1070">
                  <c:v>3.6042916005545322E-2</c:v>
                </c:pt>
                <c:pt idx="1071">
                  <c:v>3.6042399456182039E-2</c:v>
                </c:pt>
                <c:pt idx="1072">
                  <c:v>3.6041899605221417E-2</c:v>
                </c:pt>
                <c:pt idx="1073">
                  <c:v>3.6041416452663455E-2</c:v>
                </c:pt>
                <c:pt idx="1074">
                  <c:v>3.604094999858809E-2</c:v>
                </c:pt>
                <c:pt idx="1075">
                  <c:v>3.6040500242835449E-2</c:v>
                </c:pt>
                <c:pt idx="1076">
                  <c:v>3.6040067185485469E-2</c:v>
                </c:pt>
                <c:pt idx="1077">
                  <c:v>3.6039592709826707E-2</c:v>
                </c:pt>
                <c:pt idx="1078">
                  <c:v>3.6039251166073427E-2</c:v>
                </c:pt>
                <c:pt idx="1079">
                  <c:v>3.6038868203931429E-2</c:v>
                </c:pt>
                <c:pt idx="1080">
                  <c:v>3.6038501940272027E-2</c:v>
                </c:pt>
                <c:pt idx="1081">
                  <c:v>3.6038152375015287E-2</c:v>
                </c:pt>
                <c:pt idx="1082">
                  <c:v>3.603781950808127E-2</c:v>
                </c:pt>
                <c:pt idx="1083">
                  <c:v>3.6037503339629851E-2</c:v>
                </c:pt>
                <c:pt idx="1084">
                  <c:v>3.6037203869501155E-2</c:v>
                </c:pt>
                <c:pt idx="1085">
                  <c:v>3.6036921097855057E-2</c:v>
                </c:pt>
                <c:pt idx="1086">
                  <c:v>3.6036655024691555E-2</c:v>
                </c:pt>
                <c:pt idx="1087">
                  <c:v>3.6036405649770842E-2</c:v>
                </c:pt>
                <c:pt idx="1088">
                  <c:v>3.6036141096991159E-2</c:v>
                </c:pt>
                <c:pt idx="1089">
                  <c:v>3.6035956995377205E-2</c:v>
                </c:pt>
                <c:pt idx="1090">
                  <c:v>3.6035730610306516E-2</c:v>
                </c:pt>
                <c:pt idx="1091">
                  <c:v>3.6035575134514275E-2</c:v>
                </c:pt>
                <c:pt idx="1092">
                  <c:v>3.6035409251606865E-2</c:v>
                </c:pt>
                <c:pt idx="1093">
                  <c:v>3.6035260067341923E-2</c:v>
                </c:pt>
                <c:pt idx="1094">
                  <c:v>3.6035092795145829E-2</c:v>
                </c:pt>
                <c:pt idx="1095">
                  <c:v>3.6034967282185804E-2</c:v>
                </c:pt>
                <c:pt idx="1096">
                  <c:v>3.6034899911996376E-2</c:v>
                </c:pt>
                <c:pt idx="1097">
                  <c:v>3.6034819906713977E-2</c:v>
                </c:pt>
                <c:pt idx="1098">
                  <c:v>3.6034756599834239E-2</c:v>
                </c:pt>
                <c:pt idx="1099">
                  <c:v>3.6034709991357161E-2</c:v>
                </c:pt>
                <c:pt idx="1100">
                  <c:v>3.603468008136268E-2</c:v>
                </c:pt>
                <c:pt idx="1101">
                  <c:v>3.6034666869690923E-2</c:v>
                </c:pt>
                <c:pt idx="1102">
                  <c:v>3.6034670356421827E-2</c:v>
                </c:pt>
                <c:pt idx="1103">
                  <c:v>3.6034690541555392E-2</c:v>
                </c:pt>
                <c:pt idx="1104">
                  <c:v>3.6034727425091617E-2</c:v>
                </c:pt>
                <c:pt idx="1105">
                  <c:v>3.6034781007110439E-2</c:v>
                </c:pt>
                <c:pt idx="1106">
                  <c:v>3.6034851287451986E-2</c:v>
                </c:pt>
                <c:pt idx="1107">
                  <c:v>3.6034938266196193E-2</c:v>
                </c:pt>
                <c:pt idx="1108">
                  <c:v>3.603504194334306E-2</c:v>
                </c:pt>
                <c:pt idx="1109">
                  <c:v>3.6035162318972525E-2</c:v>
                </c:pt>
                <c:pt idx="1110">
                  <c:v>3.6035341624023332E-2</c:v>
                </c:pt>
                <c:pt idx="1111">
                  <c:v>3.6035453165439435E-2</c:v>
                </c:pt>
                <c:pt idx="1112">
                  <c:v>3.6035649352346155E-2</c:v>
                </c:pt>
                <c:pt idx="1113">
                  <c:v>3.6035810805437052E-2</c:v>
                </c:pt>
                <c:pt idx="1114">
                  <c:v>3.6036014673079819E-2</c:v>
                </c:pt>
                <c:pt idx="1115">
                  <c:v>3.6036235239125247E-2</c:v>
                </c:pt>
                <c:pt idx="1116">
                  <c:v>3.6036507761609826E-2</c:v>
                </c:pt>
                <c:pt idx="1117">
                  <c:v>3.6036726466344149E-2</c:v>
                </c:pt>
                <c:pt idx="1118">
                  <c:v>3.6036997127597559E-2</c:v>
                </c:pt>
                <c:pt idx="1119">
                  <c:v>3.6037284487333565E-2</c:v>
                </c:pt>
                <c:pt idx="1120">
                  <c:v>3.6037588545392296E-2</c:v>
                </c:pt>
                <c:pt idx="1121">
                  <c:v>3.6037909301853688E-2</c:v>
                </c:pt>
                <c:pt idx="1122">
                  <c:v>3.603824675671774E-2</c:v>
                </c:pt>
                <c:pt idx="1123">
                  <c:v>3.6038600910064389E-2</c:v>
                </c:pt>
                <c:pt idx="1124">
                  <c:v>3.6038971761733762E-2</c:v>
                </c:pt>
                <c:pt idx="1125">
                  <c:v>3.6039359311885732E-2</c:v>
                </c:pt>
                <c:pt idx="1126">
                  <c:v>3.6039763560360427E-2</c:v>
                </c:pt>
                <c:pt idx="1127">
                  <c:v>3.6040184507317718E-2</c:v>
                </c:pt>
                <c:pt idx="1128">
                  <c:v>3.6040622152597734E-2</c:v>
                </c:pt>
                <c:pt idx="1129">
                  <c:v>3.6041142765750322E-2</c:v>
                </c:pt>
                <c:pt idx="1130">
                  <c:v>3.6041547538445684E-2</c:v>
                </c:pt>
                <c:pt idx="1131">
                  <c:v>3.6042035279093554E-2</c:v>
                </c:pt>
                <c:pt idx="1132">
                  <c:v>3.6042539717984212E-2</c:v>
                </c:pt>
                <c:pt idx="1133">
                  <c:v>3.6043060855357467E-2</c:v>
                </c:pt>
                <c:pt idx="1134">
                  <c:v>3.6043598691133383E-2</c:v>
                </c:pt>
                <c:pt idx="1135">
                  <c:v>3.6044153225311959E-2</c:v>
                </c:pt>
                <c:pt idx="1136">
                  <c:v>3.6044724457893196E-2</c:v>
                </c:pt>
                <c:pt idx="1137">
                  <c:v>3.6045312388957029E-2</c:v>
                </c:pt>
                <c:pt idx="1138">
                  <c:v>3.6045917018263651E-2</c:v>
                </c:pt>
                <c:pt idx="1139">
                  <c:v>3.6046538346212742E-2</c:v>
                </c:pt>
                <c:pt idx="1140">
                  <c:v>3.6047268882084538E-2</c:v>
                </c:pt>
                <c:pt idx="1141">
                  <c:v>3.6047831096999161E-2</c:v>
                </c:pt>
                <c:pt idx="1142">
                  <c:v>3.6048502519996362E-2</c:v>
                </c:pt>
                <c:pt idx="1143">
                  <c:v>3.6049190641476159E-2</c:v>
                </c:pt>
                <c:pt idx="1144">
                  <c:v>3.6049895461358616E-2</c:v>
                </c:pt>
                <c:pt idx="1145">
                  <c:v>3.6050616979643735E-2</c:v>
                </c:pt>
                <c:pt idx="1146">
                  <c:v>3.605156918236041E-2</c:v>
                </c:pt>
                <c:pt idx="1147">
                  <c:v>3.6052219319584466E-2</c:v>
                </c:pt>
                <c:pt idx="1148">
                  <c:v>3.6052881724915053E-2</c:v>
                </c:pt>
                <c:pt idx="1149">
                  <c:v>3.6053670036810814E-2</c:v>
                </c:pt>
                <c:pt idx="1150">
                  <c:v>3.6054475047189172E-2</c:v>
                </c:pt>
                <c:pt idx="1151">
                  <c:v>3.6055296755810318E-2</c:v>
                </c:pt>
                <c:pt idx="1152">
                  <c:v>3.6056135162993996E-2</c:v>
                </c:pt>
                <c:pt idx="1153">
                  <c:v>3.60569902685004E-2</c:v>
                </c:pt>
                <c:pt idx="1154">
                  <c:v>3.6057862072489399E-2</c:v>
                </c:pt>
                <c:pt idx="1155">
                  <c:v>3.6058750574801124E-2</c:v>
                </c:pt>
                <c:pt idx="1156">
                  <c:v>3.6059655775595445E-2</c:v>
                </c:pt>
                <c:pt idx="1157">
                  <c:v>3.6060577674792427E-2</c:v>
                </c:pt>
                <c:pt idx="1158">
                  <c:v>3.6061516272392069E-2</c:v>
                </c:pt>
                <c:pt idx="1159">
                  <c:v>3.6062471568394372E-2</c:v>
                </c:pt>
                <c:pt idx="1160">
                  <c:v>3.606372434251881E-2</c:v>
                </c:pt>
                <c:pt idx="1161">
                  <c:v>3.6064432255686896E-2</c:v>
                </c:pt>
                <c:pt idx="1162">
                  <c:v>3.606543764689718E-2</c:v>
                </c:pt>
                <c:pt idx="1163">
                  <c:v>3.6066459736510126E-2</c:v>
                </c:pt>
                <c:pt idx="1164">
                  <c:v>3.6067498524605668E-2</c:v>
                </c:pt>
                <c:pt idx="1165">
                  <c:v>3.6068706157958985E-2</c:v>
                </c:pt>
                <c:pt idx="1166">
                  <c:v>3.6069626196004734E-2</c:v>
                </c:pt>
                <c:pt idx="1167">
                  <c:v>3.6070715079308258E-2</c:v>
                </c:pt>
                <c:pt idx="1168">
                  <c:v>3.6071979964305001E-2</c:v>
                </c:pt>
                <c:pt idx="1169">
                  <c:v>3.6072942941043351E-2</c:v>
                </c:pt>
                <c:pt idx="1170">
                  <c:v>3.6074081919634793E-2</c:v>
                </c:pt>
                <c:pt idx="1171">
                  <c:v>3.6075237596548959E-2</c:v>
                </c:pt>
                <c:pt idx="1172">
                  <c:v>3.6076409971945722E-2</c:v>
                </c:pt>
                <c:pt idx="1173">
                  <c:v>3.607759904566521E-2</c:v>
                </c:pt>
                <c:pt idx="1174">
                  <c:v>3.6078804817867294E-2</c:v>
                </c:pt>
                <c:pt idx="1175">
                  <c:v>3.6080027288392102E-2</c:v>
                </c:pt>
                <c:pt idx="1176">
                  <c:v>3.6081266457479444E-2</c:v>
                </c:pt>
                <c:pt idx="1177">
                  <c:v>3.608252232488951E-2</c:v>
                </c:pt>
                <c:pt idx="1178">
                  <c:v>3.6083794890702237E-2</c:v>
                </c:pt>
                <c:pt idx="1179">
                  <c:v>3.608508415499756E-2</c:v>
                </c:pt>
                <c:pt idx="1180">
                  <c:v>3.6086390117695544E-2</c:v>
                </c:pt>
                <c:pt idx="1181">
                  <c:v>3.6087903093360296E-2</c:v>
                </c:pt>
                <c:pt idx="1182">
                  <c:v>3.6089052138219557E-2</c:v>
                </c:pt>
                <c:pt idx="1183">
                  <c:v>3.6090408196045587E-2</c:v>
                </c:pt>
                <c:pt idx="1184">
                  <c:v>3.6091780952354213E-2</c:v>
                </c:pt>
                <c:pt idx="1185">
                  <c:v>3.6093170407145436E-2</c:v>
                </c:pt>
                <c:pt idx="1186">
                  <c:v>3.6094576560259384E-2</c:v>
                </c:pt>
                <c:pt idx="1187">
                  <c:v>3.6095999411855928E-2</c:v>
                </c:pt>
                <c:pt idx="1188">
                  <c:v>3.6097438961855133E-2</c:v>
                </c:pt>
                <c:pt idx="1189">
                  <c:v>3.6098895210256998E-2</c:v>
                </c:pt>
                <c:pt idx="1190">
                  <c:v>3.6100368156981588E-2</c:v>
                </c:pt>
                <c:pt idx="1191">
                  <c:v>3.6101856647032804E-2</c:v>
                </c:pt>
                <c:pt idx="1192">
                  <c:v>3.6103328333485507E-2</c:v>
                </c:pt>
                <c:pt idx="1193">
                  <c:v>3.6104768198113035E-2</c:v>
                </c:pt>
                <c:pt idx="1194">
                  <c:v>3.6106176241235133E-2</c:v>
                </c:pt>
                <c:pt idx="1195">
                  <c:v>3.6107552462611991E-2</c:v>
                </c:pt>
                <c:pt idx="1196">
                  <c:v>3.6108896862243611E-2</c:v>
                </c:pt>
                <c:pt idx="1197">
                  <c:v>3.6110209440129992E-2</c:v>
                </c:pt>
                <c:pt idx="1198">
                  <c:v>3.6111850282072311E-2</c:v>
                </c:pt>
                <c:pt idx="1199">
                  <c:v>3.6113090124700875E-2</c:v>
                </c:pt>
                <c:pt idx="1200">
                  <c:v>3.611412751951093E-2</c:v>
                </c:pt>
                <c:pt idx="1201">
                  <c:v>3.6115308264692558E-2</c:v>
                </c:pt>
                <c:pt idx="1202">
                  <c:v>3.6116618722434879E-2</c:v>
                </c:pt>
                <c:pt idx="1203">
                  <c:v>3.611757428997997E-2</c:v>
                </c:pt>
                <c:pt idx="1204">
                  <c:v>3.611865957016569E-2</c:v>
                </c:pt>
                <c:pt idx="1205">
                  <c:v>3.6119713028526235E-2</c:v>
                </c:pt>
                <c:pt idx="1206">
                  <c:v>3.6120878015672986E-2</c:v>
                </c:pt>
                <c:pt idx="1207">
                  <c:v>3.6121724480251416E-2</c:v>
                </c:pt>
                <c:pt idx="1208">
                  <c:v>3.6122682473616052E-2</c:v>
                </c:pt>
                <c:pt idx="1209">
                  <c:v>3.6123608645315386E-2</c:v>
                </c:pt>
                <c:pt idx="1210">
                  <c:v>3.6124502995189545E-2</c:v>
                </c:pt>
                <c:pt idx="1211">
                  <c:v>3.6125365523478337E-2</c:v>
                </c:pt>
                <c:pt idx="1212">
                  <c:v>3.612619623002189E-2</c:v>
                </c:pt>
                <c:pt idx="1213">
                  <c:v>3.6126995114820204E-2</c:v>
                </c:pt>
                <c:pt idx="1214">
                  <c:v>3.6127762178033151E-2</c:v>
                </c:pt>
                <c:pt idx="1215">
                  <c:v>3.6132428493020896E-2</c:v>
                </c:pt>
                <c:pt idx="1216">
                  <c:v>3.612920083922333E-2</c:v>
                </c:pt>
                <c:pt idx="1217">
                  <c:v>3.6129965782132345E-2</c:v>
                </c:pt>
                <c:pt idx="1218">
                  <c:v>3.6130512213592425E-2</c:v>
                </c:pt>
                <c:pt idx="1219">
                  <c:v>3.613112016823905E-2</c:v>
                </c:pt>
                <c:pt idx="1220">
                  <c:v>3.6131776008181404E-2</c:v>
                </c:pt>
                <c:pt idx="1221">
                  <c:v>3.6132240612376521E-2</c:v>
                </c:pt>
                <c:pt idx="1222">
                  <c:v>3.6132753101947301E-2</c:v>
                </c:pt>
                <c:pt idx="1223">
                  <c:v>3.6133233769772843E-2</c:v>
                </c:pt>
                <c:pt idx="1224">
                  <c:v>3.6133682615933083E-2</c:v>
                </c:pt>
                <c:pt idx="1225">
                  <c:v>3.6134099640348083E-2</c:v>
                </c:pt>
                <c:pt idx="1226">
                  <c:v>3.6134484843177717E-2</c:v>
                </c:pt>
                <c:pt idx="1227">
                  <c:v>3.6134838224182175E-2</c:v>
                </c:pt>
                <c:pt idx="1228">
                  <c:v>3.6135159783521331E-2</c:v>
                </c:pt>
                <c:pt idx="1229">
                  <c:v>3.6135449521195184E-2</c:v>
                </c:pt>
                <c:pt idx="1230">
                  <c:v>3.6135707437043862E-2</c:v>
                </c:pt>
                <c:pt idx="1231">
                  <c:v>3.6135933531307174E-2</c:v>
                </c:pt>
                <c:pt idx="1232">
                  <c:v>3.6136127803905183E-2</c:v>
                </c:pt>
                <c:pt idx="1233">
                  <c:v>3.6136310864192112E-2</c:v>
                </c:pt>
                <c:pt idx="1234">
                  <c:v>3.6136436947415973E-2</c:v>
                </c:pt>
                <c:pt idx="1235">
                  <c:v>3.6136519691147839E-2</c:v>
                </c:pt>
                <c:pt idx="1236">
                  <c:v>3.6136586676924765E-2</c:v>
                </c:pt>
                <c:pt idx="1237">
                  <c:v>3.6136621840956451E-2</c:v>
                </c:pt>
                <c:pt idx="1238">
                  <c:v>3.6136625183322835E-2</c:v>
                </c:pt>
                <c:pt idx="1239">
                  <c:v>3.6136596703943979E-2</c:v>
                </c:pt>
                <c:pt idx="1240">
                  <c:v>3.6136525190668678E-2</c:v>
                </c:pt>
                <c:pt idx="1241">
                  <c:v>3.6136444280110425E-2</c:v>
                </c:pt>
                <c:pt idx="1242">
                  <c:v>3.6136320335575789E-2</c:v>
                </c:pt>
                <c:pt idx="1243">
                  <c:v>3.6136164569455786E-2</c:v>
                </c:pt>
                <c:pt idx="1244">
                  <c:v>3.6135947585504979E-2</c:v>
                </c:pt>
                <c:pt idx="1245">
                  <c:v>3.6135757571980065E-2</c:v>
                </c:pt>
                <c:pt idx="1246">
                  <c:v>3.6135506340624346E-2</c:v>
                </c:pt>
                <c:pt idx="1247">
                  <c:v>3.6135223287603324E-2</c:v>
                </c:pt>
                <c:pt idx="1248">
                  <c:v>3.6134908412917E-2</c:v>
                </c:pt>
                <c:pt idx="1249">
                  <c:v>3.6134561716565372E-2</c:v>
                </c:pt>
                <c:pt idx="1250">
                  <c:v>3.6137637992013083E-2</c:v>
                </c:pt>
                <c:pt idx="1251">
                  <c:v>3.6137213929228196E-2</c:v>
                </c:pt>
                <c:pt idx="1252">
                  <c:v>3.6133264933484455E-2</c:v>
                </c:pt>
                <c:pt idx="1253">
                  <c:v>3.6132786404348138E-2</c:v>
                </c:pt>
                <c:pt idx="1254">
                  <c:v>3.6132276053466583E-2</c:v>
                </c:pt>
                <c:pt idx="1255">
                  <c:v>3.6131733880919725E-2</c:v>
                </c:pt>
                <c:pt idx="1256">
                  <c:v>3.6131159886707565E-2</c:v>
                </c:pt>
                <c:pt idx="1257">
                  <c:v>3.6130554070750165E-2</c:v>
                </c:pt>
                <c:pt idx="1258">
                  <c:v>3.6129916433047526E-2</c:v>
                </c:pt>
                <c:pt idx="1259">
                  <c:v>3.6129246973759521E-2</c:v>
                </c:pt>
                <c:pt idx="1260">
                  <c:v>3.6128545692646341E-2</c:v>
                </c:pt>
                <c:pt idx="1261">
                  <c:v>3.6127812589867858E-2</c:v>
                </c:pt>
                <c:pt idx="1262">
                  <c:v>3.6127047665424072E-2</c:v>
                </c:pt>
                <c:pt idx="1263">
                  <c:v>3.6126250919314984E-2</c:v>
                </c:pt>
                <c:pt idx="1264">
                  <c:v>3.6125422351460657E-2</c:v>
                </c:pt>
                <c:pt idx="1265">
                  <c:v>3.6131560179290645E-2</c:v>
                </c:pt>
                <c:pt idx="1266">
                  <c:v>3.6123145628330633E-2</c:v>
                </c:pt>
                <c:pt idx="1267">
                  <c:v>3.6122203411546039E-2</c:v>
                </c:pt>
                <c:pt idx="1268">
                  <c:v>3.6121087627041248E-2</c:v>
                </c:pt>
                <c:pt idx="1269">
                  <c:v>3.6120223512901006E-2</c:v>
                </c:pt>
                <c:pt idx="1270">
                  <c:v>3.6119185831040568E-2</c:v>
                </c:pt>
                <c:pt idx="1271">
                  <c:v>3.611796094348918E-2</c:v>
                </c:pt>
                <c:pt idx="1272">
                  <c:v>3.611701500216391E-2</c:v>
                </c:pt>
                <c:pt idx="1273">
                  <c:v>3.6115881855147691E-2</c:v>
                </c:pt>
                <c:pt idx="1274">
                  <c:v>3.6114716886546105E-2</c:v>
                </c:pt>
                <c:pt idx="1275">
                  <c:v>3.6113520096199281E-2</c:v>
                </c:pt>
                <c:pt idx="1276">
                  <c:v>3.6112291484107217E-2</c:v>
                </c:pt>
                <c:pt idx="1277">
                  <c:v>3.6111031050349851E-2</c:v>
                </c:pt>
                <c:pt idx="1278">
                  <c:v>3.6109738794927182E-2</c:v>
                </c:pt>
                <c:pt idx="1279">
                  <c:v>3.6108414717919146E-2</c:v>
                </c:pt>
                <c:pt idx="1280">
                  <c:v>3.6107058818926063E-2</c:v>
                </c:pt>
                <c:pt idx="1281">
                  <c:v>3.6105671098507486E-2</c:v>
                </c:pt>
                <c:pt idx="1282">
                  <c:v>3.6104251556263733E-2</c:v>
                </c:pt>
                <c:pt idx="1283">
                  <c:v>3.6102800192274742E-2</c:v>
                </c:pt>
                <c:pt idx="1284">
                  <c:v>3.6101102525387674E-2</c:v>
                </c:pt>
                <c:pt idx="1285">
                  <c:v>3.6099801999380787E-2</c:v>
                </c:pt>
                <c:pt idx="1286">
                  <c:v>3.6098255170475824E-2</c:v>
                </c:pt>
                <c:pt idx="1287">
                  <c:v>3.6096676519665749E-2</c:v>
                </c:pt>
                <c:pt idx="1288">
                  <c:v>3.609506604743018E-2</c:v>
                </c:pt>
                <c:pt idx="1289">
                  <c:v>3.60934237532895E-2</c:v>
                </c:pt>
                <c:pt idx="1290">
                  <c:v>3.6091749637563453E-2</c:v>
                </c:pt>
                <c:pt idx="1291">
                  <c:v>3.6090043700092167E-2</c:v>
                </c:pt>
                <c:pt idx="1292">
                  <c:v>3.6088305941035514E-2</c:v>
                </c:pt>
                <c:pt idx="1293">
                  <c:v>3.6086536360153687E-2</c:v>
                </c:pt>
                <c:pt idx="1294">
                  <c:v>3.6084734957606557E-2</c:v>
                </c:pt>
                <c:pt idx="1295">
                  <c:v>3.6082901733394124E-2</c:v>
                </c:pt>
                <c:pt idx="1296">
                  <c:v>3.6081036687596324E-2</c:v>
                </c:pt>
                <c:pt idx="1297">
                  <c:v>3.6079139820133221E-2</c:v>
                </c:pt>
                <c:pt idx="1298">
                  <c:v>3.607693300596182E-2</c:v>
                </c:pt>
                <c:pt idx="1299">
                  <c:v>3.6075250619811428E-2</c:v>
                </c:pt>
                <c:pt idx="1300">
                  <c:v>3.6073258287192544E-2</c:v>
                </c:pt>
                <c:pt idx="1301">
                  <c:v>3.6071234132748486E-2</c:v>
                </c:pt>
                <c:pt idx="1302">
                  <c:v>3.6070242936743213E-2</c:v>
                </c:pt>
                <c:pt idx="1303">
                  <c:v>3.6066789504642927E-2</c:v>
                </c:pt>
                <c:pt idx="1304">
                  <c:v>3.6064970739824176E-2</c:v>
                </c:pt>
                <c:pt idx="1305">
                  <c:v>3.6062819298798843E-2</c:v>
                </c:pt>
                <c:pt idx="1306">
                  <c:v>3.6060636036028271E-2</c:v>
                </c:pt>
                <c:pt idx="1307">
                  <c:v>3.6058420951592396E-2</c:v>
                </c:pt>
                <c:pt idx="1308">
                  <c:v>3.6056174045491218E-2</c:v>
                </c:pt>
                <c:pt idx="1309">
                  <c:v>3.6053895317724738E-2</c:v>
                </c:pt>
                <c:pt idx="1310">
                  <c:v>3.6051584768213019E-2</c:v>
                </c:pt>
                <c:pt idx="1311">
                  <c:v>3.6049242397115933E-2</c:v>
                </c:pt>
                <c:pt idx="1312">
                  <c:v>3.6046868204273608E-2</c:v>
                </c:pt>
                <c:pt idx="1313">
                  <c:v>3.604446218976598E-2</c:v>
                </c:pt>
                <c:pt idx="1314">
                  <c:v>3.6042024353672986E-2</c:v>
                </c:pt>
                <c:pt idx="1315">
                  <c:v>3.6038843234544871E-2</c:v>
                </c:pt>
                <c:pt idx="1316">
                  <c:v>3.6037053216331216E-2</c:v>
                </c:pt>
                <c:pt idx="1317">
                  <c:v>3.6034519915162377E-2</c:v>
                </c:pt>
                <c:pt idx="1318">
                  <c:v>3.60319547922483E-2</c:v>
                </c:pt>
                <c:pt idx="1319">
                  <c:v>3.6029357847588983E-2</c:v>
                </c:pt>
                <c:pt idx="1320">
                  <c:v>3.6026350945821406E-2</c:v>
                </c:pt>
                <c:pt idx="1321">
                  <c:v>3.6024068493594186E-2</c:v>
                </c:pt>
                <c:pt idx="1322">
                  <c:v>3.6021376084018897E-2</c:v>
                </c:pt>
                <c:pt idx="1323">
                  <c:v>3.6018651852778305E-2</c:v>
                </c:pt>
                <c:pt idx="1324">
                  <c:v>3.6015499480415158E-2</c:v>
                </c:pt>
                <c:pt idx="1325">
                  <c:v>3.6013107925301213E-2</c:v>
                </c:pt>
                <c:pt idx="1326">
                  <c:v>3.6010288229144649E-2</c:v>
                </c:pt>
                <c:pt idx="1327">
                  <c:v>3.600743671116291E-2</c:v>
                </c:pt>
                <c:pt idx="1328">
                  <c:v>3.6004553371595804E-2</c:v>
                </c:pt>
                <c:pt idx="1329">
                  <c:v>3.600163821028346E-2</c:v>
                </c:pt>
                <c:pt idx="1330">
                  <c:v>3.5998691227385748E-2</c:v>
                </c:pt>
                <c:pt idx="1331">
                  <c:v>3.599571242290267E-2</c:v>
                </c:pt>
                <c:pt idx="1332">
                  <c:v>3.5992701796594417E-2</c:v>
                </c:pt>
                <c:pt idx="1333">
                  <c:v>3.5989659348700798E-2</c:v>
                </c:pt>
                <c:pt idx="1334">
                  <c:v>3.5986585079061939E-2</c:v>
                </c:pt>
                <c:pt idx="1335">
                  <c:v>3.598347898791765E-2</c:v>
                </c:pt>
                <c:pt idx="1336">
                  <c:v>3.5980341074948186E-2</c:v>
                </c:pt>
                <c:pt idx="1337">
                  <c:v>3.5976715923489166E-2</c:v>
                </c:pt>
                <c:pt idx="1338">
                  <c:v>3.5973969784253157E-2</c:v>
                </c:pt>
                <c:pt idx="1339">
                  <c:v>3.597073640636772E-2</c:v>
                </c:pt>
                <c:pt idx="1340">
                  <c:v>3.5967471206816981E-2</c:v>
                </c:pt>
                <c:pt idx="1341">
                  <c:v>3.5964174185600939E-2</c:v>
                </c:pt>
                <c:pt idx="1342">
                  <c:v>3.596084534279953E-2</c:v>
                </c:pt>
                <c:pt idx="1343">
                  <c:v>3.5957484678252882E-2</c:v>
                </c:pt>
                <c:pt idx="1344">
                  <c:v>3.5954092192120868E-2</c:v>
                </c:pt>
                <c:pt idx="1345">
                  <c:v>3.5950667884403487E-2</c:v>
                </c:pt>
                <c:pt idx="1346">
                  <c:v>3.5947211754940867E-2</c:v>
                </c:pt>
                <c:pt idx="1347">
                  <c:v>3.5943723803812944E-2</c:v>
                </c:pt>
                <c:pt idx="1348">
                  <c:v>3.5939698608595805E-2</c:v>
                </c:pt>
                <c:pt idx="1349">
                  <c:v>3.5936652436561189E-2</c:v>
                </c:pt>
                <c:pt idx="1350">
                  <c:v>3.5932554506326042E-2</c:v>
                </c:pt>
                <c:pt idx="1351">
                  <c:v>3.5929453782888032E-2</c:v>
                </c:pt>
                <c:pt idx="1352">
                  <c:v>3.5925806723513531E-2</c:v>
                </c:pt>
                <c:pt idx="1353">
                  <c:v>3.5922127842553664E-2</c:v>
                </c:pt>
                <c:pt idx="1354">
                  <c:v>3.5917351094356675E-2</c:v>
                </c:pt>
                <c:pt idx="1355">
                  <c:v>3.5913060935328645E-2</c:v>
                </c:pt>
                <c:pt idx="1356">
                  <c:v>3.5910358479709359E-2</c:v>
                </c:pt>
                <c:pt idx="1357">
                  <c:v>3.5906547766124675E-2</c:v>
                </c:pt>
                <c:pt idx="1358">
                  <c:v>3.590270523103456E-2</c:v>
                </c:pt>
                <c:pt idx="1359">
                  <c:v>3.5898830874199206E-2</c:v>
                </c:pt>
                <c:pt idx="1360">
                  <c:v>3.5894924695778485E-2</c:v>
                </c:pt>
                <c:pt idx="1361">
                  <c:v>3.5890986695612526E-2</c:v>
                </c:pt>
                <c:pt idx="1362">
                  <c:v>3.5887016874021072E-2</c:v>
                </c:pt>
                <c:pt idx="1363">
                  <c:v>3.5883015230684379E-2</c:v>
                </c:pt>
                <c:pt idx="1364">
                  <c:v>3.5878981765682383E-2</c:v>
                </c:pt>
                <c:pt idx="1365">
                  <c:v>3.5874916479015084E-2</c:v>
                </c:pt>
                <c:pt idx="1366">
                  <c:v>3.5870819370762419E-2</c:v>
                </c:pt>
                <c:pt idx="1367">
                  <c:v>3.5866690440924387E-2</c:v>
                </c:pt>
                <c:pt idx="1368">
                  <c:v>3.5862529689421052E-2</c:v>
                </c:pt>
                <c:pt idx="1369">
                  <c:v>3.5858337116252414E-2</c:v>
                </c:pt>
                <c:pt idx="1370">
                  <c:v>3.5852899906769764E-2</c:v>
                </c:pt>
                <c:pt idx="1371">
                  <c:v>3.5849856504999167E-2</c:v>
                </c:pt>
                <c:pt idx="1372">
                  <c:v>3.584495329252313E-2</c:v>
                </c:pt>
                <c:pt idx="1373">
                  <c:v>3.5841248607484388E-2</c:v>
                </c:pt>
                <c:pt idx="1374">
                  <c:v>3.5836896926149109E-2</c:v>
                </c:pt>
                <c:pt idx="1375">
                  <c:v>3.5832513423308399E-2</c:v>
                </c:pt>
                <c:pt idx="1376">
                  <c:v>3.58274647404766E-2</c:v>
                </c:pt>
                <c:pt idx="1377">
                  <c:v>3.582365095263107E-2</c:v>
                </c:pt>
                <c:pt idx="1378">
                  <c:v>3.5819171984954323E-2</c:v>
                </c:pt>
                <c:pt idx="1379">
                  <c:v>3.5814661195452402E-2</c:v>
                </c:pt>
                <c:pt idx="1380">
                  <c:v>3.5810118584524986E-2</c:v>
                </c:pt>
                <c:pt idx="1381">
                  <c:v>3.5805544151852331E-2</c:v>
                </c:pt>
                <c:pt idx="1382">
                  <c:v>3.5800937897674245E-2</c:v>
                </c:pt>
                <c:pt idx="1383">
                  <c:v>3.5796299821910793E-2</c:v>
                </c:pt>
                <c:pt idx="1384">
                  <c:v>3.5791629924402102E-2</c:v>
                </c:pt>
                <c:pt idx="1385">
                  <c:v>3.5786928205467916E-2</c:v>
                </c:pt>
                <c:pt idx="1386">
                  <c:v>3.5782194664708555E-2</c:v>
                </c:pt>
                <c:pt idx="1387">
                  <c:v>3.57774293025237E-2</c:v>
                </c:pt>
                <c:pt idx="1388">
                  <c:v>3.5772632118593606E-2</c:v>
                </c:pt>
                <c:pt idx="1389">
                  <c:v>3.5767110657465295E-2</c:v>
                </c:pt>
                <c:pt idx="1390">
                  <c:v>3.5762942286057253E-2</c:v>
                </c:pt>
                <c:pt idx="1391">
                  <c:v>3.5758049637371059E-2</c:v>
                </c:pt>
                <c:pt idx="1392">
                  <c:v>3.5753125167099498E-2</c:v>
                </c:pt>
                <c:pt idx="1393">
                  <c:v>3.5748168875162634E-2</c:v>
                </c:pt>
                <c:pt idx="1394">
                  <c:v>3.5743180761720339E-2</c:v>
                </c:pt>
                <c:pt idx="1395">
                  <c:v>3.5738160826532805E-2</c:v>
                </c:pt>
                <c:pt idx="1396">
                  <c:v>3.5733109069919777E-2</c:v>
                </c:pt>
                <c:pt idx="1397">
                  <c:v>3.572802549156151E-2</c:v>
                </c:pt>
                <c:pt idx="1398">
                  <c:v>3.5722910091857685E-2</c:v>
                </c:pt>
                <c:pt idx="1399">
                  <c:v>3.5717762870328684E-2</c:v>
                </c:pt>
                <c:pt idx="1400">
                  <c:v>3.5711841366321551E-2</c:v>
                </c:pt>
                <c:pt idx="1401">
                  <c:v>3.5707372962594519E-2</c:v>
                </c:pt>
                <c:pt idx="1402">
                  <c:v>3.570213027646929E-2</c:v>
                </c:pt>
                <c:pt idx="1403">
                  <c:v>3.5696855768598823E-2</c:v>
                </c:pt>
                <c:pt idx="1404">
                  <c:v>3.5691549439142989E-2</c:v>
                </c:pt>
                <c:pt idx="1405">
                  <c:v>3.568621128826166E-2</c:v>
                </c:pt>
                <c:pt idx="1406">
                  <c:v>3.5679301193045632E-2</c:v>
                </c:pt>
                <c:pt idx="1407">
                  <c:v>3.5674665238945025E-2</c:v>
                </c:pt>
                <c:pt idx="1408">
                  <c:v>3.5670005905785729E-2</c:v>
                </c:pt>
                <c:pt idx="1409">
                  <c:v>3.5664540468482997E-2</c:v>
                </c:pt>
                <c:pt idx="1410">
                  <c:v>3.5659043209594898E-2</c:v>
                </c:pt>
                <c:pt idx="1411">
                  <c:v>3.5653514129121433E-2</c:v>
                </c:pt>
                <c:pt idx="1412">
                  <c:v>3.5647953227222473E-2</c:v>
                </c:pt>
                <c:pt idx="1413">
                  <c:v>3.5642360503498338E-2</c:v>
                </c:pt>
                <c:pt idx="1414">
                  <c:v>3.5636735958428645E-2</c:v>
                </c:pt>
                <c:pt idx="1415">
                  <c:v>3.5631079591613712E-2</c:v>
                </c:pt>
                <c:pt idx="1416">
                  <c:v>3.5625391403373285E-2</c:v>
                </c:pt>
                <c:pt idx="1417">
                  <c:v>3.5619671393467556E-2</c:v>
                </c:pt>
                <c:pt idx="1418">
                  <c:v>3.5613919561976459E-2</c:v>
                </c:pt>
                <c:pt idx="1419">
                  <c:v>3.5608135908979932E-2</c:v>
                </c:pt>
                <c:pt idx="1420">
                  <c:v>3.5602320434477974E-2</c:v>
                </c:pt>
                <c:pt idx="1421">
                  <c:v>3.5594796637452575E-2</c:v>
                </c:pt>
                <c:pt idx="1422">
                  <c:v>3.5590594020717958E-2</c:v>
                </c:pt>
                <c:pt idx="1423">
                  <c:v>3.5584683081379964E-2</c:v>
                </c:pt>
                <c:pt idx="1424">
                  <c:v>3.5577888757076792E-2</c:v>
                </c:pt>
                <c:pt idx="1425">
                  <c:v>3.5572765738347556E-2</c:v>
                </c:pt>
                <c:pt idx="1426">
                  <c:v>3.5566759334333398E-2</c:v>
                </c:pt>
                <c:pt idx="1427">
                  <c:v>3.5560721108893745E-2</c:v>
                </c:pt>
                <c:pt idx="1428">
                  <c:v>3.5553781314714428E-2</c:v>
                </c:pt>
                <c:pt idx="1429">
                  <c:v>3.5548549193258339E-2</c:v>
                </c:pt>
                <c:pt idx="1430">
                  <c:v>3.5542415503142522E-2</c:v>
                </c:pt>
                <c:pt idx="1431">
                  <c:v>3.5536249991521274E-2</c:v>
                </c:pt>
                <c:pt idx="1432">
                  <c:v>3.5530052658394595E-2</c:v>
                </c:pt>
                <c:pt idx="1433">
                  <c:v>3.552382350368255E-2</c:v>
                </c:pt>
                <c:pt idx="1434">
                  <c:v>3.551756252754501E-2</c:v>
                </c:pt>
                <c:pt idx="1435">
                  <c:v>3.5511269729582295E-2</c:v>
                </c:pt>
                <c:pt idx="1436">
                  <c:v>3.5504945110274022E-2</c:v>
                </c:pt>
                <c:pt idx="1437">
                  <c:v>3.5498588669460318E-2</c:v>
                </c:pt>
                <c:pt idx="1438">
                  <c:v>3.5492200407061247E-2</c:v>
                </c:pt>
                <c:pt idx="1439">
                  <c:v>3.548578032307681E-2</c:v>
                </c:pt>
                <c:pt idx="1440">
                  <c:v>3.5479328417666878E-2</c:v>
                </c:pt>
                <c:pt idx="1441">
                  <c:v>3.5471915846310154E-2</c:v>
                </c:pt>
                <c:pt idx="1442">
                  <c:v>3.5466329142170849E-2</c:v>
                </c:pt>
                <c:pt idx="1443">
                  <c:v>3.5459781772164689E-2</c:v>
                </c:pt>
                <c:pt idx="1444">
                  <c:v>3.5453202580493226E-2</c:v>
                </c:pt>
                <c:pt idx="1445">
                  <c:v>3.5446591567476204E-2</c:v>
                </c:pt>
                <c:pt idx="1446">
                  <c:v>3.5439948732873816E-2</c:v>
                </c:pt>
                <c:pt idx="1447">
                  <c:v>3.5433274076686061E-2</c:v>
                </c:pt>
                <c:pt idx="1448">
                  <c:v>3.5426567599152747E-2</c:v>
                </c:pt>
                <c:pt idx="1449">
                  <c:v>3.5419829299954131E-2</c:v>
                </c:pt>
                <c:pt idx="1450">
                  <c:v>3.5413059179250084E-2</c:v>
                </c:pt>
                <c:pt idx="1451">
                  <c:v>3.540625837996636E-2</c:v>
                </c:pt>
                <c:pt idx="1452">
                  <c:v>3.5398488865334699E-2</c:v>
                </c:pt>
                <c:pt idx="1453">
                  <c:v>3.5392675593470813E-2</c:v>
                </c:pt>
                <c:pt idx="1454">
                  <c:v>3.538590846229539E-2</c:v>
                </c:pt>
                <c:pt idx="1455">
                  <c:v>3.5379157506021386E-2</c:v>
                </c:pt>
                <c:pt idx="1456">
                  <c:v>3.5372422724408992E-2</c:v>
                </c:pt>
                <c:pt idx="1457">
                  <c:v>3.5365704117698016E-2</c:v>
                </c:pt>
                <c:pt idx="1458">
                  <c:v>3.535708967597806E-2</c:v>
                </c:pt>
                <c:pt idx="1459">
                  <c:v>3.5351361569269102E-2</c:v>
                </c:pt>
                <c:pt idx="1460">
                  <c:v>3.5345645346014365E-2</c:v>
                </c:pt>
                <c:pt idx="1461">
                  <c:v>3.5338991438269574E-2</c:v>
                </c:pt>
                <c:pt idx="1462">
                  <c:v>3.5332353705186392E-2</c:v>
                </c:pt>
                <c:pt idx="1463">
                  <c:v>3.5325732147084565E-2</c:v>
                </c:pt>
                <c:pt idx="1464">
                  <c:v>3.5319126763564412E-2</c:v>
                </c:pt>
                <c:pt idx="1465">
                  <c:v>3.5312537554865742E-2</c:v>
                </c:pt>
                <c:pt idx="1466">
                  <c:v>3.5305964520988553E-2</c:v>
                </c:pt>
                <c:pt idx="1467">
                  <c:v>3.5299407661772975E-2</c:v>
                </c:pt>
                <c:pt idx="1468">
                  <c:v>3.5292866977378878E-2</c:v>
                </c:pt>
                <c:pt idx="1469">
                  <c:v>3.5286342467726328E-2</c:v>
                </c:pt>
                <c:pt idx="1470">
                  <c:v>3.527983413289526E-2</c:v>
                </c:pt>
                <c:pt idx="1471">
                  <c:v>3.5271490040598152E-2</c:v>
                </c:pt>
                <c:pt idx="1472">
                  <c:v>3.5266865987297891E-2</c:v>
                </c:pt>
                <c:pt idx="1473">
                  <c:v>3.5260406176611525E-2</c:v>
                </c:pt>
                <c:pt idx="1474">
                  <c:v>3.5253962540666706E-2</c:v>
                </c:pt>
                <c:pt idx="1475">
                  <c:v>3.5247535079543368E-2</c:v>
                </c:pt>
                <c:pt idx="1476">
                  <c:v>3.5241123793081641E-2</c:v>
                </c:pt>
                <c:pt idx="1477">
                  <c:v>3.523381641445944E-2</c:v>
                </c:pt>
                <c:pt idx="1478">
                  <c:v>3.5228349744622633E-2</c:v>
                </c:pt>
                <c:pt idx="1479">
                  <c:v>3.5221986982385545E-2</c:v>
                </c:pt>
                <c:pt idx="1480">
                  <c:v>3.5214735059962976E-2</c:v>
                </c:pt>
                <c:pt idx="1481">
                  <c:v>3.5209309982295878E-2</c:v>
                </c:pt>
                <c:pt idx="1482">
                  <c:v>3.5202995744363363E-2</c:v>
                </c:pt>
                <c:pt idx="1483">
                  <c:v>3.5196697681252331E-2</c:v>
                </c:pt>
                <c:pt idx="1484">
                  <c:v>3.5190415792722973E-2</c:v>
                </c:pt>
                <c:pt idx="1485">
                  <c:v>3.5184150079015097E-2</c:v>
                </c:pt>
                <c:pt idx="1486">
                  <c:v>3.5177900540048768E-2</c:v>
                </c:pt>
                <c:pt idx="1487">
                  <c:v>3.5171667175823984E-2</c:v>
                </c:pt>
                <c:pt idx="1488">
                  <c:v>3.5165449986340747E-2</c:v>
                </c:pt>
                <c:pt idx="1489">
                  <c:v>3.5159248971599055E-2</c:v>
                </c:pt>
                <c:pt idx="1490">
                  <c:v>3.5153064131678846E-2</c:v>
                </c:pt>
                <c:pt idx="1491">
                  <c:v>3.5146895466340311E-2</c:v>
                </c:pt>
                <c:pt idx="1492">
                  <c:v>3.5140742975823258E-2</c:v>
                </c:pt>
                <c:pt idx="1493">
                  <c:v>3.5133731363732323E-2</c:v>
                </c:pt>
                <c:pt idx="1494">
                  <c:v>3.5128486518933855E-2</c:v>
                </c:pt>
                <c:pt idx="1495">
                  <c:v>3.5122382552561504E-2</c:v>
                </c:pt>
                <c:pt idx="1496">
                  <c:v>3.51162947609307E-2</c:v>
                </c:pt>
                <c:pt idx="1497">
                  <c:v>3.5110223144121377E-2</c:v>
                </c:pt>
                <c:pt idx="1498">
                  <c:v>3.5104167701973665E-2</c:v>
                </c:pt>
                <c:pt idx="1499">
                  <c:v>3.5098128434567499E-2</c:v>
                </c:pt>
                <c:pt idx="1500">
                  <c:v>3.5092105341822943E-2</c:v>
                </c:pt>
                <c:pt idx="1501">
                  <c:v>3.508609842389987E-2</c:v>
                </c:pt>
                <c:pt idx="1502">
                  <c:v>3.5080107680638406E-2</c:v>
                </c:pt>
                <c:pt idx="1503">
                  <c:v>3.5074133112118488E-2</c:v>
                </c:pt>
                <c:pt idx="1504">
                  <c:v>3.5068174718420053E-2</c:v>
                </c:pt>
                <c:pt idx="1505">
                  <c:v>3.5062232499303292E-2</c:v>
                </c:pt>
                <c:pt idx="1506">
                  <c:v>3.5056306455008013E-2</c:v>
                </c:pt>
                <c:pt idx="1507">
                  <c:v>3.5050396585374344E-2</c:v>
                </c:pt>
                <c:pt idx="1508">
                  <c:v>3.5044502890562157E-2</c:v>
                </c:pt>
                <c:pt idx="1509">
                  <c:v>3.5038625370331644E-2</c:v>
                </c:pt>
                <c:pt idx="1510">
                  <c:v>3.5031092325663593E-2</c:v>
                </c:pt>
                <c:pt idx="1511">
                  <c:v>3.5025251776339417E-2</c:v>
                </c:pt>
                <c:pt idx="1512">
                  <c:v>3.5020258464815157E-2</c:v>
                </c:pt>
                <c:pt idx="1513">
                  <c:v>3.5014447954262451E-2</c:v>
                </c:pt>
                <c:pt idx="1514">
                  <c:v>3.5007827176416484E-2</c:v>
                </c:pt>
                <c:pt idx="1515">
                  <c:v>3.5002875457141869E-2</c:v>
                </c:pt>
                <c:pt idx="1516">
                  <c:v>3.4997113470653929E-2</c:v>
                </c:pt>
                <c:pt idx="1517">
                  <c:v>3.4991367658987471E-2</c:v>
                </c:pt>
                <c:pt idx="1518">
                  <c:v>3.4984820822794305E-2</c:v>
                </c:pt>
                <c:pt idx="1519">
                  <c:v>3.4979924559639386E-2</c:v>
                </c:pt>
                <c:pt idx="1520">
                  <c:v>3.4974227272037695E-2</c:v>
                </c:pt>
                <c:pt idx="1521">
                  <c:v>3.4968546159097613E-2</c:v>
                </c:pt>
                <c:pt idx="1522">
                  <c:v>3.4962881220899078E-2</c:v>
                </c:pt>
                <c:pt idx="1523">
                  <c:v>3.4957232457442089E-2</c:v>
                </c:pt>
                <c:pt idx="1524">
                  <c:v>3.495159986864671E-2</c:v>
                </c:pt>
                <c:pt idx="1525">
                  <c:v>3.4945983454672813E-2</c:v>
                </c:pt>
                <c:pt idx="1526">
                  <c:v>3.4941379014483687E-2</c:v>
                </c:pt>
                <c:pt idx="1527">
                  <c:v>3.493479915070985E-2</c:v>
                </c:pt>
                <c:pt idx="1528">
                  <c:v>3.4929231260640847E-2</c:v>
                </c:pt>
                <c:pt idx="1529">
                  <c:v>3.4922887763793042E-2</c:v>
                </c:pt>
                <c:pt idx="1530">
                  <c:v>3.4918144004967289E-2</c:v>
                </c:pt>
                <c:pt idx="1531">
                  <c:v>3.4912624639202861E-2</c:v>
                </c:pt>
                <c:pt idx="1532">
                  <c:v>3.4906336598234944E-2</c:v>
                </c:pt>
                <c:pt idx="1533">
                  <c:v>3.4901634431658835E-2</c:v>
                </c:pt>
                <c:pt idx="1534">
                  <c:v>3.4896163589959173E-2</c:v>
                </c:pt>
                <c:pt idx="1535">
                  <c:v>3.4890708922921121E-2</c:v>
                </c:pt>
                <c:pt idx="1536">
                  <c:v>3.4885270430544679E-2</c:v>
                </c:pt>
                <c:pt idx="1537">
                  <c:v>3.487984811298972E-2</c:v>
                </c:pt>
                <c:pt idx="1538">
                  <c:v>3.4874441970176306E-2</c:v>
                </c:pt>
                <c:pt idx="1539">
                  <c:v>3.4869052001944567E-2</c:v>
                </c:pt>
                <c:pt idx="1540">
                  <c:v>3.4863678208374438E-2</c:v>
                </c:pt>
                <c:pt idx="1541">
                  <c:v>3.4858320589705727E-2</c:v>
                </c:pt>
                <c:pt idx="1542">
                  <c:v>3.4852979145538754E-2</c:v>
                </c:pt>
                <c:pt idx="1543">
                  <c:v>3.4847653876113327E-2</c:v>
                </c:pt>
                <c:pt idx="1544">
                  <c:v>3.484234478134951E-2</c:v>
                </c:pt>
                <c:pt idx="1545">
                  <c:v>3.4836297050233611E-2</c:v>
                </c:pt>
                <c:pt idx="1546">
                  <c:v>3.4831022615584573E-2</c:v>
                </c:pt>
                <c:pt idx="1547">
                  <c:v>3.4826514545427401E-2</c:v>
                </c:pt>
                <c:pt idx="1548">
                  <c:v>3.482127014938996E-2</c:v>
                </c:pt>
                <c:pt idx="1549">
                  <c:v>3.4816041928094066E-2</c:v>
                </c:pt>
                <c:pt idx="1550">
                  <c:v>3.4810829881539718E-2</c:v>
                </c:pt>
                <c:pt idx="1551">
                  <c:v>3.4805634009726916E-2</c:v>
                </c:pt>
                <c:pt idx="1552">
                  <c:v>3.4799715676063769E-2</c:v>
                </c:pt>
                <c:pt idx="1553">
                  <c:v>3.4795290790006206E-2</c:v>
                </c:pt>
                <c:pt idx="1554">
                  <c:v>3.4790143442178234E-2</c:v>
                </c:pt>
                <c:pt idx="1555">
                  <c:v>3.4785012269011872E-2</c:v>
                </c:pt>
                <c:pt idx="1556">
                  <c:v>3.4779897270587057E-2</c:v>
                </c:pt>
                <c:pt idx="1557">
                  <c:v>3.4774798446823851E-2</c:v>
                </c:pt>
                <c:pt idx="1558">
                  <c:v>3.4769715797802192E-2</c:v>
                </c:pt>
                <c:pt idx="1559">
                  <c:v>3.4764649323442143E-2</c:v>
                </c:pt>
                <c:pt idx="1560">
                  <c:v>3.4759599023743704E-2</c:v>
                </c:pt>
                <c:pt idx="1561">
                  <c:v>3.4754564898706874E-2</c:v>
                </c:pt>
                <c:pt idx="1562">
                  <c:v>3.475482515006334E-2</c:v>
                </c:pt>
                <c:pt idx="1563">
                  <c:v>3.4740982378718144E-2</c:v>
                </c:pt>
                <c:pt idx="1564">
                  <c:v>3.4740779968496227E-2</c:v>
                </c:pt>
                <c:pt idx="1565">
                  <c:v>3.4735816516526796E-2</c:v>
                </c:pt>
                <c:pt idx="1566">
                  <c:v>3.4730869242496354E-2</c:v>
                </c:pt>
                <c:pt idx="1567">
                  <c:v>3.4725938146431545E-2</c:v>
                </c:pt>
                <c:pt idx="1568">
                  <c:v>3.4721023228305725E-2</c:v>
                </c:pt>
                <c:pt idx="1569">
                  <c:v>3.4716124488065603E-2</c:v>
                </c:pt>
                <c:pt idx="1570">
                  <c:v>3.4711241925791114E-2</c:v>
                </c:pt>
                <c:pt idx="1571">
                  <c:v>3.4706375541428969E-2</c:v>
                </c:pt>
                <c:pt idx="1572">
                  <c:v>3.4701525334979166E-2</c:v>
                </c:pt>
                <c:pt idx="1573">
                  <c:v>3.4696691306494998E-2</c:v>
                </c:pt>
                <c:pt idx="1574">
                  <c:v>3.4691873455869882E-2</c:v>
                </c:pt>
                <c:pt idx="1575">
                  <c:v>3.4687071783210399E-2</c:v>
                </c:pt>
                <c:pt idx="1576">
                  <c:v>3.4676899854551024E-2</c:v>
                </c:pt>
                <c:pt idx="1577">
                  <c:v>3.4672817607530604E-2</c:v>
                </c:pt>
                <c:pt idx="1578">
                  <c:v>3.4668070005299256E-2</c:v>
                </c:pt>
                <c:pt idx="1579">
                  <c:v>3.4663338577809455E-2</c:v>
                </c:pt>
                <c:pt idx="1580">
                  <c:v>3.4657951037875279E-2</c:v>
                </c:pt>
                <c:pt idx="1581">
                  <c:v>3.4653924246814682E-2</c:v>
                </c:pt>
                <c:pt idx="1582">
                  <c:v>3.4649241343389647E-2</c:v>
                </c:pt>
                <c:pt idx="1583">
                  <c:v>3.4643909259415295E-2</c:v>
                </c:pt>
                <c:pt idx="1584">
                  <c:v>3.4639924060364535E-2</c:v>
                </c:pt>
                <c:pt idx="1585">
                  <c:v>3.4635289680844394E-2</c:v>
                </c:pt>
                <c:pt idx="1586">
                  <c:v>3.46306714760658E-2</c:v>
                </c:pt>
                <c:pt idx="1587">
                  <c:v>3.4626069445948815E-2</c:v>
                </c:pt>
                <c:pt idx="1588">
                  <c:v>3.4621483590413504E-2</c:v>
                </c:pt>
                <c:pt idx="1589">
                  <c:v>3.4616913909699676E-2</c:v>
                </c:pt>
                <c:pt idx="1590">
                  <c:v>3.4612360403407649E-2</c:v>
                </c:pt>
                <c:pt idx="1591">
                  <c:v>3.4607823072017041E-2</c:v>
                </c:pt>
                <c:pt idx="1592">
                  <c:v>3.4603301915048235E-2</c:v>
                </c:pt>
                <c:pt idx="1593">
                  <c:v>3.459879693290091E-2</c:v>
                </c:pt>
                <c:pt idx="1594">
                  <c:v>3.4594308125415196E-2</c:v>
                </c:pt>
                <c:pt idx="1595">
                  <c:v>3.4589835492591092E-2</c:v>
                </c:pt>
                <c:pt idx="1596">
                  <c:v>3.4585379034428598E-2</c:v>
                </c:pt>
                <c:pt idx="1597">
                  <c:v>3.4580305744960071E-2</c:v>
                </c:pt>
                <c:pt idx="1598">
                  <c:v>3.4576514642008505E-2</c:v>
                </c:pt>
                <c:pt idx="1599">
                  <c:v>3.4572106707830841E-2</c:v>
                </c:pt>
                <c:pt idx="1600">
                  <c:v>3.4567714948154915E-2</c:v>
                </c:pt>
                <c:pt idx="1601">
                  <c:v>3.4563339363300472E-2</c:v>
                </c:pt>
                <c:pt idx="1602">
                  <c:v>3.4558979953027702E-2</c:v>
                </c:pt>
                <c:pt idx="1603">
                  <c:v>3.4554636717496479E-2</c:v>
                </c:pt>
                <c:pt idx="1604">
                  <c:v>3.4550309656546929E-2</c:v>
                </c:pt>
                <c:pt idx="1605">
                  <c:v>3.454599877025899E-2</c:v>
                </c:pt>
                <c:pt idx="1606">
                  <c:v>3.4541704058712597E-2</c:v>
                </c:pt>
                <c:pt idx="1607">
                  <c:v>3.4537425521747878E-2</c:v>
                </c:pt>
                <c:pt idx="1608">
                  <c:v>3.4533163159364832E-2</c:v>
                </c:pt>
                <c:pt idx="1609">
                  <c:v>3.4528916971723334E-2</c:v>
                </c:pt>
                <c:pt idx="1610">
                  <c:v>3.4524083991547272E-2</c:v>
                </c:pt>
                <c:pt idx="1611">
                  <c:v>3.452047312034523E-2</c:v>
                </c:pt>
                <c:pt idx="1612">
                  <c:v>3.4516275456608625E-2</c:v>
                </c:pt>
                <c:pt idx="1613">
                  <c:v>3.451209396753363E-2</c:v>
                </c:pt>
                <c:pt idx="1614">
                  <c:v>3.4506741534157115E-2</c:v>
                </c:pt>
                <c:pt idx="1615">
                  <c:v>3.45031880994906E-2</c:v>
                </c:pt>
                <c:pt idx="1616">
                  <c:v>3.4499646548278307E-2</c:v>
                </c:pt>
                <c:pt idx="1617">
                  <c:v>3.4495529757849752E-2</c:v>
                </c:pt>
                <c:pt idx="1618">
                  <c:v>3.4491429142002872E-2</c:v>
                </c:pt>
                <c:pt idx="1619">
                  <c:v>3.4487344700817602E-2</c:v>
                </c:pt>
                <c:pt idx="1620">
                  <c:v>3.4483276434293941E-2</c:v>
                </c:pt>
                <c:pt idx="1621">
                  <c:v>3.4479224342431891E-2</c:v>
                </c:pt>
                <c:pt idx="1622">
                  <c:v>3.4475188425231451E-2</c:v>
                </c:pt>
                <c:pt idx="1623">
                  <c:v>3.4471168682612685E-2</c:v>
                </c:pt>
                <c:pt idx="1624">
                  <c:v>3.4467165114655529E-2</c:v>
                </c:pt>
                <c:pt idx="1625">
                  <c:v>3.4463177721439919E-2</c:v>
                </c:pt>
                <c:pt idx="1626">
                  <c:v>3.4459206502726047E-2</c:v>
                </c:pt>
                <c:pt idx="1627">
                  <c:v>3.4455251458673786E-2</c:v>
                </c:pt>
                <c:pt idx="1628">
                  <c:v>3.445131258936307E-2</c:v>
                </c:pt>
                <c:pt idx="1629">
                  <c:v>3.4447389894634028E-2</c:v>
                </c:pt>
                <c:pt idx="1630">
                  <c:v>3.4443483374566597E-2</c:v>
                </c:pt>
                <c:pt idx="1631">
                  <c:v>3.4438484472714137E-2</c:v>
                </c:pt>
                <c:pt idx="1632">
                  <c:v>3.4435166725756972E-2</c:v>
                </c:pt>
                <c:pt idx="1633">
                  <c:v>3.4431860862094155E-2</c:v>
                </c:pt>
                <c:pt idx="1634">
                  <c:v>3.4428019040673163E-2</c:v>
                </c:pt>
                <c:pt idx="1635">
                  <c:v>3.4424193393673974E-2</c:v>
                </c:pt>
                <c:pt idx="1636">
                  <c:v>3.4419841031523291E-2</c:v>
                </c:pt>
                <c:pt idx="1637">
                  <c:v>3.4416590623820298E-2</c:v>
                </c:pt>
                <c:pt idx="1638">
                  <c:v>3.4412813500885875E-2</c:v>
                </c:pt>
                <c:pt idx="1639">
                  <c:v>3.4409052552533126E-2</c:v>
                </c:pt>
                <c:pt idx="1640">
                  <c:v>3.4405307778841987E-2</c:v>
                </c:pt>
                <c:pt idx="1641">
                  <c:v>3.4401579179732522E-2</c:v>
                </c:pt>
                <c:pt idx="1642">
                  <c:v>3.4397866755284667E-2</c:v>
                </c:pt>
                <c:pt idx="1643">
                  <c:v>3.4394170505578359E-2</c:v>
                </c:pt>
                <c:pt idx="1644">
                  <c:v>3.4390490430373788E-2</c:v>
                </c:pt>
                <c:pt idx="1645">
                  <c:v>3.4386826529910763E-2</c:v>
                </c:pt>
                <c:pt idx="1646">
                  <c:v>3.4383178803949477E-2</c:v>
                </c:pt>
                <c:pt idx="1647">
                  <c:v>3.43795472526498E-2</c:v>
                </c:pt>
                <c:pt idx="1648">
                  <c:v>3.4375931876011734E-2</c:v>
                </c:pt>
                <c:pt idx="1649">
                  <c:v>3.4371819822673899E-2</c:v>
                </c:pt>
                <c:pt idx="1650">
                  <c:v>3.4368749646640495E-2</c:v>
                </c:pt>
                <c:pt idx="1651">
                  <c:v>3.4365182793827387E-2</c:v>
                </c:pt>
                <c:pt idx="1652">
                  <c:v>3.4361632115835761E-2</c:v>
                </c:pt>
                <c:pt idx="1653">
                  <c:v>3.4358097612265937E-2</c:v>
                </c:pt>
                <c:pt idx="1654">
                  <c:v>3.4354579283517594E-2</c:v>
                </c:pt>
                <c:pt idx="1655">
                  <c:v>3.4351077129191054E-2</c:v>
                </c:pt>
                <c:pt idx="1656">
                  <c:v>3.434759114960606E-2</c:v>
                </c:pt>
                <c:pt idx="1657">
                  <c:v>3.4344121344682677E-2</c:v>
                </c:pt>
                <c:pt idx="1658">
                  <c:v>3.4340667714261031E-2</c:v>
                </c:pt>
                <c:pt idx="1659">
                  <c:v>3.4337230258580931E-2</c:v>
                </c:pt>
                <c:pt idx="1660">
                  <c:v>3.4333321543469353E-2</c:v>
                </c:pt>
                <c:pt idx="1661">
                  <c:v>3.4330403871045689E-2</c:v>
                </c:pt>
                <c:pt idx="1662">
                  <c:v>3.4326532126440767E-2</c:v>
                </c:pt>
                <c:pt idx="1663">
                  <c:v>3.4323642182076952E-2</c:v>
                </c:pt>
                <c:pt idx="1664">
                  <c:v>3.4320285599385159E-2</c:v>
                </c:pt>
                <c:pt idx="1665">
                  <c:v>3.4316945191354975E-2</c:v>
                </c:pt>
                <c:pt idx="1666">
                  <c:v>3.4312674147916056E-2</c:v>
                </c:pt>
                <c:pt idx="1667">
                  <c:v>3.4308900111312823E-2</c:v>
                </c:pt>
                <c:pt idx="1668">
                  <c:v>3.4306552066514229E-2</c:v>
                </c:pt>
                <c:pt idx="1669">
                  <c:v>3.4303278667682235E-2</c:v>
                </c:pt>
                <c:pt idx="1670">
                  <c:v>3.4300021443431916E-2</c:v>
                </c:pt>
                <c:pt idx="1671">
                  <c:v>3.4296780393923143E-2</c:v>
                </c:pt>
                <c:pt idx="1672">
                  <c:v>3.4293555518916108E-2</c:v>
                </c:pt>
                <c:pt idx="1673">
                  <c:v>3.4290346818570683E-2</c:v>
                </c:pt>
                <c:pt idx="1674">
                  <c:v>3.4287154292886868E-2</c:v>
                </c:pt>
                <c:pt idx="1675">
                  <c:v>3.4283977941864663E-2</c:v>
                </c:pt>
                <c:pt idx="1676">
                  <c:v>3.4280817765344196E-2</c:v>
                </c:pt>
                <c:pt idx="1677">
                  <c:v>3.4277673763485339E-2</c:v>
                </c:pt>
                <c:pt idx="1678">
                  <c:v>3.4274545936288092E-2</c:v>
                </c:pt>
                <c:pt idx="1679">
                  <c:v>3.4271434283672519E-2</c:v>
                </c:pt>
                <c:pt idx="1680">
                  <c:v>3.4268338805638621E-2</c:v>
                </c:pt>
                <c:pt idx="1681">
                  <c:v>3.4264382672057891E-2</c:v>
                </c:pt>
                <c:pt idx="1682">
                  <c:v>3.4262196373475717E-2</c:v>
                </c:pt>
                <c:pt idx="1683">
                  <c:v>3.4259149419346713E-2</c:v>
                </c:pt>
                <c:pt idx="1684">
                  <c:v>3.4255686991642165E-2</c:v>
                </c:pt>
                <c:pt idx="1685">
                  <c:v>3.4253104034833726E-2</c:v>
                </c:pt>
                <c:pt idx="1686">
                  <c:v>3.4250105604529679E-2</c:v>
                </c:pt>
                <c:pt idx="1687">
                  <c:v>3.4247123348887243E-2</c:v>
                </c:pt>
                <c:pt idx="1688">
                  <c:v>3.4243734862275943E-2</c:v>
                </c:pt>
                <c:pt idx="1689">
                  <c:v>3.4241207361347392E-2</c:v>
                </c:pt>
                <c:pt idx="1690">
                  <c:v>3.4238273629529914E-2</c:v>
                </c:pt>
                <c:pt idx="1691">
                  <c:v>3.4235356072214174E-2</c:v>
                </c:pt>
                <c:pt idx="1692">
                  <c:v>3.4232454689560043E-2</c:v>
                </c:pt>
                <c:pt idx="1693">
                  <c:v>3.4229569481567523E-2</c:v>
                </c:pt>
                <c:pt idx="1694">
                  <c:v>3.4226700448156677E-2</c:v>
                </c:pt>
                <c:pt idx="1695">
                  <c:v>3.4223847589487377E-2</c:v>
                </c:pt>
                <c:pt idx="1696">
                  <c:v>3.4221010905239879E-2</c:v>
                </c:pt>
                <c:pt idx="1697">
                  <c:v>3.4218190395733927E-2</c:v>
                </c:pt>
                <c:pt idx="1698">
                  <c:v>3.4215386060649777E-2</c:v>
                </c:pt>
                <c:pt idx="1699">
                  <c:v>3.4212597900307173E-2</c:v>
                </c:pt>
                <c:pt idx="1700">
                  <c:v>3.4209825914546244E-2</c:v>
                </c:pt>
                <c:pt idx="1701">
                  <c:v>3.4206677736507984E-2</c:v>
                </c:pt>
                <c:pt idx="1702">
                  <c:v>3.4204330467009214E-2</c:v>
                </c:pt>
                <c:pt idx="1703">
                  <c:v>3.4201607004993306E-2</c:v>
                </c:pt>
                <c:pt idx="1704">
                  <c:v>3.4198899717798881E-2</c:v>
                </c:pt>
                <c:pt idx="1705">
                  <c:v>3.4196208604946321E-2</c:v>
                </c:pt>
                <c:pt idx="1706">
                  <c:v>3.4193533666995179E-2</c:v>
                </c:pt>
                <c:pt idx="1707">
                  <c:v>3.4190874903385904E-2</c:v>
                </c:pt>
                <c:pt idx="1708">
                  <c:v>3.418823231459811E-2</c:v>
                </c:pt>
                <c:pt idx="1709">
                  <c:v>3.4185605900312055E-2</c:v>
                </c:pt>
                <c:pt idx="1710">
                  <c:v>3.418299566068761E-2</c:v>
                </c:pt>
                <c:pt idx="1711">
                  <c:v>3.4180396290528492E-2</c:v>
                </c:pt>
                <c:pt idx="1712">
                  <c:v>3.417741596758006E-2</c:v>
                </c:pt>
                <c:pt idx="1713">
                  <c:v>3.4175172673469589E-2</c:v>
                </c:pt>
                <c:pt idx="1714">
                  <c:v>3.4172546773971746E-2</c:v>
                </c:pt>
                <c:pt idx="1715">
                  <c:v>3.4169911480628201E-2</c:v>
                </c:pt>
                <c:pt idx="1716">
                  <c:v>3.4167266793279083E-2</c:v>
                </c:pt>
                <c:pt idx="1717">
                  <c:v>3.4164612712084264E-2</c:v>
                </c:pt>
                <c:pt idx="1718">
                  <c:v>3.4161186518675279E-2</c:v>
                </c:pt>
                <c:pt idx="1719">
                  <c:v>3.4158893762770148E-2</c:v>
                </c:pt>
                <c:pt idx="1720">
                  <c:v>3.4156594105105853E-2</c:v>
                </c:pt>
                <c:pt idx="1721">
                  <c:v>3.415390244828842E-2</c:v>
                </c:pt>
                <c:pt idx="1722">
                  <c:v>3.415120139754535E-2</c:v>
                </c:pt>
                <c:pt idx="1723">
                  <c:v>3.4148490952796706E-2</c:v>
                </c:pt>
                <c:pt idx="1724">
                  <c:v>3.4145771114282297E-2</c:v>
                </c:pt>
                <c:pt idx="1725">
                  <c:v>3.4143041881762315E-2</c:v>
                </c:pt>
                <c:pt idx="1726">
                  <c:v>3.4140303255396631E-2</c:v>
                </c:pt>
                <c:pt idx="1727">
                  <c:v>3.4137555235025374E-2</c:v>
                </c:pt>
                <c:pt idx="1728">
                  <c:v>3.4134797820888352E-2</c:v>
                </c:pt>
                <c:pt idx="1729">
                  <c:v>3.4132031012745756E-2</c:v>
                </c:pt>
                <c:pt idx="1730">
                  <c:v>3.4129254810757459E-2</c:v>
                </c:pt>
                <c:pt idx="1731">
                  <c:v>3.4126469214843524E-2</c:v>
                </c:pt>
                <c:pt idx="1732">
                  <c:v>3.4122873931012876E-2</c:v>
                </c:pt>
                <c:pt idx="1733">
                  <c:v>3.4120869841238743E-2</c:v>
                </c:pt>
                <c:pt idx="1734">
                  <c:v>3.4118056063467961E-2</c:v>
                </c:pt>
                <c:pt idx="1735">
                  <c:v>3.4115232891931413E-2</c:v>
                </c:pt>
                <c:pt idx="1736">
                  <c:v>3.4112400326389292E-2</c:v>
                </c:pt>
                <c:pt idx="1737">
                  <c:v>3.4109151605976606E-2</c:v>
                </c:pt>
                <c:pt idx="1738">
                  <c:v>3.4106707013767945E-2</c:v>
                </c:pt>
                <c:pt idx="1739">
                  <c:v>3.4103846266528848E-2</c:v>
                </c:pt>
                <c:pt idx="1740">
                  <c:v>3.4100565338439637E-2</c:v>
                </c:pt>
                <c:pt idx="1741">
                  <c:v>3.4098096590353677E-2</c:v>
                </c:pt>
                <c:pt idx="1742">
                  <c:v>3.409520766149754E-2</c:v>
                </c:pt>
                <c:pt idx="1743">
                  <c:v>3.4092309338555893E-2</c:v>
                </c:pt>
                <c:pt idx="1744">
                  <c:v>3.4089401621928417E-2</c:v>
                </c:pt>
                <c:pt idx="1745">
                  <c:v>3.4086484511215431E-2</c:v>
                </c:pt>
                <c:pt idx="1746">
                  <c:v>3.4083558006576808E-2</c:v>
                </c:pt>
                <c:pt idx="1747">
                  <c:v>3.4080622108092484E-2</c:v>
                </c:pt>
                <c:pt idx="1748">
                  <c:v>3.4077676815762459E-2</c:v>
                </c:pt>
                <c:pt idx="1749">
                  <c:v>3.4074722129506796E-2</c:v>
                </c:pt>
                <c:pt idx="1750">
                  <c:v>3.407175804924556E-2</c:v>
                </c:pt>
                <c:pt idx="1751">
                  <c:v>3.4068784575218558E-2</c:v>
                </c:pt>
                <c:pt idx="1752">
                  <c:v>3.4065801707185983E-2</c:v>
                </c:pt>
                <c:pt idx="1753">
                  <c:v>3.4062381212418558E-2</c:v>
                </c:pt>
                <c:pt idx="1754">
                  <c:v>3.4059807789503793E-2</c:v>
                </c:pt>
                <c:pt idx="1755">
                  <c:v>3.4056796739694306E-2</c:v>
                </c:pt>
                <c:pt idx="1756">
                  <c:v>3.405377629619899E-2</c:v>
                </c:pt>
                <c:pt idx="1757">
                  <c:v>3.40507464586981E-2</c:v>
                </c:pt>
                <c:pt idx="1758">
                  <c:v>3.4047707227191637E-2</c:v>
                </c:pt>
                <c:pt idx="1759">
                  <c:v>3.4044658601919409E-2</c:v>
                </c:pt>
                <c:pt idx="1760">
                  <c:v>3.4041600582641607E-2</c:v>
                </c:pt>
                <c:pt idx="1761">
                  <c:v>3.403853316959804E-2</c:v>
                </c:pt>
                <c:pt idx="1762">
                  <c:v>3.4035456362468963E-2</c:v>
                </c:pt>
                <c:pt idx="1763">
                  <c:v>3.4032370161574121E-2</c:v>
                </c:pt>
                <c:pt idx="1764">
                  <c:v>3.4029274566673706E-2</c:v>
                </c:pt>
                <c:pt idx="1765">
                  <c:v>3.402616957792759E-2</c:v>
                </c:pt>
                <c:pt idx="1766">
                  <c:v>3.4023055195255836E-2</c:v>
                </c:pt>
                <c:pt idx="1767">
                  <c:v>3.4019931418818317E-2</c:v>
                </c:pt>
                <c:pt idx="1768">
                  <c:v>3.4016798248295288E-2</c:v>
                </c:pt>
                <c:pt idx="1769">
                  <c:v>3.4013655684006494E-2</c:v>
                </c:pt>
                <c:pt idx="1770">
                  <c:v>3.4009601440825321E-2</c:v>
                </c:pt>
                <c:pt idx="1771">
                  <c:v>3.4006437404672241E-2</c:v>
                </c:pt>
                <c:pt idx="1772">
                  <c:v>3.4003717896933239E-2</c:v>
                </c:pt>
                <c:pt idx="1773">
                  <c:v>3.4000536415055294E-2</c:v>
                </c:pt>
                <c:pt idx="1774">
                  <c:v>3.3996888932898983E-2</c:v>
                </c:pt>
                <c:pt idx="1775">
                  <c:v>3.3994145269442555E-2</c:v>
                </c:pt>
                <c:pt idx="1776">
                  <c:v>3.3990935605867634E-2</c:v>
                </c:pt>
                <c:pt idx="1777">
                  <c:v>3.3987716548287139E-2</c:v>
                </c:pt>
                <c:pt idx="1778">
                  <c:v>3.3984026122642064E-2</c:v>
                </c:pt>
                <c:pt idx="1779">
                  <c:v>3.398125025150911E-2</c:v>
                </c:pt>
                <c:pt idx="1780">
                  <c:v>3.3978003012311575E-2</c:v>
                </c:pt>
                <c:pt idx="1781">
                  <c:v>3.3974746379108467E-2</c:v>
                </c:pt>
                <c:pt idx="1782">
                  <c:v>3.3971480352059658E-2</c:v>
                </c:pt>
                <c:pt idx="1783">
                  <c:v>3.3968204931245083E-2</c:v>
                </c:pt>
                <c:pt idx="1784">
                  <c:v>3.3964920116344999E-2</c:v>
                </c:pt>
                <c:pt idx="1785">
                  <c:v>3.3961625907679149E-2</c:v>
                </c:pt>
                <c:pt idx="1786">
                  <c:v>3.3958322305087663E-2</c:v>
                </c:pt>
                <c:pt idx="1787">
                  <c:v>3.3956788964086826E-2</c:v>
                </c:pt>
                <c:pt idx="1788">
                  <c:v>3.3951686918127777E-2</c:v>
                </c:pt>
                <c:pt idx="1789">
                  <c:v>3.3947878397828646E-2</c:v>
                </c:pt>
                <c:pt idx="1790">
                  <c:v>3.3945013955625214E-2</c:v>
                </c:pt>
                <c:pt idx="1791">
                  <c:v>3.3941663383485476E-2</c:v>
                </c:pt>
                <c:pt idx="1792">
                  <c:v>3.3937822655669692E-2</c:v>
                </c:pt>
                <c:pt idx="1793">
                  <c:v>3.3934934057668897E-2</c:v>
                </c:pt>
                <c:pt idx="1794">
                  <c:v>3.393155530391212E-2</c:v>
                </c:pt>
                <c:pt idx="1795">
                  <c:v>3.3928167156149769E-2</c:v>
                </c:pt>
                <c:pt idx="1796">
                  <c:v>3.3924769614701589E-2</c:v>
                </c:pt>
                <c:pt idx="1797">
                  <c:v>3.3921362679167899E-2</c:v>
                </c:pt>
                <c:pt idx="1798">
                  <c:v>3.3917946349788508E-2</c:v>
                </c:pt>
                <c:pt idx="1799">
                  <c:v>3.3914520626563416E-2</c:v>
                </c:pt>
                <c:pt idx="1800">
                  <c:v>3.3911085509492622E-2</c:v>
                </c:pt>
                <c:pt idx="1801">
                  <c:v>3.3907640998336319E-2</c:v>
                </c:pt>
                <c:pt idx="1802">
                  <c:v>3.3904187093414251E-2</c:v>
                </c:pt>
                <c:pt idx="1803">
                  <c:v>3.3900723794646481E-2</c:v>
                </c:pt>
                <c:pt idx="1804">
                  <c:v>3.3897251101953074E-2</c:v>
                </c:pt>
                <c:pt idx="1805">
                  <c:v>3.3893270807539011E-2</c:v>
                </c:pt>
                <c:pt idx="1806">
                  <c:v>3.3889777985027791E-2</c:v>
                </c:pt>
                <c:pt idx="1807">
                  <c:v>3.3886776660478901E-2</c:v>
                </c:pt>
                <c:pt idx="1808">
                  <c:v>3.3883266392242817E-2</c:v>
                </c:pt>
                <c:pt idx="1809">
                  <c:v>3.3879746730001159E-2</c:v>
                </c:pt>
                <c:pt idx="1810">
                  <c:v>3.3876217673993736E-2</c:v>
                </c:pt>
                <c:pt idx="1811">
                  <c:v>3.3872679224060676E-2</c:v>
                </c:pt>
                <c:pt idx="1812">
                  <c:v>3.3868623778561258E-2</c:v>
                </c:pt>
                <c:pt idx="1813">
                  <c:v>3.3865574142497579E-2</c:v>
                </c:pt>
                <c:pt idx="1814">
                  <c:v>3.3862007510947478E-2</c:v>
                </c:pt>
                <c:pt idx="1815">
                  <c:v>3.3858431485311868E-2</c:v>
                </c:pt>
                <c:pt idx="1816">
                  <c:v>3.3854333096323685E-2</c:v>
                </c:pt>
                <c:pt idx="1817">
                  <c:v>3.3851251252663417E-2</c:v>
                </c:pt>
                <c:pt idx="1818">
                  <c:v>3.3847647045570639E-2</c:v>
                </c:pt>
                <c:pt idx="1819">
                  <c:v>3.3844033444472288E-2</c:v>
                </c:pt>
                <c:pt idx="1820">
                  <c:v>3.3840410449528235E-2</c:v>
                </c:pt>
                <c:pt idx="1821">
                  <c:v>3.3836778060658546E-2</c:v>
                </c:pt>
                <c:pt idx="1822">
                  <c:v>3.3834752049806127E-2</c:v>
                </c:pt>
                <c:pt idx="1823">
                  <c:v>3.3831096160241714E-2</c:v>
                </c:pt>
                <c:pt idx="1824">
                  <c:v>3.3825300825416349E-2</c:v>
                </c:pt>
                <c:pt idx="1825">
                  <c:v>3.3821629519037444E-2</c:v>
                </c:pt>
                <c:pt idx="1826">
                  <c:v>3.3817948818812837E-2</c:v>
                </c:pt>
                <c:pt idx="1827">
                  <c:v>3.3814258724662594E-2</c:v>
                </c:pt>
                <c:pt idx="1828">
                  <c:v>3.3810559236746585E-2</c:v>
                </c:pt>
                <c:pt idx="1829">
                  <c:v>3.380685035466513E-2</c:v>
                </c:pt>
                <c:pt idx="1830">
                  <c:v>3.3803132078897846E-2</c:v>
                </c:pt>
                <c:pt idx="1831">
                  <c:v>3.3799404409284861E-2</c:v>
                </c:pt>
                <c:pt idx="1832">
                  <c:v>3.3795667345746239E-2</c:v>
                </c:pt>
                <c:pt idx="1833">
                  <c:v>3.3791920888281979E-2</c:v>
                </c:pt>
                <c:pt idx="1834">
                  <c:v>3.3788165036972018E-2</c:v>
                </c:pt>
                <c:pt idx="1835">
                  <c:v>3.3784399791816355E-2</c:v>
                </c:pt>
                <c:pt idx="1836">
                  <c:v>3.3785884571235769E-2</c:v>
                </c:pt>
                <c:pt idx="1837">
                  <c:v>3.3774674597566445E-2</c:v>
                </c:pt>
                <c:pt idx="1838">
                  <c:v>3.3770875802687783E-2</c:v>
                </c:pt>
                <c:pt idx="1839">
                  <c:v>3.3767067614043356E-2</c:v>
                </c:pt>
                <c:pt idx="1840">
                  <c:v>3.3762703895696689E-2</c:v>
                </c:pt>
                <c:pt idx="1841">
                  <c:v>3.3759423055137461E-2</c:v>
                </c:pt>
                <c:pt idx="1842">
                  <c:v>3.3755586684716121E-2</c:v>
                </c:pt>
                <c:pt idx="1843">
                  <c:v>3.3751190758772864E-2</c:v>
                </c:pt>
                <c:pt idx="1844">
                  <c:v>3.3747885762416274E-2</c:v>
                </c:pt>
                <c:pt idx="1845">
                  <c:v>3.3744021210537767E-2</c:v>
                </c:pt>
                <c:pt idx="1846">
                  <c:v>3.3740147264653686E-2</c:v>
                </c:pt>
                <c:pt idx="1847">
                  <c:v>3.373626392500384E-2</c:v>
                </c:pt>
                <c:pt idx="1848">
                  <c:v>3.3732371191428356E-2</c:v>
                </c:pt>
                <c:pt idx="1849">
                  <c:v>3.3728469063927236E-2</c:v>
                </c:pt>
                <c:pt idx="1850">
                  <c:v>3.3724557542660349E-2</c:v>
                </c:pt>
                <c:pt idx="1851">
                  <c:v>3.372063662738789E-2</c:v>
                </c:pt>
                <c:pt idx="1852">
                  <c:v>3.3716706318269729E-2</c:v>
                </c:pt>
                <c:pt idx="1853">
                  <c:v>3.3712766615225931E-2</c:v>
                </c:pt>
                <c:pt idx="1854">
                  <c:v>3.3708817518416367E-2</c:v>
                </c:pt>
                <c:pt idx="1855">
                  <c:v>3.3704859027681167E-2</c:v>
                </c:pt>
                <c:pt idx="1856">
                  <c:v>3.3700323535539312E-2</c:v>
                </c:pt>
                <c:pt idx="1857">
                  <c:v>3.3696913864673661E-2</c:v>
                </c:pt>
                <c:pt idx="1858">
                  <c:v>3.3692927192241484E-2</c:v>
                </c:pt>
                <c:pt idx="1859">
                  <c:v>3.3688931126043542E-2</c:v>
                </c:pt>
                <c:pt idx="1860">
                  <c:v>3.3684925665919963E-2</c:v>
                </c:pt>
                <c:pt idx="1861">
                  <c:v>3.3680910811870746E-2</c:v>
                </c:pt>
                <c:pt idx="1862">
                  <c:v>3.3676886563975827E-2</c:v>
                </c:pt>
                <c:pt idx="1863">
                  <c:v>3.3672852922315144E-2</c:v>
                </c:pt>
                <c:pt idx="1864">
                  <c:v>3.3668809886648887E-2</c:v>
                </c:pt>
                <c:pt idx="1865">
                  <c:v>3.3664757457136929E-2</c:v>
                </c:pt>
                <c:pt idx="1866">
                  <c:v>3.3660695633859206E-2</c:v>
                </c:pt>
                <c:pt idx="1867">
                  <c:v>3.3656624416575909E-2</c:v>
                </c:pt>
                <c:pt idx="1868">
                  <c:v>3.3652543805606783E-2</c:v>
                </c:pt>
                <c:pt idx="1869">
                  <c:v>3.3648453800472211E-2</c:v>
                </c:pt>
                <c:pt idx="1870">
                  <c:v>3.3643768006479391E-2</c:v>
                </c:pt>
                <c:pt idx="1871">
                  <c:v>3.3640245608985708E-2</c:v>
                </c:pt>
                <c:pt idx="1872">
                  <c:v>3.3636127422314033E-2</c:v>
                </c:pt>
                <c:pt idx="1873">
                  <c:v>3.3631999841876592E-2</c:v>
                </c:pt>
                <c:pt idx="1874">
                  <c:v>3.3627953539583366E-2</c:v>
                </c:pt>
                <c:pt idx="1875">
                  <c:v>3.3623123394139753E-2</c:v>
                </c:pt>
                <c:pt idx="1876">
                  <c:v>3.361956073733019E-2</c:v>
                </c:pt>
                <c:pt idx="1877">
                  <c:v>3.3615395581350072E-2</c:v>
                </c:pt>
                <c:pt idx="1878">
                  <c:v>3.3611221031444316E-2</c:v>
                </c:pt>
                <c:pt idx="1879">
                  <c:v>3.3607037087772795E-2</c:v>
                </c:pt>
                <c:pt idx="1880">
                  <c:v>3.3602843750255573E-2</c:v>
                </c:pt>
                <c:pt idx="1881">
                  <c:v>3.3598641018812714E-2</c:v>
                </c:pt>
                <c:pt idx="1882">
                  <c:v>3.3594428893524153E-2</c:v>
                </c:pt>
                <c:pt idx="1883">
                  <c:v>3.3590207374389891E-2</c:v>
                </c:pt>
                <c:pt idx="1884">
                  <c:v>3.3585976461409928E-2</c:v>
                </c:pt>
                <c:pt idx="1885">
                  <c:v>3.3581736154424391E-2</c:v>
                </c:pt>
                <c:pt idx="1886">
                  <c:v>3.3577486453753025E-2</c:v>
                </c:pt>
                <c:pt idx="1887">
                  <c:v>3.3572008749462867E-2</c:v>
                </c:pt>
                <c:pt idx="1888">
                  <c:v>3.3568958870473509E-2</c:v>
                </c:pt>
                <c:pt idx="1889">
                  <c:v>3.3564680988185103E-2</c:v>
                </c:pt>
                <c:pt idx="1890">
                  <c:v>3.3560393711971059E-2</c:v>
                </c:pt>
                <c:pt idx="1891">
                  <c:v>3.3556097041831379E-2</c:v>
                </c:pt>
                <c:pt idx="1892">
                  <c:v>3.3551175059089999E-2</c:v>
                </c:pt>
                <c:pt idx="1893">
                  <c:v>3.3547475520174785E-2</c:v>
                </c:pt>
                <c:pt idx="1894">
                  <c:v>3.3543150668418065E-2</c:v>
                </c:pt>
                <c:pt idx="1895">
                  <c:v>3.3538196478080096E-2</c:v>
                </c:pt>
                <c:pt idx="1896">
                  <c:v>3.3534472783527391E-2</c:v>
                </c:pt>
                <c:pt idx="1897">
                  <c:v>3.3530119750233567E-2</c:v>
                </c:pt>
                <c:pt idx="1898">
                  <c:v>3.3525757323014105E-2</c:v>
                </c:pt>
                <c:pt idx="1899">
                  <c:v>3.3521385502028878E-2</c:v>
                </c:pt>
                <c:pt idx="1900">
                  <c:v>3.3517004287118013E-2</c:v>
                </c:pt>
                <c:pt idx="1901">
                  <c:v>3.3512613678441383E-2</c:v>
                </c:pt>
                <c:pt idx="1902">
                  <c:v>3.3508213675839116E-2</c:v>
                </c:pt>
                <c:pt idx="1903">
                  <c:v>3.3503804279391147E-2</c:v>
                </c:pt>
                <c:pt idx="1904">
                  <c:v>3.3499385489097477E-2</c:v>
                </c:pt>
                <c:pt idx="1905">
                  <c:v>3.349495730487817E-2</c:v>
                </c:pt>
                <c:pt idx="1906">
                  <c:v>3.3490519726973034E-2</c:v>
                </c:pt>
                <c:pt idx="1907">
                  <c:v>3.3486072754982388E-2</c:v>
                </c:pt>
                <c:pt idx="1908">
                  <c:v>3.3481616389305913E-2</c:v>
                </c:pt>
                <c:pt idx="1909">
                  <c:v>3.3476511897196914E-2</c:v>
                </c:pt>
                <c:pt idx="1910">
                  <c:v>3.347267547617605E-2</c:v>
                </c:pt>
                <c:pt idx="1911">
                  <c:v>3.3468190928802599E-2</c:v>
                </c:pt>
                <c:pt idx="1912">
                  <c:v>3.3463696987743319E-2</c:v>
                </c:pt>
                <c:pt idx="1913">
                  <c:v>3.3459193652678465E-2</c:v>
                </c:pt>
                <c:pt idx="1914">
                  <c:v>3.3454680923687974E-2</c:v>
                </c:pt>
                <c:pt idx="1915">
                  <c:v>3.3450158801011654E-2</c:v>
                </c:pt>
                <c:pt idx="1916">
                  <c:v>3.344562728432976E-2</c:v>
                </c:pt>
                <c:pt idx="1917">
                  <c:v>3.3441086373962037E-2</c:v>
                </c:pt>
                <c:pt idx="1918">
                  <c:v>3.343653606958874E-2</c:v>
                </c:pt>
                <c:pt idx="1919">
                  <c:v>3.3431976371449679E-2</c:v>
                </c:pt>
                <c:pt idx="1920">
                  <c:v>3.342740727938498E-2</c:v>
                </c:pt>
                <c:pt idx="1921">
                  <c:v>3.3422828793474579E-2</c:v>
                </c:pt>
                <c:pt idx="1922">
                  <c:v>3.3417584735486727E-2</c:v>
                </c:pt>
                <c:pt idx="1923">
                  <c:v>3.3413643640196611E-2</c:v>
                </c:pt>
                <c:pt idx="1924">
                  <c:v>3.3409036972749107E-2</c:v>
                </c:pt>
                <c:pt idx="1925">
                  <c:v>3.3404420911296029E-2</c:v>
                </c:pt>
                <c:pt idx="1926">
                  <c:v>3.3398472172194715E-2</c:v>
                </c:pt>
                <c:pt idx="1927">
                  <c:v>3.3394497719108074E-2</c:v>
                </c:pt>
                <c:pt idx="1928">
                  <c:v>3.3390516364342204E-2</c:v>
                </c:pt>
                <c:pt idx="1929">
                  <c:v>3.3385862727586257E-2</c:v>
                </c:pt>
                <c:pt idx="1930">
                  <c:v>3.3381199696984609E-2</c:v>
                </c:pt>
                <c:pt idx="1931">
                  <c:v>3.3376527272617196E-2</c:v>
                </c:pt>
                <c:pt idx="1932">
                  <c:v>3.3371845454324145E-2</c:v>
                </c:pt>
                <c:pt idx="1933">
                  <c:v>3.3367154242265329E-2</c:v>
                </c:pt>
                <c:pt idx="1934">
                  <c:v>3.3362453636280875E-2</c:v>
                </c:pt>
                <c:pt idx="1935">
                  <c:v>3.3357743636450721E-2</c:v>
                </c:pt>
                <c:pt idx="1936">
                  <c:v>3.3353024242774865E-2</c:v>
                </c:pt>
                <c:pt idx="1937">
                  <c:v>3.3348295455253307E-2</c:v>
                </c:pt>
                <c:pt idx="1938">
                  <c:v>3.3343557273886049E-2</c:v>
                </c:pt>
                <c:pt idx="1939">
                  <c:v>3.3338809698593153E-2</c:v>
                </c:pt>
                <c:pt idx="1940">
                  <c:v>3.3334052729614427E-2</c:v>
                </c:pt>
                <c:pt idx="1941">
                  <c:v>3.3329286366630129E-2</c:v>
                </c:pt>
                <c:pt idx="1942">
                  <c:v>3.3323144382588765E-2</c:v>
                </c:pt>
                <c:pt idx="1943">
                  <c:v>3.33197254592843E-2</c:v>
                </c:pt>
                <c:pt idx="1944">
                  <c:v>3.3314245213107441E-2</c:v>
                </c:pt>
                <c:pt idx="1945">
                  <c:v>3.3310126976555665E-2</c:v>
                </c:pt>
                <c:pt idx="1946">
                  <c:v>3.3305313644422796E-2</c:v>
                </c:pt>
                <c:pt idx="1947">
                  <c:v>3.3300490918444225E-2</c:v>
                </c:pt>
                <c:pt idx="1948">
                  <c:v>3.3294967728938474E-2</c:v>
                </c:pt>
                <c:pt idx="1949">
                  <c:v>3.3290817284949981E-2</c:v>
                </c:pt>
                <c:pt idx="1950">
                  <c:v>3.3285966377434306E-2</c:v>
                </c:pt>
                <c:pt idx="1951">
                  <c:v>3.328110607607293E-2</c:v>
                </c:pt>
                <c:pt idx="1952">
                  <c:v>3.3276236380785917E-2</c:v>
                </c:pt>
                <c:pt idx="1953">
                  <c:v>3.3271357291813075E-2</c:v>
                </c:pt>
                <c:pt idx="1954">
                  <c:v>3.3266468808834659E-2</c:v>
                </c:pt>
                <c:pt idx="1955">
                  <c:v>3.3261570932090478E-2</c:v>
                </c:pt>
                <c:pt idx="1956">
                  <c:v>3.3256663661580532E-2</c:v>
                </c:pt>
                <c:pt idx="1957">
                  <c:v>3.3251746997144949E-2</c:v>
                </c:pt>
                <c:pt idx="1958">
                  <c:v>3.3246820938783728E-2</c:v>
                </c:pt>
                <c:pt idx="1959">
                  <c:v>3.3241885486736678E-2</c:v>
                </c:pt>
                <c:pt idx="1960">
                  <c:v>3.3236940640843926E-2</c:v>
                </c:pt>
                <c:pt idx="1961">
                  <c:v>3.3231277885619193E-2</c:v>
                </c:pt>
                <c:pt idx="1962">
                  <c:v>3.3227022767441383E-2</c:v>
                </c:pt>
                <c:pt idx="1963">
                  <c:v>3.3222049739931592E-2</c:v>
                </c:pt>
                <c:pt idx="1964">
                  <c:v>3.3217067318656035E-2</c:v>
                </c:pt>
                <c:pt idx="1965">
                  <c:v>3.3212075503454841E-2</c:v>
                </c:pt>
                <c:pt idx="1966">
                  <c:v>3.3207074294487882E-2</c:v>
                </c:pt>
                <c:pt idx="1967">
                  <c:v>3.3202063691675221E-2</c:v>
                </c:pt>
                <c:pt idx="1968">
                  <c:v>3.3197043695016859E-2</c:v>
                </c:pt>
                <c:pt idx="1969">
                  <c:v>3.3192014304512796E-2</c:v>
                </c:pt>
                <c:pt idx="1970">
                  <c:v>3.3186975520242967E-2</c:v>
                </c:pt>
                <c:pt idx="1971">
                  <c:v>3.3181928227339341E-2</c:v>
                </c:pt>
                <c:pt idx="1972">
                  <c:v>3.3176877689511386E-2</c:v>
                </c:pt>
                <c:pt idx="1973">
                  <c:v>3.3171824792130877E-2</c:v>
                </c:pt>
                <c:pt idx="1974">
                  <c:v>3.3166047162955792E-2</c:v>
                </c:pt>
                <c:pt idx="1975">
                  <c:v>3.3161711918472392E-2</c:v>
                </c:pt>
                <c:pt idx="1976">
                  <c:v>3.3156651942194415E-2</c:v>
                </c:pt>
                <c:pt idx="1977">
                  <c:v>3.3151589606283949E-2</c:v>
                </c:pt>
                <c:pt idx="1978">
                  <c:v>3.314507742149253E-2</c:v>
                </c:pt>
                <c:pt idx="1979">
                  <c:v>3.3140009692296246E-2</c:v>
                </c:pt>
                <c:pt idx="1980">
                  <c:v>3.3135664046133328E-2</c:v>
                </c:pt>
                <c:pt idx="1981">
                  <c:v>3.3130591934762421E-2</c:v>
                </c:pt>
                <c:pt idx="1982">
                  <c:v>3.3125517463679088E-2</c:v>
                </c:pt>
                <c:pt idx="1983">
                  <c:v>3.3120440633043202E-2</c:v>
                </c:pt>
                <c:pt idx="1984">
                  <c:v>3.3115361442694891E-2</c:v>
                </c:pt>
                <c:pt idx="1985">
                  <c:v>3.3110279892873962E-2</c:v>
                </c:pt>
                <c:pt idx="1986">
                  <c:v>3.3105195983260671E-2</c:v>
                </c:pt>
                <c:pt idx="1987">
                  <c:v>3.3100109714094827E-2</c:v>
                </c:pt>
                <c:pt idx="1988">
                  <c:v>3.3095021085296494E-2</c:v>
                </c:pt>
                <c:pt idx="1989">
                  <c:v>3.3089930096865672E-2</c:v>
                </c:pt>
                <c:pt idx="1990">
                  <c:v>3.3084836748882296E-2</c:v>
                </c:pt>
                <c:pt idx="1991">
                  <c:v>3.3079741041186494E-2</c:v>
                </c:pt>
                <c:pt idx="1992">
                  <c:v>3.3074642974098012E-2</c:v>
                </c:pt>
                <c:pt idx="1993">
                  <c:v>3.3068084849015023E-2</c:v>
                </c:pt>
                <c:pt idx="1994">
                  <c:v>3.3064439760703834E-2</c:v>
                </c:pt>
                <c:pt idx="1995">
                  <c:v>3.3059334614558011E-2</c:v>
                </c:pt>
                <c:pt idx="1996">
                  <c:v>3.3053497272508281E-2</c:v>
                </c:pt>
                <c:pt idx="1997">
                  <c:v>3.3049117243448833E-2</c:v>
                </c:pt>
                <c:pt idx="1998">
                  <c:v>3.3044005018485478E-2</c:v>
                </c:pt>
                <c:pt idx="1999">
                  <c:v>3.303889043396957E-2</c:v>
                </c:pt>
                <c:pt idx="2000">
                  <c:v>3.3033042305108395E-2</c:v>
                </c:pt>
                <c:pt idx="2001">
                  <c:v>3.3028654186040285E-2</c:v>
                </c:pt>
                <c:pt idx="2002">
                  <c:v>3.3023532522546972E-2</c:v>
                </c:pt>
                <c:pt idx="2003">
                  <c:v>3.3018408499501106E-2</c:v>
                </c:pt>
                <c:pt idx="2004">
                  <c:v>3.3013282116822751E-2</c:v>
                </c:pt>
                <c:pt idx="2005">
                  <c:v>3.3008153374671778E-2</c:v>
                </c:pt>
                <c:pt idx="2006">
                  <c:v>3.3003022272568572E-2</c:v>
                </c:pt>
                <c:pt idx="2007">
                  <c:v>3.299788881115262E-2</c:v>
                </c:pt>
                <c:pt idx="2008">
                  <c:v>3.2992752990024243E-2</c:v>
                </c:pt>
                <c:pt idx="2009">
                  <c:v>3.2987614809263377E-2</c:v>
                </c:pt>
                <c:pt idx="2010">
                  <c:v>3.2982474268949957E-2</c:v>
                </c:pt>
                <c:pt idx="2011">
                  <c:v>3.2977331368924112E-2</c:v>
                </c:pt>
                <c:pt idx="2012">
                  <c:v>3.297218610942565E-2</c:v>
                </c:pt>
                <c:pt idx="2013">
                  <c:v>3.2966302923327362E-2</c:v>
                </c:pt>
                <c:pt idx="2014">
                  <c:v>3.2961888511371384E-2</c:v>
                </c:pt>
                <c:pt idx="2015">
                  <c:v>3.2956736172895518E-2</c:v>
                </c:pt>
                <c:pt idx="2016">
                  <c:v>3.2951581474867098E-2</c:v>
                </c:pt>
                <c:pt idx="2017">
                  <c:v>3.2946424417206188E-2</c:v>
                </c:pt>
                <c:pt idx="2018">
                  <c:v>3.2941264999832853E-2</c:v>
                </c:pt>
                <c:pt idx="2019">
                  <c:v>3.2936103222986901E-2</c:v>
                </c:pt>
                <c:pt idx="2020">
                  <c:v>3.2930939086428523E-2</c:v>
                </c:pt>
                <c:pt idx="2021">
                  <c:v>3.2925772590317592E-2</c:v>
                </c:pt>
                <c:pt idx="2022">
                  <c:v>3.2920603734654108E-2</c:v>
                </c:pt>
                <c:pt idx="2023">
                  <c:v>3.2915432519278198E-2</c:v>
                </c:pt>
                <c:pt idx="2024">
                  <c:v>3.2909519669468423E-2</c:v>
                </c:pt>
                <c:pt idx="2025">
                  <c:v>3.2905083009708846E-2</c:v>
                </c:pt>
                <c:pt idx="2026">
                  <c:v>3.2899904715435468E-2</c:v>
                </c:pt>
                <c:pt idx="2027">
                  <c:v>3.2894724061609537E-2</c:v>
                </c:pt>
                <c:pt idx="2028">
                  <c:v>3.2889541048231052E-2</c:v>
                </c:pt>
                <c:pt idx="2029">
                  <c:v>3.2884355675140142E-2</c:v>
                </c:pt>
                <c:pt idx="2030">
                  <c:v>3.2877685299848025E-2</c:v>
                </c:pt>
                <c:pt idx="2031">
                  <c:v>3.2873236215866797E-2</c:v>
                </c:pt>
                <c:pt idx="2032">
                  <c:v>3.2868785398312284E-2</c:v>
                </c:pt>
                <c:pt idx="2033">
                  <c:v>3.2863590586771352E-2</c:v>
                </c:pt>
                <c:pt idx="2034">
                  <c:v>3.2858393415677867E-2</c:v>
                </c:pt>
                <c:pt idx="2035">
                  <c:v>3.2853193884951892E-2</c:v>
                </c:pt>
                <c:pt idx="2036">
                  <c:v>3.2847991994753301E-2</c:v>
                </c:pt>
                <c:pt idx="2037">
                  <c:v>3.2842787744682411E-2</c:v>
                </c:pt>
                <c:pt idx="2038">
                  <c:v>3.2837581135138905E-2</c:v>
                </c:pt>
                <c:pt idx="2039">
                  <c:v>3.2832372166042845E-2</c:v>
                </c:pt>
                <c:pt idx="2040">
                  <c:v>3.2827160837074487E-2</c:v>
                </c:pt>
                <c:pt idx="2041">
                  <c:v>3.2821947148873321E-2</c:v>
                </c:pt>
                <c:pt idx="2042">
                  <c:v>3.2816731100799856E-2</c:v>
                </c:pt>
                <c:pt idx="2043">
                  <c:v>3.2810021286096003E-2</c:v>
                </c:pt>
                <c:pt idx="2044">
                  <c:v>3.2806291925835396E-2</c:v>
                </c:pt>
                <c:pt idx="2045">
                  <c:v>3.2801068798944399E-2</c:v>
                </c:pt>
                <c:pt idx="2046">
                  <c:v>3.279584331250085E-2</c:v>
                </c:pt>
                <c:pt idx="2047">
                  <c:v>3.2790615466424811E-2</c:v>
                </c:pt>
                <c:pt idx="2048">
                  <c:v>3.2785385260636346E-2</c:v>
                </c:pt>
                <c:pt idx="2049">
                  <c:v>3.2779404993554806E-2</c:v>
                </c:pt>
                <c:pt idx="2050">
                  <c:v>3.2774917770561629E-2</c:v>
                </c:pt>
                <c:pt idx="2051">
                  <c:v>3.2769680485875696E-2</c:v>
                </c:pt>
                <c:pt idx="2052">
                  <c:v>3.2763692128625621E-2</c:v>
                </c:pt>
                <c:pt idx="2053">
                  <c:v>3.2759198838006043E-2</c:v>
                </c:pt>
                <c:pt idx="2054">
                  <c:v>3.275395447466245E-2</c:v>
                </c:pt>
                <c:pt idx="2055">
                  <c:v>3.2748707751606432E-2</c:v>
                </c:pt>
                <c:pt idx="2056">
                  <c:v>3.2743458669077796E-2</c:v>
                </c:pt>
                <c:pt idx="2057">
                  <c:v>3.2738207226836735E-2</c:v>
                </c:pt>
                <c:pt idx="2058">
                  <c:v>3.2732953425043121E-2</c:v>
                </c:pt>
                <c:pt idx="2059">
                  <c:v>3.2727697263776889E-2</c:v>
                </c:pt>
                <c:pt idx="2060">
                  <c:v>3.2722438742558424E-2</c:v>
                </c:pt>
                <c:pt idx="2061">
                  <c:v>3.2717177861947278E-2</c:v>
                </c:pt>
                <c:pt idx="2062">
                  <c:v>3.2711914621703642E-2</c:v>
                </c:pt>
                <c:pt idx="2063">
                  <c:v>3.2706649021827516E-2</c:v>
                </c:pt>
                <c:pt idx="2064">
                  <c:v>3.2701381062318902E-2</c:v>
                </c:pt>
                <c:pt idx="2065">
                  <c:v>3.2695357647911649E-2</c:v>
                </c:pt>
                <c:pt idx="2066">
                  <c:v>3.2690838064644012E-2</c:v>
                </c:pt>
                <c:pt idx="2067">
                  <c:v>3.2685563026237929E-2</c:v>
                </c:pt>
                <c:pt idx="2068">
                  <c:v>3.2680285628359229E-2</c:v>
                </c:pt>
                <c:pt idx="2069">
                  <c:v>3.267500587084804E-2</c:v>
                </c:pt>
                <c:pt idx="2070">
                  <c:v>3.2669723753624424E-2</c:v>
                </c:pt>
                <c:pt idx="2071">
                  <c:v>3.2664439276848256E-2</c:v>
                </c:pt>
                <c:pt idx="2072">
                  <c:v>3.265915244059947E-2</c:v>
                </c:pt>
                <c:pt idx="2073">
                  <c:v>3.2653863244558323E-2</c:v>
                </c:pt>
                <c:pt idx="2074">
                  <c:v>3.2648571688884687E-2</c:v>
                </c:pt>
                <c:pt idx="2075">
                  <c:v>3.2643277773818369E-2</c:v>
                </c:pt>
                <c:pt idx="2076">
                  <c:v>3.2637981499039626E-2</c:v>
                </c:pt>
                <c:pt idx="2077">
                  <c:v>3.2632682864548457E-2</c:v>
                </c:pt>
                <c:pt idx="2078">
                  <c:v>3.2627381870584671E-2</c:v>
                </c:pt>
                <c:pt idx="2079">
                  <c:v>3.2622078516988395E-2</c:v>
                </c:pt>
                <c:pt idx="2080">
                  <c:v>3.2616772803679694E-2</c:v>
                </c:pt>
                <c:pt idx="2081">
                  <c:v>3.261146473081844E-2</c:v>
                </c:pt>
                <c:pt idx="2082">
                  <c:v>3.2604636598518866E-2</c:v>
                </c:pt>
                <c:pt idx="2083">
                  <c:v>3.2599323132291858E-2</c:v>
                </c:pt>
                <c:pt idx="2084">
                  <c:v>3.2594766854616708E-2</c:v>
                </c:pt>
                <c:pt idx="2085">
                  <c:v>3.2589449006374949E-2</c:v>
                </c:pt>
                <c:pt idx="2086">
                  <c:v>3.2583368575975769E-2</c:v>
                </c:pt>
                <c:pt idx="2087">
                  <c:v>3.257880623083409E-2</c:v>
                </c:pt>
                <c:pt idx="2088">
                  <c:v>3.257348130353499E-2</c:v>
                </c:pt>
                <c:pt idx="2089">
                  <c:v>3.2568154016683337E-2</c:v>
                </c:pt>
                <c:pt idx="2090">
                  <c:v>3.2562062799632585E-2</c:v>
                </c:pt>
                <c:pt idx="2091">
                  <c:v>3.2557492364242435E-2</c:v>
                </c:pt>
                <c:pt idx="2092">
                  <c:v>3.2552157998733122E-2</c:v>
                </c:pt>
                <c:pt idx="2093">
                  <c:v>3.2546821273351512E-2</c:v>
                </c:pt>
                <c:pt idx="2094">
                  <c:v>3.254148218857722E-2</c:v>
                </c:pt>
                <c:pt idx="2095">
                  <c:v>3.2536140744170439E-2</c:v>
                </c:pt>
                <c:pt idx="2096">
                  <c:v>3.2530796940131168E-2</c:v>
                </c:pt>
                <c:pt idx="2097">
                  <c:v>3.2525450776379472E-2</c:v>
                </c:pt>
                <c:pt idx="2098">
                  <c:v>3.2520746623179164E-2</c:v>
                </c:pt>
                <c:pt idx="2099">
                  <c:v>3.2514751370298356E-2</c:v>
                </c:pt>
                <c:pt idx="2100">
                  <c:v>3.2509398127729128E-2</c:v>
                </c:pt>
                <c:pt idx="2101">
                  <c:v>3.2503277247046825E-2</c:v>
                </c:pt>
                <c:pt idx="2102">
                  <c:v>3.2498684564012947E-2</c:v>
                </c:pt>
                <c:pt idx="2103">
                  <c:v>3.2493324242786059E-2</c:v>
                </c:pt>
                <c:pt idx="2104">
                  <c:v>3.2487195272015157E-2</c:v>
                </c:pt>
                <c:pt idx="2105">
                  <c:v>3.2482596521354878E-2</c:v>
                </c:pt>
                <c:pt idx="2106">
                  <c:v>3.2477229121230522E-2</c:v>
                </c:pt>
                <c:pt idx="2107">
                  <c:v>3.247185936139374E-2</c:v>
                </c:pt>
                <c:pt idx="2108">
                  <c:v>3.2466487242084341E-2</c:v>
                </c:pt>
                <c:pt idx="2109">
                  <c:v>3.2461112763222388E-2</c:v>
                </c:pt>
                <c:pt idx="2110">
                  <c:v>3.245573592464801E-2</c:v>
                </c:pt>
                <c:pt idx="2111">
                  <c:v>3.2450356726441143E-2</c:v>
                </c:pt>
                <c:pt idx="2112">
                  <c:v>3.2444975168841594E-2</c:v>
                </c:pt>
                <c:pt idx="2113">
                  <c:v>3.2439591251369748E-2</c:v>
                </c:pt>
                <c:pt idx="2114">
                  <c:v>3.2434204974265413E-2</c:v>
                </c:pt>
                <c:pt idx="2115">
                  <c:v>3.242881633768846E-2</c:v>
                </c:pt>
                <c:pt idx="2116">
                  <c:v>3.242342534163889E-2</c:v>
                </c:pt>
                <c:pt idx="2117">
                  <c:v>3.2417261313790746E-2</c:v>
                </c:pt>
                <c:pt idx="2118">
                  <c:v>3.2411865261385842E-2</c:v>
                </c:pt>
                <c:pt idx="2119">
                  <c:v>3.2407238195455434E-2</c:v>
                </c:pt>
                <c:pt idx="2120">
                  <c:v>3.2401837760875907E-2</c:v>
                </c:pt>
                <c:pt idx="2121">
                  <c:v>3.2396434966743826E-2</c:v>
                </c:pt>
                <c:pt idx="2122">
                  <c:v>3.2391029812819383E-2</c:v>
                </c:pt>
                <c:pt idx="2123">
                  <c:v>3.2385622299422323E-2</c:v>
                </c:pt>
                <c:pt idx="2124">
                  <c:v>3.2379439394754073E-2</c:v>
                </c:pt>
                <c:pt idx="2125">
                  <c:v>3.2374800193730735E-2</c:v>
                </c:pt>
                <c:pt idx="2126">
                  <c:v>3.2369385601516143E-2</c:v>
                </c:pt>
                <c:pt idx="2127">
                  <c:v>3.2363968649748998E-2</c:v>
                </c:pt>
                <c:pt idx="2128">
                  <c:v>3.2357774958349239E-2</c:v>
                </c:pt>
                <c:pt idx="2129">
                  <c:v>3.2353127667237302E-2</c:v>
                </c:pt>
                <c:pt idx="2130">
                  <c:v>3.2347703636652625E-2</c:v>
                </c:pt>
                <c:pt idx="2131">
                  <c:v>3.2342277246435458E-2</c:v>
                </c:pt>
                <c:pt idx="2132">
                  <c:v>3.2336848496505866E-2</c:v>
                </c:pt>
                <c:pt idx="2133">
                  <c:v>3.2331417386943784E-2</c:v>
                </c:pt>
                <c:pt idx="2134">
                  <c:v>3.2326556910895476E-2</c:v>
                </c:pt>
                <c:pt idx="2135">
                  <c:v>3.2321119094698147E-2</c:v>
                </c:pt>
                <c:pt idx="2136">
                  <c:v>3.2314332824459058E-2</c:v>
                </c:pt>
                <c:pt idx="2137">
                  <c:v>3.2308891939516471E-2</c:v>
                </c:pt>
                <c:pt idx="2138">
                  <c:v>3.2303448694781522E-2</c:v>
                </c:pt>
                <c:pt idx="2139">
                  <c:v>3.2298003090813765E-2</c:v>
                </c:pt>
                <c:pt idx="2140">
                  <c:v>3.2292555127133582E-2</c:v>
                </c:pt>
                <c:pt idx="2141">
                  <c:v>3.2287104803581101E-2</c:v>
                </c:pt>
                <c:pt idx="2142">
                  <c:v>3.228165212063594E-2</c:v>
                </c:pt>
                <c:pt idx="2143">
                  <c:v>3.2276197078218161E-2</c:v>
                </c:pt>
                <c:pt idx="2144">
                  <c:v>3.2270739675928084E-2</c:v>
                </c:pt>
                <c:pt idx="2145">
                  <c:v>3.2265279914085454E-2</c:v>
                </c:pt>
                <c:pt idx="2146">
                  <c:v>3.2259817792850143E-2</c:v>
                </c:pt>
                <c:pt idx="2147">
                  <c:v>3.225435331182247E-2</c:v>
                </c:pt>
                <c:pt idx="2148">
                  <c:v>3.2253101718945132E-2</c:v>
                </c:pt>
                <c:pt idx="2149">
                  <c:v>3.2240290954463902E-2</c:v>
                </c:pt>
                <c:pt idx="2150">
                  <c:v>3.2234818046177338E-2</c:v>
                </c:pt>
                <c:pt idx="2151">
                  <c:v>3.222934277857803E-2</c:v>
                </c:pt>
                <c:pt idx="2152">
                  <c:v>3.2223082440330231E-2</c:v>
                </c:pt>
                <c:pt idx="2153">
                  <c:v>3.2218385164322072E-2</c:v>
                </c:pt>
                <c:pt idx="2154">
                  <c:v>3.2212902817665423E-2</c:v>
                </c:pt>
                <c:pt idx="2155">
                  <c:v>3.2206634389568833E-2</c:v>
                </c:pt>
                <c:pt idx="2156">
                  <c:v>3.2201931046014209E-2</c:v>
                </c:pt>
                <c:pt idx="2157">
                  <c:v>3.2196441620619964E-2</c:v>
                </c:pt>
                <c:pt idx="2158">
                  <c:v>3.219094983559323E-2</c:v>
                </c:pt>
                <c:pt idx="2159">
                  <c:v>3.2185455691173814E-2</c:v>
                </c:pt>
                <c:pt idx="2160">
                  <c:v>3.2179959187041973E-2</c:v>
                </c:pt>
                <c:pt idx="2161">
                  <c:v>3.2174460323197707E-2</c:v>
                </c:pt>
                <c:pt idx="2162">
                  <c:v>3.2168959099880823E-2</c:v>
                </c:pt>
                <c:pt idx="2163">
                  <c:v>3.2163455517091322E-2</c:v>
                </c:pt>
                <c:pt idx="2164">
                  <c:v>3.2157949574509459E-2</c:v>
                </c:pt>
                <c:pt idx="2165">
                  <c:v>3.2152441272295107E-2</c:v>
                </c:pt>
                <c:pt idx="2166">
                  <c:v>3.2146930610688074E-2</c:v>
                </c:pt>
                <c:pt idx="2167">
                  <c:v>3.2141417589288679E-2</c:v>
                </c:pt>
                <c:pt idx="2168">
                  <c:v>3.2135902208336731E-2</c:v>
                </c:pt>
                <c:pt idx="2169">
                  <c:v>3.2129596026679863E-2</c:v>
                </c:pt>
                <c:pt idx="2170">
                  <c:v>3.2124864367775174E-2</c:v>
                </c:pt>
                <c:pt idx="2171">
                  <c:v>3.2119341907925758E-2</c:v>
                </c:pt>
                <c:pt idx="2172">
                  <c:v>3.2113817088603724E-2</c:v>
                </c:pt>
                <c:pt idx="2173">
                  <c:v>3.2108289909809073E-2</c:v>
                </c:pt>
                <c:pt idx="2174">
                  <c:v>3.2102760371222061E-2</c:v>
                </c:pt>
                <c:pt idx="2175">
                  <c:v>3.2097228473082495E-2</c:v>
                </c:pt>
                <c:pt idx="2176">
                  <c:v>3.209169421531044E-2</c:v>
                </c:pt>
                <c:pt idx="2177">
                  <c:v>3.2086157598065768E-2</c:v>
                </c:pt>
                <c:pt idx="2178">
                  <c:v>3.208061862110867E-2</c:v>
                </c:pt>
                <c:pt idx="2179">
                  <c:v>3.2075077284599018E-2</c:v>
                </c:pt>
                <c:pt idx="2180">
                  <c:v>3.2069533588376942E-2</c:v>
                </c:pt>
                <c:pt idx="2181">
                  <c:v>3.206398753284212E-2</c:v>
                </c:pt>
                <c:pt idx="2182">
                  <c:v>3.2057646294108011E-2</c:v>
                </c:pt>
                <c:pt idx="2183">
                  <c:v>3.2052888342475327E-2</c:v>
                </c:pt>
                <c:pt idx="2184">
                  <c:v>3.2047335208043037E-2</c:v>
                </c:pt>
                <c:pt idx="2185">
                  <c:v>3.2041779713898322E-2</c:v>
                </c:pt>
                <c:pt idx="2186">
                  <c:v>3.203463346854285E-2</c:v>
                </c:pt>
                <c:pt idx="2187">
                  <c:v>3.2029867138172463E-2</c:v>
                </c:pt>
                <c:pt idx="2188">
                  <c:v>3.2025099073909047E-2</c:v>
                </c:pt>
                <c:pt idx="2189">
                  <c:v>3.2019534141554118E-2</c:v>
                </c:pt>
                <c:pt idx="2190">
                  <c:v>3.2013966849406827E-2</c:v>
                </c:pt>
                <c:pt idx="2191">
                  <c:v>3.200839719778692E-2</c:v>
                </c:pt>
                <c:pt idx="2192">
                  <c:v>3.2002825186454587E-2</c:v>
                </c:pt>
                <c:pt idx="2193">
                  <c:v>3.1997250815489764E-2</c:v>
                </c:pt>
                <c:pt idx="2194">
                  <c:v>3.1991674084972388E-2</c:v>
                </c:pt>
                <c:pt idx="2195">
                  <c:v>3.1986094995062331E-2</c:v>
                </c:pt>
                <c:pt idx="2196">
                  <c:v>3.1980513545279976E-2</c:v>
                </c:pt>
                <c:pt idx="2197">
                  <c:v>3.197492973610494E-2</c:v>
                </c:pt>
                <c:pt idx="2198">
                  <c:v>3.1969343567137543E-2</c:v>
                </c:pt>
                <c:pt idx="2199">
                  <c:v>3.1963755038697528E-2</c:v>
                </c:pt>
                <c:pt idx="2200">
                  <c:v>3.195816415070496E-2</c:v>
                </c:pt>
                <c:pt idx="2201">
                  <c:v>3.1952570902999966E-2</c:v>
                </c:pt>
                <c:pt idx="2202">
                  <c:v>3.1945376117512581E-2</c:v>
                </c:pt>
                <c:pt idx="2203">
                  <c:v>3.1941377328932319E-2</c:v>
                </c:pt>
                <c:pt idx="2204">
                  <c:v>3.1934976763254852E-2</c:v>
                </c:pt>
                <c:pt idx="2205">
                  <c:v>3.193017431641465E-2</c:v>
                </c:pt>
                <c:pt idx="2206">
                  <c:v>3.1924569270787018E-2</c:v>
                </c:pt>
                <c:pt idx="2207">
                  <c:v>3.1918961865606832E-2</c:v>
                </c:pt>
                <c:pt idx="2208">
                  <c:v>3.1912550513117921E-2</c:v>
                </c:pt>
                <c:pt idx="2209">
                  <c:v>3.1907739976269056E-2</c:v>
                </c:pt>
                <c:pt idx="2210">
                  <c:v>3.1902125492351274E-2</c:v>
                </c:pt>
                <c:pt idx="2211">
                  <c:v>3.1896508648721067E-2</c:v>
                </c:pt>
                <c:pt idx="2212">
                  <c:v>3.189088944545837E-2</c:v>
                </c:pt>
                <c:pt idx="2213">
                  <c:v>3.1885267882723056E-2</c:v>
                </c:pt>
                <c:pt idx="2214">
                  <c:v>3.1879643960275317E-2</c:v>
                </c:pt>
                <c:pt idx="2215">
                  <c:v>3.1874017678275024E-2</c:v>
                </c:pt>
                <c:pt idx="2216">
                  <c:v>3.1868389036562306E-2</c:v>
                </c:pt>
                <c:pt idx="2217">
                  <c:v>3.1862758035616778E-2</c:v>
                </c:pt>
                <c:pt idx="2218">
                  <c:v>3.1857124674719017E-2</c:v>
                </c:pt>
                <c:pt idx="2219">
                  <c:v>3.1851488954348639E-2</c:v>
                </c:pt>
                <c:pt idx="2220">
                  <c:v>3.184585087458558E-2</c:v>
                </c:pt>
                <c:pt idx="2221">
                  <c:v>3.18394044651793E-2</c:v>
                </c:pt>
                <c:pt idx="2222">
                  <c:v>3.1834567635842248E-2</c:v>
                </c:pt>
                <c:pt idx="2223">
                  <c:v>3.1828922477021848E-2</c:v>
                </c:pt>
                <c:pt idx="2224">
                  <c:v>3.1823274958728831E-2</c:v>
                </c:pt>
                <c:pt idx="2225">
                  <c:v>3.1817625080723388E-2</c:v>
                </c:pt>
                <c:pt idx="2226">
                  <c:v>3.1811972843165393E-2</c:v>
                </c:pt>
                <c:pt idx="2227">
                  <c:v>3.1806318246134779E-2</c:v>
                </c:pt>
                <c:pt idx="2228">
                  <c:v>3.1800661289391741E-2</c:v>
                </c:pt>
                <c:pt idx="2229">
                  <c:v>3.1795001973176085E-2</c:v>
                </c:pt>
                <c:pt idx="2230">
                  <c:v>3.1789340297168067E-2</c:v>
                </c:pt>
                <c:pt idx="2231">
                  <c:v>3.1783676962087171E-2</c:v>
                </c:pt>
                <c:pt idx="2232">
                  <c:v>3.1777205573382261E-2</c:v>
                </c:pt>
                <c:pt idx="2233">
                  <c:v>3.1772352902637024E-2</c:v>
                </c:pt>
                <c:pt idx="2234">
                  <c:v>3.1765883835674913E-2</c:v>
                </c:pt>
                <c:pt idx="2235">
                  <c:v>3.1761032906016951E-2</c:v>
                </c:pt>
                <c:pt idx="2236">
                  <c:v>3.1755374431288175E-2</c:v>
                </c:pt>
                <c:pt idx="2237">
                  <c:v>3.1749716972147013E-2</c:v>
                </c:pt>
                <c:pt idx="2238">
                  <c:v>3.1742444588731544E-2</c:v>
                </c:pt>
                <c:pt idx="2239">
                  <c:v>3.1735981657501355E-2</c:v>
                </c:pt>
                <c:pt idx="2240">
                  <c:v>3.1731942999053686E-2</c:v>
                </c:pt>
                <c:pt idx="2241">
                  <c:v>3.1726289747986414E-2</c:v>
                </c:pt>
                <c:pt idx="2242">
                  <c:v>3.1720637512506755E-2</c:v>
                </c:pt>
                <c:pt idx="2243">
                  <c:v>3.1714986292854519E-2</c:v>
                </c:pt>
                <c:pt idx="2244">
                  <c:v>3.1709336088869833E-2</c:v>
                </c:pt>
                <c:pt idx="2245">
                  <c:v>3.1703686900632633E-2</c:v>
                </c:pt>
                <c:pt idx="2246">
                  <c:v>3.1698038727903111E-2</c:v>
                </c:pt>
                <c:pt idx="2247">
                  <c:v>3.1692391571160883E-2</c:v>
                </c:pt>
                <c:pt idx="2248">
                  <c:v>3.1686745430006269E-2</c:v>
                </c:pt>
                <c:pt idx="2249">
                  <c:v>3.1681100304519205E-2</c:v>
                </c:pt>
                <c:pt idx="2250">
                  <c:v>3.1675456194779628E-2</c:v>
                </c:pt>
                <c:pt idx="2251">
                  <c:v>3.1669813100787536E-2</c:v>
                </c:pt>
                <c:pt idx="2252">
                  <c:v>3.1664171022462995E-2</c:v>
                </c:pt>
                <c:pt idx="2253">
                  <c:v>3.165691841418905E-2</c:v>
                </c:pt>
                <c:pt idx="2254">
                  <c:v>3.1652889912976434E-2</c:v>
                </c:pt>
                <c:pt idx="2255">
                  <c:v>3.1647250881734479E-2</c:v>
                </c:pt>
                <c:pt idx="2256">
                  <c:v>3.1640807518371616E-2</c:v>
                </c:pt>
                <c:pt idx="2257">
                  <c:v>3.1635975866413091E-2</c:v>
                </c:pt>
                <c:pt idx="2258">
                  <c:v>3.1630339882413594E-2</c:v>
                </c:pt>
                <c:pt idx="2259">
                  <c:v>3.1624704914001711E-2</c:v>
                </c:pt>
                <c:pt idx="2260">
                  <c:v>3.1618266193884637E-2</c:v>
                </c:pt>
                <c:pt idx="2261">
                  <c:v>3.1613438024260532E-2</c:v>
                </c:pt>
                <c:pt idx="2262">
                  <c:v>3.1607806103011171E-2</c:v>
                </c:pt>
                <c:pt idx="2263">
                  <c:v>3.1602175197589233E-2</c:v>
                </c:pt>
                <c:pt idx="2264">
                  <c:v>3.1596545307595036E-2</c:v>
                </c:pt>
                <c:pt idx="2265">
                  <c:v>3.1590916433588134E-2</c:v>
                </c:pt>
                <c:pt idx="2266">
                  <c:v>3.1585288575168846E-2</c:v>
                </c:pt>
                <c:pt idx="2267">
                  <c:v>3.1579661732417108E-2</c:v>
                </c:pt>
                <c:pt idx="2268">
                  <c:v>3.1574035905412856E-2</c:v>
                </c:pt>
                <c:pt idx="2269">
                  <c:v>3.156841109415609E-2</c:v>
                </c:pt>
                <c:pt idx="2270">
                  <c:v>3.1562787298486938E-2</c:v>
                </c:pt>
                <c:pt idx="2271">
                  <c:v>3.1557164518645209E-2</c:v>
                </c:pt>
                <c:pt idx="2272">
                  <c:v>3.1551542754391093E-2</c:v>
                </c:pt>
                <c:pt idx="2273">
                  <c:v>3.1545119124682941E-2</c:v>
                </c:pt>
                <c:pt idx="2274">
                  <c:v>3.1540302273205256E-2</c:v>
                </c:pt>
                <c:pt idx="2275">
                  <c:v>3.1534683556033727E-2</c:v>
                </c:pt>
                <c:pt idx="2276">
                  <c:v>3.1529065854929428E-2</c:v>
                </c:pt>
                <c:pt idx="2277">
                  <c:v>3.1523449169172935E-2</c:v>
                </c:pt>
                <c:pt idx="2278">
                  <c:v>3.1517833499163928E-2</c:v>
                </c:pt>
                <c:pt idx="2279">
                  <c:v>3.151221884482247E-2</c:v>
                </c:pt>
                <c:pt idx="2280">
                  <c:v>3.1506605206388372E-2</c:v>
                </c:pt>
                <c:pt idx="2281">
                  <c:v>3.1500992583541887E-2</c:v>
                </c:pt>
                <c:pt idx="2282">
                  <c:v>3.1495380976362952E-2</c:v>
                </c:pt>
                <c:pt idx="2283">
                  <c:v>3.1489770385171312E-2</c:v>
                </c:pt>
                <c:pt idx="2284">
                  <c:v>3.148335952420922E-2</c:v>
                </c:pt>
                <c:pt idx="2285">
                  <c:v>3.1478552249391001E-2</c:v>
                </c:pt>
                <c:pt idx="2286">
                  <c:v>3.1472944704962202E-2</c:v>
                </c:pt>
                <c:pt idx="2287">
                  <c:v>3.1467338176440762E-2</c:v>
                </c:pt>
                <c:pt idx="2288">
                  <c:v>3.1461732663666808E-2</c:v>
                </c:pt>
                <c:pt idx="2289">
                  <c:v>3.145612816624066E-2</c:v>
                </c:pt>
                <c:pt idx="2290">
                  <c:v>3.144892387667575E-2</c:v>
                </c:pt>
                <c:pt idx="2291">
                  <c:v>3.1444121949739667E-2</c:v>
                </c:pt>
                <c:pt idx="2292">
                  <c:v>3.1439320769006684E-2</c:v>
                </c:pt>
                <c:pt idx="2293">
                  <c:v>3.1433720334650417E-2</c:v>
                </c:pt>
                <c:pt idx="2294">
                  <c:v>3.1428120915961699E-2</c:v>
                </c:pt>
                <c:pt idx="2295">
                  <c:v>3.1422522513020468E-2</c:v>
                </c:pt>
                <c:pt idx="2296">
                  <c:v>3.1416925125826722E-2</c:v>
                </c:pt>
                <c:pt idx="2297">
                  <c:v>3.1411328754300527E-2</c:v>
                </c:pt>
                <c:pt idx="2298">
                  <c:v>3.1405733398601754E-2</c:v>
                </c:pt>
                <c:pt idx="2299">
                  <c:v>3.1400139058410659E-2</c:v>
                </c:pt>
                <c:pt idx="2300">
                  <c:v>3.1394545733887114E-2</c:v>
                </c:pt>
                <c:pt idx="2301">
                  <c:v>3.1388953425190991E-2</c:v>
                </c:pt>
                <c:pt idx="2302">
                  <c:v>3.1383362132242354E-2</c:v>
                </c:pt>
                <c:pt idx="2303">
                  <c:v>3.1377771854961267E-2</c:v>
                </c:pt>
                <c:pt idx="2304">
                  <c:v>3.1370585848051746E-2</c:v>
                </c:pt>
                <c:pt idx="2305">
                  <c:v>3.1366594347401744E-2</c:v>
                </c:pt>
                <c:pt idx="2306">
                  <c:v>3.1361007117363116E-2</c:v>
                </c:pt>
                <c:pt idx="2307">
                  <c:v>3.1355420902672293E-2</c:v>
                </c:pt>
                <c:pt idx="2308">
                  <c:v>3.1349037901424737E-2</c:v>
                </c:pt>
                <c:pt idx="2309">
                  <c:v>3.1344251520932787E-2</c:v>
                </c:pt>
                <c:pt idx="2310">
                  <c:v>3.1338668353564358E-2</c:v>
                </c:pt>
                <c:pt idx="2311">
                  <c:v>3.133308620186348E-2</c:v>
                </c:pt>
                <c:pt idx="2312">
                  <c:v>3.1326707843621904E-2</c:v>
                </c:pt>
                <c:pt idx="2313">
                  <c:v>3.1321924945784119E-2</c:v>
                </c:pt>
                <c:pt idx="2314">
                  <c:v>3.1316345841085891E-2</c:v>
                </c:pt>
                <c:pt idx="2315">
                  <c:v>3.1310767752215085E-2</c:v>
                </c:pt>
                <c:pt idx="2316">
                  <c:v>3.1305190679171702E-2</c:v>
                </c:pt>
                <c:pt idx="2317">
                  <c:v>3.1299614621795868E-2</c:v>
                </c:pt>
                <c:pt idx="2318">
                  <c:v>3.1294039579927713E-2</c:v>
                </c:pt>
                <c:pt idx="2319">
                  <c:v>3.1288465553966915E-2</c:v>
                </c:pt>
                <c:pt idx="2320">
                  <c:v>3.1282892543673668E-2</c:v>
                </c:pt>
                <c:pt idx="2321">
                  <c:v>3.1277320548968035E-2</c:v>
                </c:pt>
                <c:pt idx="2322">
                  <c:v>3.1271749570009888E-2</c:v>
                </c:pt>
                <c:pt idx="2323">
                  <c:v>3.1266179606879163E-2</c:v>
                </c:pt>
                <c:pt idx="2324">
                  <c:v>3.1260610659415988E-2</c:v>
                </c:pt>
                <c:pt idx="2325">
                  <c:v>3.125424739166327E-2</c:v>
                </c:pt>
                <c:pt idx="2326">
                  <c:v>3.1249475811492289E-2</c:v>
                </c:pt>
                <c:pt idx="2327">
                  <c:v>3.12439099111117E-2</c:v>
                </c:pt>
                <c:pt idx="2328">
                  <c:v>3.1238345026398662E-2</c:v>
                </c:pt>
                <c:pt idx="2329">
                  <c:v>3.1232781157433109E-2</c:v>
                </c:pt>
                <c:pt idx="2330">
                  <c:v>3.1227218304135107E-2</c:v>
                </c:pt>
                <c:pt idx="2331">
                  <c:v>3.1221656466584591E-2</c:v>
                </c:pt>
                <c:pt idx="2332">
                  <c:v>3.1216095644701625E-2</c:v>
                </c:pt>
                <c:pt idx="2333">
                  <c:v>3.1210535838406273E-2</c:v>
                </c:pt>
                <c:pt idx="2334">
                  <c:v>3.1204977048098215E-2</c:v>
                </c:pt>
                <c:pt idx="2335">
                  <c:v>3.1199419273297835E-2</c:v>
                </c:pt>
                <c:pt idx="2336">
                  <c:v>3.1193068774451049E-2</c:v>
                </c:pt>
                <c:pt idx="2337">
                  <c:v>3.1188306770859597E-2</c:v>
                </c:pt>
                <c:pt idx="2338">
                  <c:v>3.1182752043301676E-2</c:v>
                </c:pt>
                <c:pt idx="2339">
                  <c:v>3.1177198331251432E-2</c:v>
                </c:pt>
                <c:pt idx="2340">
                  <c:v>3.1171645634948675E-2</c:v>
                </c:pt>
                <c:pt idx="2341">
                  <c:v>3.116609395447334E-2</c:v>
                </c:pt>
                <c:pt idx="2342">
                  <c:v>3.1158957572028356E-2</c:v>
                </c:pt>
                <c:pt idx="2343">
                  <c:v>3.1154200916478914E-2</c:v>
                </c:pt>
                <c:pt idx="2344">
                  <c:v>3.1149445007052634E-2</c:v>
                </c:pt>
                <c:pt idx="2345">
                  <c:v>3.1143897389327435E-2</c:v>
                </c:pt>
                <c:pt idx="2346">
                  <c:v>3.1138350787349722E-2</c:v>
                </c:pt>
                <c:pt idx="2347">
                  <c:v>3.1132805200879687E-2</c:v>
                </c:pt>
                <c:pt idx="2348">
                  <c:v>3.1127260630476883E-2</c:v>
                </c:pt>
                <c:pt idx="2349">
                  <c:v>3.112171707550182E-2</c:v>
                </c:pt>
                <c:pt idx="2350">
                  <c:v>3.1116174536274244E-2</c:v>
                </c:pt>
                <c:pt idx="2351">
                  <c:v>3.1110633012634281E-2</c:v>
                </c:pt>
                <c:pt idx="2352">
                  <c:v>3.1105092504981613E-2</c:v>
                </c:pt>
                <c:pt idx="2353">
                  <c:v>3.1099553012836623E-2</c:v>
                </c:pt>
                <c:pt idx="2354">
                  <c:v>3.1094014536359182E-2</c:v>
                </c:pt>
                <c:pt idx="2355">
                  <c:v>3.1088477075709164E-2</c:v>
                </c:pt>
                <c:pt idx="2356">
                  <c:v>3.1082940630726696E-2</c:v>
                </c:pt>
                <c:pt idx="2357">
                  <c:v>3.1077405201491715E-2</c:v>
                </c:pt>
                <c:pt idx="2358">
                  <c:v>3.1071870787684475E-2</c:v>
                </c:pt>
                <c:pt idx="2359">
                  <c:v>3.1064756605641008E-2</c:v>
                </c:pt>
                <c:pt idx="2360">
                  <c:v>3.1060805007872005E-2</c:v>
                </c:pt>
                <c:pt idx="2361">
                  <c:v>3.1054483529011634E-2</c:v>
                </c:pt>
                <c:pt idx="2362">
                  <c:v>3.1049743290489928E-2</c:v>
                </c:pt>
                <c:pt idx="2363">
                  <c:v>3.1044213955500055E-2</c:v>
                </c:pt>
                <c:pt idx="2364">
                  <c:v>3.1037895959133976E-2</c:v>
                </c:pt>
                <c:pt idx="2365">
                  <c:v>3.1033158332363087E-2</c:v>
                </c:pt>
                <c:pt idx="2366">
                  <c:v>3.1027632044375864E-2</c:v>
                </c:pt>
                <c:pt idx="2367">
                  <c:v>3.1022106772136127E-2</c:v>
                </c:pt>
                <c:pt idx="2368">
                  <c:v>3.101658251556394E-2</c:v>
                </c:pt>
                <c:pt idx="2369">
                  <c:v>3.1011059274579367E-2</c:v>
                </c:pt>
                <c:pt idx="2370">
                  <c:v>3.1005537049422216E-2</c:v>
                </c:pt>
                <c:pt idx="2371">
                  <c:v>3.1000015840092487E-2</c:v>
                </c:pt>
                <c:pt idx="2372">
                  <c:v>3.0994495646270437E-2</c:v>
                </c:pt>
                <c:pt idx="2373">
                  <c:v>3.0988976468195872E-2</c:v>
                </c:pt>
                <c:pt idx="2374">
                  <c:v>3.098345830594873E-2</c:v>
                </c:pt>
                <c:pt idx="2375">
                  <c:v>3.0977941159289202E-2</c:v>
                </c:pt>
                <c:pt idx="2376">
                  <c:v>3.0972425028217287E-2</c:v>
                </c:pt>
                <c:pt idx="2377">
                  <c:v>3.0966122122260131E-2</c:v>
                </c:pt>
                <c:pt idx="2378">
                  <c:v>3.0961395813475789E-2</c:v>
                </c:pt>
                <c:pt idx="2379">
                  <c:v>3.0955882729646333E-2</c:v>
                </c:pt>
                <c:pt idx="2380">
                  <c:v>3.0950370661404492E-2</c:v>
                </c:pt>
                <c:pt idx="2381">
                  <c:v>3.0944859609070008E-2</c:v>
                </c:pt>
                <c:pt idx="2382">
                  <c:v>3.0939349572243202E-2</c:v>
                </c:pt>
                <c:pt idx="2383">
                  <c:v>3.0933840551163883E-2</c:v>
                </c:pt>
                <c:pt idx="2384">
                  <c:v>3.0928332545911985E-2</c:v>
                </c:pt>
                <c:pt idx="2385">
                  <c:v>3.0922825556247702E-2</c:v>
                </c:pt>
                <c:pt idx="2386">
                  <c:v>3.0917319582330904E-2</c:v>
                </c:pt>
                <c:pt idx="2387">
                  <c:v>3.0911814624081657E-2</c:v>
                </c:pt>
                <c:pt idx="2388">
                  <c:v>3.0906310681579896E-2</c:v>
                </c:pt>
                <c:pt idx="2389">
                  <c:v>3.0900807754745685E-2</c:v>
                </c:pt>
                <c:pt idx="2390">
                  <c:v>3.0895305843579024E-2</c:v>
                </c:pt>
                <c:pt idx="2391">
                  <c:v>3.0889804947999977E-2</c:v>
                </c:pt>
                <c:pt idx="2392">
                  <c:v>3.0884305068408224E-2</c:v>
                </c:pt>
                <c:pt idx="2393">
                  <c:v>3.087880620432415E-2</c:v>
                </c:pt>
                <c:pt idx="2394">
                  <c:v>3.08751706498267E-2</c:v>
                </c:pt>
                <c:pt idx="2395">
                  <c:v>3.0867317203400191E-2</c:v>
                </c:pt>
                <c:pt idx="2396">
                  <c:v>3.0860745659744282E-2</c:v>
                </c:pt>
                <c:pt idx="2397">
                  <c:v>3.0855251148578233E-2</c:v>
                </c:pt>
                <c:pt idx="2398">
                  <c:v>3.0849757653319543E-2</c:v>
                </c:pt>
                <c:pt idx="2399">
                  <c:v>3.0844265173728402E-2</c:v>
                </c:pt>
                <c:pt idx="2400">
                  <c:v>3.083877370964494E-2</c:v>
                </c:pt>
                <c:pt idx="2401">
                  <c:v>3.0833283261468836E-2</c:v>
                </c:pt>
                <c:pt idx="2402">
                  <c:v>3.0827793828960282E-2</c:v>
                </c:pt>
                <c:pt idx="2403">
                  <c:v>3.0822305412199213E-2</c:v>
                </c:pt>
                <c:pt idx="2404">
                  <c:v>3.0816818011025759E-2</c:v>
                </c:pt>
                <c:pt idx="2405">
                  <c:v>3.0811331625599792E-2</c:v>
                </c:pt>
                <c:pt idx="2406">
                  <c:v>3.0805846255841374E-2</c:v>
                </c:pt>
                <c:pt idx="2407">
                  <c:v>3.0800361901910378E-2</c:v>
                </c:pt>
                <c:pt idx="2408">
                  <c:v>3.0798580487070737E-2</c:v>
                </c:pt>
                <c:pt idx="2409">
                  <c:v>3.0786263941271486E-2</c:v>
                </c:pt>
                <c:pt idx="2410">
                  <c:v>3.078078321467892E-2</c:v>
                </c:pt>
                <c:pt idx="2411">
                  <c:v>3.0775303503913776E-2</c:v>
                </c:pt>
                <c:pt idx="2412">
                  <c:v>3.0769042220981646E-2</c:v>
                </c:pt>
                <c:pt idx="2413">
                  <c:v>3.076434712914633E-2</c:v>
                </c:pt>
                <c:pt idx="2414">
                  <c:v>3.0758870465463772E-2</c:v>
                </c:pt>
                <c:pt idx="2415">
                  <c:v>3.0752612665025936E-2</c:v>
                </c:pt>
                <c:pt idx="2416">
                  <c:v>3.0747920185181243E-2</c:v>
                </c:pt>
                <c:pt idx="2417">
                  <c:v>3.0742446568501336E-2</c:v>
                </c:pt>
                <c:pt idx="2418">
                  <c:v>3.0736973967648851E-2</c:v>
                </c:pt>
                <c:pt idx="2419">
                  <c:v>3.0731502382383979E-2</c:v>
                </c:pt>
                <c:pt idx="2420">
                  <c:v>3.0726031812866594E-2</c:v>
                </c:pt>
                <c:pt idx="2421">
                  <c:v>3.0720562259016759E-2</c:v>
                </c:pt>
                <c:pt idx="2422">
                  <c:v>3.0715093720994346E-2</c:v>
                </c:pt>
                <c:pt idx="2423">
                  <c:v>3.0709626198559548E-2</c:v>
                </c:pt>
                <c:pt idx="2424">
                  <c:v>3.0704159691872235E-2</c:v>
                </c:pt>
                <c:pt idx="2425">
                  <c:v>3.0698694200772536E-2</c:v>
                </c:pt>
                <c:pt idx="2426">
                  <c:v>3.069322972550026E-2</c:v>
                </c:pt>
                <c:pt idx="2427">
                  <c:v>3.0687766265895533E-2</c:v>
                </c:pt>
                <c:pt idx="2428">
                  <c:v>3.0681523555706747E-2</c:v>
                </c:pt>
                <c:pt idx="2429">
                  <c:v>3.0676842393768666E-2</c:v>
                </c:pt>
                <c:pt idx="2430">
                  <c:v>3.067138198116659E-2</c:v>
                </c:pt>
                <c:pt idx="2431">
                  <c:v>3.0665922584312E-2</c:v>
                </c:pt>
                <c:pt idx="2432">
                  <c:v>3.066046420312496E-2</c:v>
                </c:pt>
                <c:pt idx="2433">
                  <c:v>3.0655006837765342E-2</c:v>
                </c:pt>
                <c:pt idx="2434">
                  <c:v>3.064955048815321E-2</c:v>
                </c:pt>
                <c:pt idx="2435">
                  <c:v>3.0644095153888884E-2</c:v>
                </c:pt>
                <c:pt idx="2436">
                  <c:v>3.0638640835691788E-2</c:v>
                </c:pt>
                <c:pt idx="2437">
                  <c:v>3.0633187533002371E-2</c:v>
                </c:pt>
                <c:pt idx="2438">
                  <c:v>3.0627735246060439E-2</c:v>
                </c:pt>
                <c:pt idx="2439">
                  <c:v>3.0622283974706122E-2</c:v>
                </c:pt>
                <c:pt idx="2440">
                  <c:v>3.0616833719419034E-2</c:v>
                </c:pt>
                <c:pt idx="2441">
                  <c:v>3.0611384479479753E-2</c:v>
                </c:pt>
                <c:pt idx="2442">
                  <c:v>3.0605158020611256E-2</c:v>
                </c:pt>
                <c:pt idx="2443">
                  <c:v>3.0600489046843649E-2</c:v>
                </c:pt>
                <c:pt idx="2444">
                  <c:v>3.0595042854226762E-2</c:v>
                </c:pt>
                <c:pt idx="2445">
                  <c:v>3.0589597677117553E-2</c:v>
                </c:pt>
                <c:pt idx="2446">
                  <c:v>3.0583508409307569E-2</c:v>
                </c:pt>
                <c:pt idx="2447">
                  <c:v>3.0577932860724744E-2</c:v>
                </c:pt>
                <c:pt idx="2448">
                  <c:v>3.057326824011497E-2</c:v>
                </c:pt>
                <c:pt idx="2449">
                  <c:v>3.0567827125755898E-2</c:v>
                </c:pt>
                <c:pt idx="2450">
                  <c:v>3.0562387027224247E-2</c:v>
                </c:pt>
                <c:pt idx="2451">
                  <c:v>3.0556947944440083E-2</c:v>
                </c:pt>
                <c:pt idx="2452">
                  <c:v>3.0551509877323468E-2</c:v>
                </c:pt>
                <c:pt idx="2453">
                  <c:v>3.0546072825794468E-2</c:v>
                </c:pt>
                <c:pt idx="2454">
                  <c:v>3.054063679009289E-2</c:v>
                </c:pt>
                <c:pt idx="2455">
                  <c:v>3.0535201770058862E-2</c:v>
                </c:pt>
                <c:pt idx="2456">
                  <c:v>3.0529767765612448E-2</c:v>
                </c:pt>
                <c:pt idx="2457">
                  <c:v>3.052433477691352E-2</c:v>
                </c:pt>
                <c:pt idx="2458">
                  <c:v>3.0518902804042014E-2</c:v>
                </c:pt>
                <c:pt idx="2459">
                  <c:v>3.0511920331122155E-2</c:v>
                </c:pt>
                <c:pt idx="2460">
                  <c:v>3.0508041905141781E-2</c:v>
                </c:pt>
                <c:pt idx="2461">
                  <c:v>3.0502612979192989E-2</c:v>
                </c:pt>
                <c:pt idx="2462">
                  <c:v>3.0497185069151556E-2</c:v>
                </c:pt>
                <c:pt idx="2463">
                  <c:v>3.0491758174537864E-2</c:v>
                </c:pt>
                <c:pt idx="2464">
                  <c:v>3.0485557253241424E-2</c:v>
                </c:pt>
                <c:pt idx="2465">
                  <c:v>3.0480907432712812E-2</c:v>
                </c:pt>
                <c:pt idx="2466">
                  <c:v>3.0475483585341578E-2</c:v>
                </c:pt>
                <c:pt idx="2467">
                  <c:v>3.0469286146299623E-2</c:v>
                </c:pt>
                <c:pt idx="2468">
                  <c:v>3.0464638937601762E-2</c:v>
                </c:pt>
                <c:pt idx="2469">
                  <c:v>3.0459218137313115E-2</c:v>
                </c:pt>
                <c:pt idx="2470">
                  <c:v>3.0453798352771955E-2</c:v>
                </c:pt>
                <c:pt idx="2471">
                  <c:v>3.0448379583818408E-2</c:v>
                </c:pt>
                <c:pt idx="2472">
                  <c:v>3.0442961830692283E-2</c:v>
                </c:pt>
                <c:pt idx="2473">
                  <c:v>3.0437545093073837E-2</c:v>
                </c:pt>
                <c:pt idx="2474">
                  <c:v>3.0432129371362748E-2</c:v>
                </c:pt>
                <c:pt idx="2475">
                  <c:v>3.0426714665159338E-2</c:v>
                </c:pt>
                <c:pt idx="2476">
                  <c:v>3.0421300974943222E-2</c:v>
                </c:pt>
                <c:pt idx="2477">
                  <c:v>3.0415888300074911E-2</c:v>
                </c:pt>
                <c:pt idx="2478">
                  <c:v>3.0410476640954087E-2</c:v>
                </c:pt>
                <c:pt idx="2479">
                  <c:v>3.0405065997660685E-2</c:v>
                </c:pt>
                <c:pt idx="2480">
                  <c:v>3.0399656370114769E-2</c:v>
                </c:pt>
                <c:pt idx="2481">
                  <c:v>3.0393475182393104E-2</c:v>
                </c:pt>
                <c:pt idx="2482">
                  <c:v>3.0388840161865716E-2</c:v>
                </c:pt>
                <c:pt idx="2483">
                  <c:v>3.0383433581402386E-2</c:v>
                </c:pt>
                <c:pt idx="2484">
                  <c:v>3.037802801652667E-2</c:v>
                </c:pt>
                <c:pt idx="2485">
                  <c:v>3.0372623467398441E-2</c:v>
                </c:pt>
                <c:pt idx="2486">
                  <c:v>3.0367219933857825E-2</c:v>
                </c:pt>
                <c:pt idx="2487">
                  <c:v>3.0361817416224568E-2</c:v>
                </c:pt>
                <c:pt idx="2488">
                  <c:v>3.0356415914098989E-2</c:v>
                </c:pt>
                <c:pt idx="2489">
                  <c:v>3.0351015427720895E-2</c:v>
                </c:pt>
                <c:pt idx="2490">
                  <c:v>3.0345615957010352E-2</c:v>
                </c:pt>
                <c:pt idx="2491">
                  <c:v>3.0340220388858086E-2</c:v>
                </c:pt>
                <c:pt idx="2492">
                  <c:v>3.0334834940450861E-2</c:v>
                </c:pt>
                <c:pt idx="2493">
                  <c:v>3.0329459833930983E-2</c:v>
                </c:pt>
                <c:pt idx="2494">
                  <c:v>3.0323329518875397E-2</c:v>
                </c:pt>
                <c:pt idx="2495">
                  <c:v>3.0318740647192755E-2</c:v>
                </c:pt>
                <c:pt idx="2496">
                  <c:v>3.0313396566494788E-2</c:v>
                </c:pt>
                <c:pt idx="2497">
                  <c:v>3.0308062827923976E-2</c:v>
                </c:pt>
                <c:pt idx="2498">
                  <c:v>3.0301220360371417E-2</c:v>
                </c:pt>
                <c:pt idx="2499">
                  <c:v>3.0296668213072309E-2</c:v>
                </c:pt>
                <c:pt idx="2500">
                  <c:v>3.0292123663775428E-2</c:v>
                </c:pt>
                <c:pt idx="2501">
                  <c:v>3.0286831293153682E-2</c:v>
                </c:pt>
                <c:pt idx="2502">
                  <c:v>3.0281549264339347E-2</c:v>
                </c:pt>
                <c:pt idx="2503">
                  <c:v>3.0276277577412358E-2</c:v>
                </c:pt>
                <c:pt idx="2504">
                  <c:v>3.0271016232452652E-2</c:v>
                </c:pt>
                <c:pt idx="2505">
                  <c:v>3.0265765229460229E-2</c:v>
                </c:pt>
                <c:pt idx="2506">
                  <c:v>3.0260524568515024E-2</c:v>
                </c:pt>
                <c:pt idx="2507">
                  <c:v>3.0255294249377229E-2</c:v>
                </c:pt>
                <c:pt idx="2508">
                  <c:v>3.0250074272206717E-2</c:v>
                </c:pt>
                <c:pt idx="2509">
                  <c:v>3.0244864637003488E-2</c:v>
                </c:pt>
                <c:pt idx="2510">
                  <c:v>3.0239665343767541E-2</c:v>
                </c:pt>
                <c:pt idx="2511">
                  <c:v>3.0234476392339005E-2</c:v>
                </c:pt>
                <c:pt idx="2512">
                  <c:v>3.0229297783117559E-2</c:v>
                </c:pt>
                <c:pt idx="2513">
                  <c:v>3.022412951578346E-2</c:v>
                </c:pt>
                <c:pt idx="2514">
                  <c:v>3.0217499796689751E-2</c:v>
                </c:pt>
                <c:pt idx="2515">
                  <c:v>3.0213824006617429E-2</c:v>
                </c:pt>
                <c:pt idx="2516">
                  <c:v>3.0207953717722447E-2</c:v>
                </c:pt>
                <c:pt idx="2517">
                  <c:v>3.0203559865560337E-2</c:v>
                </c:pt>
                <c:pt idx="2518">
                  <c:v>3.0198443307822842E-2</c:v>
                </c:pt>
                <c:pt idx="2519">
                  <c:v>3.0193337092212502E-2</c:v>
                </c:pt>
                <c:pt idx="2520">
                  <c:v>3.0187514080539657E-2</c:v>
                </c:pt>
                <c:pt idx="2521">
                  <c:v>3.018315568649399E-2</c:v>
                </c:pt>
                <c:pt idx="2522">
                  <c:v>3.0178080496545689E-2</c:v>
                </c:pt>
                <c:pt idx="2523">
                  <c:v>3.0173015648644608E-2</c:v>
                </c:pt>
                <c:pt idx="2524">
                  <c:v>3.0167961142630872E-2</c:v>
                </c:pt>
                <c:pt idx="2525">
                  <c:v>3.0162916978504484E-2</c:v>
                </c:pt>
                <c:pt idx="2526">
                  <c:v>3.0157883156345378E-2</c:v>
                </c:pt>
                <c:pt idx="2527">
                  <c:v>3.015285967623349E-2</c:v>
                </c:pt>
                <c:pt idx="2528">
                  <c:v>3.0147846537929013E-2</c:v>
                </c:pt>
                <c:pt idx="2529">
                  <c:v>3.0142843741511882E-2</c:v>
                </c:pt>
                <c:pt idx="2530">
                  <c:v>3.0137851287221906E-2</c:v>
                </c:pt>
                <c:pt idx="2531">
                  <c:v>3.0132869174739341E-2</c:v>
                </c:pt>
                <c:pt idx="2532">
                  <c:v>3.0127897404064186E-2</c:v>
                </c:pt>
                <c:pt idx="2533">
                  <c:v>3.0122228044362487E-2</c:v>
                </c:pt>
                <c:pt idx="2534">
                  <c:v>3.0117984889095339E-2</c:v>
                </c:pt>
                <c:pt idx="2535">
                  <c:v>3.0113044144322032E-2</c:v>
                </c:pt>
                <c:pt idx="2536">
                  <c:v>3.0108113741516007E-2</c:v>
                </c:pt>
                <c:pt idx="2537">
                  <c:v>3.0103193680677265E-2</c:v>
                </c:pt>
                <c:pt idx="2538">
                  <c:v>3.0098283961805805E-2</c:v>
                </c:pt>
                <c:pt idx="2539">
                  <c:v>3.0093384584901628E-2</c:v>
                </c:pt>
                <c:pt idx="2540">
                  <c:v>3.0088495549724925E-2</c:v>
                </c:pt>
                <c:pt idx="2541">
                  <c:v>3.0083616856755313E-2</c:v>
                </c:pt>
                <c:pt idx="2542">
                  <c:v>3.0078748505593111E-2</c:v>
                </c:pt>
                <c:pt idx="2543">
                  <c:v>3.007389049623832E-2</c:v>
                </c:pt>
                <c:pt idx="2544">
                  <c:v>3.0068351149497019E-2</c:v>
                </c:pt>
                <c:pt idx="2545">
                  <c:v>3.0064205503670394E-2</c:v>
                </c:pt>
                <c:pt idx="2546">
                  <c:v>3.0058689795540161E-2</c:v>
                </c:pt>
                <c:pt idx="2547">
                  <c:v>3.0054561878651853E-2</c:v>
                </c:pt>
                <c:pt idx="2548">
                  <c:v>3.0049755579213411E-2</c:v>
                </c:pt>
                <c:pt idx="2549">
                  <c:v>3.0044959621662315E-2</c:v>
                </c:pt>
                <c:pt idx="2550">
                  <c:v>3.0038808586541066E-2</c:v>
                </c:pt>
                <c:pt idx="2551">
                  <c:v>3.0033355352037105E-2</c:v>
                </c:pt>
                <c:pt idx="2552">
                  <c:v>3.0029953939925136E-2</c:v>
                </c:pt>
                <c:pt idx="2553">
                  <c:v>3.0025200827541454E-2</c:v>
                </c:pt>
                <c:pt idx="2554">
                  <c:v>3.0020458056885246E-2</c:v>
                </c:pt>
                <c:pt idx="2555">
                  <c:v>3.0015725628276257E-2</c:v>
                </c:pt>
                <c:pt idx="2556">
                  <c:v>3.0011003541474679E-2</c:v>
                </c:pt>
                <c:pt idx="2557">
                  <c:v>3.0006291796800255E-2</c:v>
                </c:pt>
                <c:pt idx="2558">
                  <c:v>3.0001590393933242E-2</c:v>
                </c:pt>
                <c:pt idx="2559">
                  <c:v>2.9996899332873639E-2</c:v>
                </c:pt>
                <c:pt idx="2560">
                  <c:v>2.9992218613941191E-2</c:v>
                </c:pt>
                <c:pt idx="2561">
                  <c:v>2.9987548236976025E-2</c:v>
                </c:pt>
                <c:pt idx="2562">
                  <c:v>2.9982888201738334E-2</c:v>
                </c:pt>
                <c:pt idx="2563">
                  <c:v>2.9978238508467925E-2</c:v>
                </c:pt>
                <c:pt idx="2564">
                  <c:v>2.9972275527798686E-2</c:v>
                </c:pt>
                <c:pt idx="2565">
                  <c:v>2.9968970147828955E-2</c:v>
                </c:pt>
                <c:pt idx="2566">
                  <c:v>2.9964351480220586E-2</c:v>
                </c:pt>
                <c:pt idx="2567">
                  <c:v>2.9959743154739371E-2</c:v>
                </c:pt>
                <c:pt idx="2568">
                  <c:v>2.9954489160539666E-2</c:v>
                </c:pt>
                <c:pt idx="2569">
                  <c:v>2.9950557529518917E-2</c:v>
                </c:pt>
                <c:pt idx="2570">
                  <c:v>2.9945980229699742E-2</c:v>
                </c:pt>
                <c:pt idx="2571">
                  <c:v>2.9941413271927786E-2</c:v>
                </c:pt>
                <c:pt idx="2572">
                  <c:v>2.993620655511009E-2</c:v>
                </c:pt>
                <c:pt idx="2573">
                  <c:v>2.9932310381965976E-2</c:v>
                </c:pt>
                <c:pt idx="2574">
                  <c:v>2.9927774449856059E-2</c:v>
                </c:pt>
                <c:pt idx="2575">
                  <c:v>2.9923248859713425E-2</c:v>
                </c:pt>
                <c:pt idx="2576">
                  <c:v>2.9918733611538073E-2</c:v>
                </c:pt>
                <c:pt idx="2577">
                  <c:v>2.991422870501026E-2</c:v>
                </c:pt>
                <c:pt idx="2578">
                  <c:v>2.9909734140609601E-2</c:v>
                </c:pt>
                <c:pt idx="2579">
                  <c:v>2.990524991825616E-2</c:v>
                </c:pt>
                <c:pt idx="2580">
                  <c:v>2.9900776037790067E-2</c:v>
                </c:pt>
                <c:pt idx="2581">
                  <c:v>2.9896312498891575E-2</c:v>
                </c:pt>
                <c:pt idx="2582">
                  <c:v>2.989185930228011E-2</c:v>
                </c:pt>
                <c:pt idx="2583">
                  <c:v>2.9887416447555992E-2</c:v>
                </c:pt>
                <c:pt idx="2584">
                  <c:v>2.9882983934559348E-2</c:v>
                </c:pt>
                <c:pt idx="2585">
                  <c:v>2.9877930869233182E-2</c:v>
                </c:pt>
                <c:pt idx="2586">
                  <c:v>2.9874149934547845E-2</c:v>
                </c:pt>
                <c:pt idx="2587">
                  <c:v>2.9869748447373112E-2</c:v>
                </c:pt>
                <c:pt idx="2588">
                  <c:v>2.9865357302005791E-2</c:v>
                </c:pt>
                <c:pt idx="2589">
                  <c:v>2.9860976498845559E-2</c:v>
                </c:pt>
                <c:pt idx="2590">
                  <c:v>2.9856606037412803E-2</c:v>
                </c:pt>
                <c:pt idx="2591">
                  <c:v>2.9852245917947329E-2</c:v>
                </c:pt>
                <c:pt idx="2592">
                  <c:v>2.9847896140209329E-2</c:v>
                </c:pt>
                <c:pt idx="2593">
                  <c:v>2.984355670467842E-2</c:v>
                </c:pt>
                <c:pt idx="2594">
                  <c:v>2.9839227610954921E-2</c:v>
                </c:pt>
                <c:pt idx="2595">
                  <c:v>2.9834908859038833E-2</c:v>
                </c:pt>
                <c:pt idx="2596">
                  <c:v>2.9829985806193449E-2</c:v>
                </c:pt>
                <c:pt idx="2597">
                  <c:v>2.9826302381108505E-2</c:v>
                </c:pt>
                <c:pt idx="2598">
                  <c:v>2.9822014655094264E-2</c:v>
                </c:pt>
                <c:pt idx="2599">
                  <c:v>2.9817737270727562E-2</c:v>
                </c:pt>
                <c:pt idx="2600">
                  <c:v>2.9813470228567951E-2</c:v>
                </c:pt>
                <c:pt idx="2601">
                  <c:v>2.980921352821575E-2</c:v>
                </c:pt>
                <c:pt idx="2602">
                  <c:v>2.9803755823847311E-2</c:v>
                </c:pt>
                <c:pt idx="2603">
                  <c:v>2.9800126852084219E-2</c:v>
                </c:pt>
                <c:pt idx="2604">
                  <c:v>2.9796505478483226E-2</c:v>
                </c:pt>
                <c:pt idx="2605">
                  <c:v>2.9792290145760347E-2</c:v>
                </c:pt>
                <c:pt idx="2606">
                  <c:v>2.9788085154844879E-2</c:v>
                </c:pt>
                <c:pt idx="2607">
                  <c:v>2.9783890505896693E-2</c:v>
                </c:pt>
                <c:pt idx="2608">
                  <c:v>2.977970619891579E-2</c:v>
                </c:pt>
                <c:pt idx="2609">
                  <c:v>2.9775532233902169E-2</c:v>
                </c:pt>
                <c:pt idx="2610">
                  <c:v>2.9771368610536086E-2</c:v>
                </c:pt>
                <c:pt idx="2611">
                  <c:v>2.9767215329377095E-2</c:v>
                </c:pt>
                <c:pt idx="2612">
                  <c:v>2.9763072390025513E-2</c:v>
                </c:pt>
                <c:pt idx="2613">
                  <c:v>2.9758939792401407E-2</c:v>
                </c:pt>
                <c:pt idx="2614">
                  <c:v>2.9754817536824518E-2</c:v>
                </c:pt>
                <c:pt idx="2615">
                  <c:v>2.9750705623294849E-2</c:v>
                </c:pt>
                <c:pt idx="2616">
                  <c:v>2.9746604051492653E-2</c:v>
                </c:pt>
                <c:pt idx="2617">
                  <c:v>2.9742512821577805E-2</c:v>
                </c:pt>
                <c:pt idx="2618">
                  <c:v>2.9738431933710174E-2</c:v>
                </c:pt>
                <c:pt idx="2619">
                  <c:v>2.9733200274044691E-2</c:v>
                </c:pt>
                <c:pt idx="2620">
                  <c:v>2.9730301183557017E-2</c:v>
                </c:pt>
                <c:pt idx="2621">
                  <c:v>2.9725673613709702E-2</c:v>
                </c:pt>
                <c:pt idx="2622">
                  <c:v>2.972221180087331E-2</c:v>
                </c:pt>
                <c:pt idx="2623">
                  <c:v>2.9718182622442413E-2</c:v>
                </c:pt>
                <c:pt idx="2624">
                  <c:v>2.9713590510631605E-2</c:v>
                </c:pt>
                <c:pt idx="2625">
                  <c:v>2.9710155291242657E-2</c:v>
                </c:pt>
                <c:pt idx="2626">
                  <c:v>2.9706157138553735E-2</c:v>
                </c:pt>
                <c:pt idx="2627">
                  <c:v>2.9702169327672223E-2</c:v>
                </c:pt>
                <c:pt idx="2628">
                  <c:v>2.9698191858678058E-2</c:v>
                </c:pt>
                <c:pt idx="2629">
                  <c:v>2.9694224731731111E-2</c:v>
                </c:pt>
                <c:pt idx="2630">
                  <c:v>2.9690267946591575E-2</c:v>
                </c:pt>
                <c:pt idx="2631">
                  <c:v>2.968632150325945E-2</c:v>
                </c:pt>
                <c:pt idx="2632">
                  <c:v>2.9682385401974543E-2</c:v>
                </c:pt>
                <c:pt idx="2633">
                  <c:v>2.9678459642576982E-2</c:v>
                </c:pt>
                <c:pt idx="2634">
                  <c:v>2.9674544224986832E-2</c:v>
                </c:pt>
                <c:pt idx="2635">
                  <c:v>2.9670639149363964E-2</c:v>
                </c:pt>
                <c:pt idx="2636">
                  <c:v>2.9666744415708379E-2</c:v>
                </c:pt>
                <c:pt idx="2637">
                  <c:v>2.9662305954829549E-2</c:v>
                </c:pt>
                <c:pt idx="2638">
                  <c:v>2.9658985973819441E-2</c:v>
                </c:pt>
                <c:pt idx="2639">
                  <c:v>2.9655122265666023E-2</c:v>
                </c:pt>
                <c:pt idx="2640">
                  <c:v>2.9651268899719696E-2</c:v>
                </c:pt>
                <c:pt idx="2641">
                  <c:v>2.9647425875340971E-2</c:v>
                </c:pt>
                <c:pt idx="2642">
                  <c:v>2.9643593193009465E-2</c:v>
                </c:pt>
                <c:pt idx="2643">
                  <c:v>2.9639770852565306E-2</c:v>
                </c:pt>
                <c:pt idx="2644">
                  <c:v>2.9635958854008493E-2</c:v>
                </c:pt>
                <c:pt idx="2645">
                  <c:v>2.9632157197339026E-2</c:v>
                </c:pt>
                <c:pt idx="2646">
                  <c:v>2.962836588247697E-2</c:v>
                </c:pt>
                <c:pt idx="2647">
                  <c:v>2.9624584909742069E-2</c:v>
                </c:pt>
                <c:pt idx="2648">
                  <c:v>2.9620814278734642E-2</c:v>
                </c:pt>
                <c:pt idx="2649">
                  <c:v>2.9617053989534625E-2</c:v>
                </c:pt>
                <c:pt idx="2650">
                  <c:v>2.9613304042301891E-2</c:v>
                </c:pt>
                <c:pt idx="2651">
                  <c:v>2.960956443703644E-2</c:v>
                </c:pt>
                <c:pt idx="2652">
                  <c:v>2.9605835173738271E-2</c:v>
                </c:pt>
                <c:pt idx="2653">
                  <c:v>2.9602116252007704E-2</c:v>
                </c:pt>
                <c:pt idx="2654">
                  <c:v>2.9597349977832366E-2</c:v>
                </c:pt>
                <c:pt idx="2655">
                  <c:v>2.9593654694952676E-2</c:v>
                </c:pt>
                <c:pt idx="2656">
                  <c:v>2.9590495540894324E-2</c:v>
                </c:pt>
                <c:pt idx="2657">
                  <c:v>2.9586819464331171E-2</c:v>
                </c:pt>
                <c:pt idx="2658">
                  <c:v>2.9582630897477813E-2</c:v>
                </c:pt>
                <c:pt idx="2659">
                  <c:v>2.9579498336786969E-2</c:v>
                </c:pt>
                <c:pt idx="2660">
                  <c:v>2.9575853285965792E-2</c:v>
                </c:pt>
                <c:pt idx="2661">
                  <c:v>2.9572218577031961E-2</c:v>
                </c:pt>
                <c:pt idx="2662">
                  <c:v>2.9568077287480676E-2</c:v>
                </c:pt>
                <c:pt idx="2663">
                  <c:v>2.9564980184666467E-2</c:v>
                </c:pt>
                <c:pt idx="2664">
                  <c:v>2.9561376501394676E-2</c:v>
                </c:pt>
                <c:pt idx="2665">
                  <c:v>2.9557783159850359E-2</c:v>
                </c:pt>
                <c:pt idx="2666">
                  <c:v>2.9554200160353261E-2</c:v>
                </c:pt>
                <c:pt idx="2667">
                  <c:v>2.9550627502743509E-2</c:v>
                </c:pt>
                <c:pt idx="2668">
                  <c:v>2.9547065187021104E-2</c:v>
                </c:pt>
                <c:pt idx="2669">
                  <c:v>2.9543513213026174E-2</c:v>
                </c:pt>
                <c:pt idx="2670">
                  <c:v>2.9540880709237882E-2</c:v>
                </c:pt>
                <c:pt idx="2671">
                  <c:v>2.953644029093816E-2</c:v>
                </c:pt>
                <c:pt idx="2672">
                  <c:v>2.953291934276514E-2</c:v>
                </c:pt>
                <c:pt idx="2673">
                  <c:v>2.9528908065454829E-2</c:v>
                </c:pt>
                <c:pt idx="2674">
                  <c:v>2.9525908472081142E-2</c:v>
                </c:pt>
                <c:pt idx="2675">
                  <c:v>2.952241854941029E-2</c:v>
                </c:pt>
                <c:pt idx="2676">
                  <c:v>2.9518442730056549E-2</c:v>
                </c:pt>
                <c:pt idx="2677">
                  <c:v>2.9515469729970434E-2</c:v>
                </c:pt>
                <c:pt idx="2678">
                  <c:v>2.9512010833121494E-2</c:v>
                </c:pt>
                <c:pt idx="2679">
                  <c:v>2.9508562278079964E-2</c:v>
                </c:pt>
                <c:pt idx="2680">
                  <c:v>2.9505124064845845E-2</c:v>
                </c:pt>
                <c:pt idx="2681">
                  <c:v>2.9501696193579008E-2</c:v>
                </c:pt>
                <c:pt idx="2682">
                  <c:v>2.9498278664279454E-2</c:v>
                </c:pt>
                <c:pt idx="2683">
                  <c:v>2.9494871476707374E-2</c:v>
                </c:pt>
                <c:pt idx="2684">
                  <c:v>2.9491474631102577E-2</c:v>
                </c:pt>
                <c:pt idx="2685">
                  <c:v>2.9488088127465062E-2</c:v>
                </c:pt>
                <c:pt idx="2686">
                  <c:v>2.9484711965634958E-2</c:v>
                </c:pt>
                <c:pt idx="2687">
                  <c:v>2.9481346145532328E-2</c:v>
                </c:pt>
                <c:pt idx="2688">
                  <c:v>2.9477990667556853E-2</c:v>
                </c:pt>
                <c:pt idx="2689">
                  <c:v>2.9474168498895281E-2</c:v>
                </c:pt>
                <c:pt idx="2690">
                  <c:v>2.9470835182072719E-2</c:v>
                </c:pt>
                <c:pt idx="2691">
                  <c:v>2.9467986284554826E-2</c:v>
                </c:pt>
                <c:pt idx="2692">
                  <c:v>2.94646721740488E-2</c:v>
                </c:pt>
                <c:pt idx="2693">
                  <c:v>2.9461368405350186E-2</c:v>
                </c:pt>
                <c:pt idx="2694">
                  <c:v>2.9458074978618853E-2</c:v>
                </c:pt>
                <c:pt idx="2695">
                  <c:v>2.9454791893614996E-2</c:v>
                </c:pt>
                <c:pt idx="2696">
                  <c:v>2.9451052460052196E-2</c:v>
                </c:pt>
                <c:pt idx="2697">
                  <c:v>2.9448256749509127E-2</c:v>
                </c:pt>
                <c:pt idx="2698">
                  <c:v>2.9445004690087373E-2</c:v>
                </c:pt>
                <c:pt idx="2699">
                  <c:v>2.9441762972792773E-2</c:v>
                </c:pt>
                <c:pt idx="2700">
                  <c:v>2.9438070816372175E-2</c:v>
                </c:pt>
                <c:pt idx="2701">
                  <c:v>2.9435310563625805E-2</c:v>
                </c:pt>
                <c:pt idx="2702">
                  <c:v>2.9432099871753437E-2</c:v>
                </c:pt>
                <c:pt idx="2703">
                  <c:v>2.9428899521928287E-2</c:v>
                </c:pt>
                <c:pt idx="2704">
                  <c:v>2.9425709513990483E-2</c:v>
                </c:pt>
                <c:pt idx="2705">
                  <c:v>2.9422529847780154E-2</c:v>
                </c:pt>
                <c:pt idx="2706">
                  <c:v>2.9420409485201304E-2</c:v>
                </c:pt>
                <c:pt idx="2707">
                  <c:v>2.9417254419499272E-2</c:v>
                </c:pt>
                <c:pt idx="2708">
                  <c:v>2.9412603939125148E-2</c:v>
                </c:pt>
                <c:pt idx="2709">
                  <c:v>2.9409467117922361E-2</c:v>
                </c:pt>
                <c:pt idx="2710">
                  <c:v>2.9406340638526984E-2</c:v>
                </c:pt>
                <c:pt idx="2711">
                  <c:v>2.940322450109889E-2</c:v>
                </c:pt>
                <c:pt idx="2712">
                  <c:v>2.9400118705478206E-2</c:v>
                </c:pt>
                <c:pt idx="2713">
                  <c:v>2.9397023251824805E-2</c:v>
                </c:pt>
                <c:pt idx="2714">
                  <c:v>2.9393938139818943E-2</c:v>
                </c:pt>
                <c:pt idx="2715">
                  <c:v>2.9390863369940234E-2</c:v>
                </c:pt>
                <c:pt idx="2716">
                  <c:v>2.9387798941868937E-2</c:v>
                </c:pt>
                <c:pt idx="2717">
                  <c:v>2.9384744855525113E-2</c:v>
                </c:pt>
                <c:pt idx="2718">
                  <c:v>2.9381701111148573E-2</c:v>
                </c:pt>
                <c:pt idx="2719">
                  <c:v>2.9382598275971006E-2</c:v>
                </c:pt>
                <c:pt idx="2720">
                  <c:v>2.9373921828170779E-2</c:v>
                </c:pt>
                <c:pt idx="2721">
                  <c:v>2.9370915019208965E-2</c:v>
                </c:pt>
                <c:pt idx="2722">
                  <c:v>2.9367918551974626E-2</c:v>
                </c:pt>
                <c:pt idx="2723">
                  <c:v>2.9364932426627632E-2</c:v>
                </c:pt>
                <c:pt idx="2724">
                  <c:v>2.936153237534711E-2</c:v>
                </c:pt>
                <c:pt idx="2725">
                  <c:v>2.9358991201515749E-2</c:v>
                </c:pt>
                <c:pt idx="2726">
                  <c:v>2.9356036101830796E-2</c:v>
                </c:pt>
                <c:pt idx="2727">
                  <c:v>2.9352671508506845E-2</c:v>
                </c:pt>
                <c:pt idx="2728">
                  <c:v>2.935015692788312E-2</c:v>
                </c:pt>
                <c:pt idx="2729">
                  <c:v>2.934723285378027E-2</c:v>
                </c:pt>
                <c:pt idx="2730">
                  <c:v>2.934431912148483E-2</c:v>
                </c:pt>
                <c:pt idx="2731">
                  <c:v>2.9341415731076737E-2</c:v>
                </c:pt>
                <c:pt idx="2732">
                  <c:v>2.9338522682715862E-2</c:v>
                </c:pt>
                <c:pt idx="2733">
                  <c:v>2.9335639976002525E-2</c:v>
                </c:pt>
                <c:pt idx="2734">
                  <c:v>2.9332767611176536E-2</c:v>
                </c:pt>
                <c:pt idx="2735">
                  <c:v>2.9329905588317828E-2</c:v>
                </c:pt>
                <c:pt idx="2736">
                  <c:v>2.9327053907346468E-2</c:v>
                </c:pt>
                <c:pt idx="2737">
                  <c:v>2.9324212568102581E-2</c:v>
                </c:pt>
                <c:pt idx="2738">
                  <c:v>2.9321381570825977E-2</c:v>
                </c:pt>
                <c:pt idx="2739">
                  <c:v>2.931856091543672E-2</c:v>
                </c:pt>
                <c:pt idx="2740">
                  <c:v>2.9315349972725002E-2</c:v>
                </c:pt>
                <c:pt idx="2741">
                  <c:v>2.9312950630080437E-2</c:v>
                </c:pt>
                <c:pt idx="2742">
                  <c:v>2.9310161000273283E-2</c:v>
                </c:pt>
                <c:pt idx="2743">
                  <c:v>2.9307381712433411E-2</c:v>
                </c:pt>
                <c:pt idx="2744">
                  <c:v>2.9304612766241078E-2</c:v>
                </c:pt>
                <c:pt idx="2745">
                  <c:v>2.9301854161936092E-2</c:v>
                </c:pt>
                <c:pt idx="2746">
                  <c:v>2.9299105899678324E-2</c:v>
                </c:pt>
                <c:pt idx="2747">
                  <c:v>2.929636797914803E-2</c:v>
                </c:pt>
                <c:pt idx="2748">
                  <c:v>2.9293640400425147E-2</c:v>
                </c:pt>
                <c:pt idx="2749">
                  <c:v>2.9290923163749483E-2</c:v>
                </c:pt>
                <c:pt idx="2750">
                  <c:v>2.9288216268961165E-2</c:v>
                </c:pt>
                <c:pt idx="2751">
                  <c:v>2.9285519715900321E-2</c:v>
                </c:pt>
                <c:pt idx="2752">
                  <c:v>2.9282833504566952E-2</c:v>
                </c:pt>
                <c:pt idx="2753">
                  <c:v>2.9280157635360737E-2</c:v>
                </c:pt>
                <c:pt idx="2754">
                  <c:v>2.9277112162446883E-2</c:v>
                </c:pt>
                <c:pt idx="2755">
                  <c:v>2.927483692237054E-2</c:v>
                </c:pt>
                <c:pt idx="2756">
                  <c:v>2.9272192078586556E-2</c:v>
                </c:pt>
                <c:pt idx="2757">
                  <c:v>2.9269557576849792E-2</c:v>
                </c:pt>
                <c:pt idx="2758">
                  <c:v>2.9267188330930338E-2</c:v>
                </c:pt>
                <c:pt idx="2759">
                  <c:v>2.9263947040334415E-2</c:v>
                </c:pt>
                <c:pt idx="2760">
                  <c:v>2.9261716122324088E-2</c:v>
                </c:pt>
                <c:pt idx="2761">
                  <c:v>2.9259122987896902E-2</c:v>
                </c:pt>
                <c:pt idx="2762">
                  <c:v>2.9256540195436997E-2</c:v>
                </c:pt>
                <c:pt idx="2763">
                  <c:v>2.9253967744704568E-2</c:v>
                </c:pt>
                <c:pt idx="2764">
                  <c:v>2.9251405636019356E-2</c:v>
                </c:pt>
                <c:pt idx="2765">
                  <c:v>2.9248853868981683E-2</c:v>
                </c:pt>
                <c:pt idx="2766">
                  <c:v>2.9246312443911293E-2</c:v>
                </c:pt>
                <c:pt idx="2767">
                  <c:v>2.9243781360568377E-2</c:v>
                </c:pt>
                <c:pt idx="2768">
                  <c:v>2.9241260619352616E-2</c:v>
                </c:pt>
                <c:pt idx="2769">
                  <c:v>2.9238750219864329E-2</c:v>
                </c:pt>
                <c:pt idx="2770">
                  <c:v>2.9236250162103516E-2</c:v>
                </c:pt>
                <c:pt idx="2771">
                  <c:v>2.9233760446389923E-2</c:v>
                </c:pt>
                <c:pt idx="2772">
                  <c:v>2.9231281072403803E-2</c:v>
                </c:pt>
                <c:pt idx="2773">
                  <c:v>2.9228812040464902E-2</c:v>
                </c:pt>
                <c:pt idx="2774">
                  <c:v>2.9225652766822208E-2</c:v>
                </c:pt>
                <c:pt idx="2775">
                  <c:v>2.9223905001849459E-2</c:v>
                </c:pt>
                <c:pt idx="2776">
                  <c:v>2.9221119552937935E-2</c:v>
                </c:pt>
                <c:pt idx="2777">
                  <c:v>2.9219039330703467E-2</c:v>
                </c:pt>
                <c:pt idx="2778">
                  <c:v>2.921662200796149E-2</c:v>
                </c:pt>
                <c:pt idx="2779">
                  <c:v>2.921421502710686E-2</c:v>
                </c:pt>
                <c:pt idx="2780">
                  <c:v>2.9211476855257601E-2</c:v>
                </c:pt>
                <c:pt idx="2781">
                  <c:v>2.9209432090739895E-2</c:v>
                </c:pt>
                <c:pt idx="2782">
                  <c:v>2.9207056135547305E-2</c:v>
                </c:pt>
                <c:pt idx="2783">
                  <c:v>2.9204690522002252E-2</c:v>
                </c:pt>
                <c:pt idx="2784">
                  <c:v>2.9202335250264611E-2</c:v>
                </c:pt>
                <c:pt idx="2785">
                  <c:v>2.9199990320574187E-2</c:v>
                </c:pt>
                <c:pt idx="2786">
                  <c:v>2.9197655732691175E-2</c:v>
                </c:pt>
                <c:pt idx="2787">
                  <c:v>2.9195331486615572E-2</c:v>
                </c:pt>
                <c:pt idx="2788">
                  <c:v>2.9193017582427316E-2</c:v>
                </c:pt>
                <c:pt idx="2789">
                  <c:v>2.9190714020206343E-2</c:v>
                </c:pt>
                <c:pt idx="2790">
                  <c:v>2.9188420799712844E-2</c:v>
                </c:pt>
                <c:pt idx="2791">
                  <c:v>2.9186137921106692E-2</c:v>
                </c:pt>
                <c:pt idx="2792">
                  <c:v>2.9183865384228014E-2</c:v>
                </c:pt>
                <c:pt idx="2793">
                  <c:v>2.9181280862831116E-2</c:v>
                </c:pt>
                <c:pt idx="2794">
                  <c:v>2.9179351336452442E-2</c:v>
                </c:pt>
                <c:pt idx="2795">
                  <c:v>2.9177109825075931E-2</c:v>
                </c:pt>
                <c:pt idx="2796">
                  <c:v>2.9174878655746639E-2</c:v>
                </c:pt>
                <c:pt idx="2797">
                  <c:v>2.9172657828384629E-2</c:v>
                </c:pt>
                <c:pt idx="2798">
                  <c:v>2.9170447342750094E-2</c:v>
                </c:pt>
                <c:pt idx="2799">
                  <c:v>2.9168247198843034E-2</c:v>
                </c:pt>
                <c:pt idx="2800">
                  <c:v>2.9166057397063128E-2</c:v>
                </c:pt>
                <c:pt idx="2801">
                  <c:v>2.9163877936850824E-2</c:v>
                </c:pt>
                <c:pt idx="2802">
                  <c:v>2.9161708818845611E-2</c:v>
                </c:pt>
                <c:pt idx="2803">
                  <c:v>2.9159550042248128E-2</c:v>
                </c:pt>
                <c:pt idx="2804">
                  <c:v>2.9157095532772459E-2</c:v>
                </c:pt>
                <c:pt idx="2805">
                  <c:v>2.9155263515194818E-2</c:v>
                </c:pt>
                <c:pt idx="2806">
                  <c:v>2.9152832644250282E-2</c:v>
                </c:pt>
                <c:pt idx="2807">
                  <c:v>2.9151018355451086E-2</c:v>
                </c:pt>
                <c:pt idx="2808">
                  <c:v>2.9148911288370272E-2</c:v>
                </c:pt>
                <c:pt idx="2809">
                  <c:v>2.9146814563176804E-2</c:v>
                </c:pt>
                <c:pt idx="2810">
                  <c:v>2.9144133969749575E-2</c:v>
                </c:pt>
                <c:pt idx="2811">
                  <c:v>2.914176557203163E-2</c:v>
                </c:pt>
                <c:pt idx="2812">
                  <c:v>2.9140292182781025E-2</c:v>
                </c:pt>
                <c:pt idx="2813">
                  <c:v>2.913823830235529E-2</c:v>
                </c:pt>
                <c:pt idx="2814">
                  <c:v>2.9136194763816903E-2</c:v>
                </c:pt>
                <c:pt idx="2815">
                  <c:v>2.9134161567085926E-2</c:v>
                </c:pt>
                <c:pt idx="2816">
                  <c:v>2.9132138712322231E-2</c:v>
                </c:pt>
                <c:pt idx="2817">
                  <c:v>2.9130126199206074E-2</c:v>
                </c:pt>
                <c:pt idx="2818">
                  <c:v>2.9128124028057201E-2</c:v>
                </c:pt>
                <c:pt idx="2819">
                  <c:v>2.9126132198715737E-2</c:v>
                </c:pt>
                <c:pt idx="2820">
                  <c:v>2.9124150711341557E-2</c:v>
                </c:pt>
                <c:pt idx="2821">
                  <c:v>2.9122179565774786E-2</c:v>
                </c:pt>
                <c:pt idx="2822">
                  <c:v>2.912021876193549E-2</c:v>
                </c:pt>
                <c:pt idx="2823">
                  <c:v>2.9118268300063477E-2</c:v>
                </c:pt>
                <c:pt idx="2824">
                  <c:v>2.9116328179918938E-2</c:v>
                </c:pt>
                <c:pt idx="2825">
                  <c:v>2.911384893606872E-2</c:v>
                </c:pt>
                <c:pt idx="2826">
                  <c:v>2.9112478965291899E-2</c:v>
                </c:pt>
                <c:pt idx="2827">
                  <c:v>2.9110569870969272E-2</c:v>
                </c:pt>
                <c:pt idx="2828">
                  <c:v>2.9108400712116733E-2</c:v>
                </c:pt>
                <c:pt idx="2829">
                  <c:v>2.9106782707426504E-2</c:v>
                </c:pt>
                <c:pt idx="2830">
                  <c:v>2.9104904638446172E-2</c:v>
                </c:pt>
                <c:pt idx="2831">
                  <c:v>2.9103036911353186E-2</c:v>
                </c:pt>
                <c:pt idx="2832">
                  <c:v>2.9100915029642849E-2</c:v>
                </c:pt>
                <c:pt idx="2833">
                  <c:v>2.9099332482669382E-2</c:v>
                </c:pt>
                <c:pt idx="2834">
                  <c:v>2.90974957811585E-2</c:v>
                </c:pt>
                <c:pt idx="2835">
                  <c:v>2.9095669421534964E-2</c:v>
                </c:pt>
                <c:pt idx="2836">
                  <c:v>2.9093853403558967E-2</c:v>
                </c:pt>
                <c:pt idx="2837">
                  <c:v>2.9092047727470316E-2</c:v>
                </c:pt>
                <c:pt idx="2838">
                  <c:v>2.9090252393428884E-2</c:v>
                </c:pt>
                <c:pt idx="2839">
                  <c:v>2.9088467401114926E-2</c:v>
                </c:pt>
                <c:pt idx="2840">
                  <c:v>2.9086692750528442E-2</c:v>
                </c:pt>
                <c:pt idx="2841">
                  <c:v>2.9084928442069113E-2</c:v>
                </c:pt>
                <c:pt idx="2842">
                  <c:v>2.9083174475257323E-2</c:v>
                </c:pt>
                <c:pt idx="2843">
                  <c:v>2.9081430850332879E-2</c:v>
                </c:pt>
                <c:pt idx="2844">
                  <c:v>2.9079697567055973E-2</c:v>
                </c:pt>
                <c:pt idx="2845">
                  <c:v>2.9077729335638125E-2</c:v>
                </c:pt>
                <c:pt idx="2846">
                  <c:v>2.9076262026563882E-2</c:v>
                </c:pt>
                <c:pt idx="2847">
                  <c:v>2.9074559768949015E-2</c:v>
                </c:pt>
                <c:pt idx="2848">
                  <c:v>2.9072867853301432E-2</c:v>
                </c:pt>
                <c:pt idx="2849">
                  <c:v>2.9071186279461259E-2</c:v>
                </c:pt>
                <c:pt idx="2850">
                  <c:v>2.9069515047508432E-2</c:v>
                </c:pt>
                <c:pt idx="2851">
                  <c:v>2.906785415728308E-2</c:v>
                </c:pt>
                <c:pt idx="2852">
                  <c:v>2.906620360902501E-2</c:v>
                </c:pt>
                <c:pt idx="2853">
                  <c:v>2.906456340257435E-2</c:v>
                </c:pt>
                <c:pt idx="2854">
                  <c:v>2.9062933537931102E-2</c:v>
                </c:pt>
                <c:pt idx="2855">
                  <c:v>2.9061314015095263E-2</c:v>
                </c:pt>
                <c:pt idx="2856">
                  <c:v>2.9059475795438772E-2</c:v>
                </c:pt>
                <c:pt idx="2857">
                  <c:v>2.9058105995165562E-2</c:v>
                </c:pt>
                <c:pt idx="2858">
                  <c:v>2.9056517497831891E-2</c:v>
                </c:pt>
                <c:pt idx="2859">
                  <c:v>2.9054939342465502E-2</c:v>
                </c:pt>
                <c:pt idx="2860">
                  <c:v>2.905337152898646E-2</c:v>
                </c:pt>
                <c:pt idx="2861">
                  <c:v>2.9051814057234893E-2</c:v>
                </c:pt>
                <c:pt idx="2862">
                  <c:v>2.904982678976431E-2</c:v>
                </c:pt>
                <c:pt idx="2863">
                  <c:v>2.9048511442413272E-2</c:v>
                </c:pt>
                <c:pt idx="2864">
                  <c:v>2.9047203693144397E-2</c:v>
                </c:pt>
                <c:pt idx="2865">
                  <c:v>2.9045687588862279E-2</c:v>
                </c:pt>
                <c:pt idx="2866">
                  <c:v>2.9044181826307636E-2</c:v>
                </c:pt>
                <c:pt idx="2867">
                  <c:v>2.9042686405800211E-2</c:v>
                </c:pt>
                <c:pt idx="2868">
                  <c:v>2.9041201326940325E-2</c:v>
                </c:pt>
                <c:pt idx="2869">
                  <c:v>2.9039726589967785E-2</c:v>
                </c:pt>
                <c:pt idx="2870">
                  <c:v>2.9038262194882591E-2</c:v>
                </c:pt>
                <c:pt idx="2871">
                  <c:v>2.9036808141684745E-2</c:v>
                </c:pt>
                <c:pt idx="2872">
                  <c:v>2.9035364430294308E-2</c:v>
                </c:pt>
                <c:pt idx="2873">
                  <c:v>2.9033931060631346E-2</c:v>
                </c:pt>
                <c:pt idx="2874">
                  <c:v>2.9032508032935667E-2</c:v>
                </c:pt>
                <c:pt idx="2875">
                  <c:v>2.9030693621914239E-2</c:v>
                </c:pt>
                <c:pt idx="2876">
                  <c:v>2.9029693002886603E-2</c:v>
                </c:pt>
                <c:pt idx="2877">
                  <c:v>2.9028301000693091E-2</c:v>
                </c:pt>
                <c:pt idx="2878">
                  <c:v>2.9026919340386925E-2</c:v>
                </c:pt>
                <c:pt idx="2879">
                  <c:v>2.902554802188817E-2</c:v>
                </c:pt>
                <c:pt idx="2880">
                  <c:v>2.9023993464125653E-2</c:v>
                </c:pt>
                <c:pt idx="2881">
                  <c:v>2.9022836410392827E-2</c:v>
                </c:pt>
                <c:pt idx="2882">
                  <c:v>2.9021496117396239E-2</c:v>
                </c:pt>
                <c:pt idx="2883">
                  <c:v>2.9020166166207062E-2</c:v>
                </c:pt>
                <c:pt idx="2884">
                  <c:v>2.9018658885506809E-2</c:v>
                </c:pt>
                <c:pt idx="2885">
                  <c:v>2.9017537289490747E-2</c:v>
                </c:pt>
                <c:pt idx="2886">
                  <c:v>2.9016238363883673E-2</c:v>
                </c:pt>
                <c:pt idx="2887">
                  <c:v>2.9014949779924137E-2</c:v>
                </c:pt>
                <c:pt idx="2888">
                  <c:v>2.9013671538091756E-2</c:v>
                </c:pt>
                <c:pt idx="2889">
                  <c:v>2.901240363798685E-2</c:v>
                </c:pt>
                <c:pt idx="2890">
                  <c:v>2.901114607976929E-2</c:v>
                </c:pt>
                <c:pt idx="2891">
                  <c:v>2.9009898863279204E-2</c:v>
                </c:pt>
                <c:pt idx="2892">
                  <c:v>2.9008661988756401E-2</c:v>
                </c:pt>
                <c:pt idx="2893">
                  <c:v>2.9007435456041009E-2</c:v>
                </c:pt>
                <c:pt idx="2894">
                  <c:v>2.9006219264973154E-2</c:v>
                </c:pt>
                <c:pt idx="2895">
                  <c:v>2.9005013415952519E-2</c:v>
                </c:pt>
                <c:pt idx="2896">
                  <c:v>2.9003817908819229E-2</c:v>
                </c:pt>
                <c:pt idx="2897">
                  <c:v>2.900246427833153E-2</c:v>
                </c:pt>
                <c:pt idx="2898">
                  <c:v>2.900145791981501E-2</c:v>
                </c:pt>
                <c:pt idx="2899">
                  <c:v>2.9000293438263824E-2</c:v>
                </c:pt>
                <c:pt idx="2900">
                  <c:v>2.8999139298360177E-2</c:v>
                </c:pt>
                <c:pt idx="2901">
                  <c:v>2.899799550026394E-2</c:v>
                </c:pt>
                <c:pt idx="2902">
                  <c:v>2.8996862044134986E-2</c:v>
                </c:pt>
                <c:pt idx="2903">
                  <c:v>2.8995738929893378E-2</c:v>
                </c:pt>
                <c:pt idx="2904">
                  <c:v>2.8994626157379244E-2</c:v>
                </c:pt>
                <c:pt idx="2905">
                  <c:v>2.8993523726512649E-2</c:v>
                </c:pt>
                <c:pt idx="2906">
                  <c:v>2.8992431637853144E-2</c:v>
                </c:pt>
                <c:pt idx="2907">
                  <c:v>2.8991349890921114E-2</c:v>
                </c:pt>
                <c:pt idx="2908">
                  <c:v>2.8990126272114836E-2</c:v>
                </c:pt>
                <c:pt idx="2909">
                  <c:v>2.8989217422399349E-2</c:v>
                </c:pt>
                <c:pt idx="2910">
                  <c:v>2.8988166701049423E-2</c:v>
                </c:pt>
                <c:pt idx="2911">
                  <c:v>2.898712632142697E-2</c:v>
                </c:pt>
                <c:pt idx="2912">
                  <c:v>2.8986096283531992E-2</c:v>
                </c:pt>
                <c:pt idx="2913">
                  <c:v>2.8985076587604297E-2</c:v>
                </c:pt>
                <c:pt idx="2914">
                  <c:v>2.898378074617014E-2</c:v>
                </c:pt>
                <c:pt idx="2915">
                  <c:v>2.8982926349456761E-2</c:v>
                </c:pt>
                <c:pt idx="2916">
                  <c:v>2.898207955074561E-2</c:v>
                </c:pt>
                <c:pt idx="2917">
                  <c:v>2.8981101222207428E-2</c:v>
                </c:pt>
                <c:pt idx="2918">
                  <c:v>2.8980133235556593E-2</c:v>
                </c:pt>
                <c:pt idx="2919">
                  <c:v>2.8979175590713169E-2</c:v>
                </c:pt>
                <c:pt idx="2920">
                  <c:v>2.8978228287437346E-2</c:v>
                </c:pt>
                <c:pt idx="2921">
                  <c:v>2.8977291326368615E-2</c:v>
                </c:pt>
                <c:pt idx="2922">
                  <c:v>2.8976364706947422E-2</c:v>
                </c:pt>
                <c:pt idx="2923">
                  <c:v>2.8975448429253703E-2</c:v>
                </c:pt>
                <c:pt idx="2924">
                  <c:v>2.8974542493527267E-2</c:v>
                </c:pt>
                <c:pt idx="2925">
                  <c:v>2.8973646899768113E-2</c:v>
                </c:pt>
                <c:pt idx="2926">
                  <c:v>2.8972761647736434E-2</c:v>
                </c:pt>
                <c:pt idx="2927">
                  <c:v>2.8971886737512165E-2</c:v>
                </c:pt>
                <c:pt idx="2928">
                  <c:v>2.8971022169175242E-2</c:v>
                </c:pt>
                <c:pt idx="2929">
                  <c:v>2.897016794264573E-2</c:v>
                </c:pt>
                <c:pt idx="2930">
                  <c:v>2.8969084847432214E-2</c:v>
                </c:pt>
                <c:pt idx="2931">
                  <c:v>2.8968490515008938E-2</c:v>
                </c:pt>
                <c:pt idx="2932">
                  <c:v>2.8967667314141465E-2</c:v>
                </c:pt>
                <c:pt idx="2933">
                  <c:v>2.8966739176414791E-2</c:v>
                </c:pt>
                <c:pt idx="2934">
                  <c:v>2.8966051937588944E-2</c:v>
                </c:pt>
                <c:pt idx="2935">
                  <c:v>2.8965259762063766E-2</c:v>
                </c:pt>
                <c:pt idx="2936">
                  <c:v>2.8964367082053855E-2</c:v>
                </c:pt>
                <c:pt idx="2937">
                  <c:v>2.8963706436515579E-2</c:v>
                </c:pt>
                <c:pt idx="2938">
                  <c:v>2.8962945286412634E-2</c:v>
                </c:pt>
                <c:pt idx="2939">
                  <c:v>2.8962194478356906E-2</c:v>
                </c:pt>
                <c:pt idx="2940">
                  <c:v>2.8961454012108589E-2</c:v>
                </c:pt>
                <c:pt idx="2941">
                  <c:v>2.8960723887507811E-2</c:v>
                </c:pt>
                <c:pt idx="2942">
                  <c:v>2.8960004104874315E-2</c:v>
                </c:pt>
                <c:pt idx="2943">
                  <c:v>2.8959294664128166E-2</c:v>
                </c:pt>
                <c:pt idx="2944">
                  <c:v>2.8958595565189427E-2</c:v>
                </c:pt>
                <c:pt idx="2945">
                  <c:v>2.8957906807898226E-2</c:v>
                </c:pt>
                <c:pt idx="2946">
                  <c:v>2.8957228392654244E-2</c:v>
                </c:pt>
                <c:pt idx="2947">
                  <c:v>2.8956560319297608E-2</c:v>
                </c:pt>
                <c:pt idx="2948">
                  <c:v>2.8955902587508575E-2</c:v>
                </c:pt>
                <c:pt idx="2949">
                  <c:v>2.8955163557791153E-2</c:v>
                </c:pt>
                <c:pt idx="2950">
                  <c:v>2.8954618149912292E-2</c:v>
                </c:pt>
                <c:pt idx="2951">
                  <c:v>2.8953991443705362E-2</c:v>
                </c:pt>
                <c:pt idx="2952">
                  <c:v>2.8953375079465715E-2</c:v>
                </c:pt>
                <c:pt idx="2953">
                  <c:v>2.8952769057113414E-2</c:v>
                </c:pt>
                <c:pt idx="2954">
                  <c:v>2.8952173376408652E-2</c:v>
                </c:pt>
                <c:pt idx="2955">
                  <c:v>2.8951588037671172E-2</c:v>
                </c:pt>
                <c:pt idx="2956">
                  <c:v>2.8951013040661167E-2</c:v>
                </c:pt>
                <c:pt idx="2957">
                  <c:v>2.8950448385618444E-2</c:v>
                </c:pt>
                <c:pt idx="2958">
                  <c:v>2.8949894072303195E-2</c:v>
                </c:pt>
                <c:pt idx="2959">
                  <c:v>2.8949350100795357E-2</c:v>
                </c:pt>
                <c:pt idx="2960">
                  <c:v>2.8948816471254801E-2</c:v>
                </c:pt>
                <c:pt idx="2961">
                  <c:v>2.8948293183601592E-2</c:v>
                </c:pt>
                <c:pt idx="2962">
                  <c:v>2.8947780237595921E-2</c:v>
                </c:pt>
                <c:pt idx="2963">
                  <c:v>2.8947277633397661E-2</c:v>
                </c:pt>
                <c:pt idx="2964">
                  <c:v>2.8946785371246619E-2</c:v>
                </c:pt>
                <c:pt idx="2965">
                  <c:v>2.8946303450902988E-2</c:v>
                </c:pt>
                <c:pt idx="2966">
                  <c:v>2.8945699034945704E-2</c:v>
                </c:pt>
                <c:pt idx="2967">
                  <c:v>2.894524075305327E-2</c:v>
                </c:pt>
                <c:pt idx="2968">
                  <c:v>2.8944856171246869E-2</c:v>
                </c:pt>
                <c:pt idx="2969">
                  <c:v>2.8944417095591035E-2</c:v>
                </c:pt>
                <c:pt idx="2970">
                  <c:v>2.8943927958300364E-2</c:v>
                </c:pt>
                <c:pt idx="2971">
                  <c:v>2.8943569969861471E-2</c:v>
                </c:pt>
                <c:pt idx="2972">
                  <c:v>2.8943161919547933E-2</c:v>
                </c:pt>
                <c:pt idx="2973">
                  <c:v>2.8942764211361549E-2</c:v>
                </c:pt>
                <c:pt idx="2974">
                  <c:v>2.8942322350973271E-2</c:v>
                </c:pt>
                <c:pt idx="2975">
                  <c:v>2.8941999820091269E-2</c:v>
                </c:pt>
                <c:pt idx="2976">
                  <c:v>2.8941633137327116E-2</c:v>
                </c:pt>
                <c:pt idx="2977">
                  <c:v>2.8941276796290438E-2</c:v>
                </c:pt>
                <c:pt idx="2978">
                  <c:v>2.8940930797141107E-2</c:v>
                </c:pt>
                <c:pt idx="2979">
                  <c:v>2.8940595139879122E-2</c:v>
                </c:pt>
                <c:pt idx="2980">
                  <c:v>2.8940269824344611E-2</c:v>
                </c:pt>
                <c:pt idx="2981">
                  <c:v>2.894214958658381E-2</c:v>
                </c:pt>
                <c:pt idx="2982">
                  <c:v>2.8939650218857693E-2</c:v>
                </c:pt>
                <c:pt idx="2983">
                  <c:v>2.8939355928905286E-2</c:v>
                </c:pt>
                <c:pt idx="2984">
                  <c:v>2.8939071980760289E-2</c:v>
                </c:pt>
                <c:pt idx="2985">
                  <c:v>2.8938760132133368E-2</c:v>
                </c:pt>
                <c:pt idx="2986">
                  <c:v>2.8938535109972463E-2</c:v>
                </c:pt>
                <c:pt idx="2987">
                  <c:v>2.8938282187489506E-2</c:v>
                </c:pt>
                <c:pt idx="2988">
                  <c:v>2.8938005796419475E-2</c:v>
                </c:pt>
                <c:pt idx="2989">
                  <c:v>2.8937807367626078E-2</c:v>
                </c:pt>
                <c:pt idx="2990">
                  <c:v>2.8937585470485416E-2</c:v>
                </c:pt>
                <c:pt idx="2991">
                  <c:v>2.8937373915232101E-2</c:v>
                </c:pt>
                <c:pt idx="2992">
                  <c:v>2.8937172701786196E-2</c:v>
                </c:pt>
                <c:pt idx="2993">
                  <c:v>2.8936981830067765E-2</c:v>
                </c:pt>
                <c:pt idx="2994">
                  <c:v>2.8936801300236681E-2</c:v>
                </c:pt>
                <c:pt idx="2995">
                  <c:v>2.8936631112292943E-2</c:v>
                </c:pt>
                <c:pt idx="2996">
                  <c:v>2.8936471266236552E-2</c:v>
                </c:pt>
                <c:pt idx="2997">
                  <c:v>2.8936321761907635E-2</c:v>
                </c:pt>
                <c:pt idx="2998">
                  <c:v>2.8936182599546001E-2</c:v>
                </c:pt>
                <c:pt idx="2999">
                  <c:v>2.8936053778831905E-2</c:v>
                </c:pt>
                <c:pt idx="3000">
                  <c:v>2.8935935300005156E-2</c:v>
                </c:pt>
                <c:pt idx="3001">
                  <c:v>2.8935812559227614E-2</c:v>
                </c:pt>
                <c:pt idx="3002">
                  <c:v>2.8935716241473841E-2</c:v>
                </c:pt>
                <c:pt idx="3003">
                  <c:v>2.8935641914609178E-2</c:v>
                </c:pt>
                <c:pt idx="3004">
                  <c:v>2.8935564803171943E-2</c:v>
                </c:pt>
                <c:pt idx="3005">
                  <c:v>2.8935498033622054E-2</c:v>
                </c:pt>
                <c:pt idx="3006">
                  <c:v>2.8935441605879575E-2</c:v>
                </c:pt>
                <c:pt idx="3007">
                  <c:v>2.8935395519944507E-2</c:v>
                </c:pt>
                <c:pt idx="3008">
                  <c:v>2.8935355513706185E-2</c:v>
                </c:pt>
                <c:pt idx="3009">
                  <c:v>2.8935334373496602E-2</c:v>
                </c:pt>
                <c:pt idx="3010">
                  <c:v>2.8935319313063701E-2</c:v>
                </c:pt>
                <c:pt idx="3011">
                  <c:v>2.8935314348315089E-2</c:v>
                </c:pt>
                <c:pt idx="3012">
                  <c:v>2.8935312586924056E-2</c:v>
                </c:pt>
                <c:pt idx="3013">
                  <c:v>2.8935310828970273E-2</c:v>
                </c:pt>
                <c:pt idx="3014">
                  <c:v>2.8935309074373805E-2</c:v>
                </c:pt>
                <c:pt idx="3015">
                  <c:v>2.8935307322974779E-2</c:v>
                </c:pt>
                <c:pt idx="3016">
                  <c:v>2.8935305575252812E-2</c:v>
                </c:pt>
                <c:pt idx="3017">
                  <c:v>2.8935303830808223E-2</c:v>
                </c:pt>
                <c:pt idx="3018">
                  <c:v>2.8939953364957915E-2</c:v>
                </c:pt>
                <c:pt idx="3019">
                  <c:v>2.8935299112582413E-2</c:v>
                </c:pt>
                <c:pt idx="3020">
                  <c:v>2.8937623636142717E-2</c:v>
                </c:pt>
                <c:pt idx="3021">
                  <c:v>2.8937621906326427E-2</c:v>
                </c:pt>
                <c:pt idx="3022">
                  <c:v>2.8937620179894097E-2</c:v>
                </c:pt>
                <c:pt idx="3023">
                  <c:v>2.8937618456899017E-2</c:v>
                </c:pt>
                <c:pt idx="3024">
                  <c:v>2.8937616737234606E-2</c:v>
                </c:pt>
                <c:pt idx="3025">
                  <c:v>2.8937615020954155E-2</c:v>
                </c:pt>
                <c:pt idx="3026">
                  <c:v>2.8937613308057664E-2</c:v>
                </c:pt>
                <c:pt idx="3027">
                  <c:v>2.8937611598571777E-2</c:v>
                </c:pt>
                <c:pt idx="3028">
                  <c:v>2.8937609892443206E-2</c:v>
                </c:pt>
                <c:pt idx="3029">
                  <c:v>2.8937608189698594E-2</c:v>
                </c:pt>
                <c:pt idx="3030">
                  <c:v>2.8937606490311296E-2</c:v>
                </c:pt>
                <c:pt idx="3031">
                  <c:v>2.8935278310822099E-2</c:v>
                </c:pt>
                <c:pt idx="3032">
                  <c:v>2.8935276861261627E-2</c:v>
                </c:pt>
                <c:pt idx="3033">
                  <c:v>2.8935275173171959E-2</c:v>
                </c:pt>
                <c:pt idx="3034">
                  <c:v>2.8935273488679414E-2</c:v>
                </c:pt>
                <c:pt idx="3035">
                  <c:v>2.8935271807464247E-2</c:v>
                </c:pt>
                <c:pt idx="3036">
                  <c:v>2.8935269890117965E-2</c:v>
                </c:pt>
                <c:pt idx="3037">
                  <c:v>2.893526845502592E-2</c:v>
                </c:pt>
                <c:pt idx="3038">
                  <c:v>2.8935266784042568E-2</c:v>
                </c:pt>
                <c:pt idx="3039">
                  <c:v>2.8935264878366951E-2</c:v>
                </c:pt>
                <c:pt idx="3040">
                  <c:v>2.8935263451987936E-2</c:v>
                </c:pt>
                <c:pt idx="3041">
                  <c:v>2.8935261791076528E-2</c:v>
                </c:pt>
                <c:pt idx="3042">
                  <c:v>2.8935260133442497E-2</c:v>
                </c:pt>
                <c:pt idx="3043">
                  <c:v>2.8935258479325654E-2</c:v>
                </c:pt>
                <c:pt idx="3044">
                  <c:v>2.8935256828406253E-2</c:v>
                </c:pt>
                <c:pt idx="3045">
                  <c:v>2.8935255181004038E-2</c:v>
                </c:pt>
                <c:pt idx="3046">
                  <c:v>2.8935253536959138E-2</c:v>
                </c:pt>
                <c:pt idx="3047">
                  <c:v>2.8935251896191616E-2</c:v>
                </c:pt>
                <c:pt idx="3048">
                  <c:v>2.8935250258861345E-2</c:v>
                </c:pt>
                <c:pt idx="3049">
                  <c:v>2.8935248625128196E-2</c:v>
                </c:pt>
                <c:pt idx="3050">
                  <c:v>2.893524699459249E-2</c:v>
                </c:pt>
                <c:pt idx="3051">
                  <c:v>2.8935245367414097E-2</c:v>
                </c:pt>
                <c:pt idx="3052">
                  <c:v>2.893524374359302E-2</c:v>
                </c:pt>
                <c:pt idx="3053">
                  <c:v>2.8935241891954178E-2</c:v>
                </c:pt>
                <c:pt idx="3054">
                  <c:v>2.893524050618268E-2</c:v>
                </c:pt>
                <c:pt idx="3055">
                  <c:v>2.8935238892513482E-2</c:v>
                </c:pt>
                <c:pt idx="3056">
                  <c:v>2.893523728236147E-2</c:v>
                </c:pt>
                <c:pt idx="3057">
                  <c:v>2.8935235675406901E-2</c:v>
                </c:pt>
                <c:pt idx="3058">
                  <c:v>2.8935234071809646E-2</c:v>
                </c:pt>
                <c:pt idx="3059">
                  <c:v>2.8935232471809513E-2</c:v>
                </c:pt>
                <c:pt idx="3060">
                  <c:v>2.8935230875086759E-2</c:v>
                </c:pt>
                <c:pt idx="3061">
                  <c:v>2.8935229281801256E-2</c:v>
                </c:pt>
                <c:pt idx="3062">
                  <c:v>2.8935227691633258E-2</c:v>
                </c:pt>
                <c:pt idx="3063">
                  <c:v>2.893522610514232E-2</c:v>
                </c:pt>
                <c:pt idx="3064">
                  <c:v>2.8935224521848824E-2</c:v>
                </c:pt>
                <c:pt idx="3065">
                  <c:v>2.8935222941992578E-2</c:v>
                </c:pt>
                <c:pt idx="3066">
                  <c:v>2.8935221140793388E-2</c:v>
                </c:pt>
                <c:pt idx="3067">
                  <c:v>2.8935219792591838E-2</c:v>
                </c:pt>
                <c:pt idx="3068">
                  <c:v>2.8935218222967407E-2</c:v>
                </c:pt>
                <c:pt idx="3069">
                  <c:v>2.8935216656540419E-2</c:v>
                </c:pt>
                <c:pt idx="3070">
                  <c:v>2.8935214647667351E-2</c:v>
                </c:pt>
                <c:pt idx="3071">
                  <c:v>2.8935213311536145E-2</c:v>
                </c:pt>
                <c:pt idx="3072">
                  <c:v>2.8935211977882958E-2</c:v>
                </c:pt>
                <c:pt idx="3073">
                  <c:v>2.8935210424965163E-2</c:v>
                </c:pt>
                <c:pt idx="3074">
                  <c:v>2.8935208875724427E-2</c:v>
                </c:pt>
                <c:pt idx="3075">
                  <c:v>2.8935207329601198E-2</c:v>
                </c:pt>
                <c:pt idx="3076">
                  <c:v>2.8935205786915219E-2</c:v>
                </c:pt>
                <c:pt idx="3077">
                  <c:v>2.8935204247746427E-2</c:v>
                </c:pt>
                <c:pt idx="3078">
                  <c:v>2.8935202711855013E-2</c:v>
                </c:pt>
                <c:pt idx="3079">
                  <c:v>2.8935201179320913E-2</c:v>
                </c:pt>
                <c:pt idx="3080">
                  <c:v>2.8935199650144128E-2</c:v>
                </c:pt>
                <c:pt idx="3081">
                  <c:v>2.8935198124324657E-2</c:v>
                </c:pt>
                <c:pt idx="3082">
                  <c:v>2.8935196602022373E-2</c:v>
                </c:pt>
                <c:pt idx="3083">
                  <c:v>2.8935195082997467E-2</c:v>
                </c:pt>
                <c:pt idx="3084">
                  <c:v>2.8935193567329875E-2</c:v>
                </c:pt>
                <c:pt idx="3085">
                  <c:v>2.8935191623764567E-2</c:v>
                </c:pt>
                <c:pt idx="3086">
                  <c:v>2.8935190546306444E-2</c:v>
                </c:pt>
                <c:pt idx="3087">
                  <c:v>2.8935189040790732E-2</c:v>
                </c:pt>
                <c:pt idx="3088">
                  <c:v>2.8935187324323763E-2</c:v>
                </c:pt>
                <c:pt idx="3089">
                  <c:v>2.8935186039991123E-2</c:v>
                </c:pt>
                <c:pt idx="3090">
                  <c:v>2.893518454462729E-2</c:v>
                </c:pt>
                <c:pt idx="3091">
                  <c:v>2.8935183052620772E-2</c:v>
                </c:pt>
                <c:pt idx="3092">
                  <c:v>2.8935181351741335E-2</c:v>
                </c:pt>
                <c:pt idx="3093">
                  <c:v>2.8935180078919487E-2</c:v>
                </c:pt>
                <c:pt idx="3094">
                  <c:v>2.8935178597064848E-2</c:v>
                </c:pt>
                <c:pt idx="3095">
                  <c:v>2.8935177118567523E-2</c:v>
                </c:pt>
                <c:pt idx="3096">
                  <c:v>2.8935175643507449E-2</c:v>
                </c:pt>
                <c:pt idx="3097">
                  <c:v>2.8935174171964562E-2</c:v>
                </c:pt>
                <c:pt idx="3098">
                  <c:v>2.8935172703619116E-2</c:v>
                </c:pt>
                <c:pt idx="3099">
                  <c:v>2.8935171238790858E-2</c:v>
                </c:pt>
                <c:pt idx="3100">
                  <c:v>2.8935169777160041E-2</c:v>
                </c:pt>
                <c:pt idx="3101">
                  <c:v>2.8935168318886539E-2</c:v>
                </c:pt>
                <c:pt idx="3102">
                  <c:v>2.8935166864130224E-2</c:v>
                </c:pt>
                <c:pt idx="3103">
                  <c:v>2.8935165412811159E-2</c:v>
                </c:pt>
                <c:pt idx="3104">
                  <c:v>2.8935163964769472E-2</c:v>
                </c:pt>
                <c:pt idx="3105">
                  <c:v>2.8935162314009943E-2</c:v>
                </c:pt>
                <c:pt idx="3106">
                  <c:v>2.8935161078917915E-2</c:v>
                </c:pt>
                <c:pt idx="3107">
                  <c:v>2.8935159641028108E-2</c:v>
                </c:pt>
                <c:pt idx="3108">
                  <c:v>2.8935158206495615E-2</c:v>
                </c:pt>
                <c:pt idx="3109">
                  <c:v>2.8935156775320436E-2</c:v>
                </c:pt>
                <c:pt idx="3110">
                  <c:v>2.8935155347662445E-2</c:v>
                </c:pt>
                <c:pt idx="3111">
                  <c:v>2.8935153923281831E-2</c:v>
                </c:pt>
                <c:pt idx="3112">
                  <c:v>2.8935152502178596E-2</c:v>
                </c:pt>
                <c:pt idx="3113">
                  <c:v>2.8935151084592547E-2</c:v>
                </c:pt>
                <c:pt idx="3114">
                  <c:v>2.8935149670443749E-2</c:v>
                </c:pt>
                <c:pt idx="3115">
                  <c:v>2.8935148259652266E-2</c:v>
                </c:pt>
                <c:pt idx="3116">
                  <c:v>2.8935146651338783E-2</c:v>
                </c:pt>
                <c:pt idx="3117">
                  <c:v>2.8935145448061306E-2</c:v>
                </c:pt>
                <c:pt idx="3118">
                  <c:v>2.8935143847421685E-2</c:v>
                </c:pt>
                <c:pt idx="3119">
                  <c:v>2.8935142649979539E-2</c:v>
                </c:pt>
                <c:pt idx="3120">
                  <c:v>2.8935141255974628E-2</c:v>
                </c:pt>
                <c:pt idx="3121">
                  <c:v>2.8935139865566839E-2</c:v>
                </c:pt>
                <c:pt idx="3122">
                  <c:v>2.8935138082513134E-2</c:v>
                </c:pt>
                <c:pt idx="3123">
                  <c:v>2.8935136502497016E-2</c:v>
                </c:pt>
                <c:pt idx="3124">
                  <c:v>2.8935135517125232E-2</c:v>
                </c:pt>
                <c:pt idx="3125">
                  <c:v>2.8935134140546381E-2</c:v>
                </c:pt>
                <c:pt idx="3126">
                  <c:v>2.8935132767404781E-2</c:v>
                </c:pt>
                <c:pt idx="3127">
                  <c:v>2.8935131397620495E-2</c:v>
                </c:pt>
                <c:pt idx="3128">
                  <c:v>2.8935130031113587E-2</c:v>
                </c:pt>
                <c:pt idx="3129">
                  <c:v>2.893512866804393E-2</c:v>
                </c:pt>
                <c:pt idx="3130">
                  <c:v>2.893512730849146E-2</c:v>
                </c:pt>
                <c:pt idx="3131">
                  <c:v>2.8935125952216367E-2</c:v>
                </c:pt>
                <c:pt idx="3132">
                  <c:v>2.8935124599218653E-2</c:v>
                </c:pt>
                <c:pt idx="3133">
                  <c:v>2.8935123249818062E-2</c:v>
                </c:pt>
                <c:pt idx="3134">
                  <c:v>2.8935121903694849E-2</c:v>
                </c:pt>
                <c:pt idx="3135">
                  <c:v>2.8935120560769079E-2</c:v>
                </c:pt>
                <c:pt idx="3136">
                  <c:v>2.8935118839426011E-2</c:v>
                </c:pt>
                <c:pt idx="3137">
                  <c:v>2.8935117885469097E-2</c:v>
                </c:pt>
                <c:pt idx="3138">
                  <c:v>2.8935116552775142E-2</c:v>
                </c:pt>
                <c:pt idx="3139">
                  <c:v>2.8935115223518437E-2</c:v>
                </c:pt>
                <c:pt idx="3140">
                  <c:v>2.893511370857027E-2</c:v>
                </c:pt>
                <c:pt idx="3141">
                  <c:v>2.8935112575236843E-2</c:v>
                </c:pt>
                <c:pt idx="3142">
                  <c:v>2.8935111256132018E-2</c:v>
                </c:pt>
                <c:pt idx="3143">
                  <c:v>2.8935109940304571E-2</c:v>
                </c:pt>
                <c:pt idx="3144">
                  <c:v>2.8935108440784063E-2</c:v>
                </c:pt>
                <c:pt idx="3145">
                  <c:v>2.89351073191213E-2</c:v>
                </c:pt>
                <c:pt idx="3146">
                  <c:v>2.8935106013525669E-2</c:v>
                </c:pt>
                <c:pt idx="3147">
                  <c:v>2.8935104711207416E-2</c:v>
                </c:pt>
                <c:pt idx="3148">
                  <c:v>2.8935103412486285E-2</c:v>
                </c:pt>
                <c:pt idx="3149">
                  <c:v>2.8935102117122469E-2</c:v>
                </c:pt>
                <c:pt idx="3150">
                  <c:v>2.8935100824876159E-2</c:v>
                </c:pt>
                <c:pt idx="3151">
                  <c:v>2.8935099536306907E-2</c:v>
                </c:pt>
                <c:pt idx="3152">
                  <c:v>2.8935098251015035E-2</c:v>
                </c:pt>
                <c:pt idx="3153">
                  <c:v>2.8935096968920604E-2</c:v>
                </c:pt>
                <c:pt idx="3154">
                  <c:v>2.8935095690423296E-2</c:v>
                </c:pt>
                <c:pt idx="3155">
                  <c:v>2.8935094415363238E-2</c:v>
                </c:pt>
                <c:pt idx="3156">
                  <c:v>2.8935093143580559E-2</c:v>
                </c:pt>
                <c:pt idx="3157">
                  <c:v>2.8935091694259896E-2</c:v>
                </c:pt>
                <c:pt idx="3158">
                  <c:v>2.8935090610087144E-2</c:v>
                </c:pt>
                <c:pt idx="3159">
                  <c:v>2.8935089348456344E-2</c:v>
                </c:pt>
                <c:pt idx="3160">
                  <c:v>2.8935088090262795E-2</c:v>
                </c:pt>
                <c:pt idx="3161">
                  <c:v>2.8935086835186752E-2</c:v>
                </c:pt>
                <c:pt idx="3162">
                  <c:v>2.8935085583787767E-2</c:v>
                </c:pt>
                <c:pt idx="3163">
                  <c:v>2.8935084335746097E-2</c:v>
                </c:pt>
                <c:pt idx="3164">
                  <c:v>2.893508309090187E-2</c:v>
                </c:pt>
                <c:pt idx="3165">
                  <c:v>2.8935081849414956E-2</c:v>
                </c:pt>
                <c:pt idx="3166">
                  <c:v>2.8935080611525166E-2</c:v>
                </c:pt>
                <c:pt idx="3167">
                  <c:v>2.8935079376912753E-2</c:v>
                </c:pt>
                <c:pt idx="3168">
                  <c:v>2.8935077970118073E-2</c:v>
                </c:pt>
                <c:pt idx="3169">
                  <c:v>2.8935076917839808E-2</c:v>
                </c:pt>
                <c:pt idx="3170">
                  <c:v>2.8935075693459211E-2</c:v>
                </c:pt>
                <c:pt idx="3171">
                  <c:v>2.8935074472276057E-2</c:v>
                </c:pt>
                <c:pt idx="3172">
                  <c:v>2.8935073254610089E-2</c:v>
                </c:pt>
                <c:pt idx="3173">
                  <c:v>2.8935072040301435E-2</c:v>
                </c:pt>
                <c:pt idx="3174">
                  <c:v>2.893507048394639E-2</c:v>
                </c:pt>
                <c:pt idx="3175">
                  <c:v>2.8935069449573803E-2</c:v>
                </c:pt>
                <c:pt idx="3176">
                  <c:v>2.8935068417519361E-2</c:v>
                </c:pt>
                <c:pt idx="3177">
                  <c:v>2.8935067216719901E-2</c:v>
                </c:pt>
                <c:pt idx="3178">
                  <c:v>2.8935066019357691E-2</c:v>
                </c:pt>
                <c:pt idx="3179">
                  <c:v>2.8935064825352796E-2</c:v>
                </c:pt>
                <c:pt idx="3180">
                  <c:v>2.893506363462528E-2</c:v>
                </c:pt>
                <c:pt idx="3181">
                  <c:v>2.8935062447335014E-2</c:v>
                </c:pt>
                <c:pt idx="3182">
                  <c:v>2.8935061263402062E-2</c:v>
                </c:pt>
                <c:pt idx="3183">
                  <c:v>2.8935060082746489E-2</c:v>
                </c:pt>
                <c:pt idx="3184">
                  <c:v>2.8935058905767974E-2</c:v>
                </c:pt>
                <c:pt idx="3185">
                  <c:v>2.8935057731906966E-2</c:v>
                </c:pt>
                <c:pt idx="3186">
                  <c:v>2.8935056561483208E-2</c:v>
                </c:pt>
                <c:pt idx="3187">
                  <c:v>2.8935055394576636E-2</c:v>
                </c:pt>
                <c:pt idx="3188">
                  <c:v>2.8935054230867507E-2</c:v>
                </c:pt>
                <c:pt idx="3189">
                  <c:v>2.8935053070675565E-2</c:v>
                </c:pt>
                <c:pt idx="3190">
                  <c:v>2.8935051913761001E-2</c:v>
                </c:pt>
                <c:pt idx="3191">
                  <c:v>2.8935050431346809E-2</c:v>
                </c:pt>
                <c:pt idx="3192">
                  <c:v>2.8935049610163688E-2</c:v>
                </c:pt>
                <c:pt idx="3193">
                  <c:v>2.8935048299931765E-2</c:v>
                </c:pt>
                <c:pt idx="3194">
                  <c:v>2.8935047320075569E-2</c:v>
                </c:pt>
                <c:pt idx="3195">
                  <c:v>2.8935046180187385E-2</c:v>
                </c:pt>
                <c:pt idx="3196">
                  <c:v>2.8935044881466254E-2</c:v>
                </c:pt>
                <c:pt idx="3197">
                  <c:v>2.8935043910163216E-2</c:v>
                </c:pt>
                <c:pt idx="3198">
                  <c:v>2.8935042780506848E-2</c:v>
                </c:pt>
                <c:pt idx="3199">
                  <c:v>2.8935041653967986E-2</c:v>
                </c:pt>
                <c:pt idx="3200">
                  <c:v>2.893504053094631E-2</c:v>
                </c:pt>
                <c:pt idx="3201">
                  <c:v>2.8935039411122077E-2</c:v>
                </c:pt>
                <c:pt idx="3202">
                  <c:v>2.8935038294894966E-2</c:v>
                </c:pt>
                <c:pt idx="3203">
                  <c:v>2.8935037182025169E-2</c:v>
                </c:pt>
                <c:pt idx="3204">
                  <c:v>2.8935036072352815E-2</c:v>
                </c:pt>
                <c:pt idx="3205">
                  <c:v>2.8935034966277584E-2</c:v>
                </c:pt>
                <c:pt idx="3206">
                  <c:v>2.8935033863479731E-2</c:v>
                </c:pt>
                <c:pt idx="3207">
                  <c:v>2.8935032764119129E-2</c:v>
                </c:pt>
                <c:pt idx="3208">
                  <c:v>2.8935031667876032E-2</c:v>
                </c:pt>
                <c:pt idx="3209">
                  <c:v>2.8935030419514618E-2</c:v>
                </c:pt>
                <c:pt idx="3210">
                  <c:v>2.8935029486181207E-2</c:v>
                </c:pt>
                <c:pt idx="3211">
                  <c:v>2.8935028400169926E-2</c:v>
                </c:pt>
                <c:pt idx="3212">
                  <c:v>2.8935027317595896E-2</c:v>
                </c:pt>
                <c:pt idx="3213">
                  <c:v>2.8935026238618988E-2</c:v>
                </c:pt>
                <c:pt idx="3214">
                  <c:v>2.8935025162759587E-2</c:v>
                </c:pt>
                <c:pt idx="3215">
                  <c:v>2.8935024090337436E-2</c:v>
                </c:pt>
                <c:pt idx="3216">
                  <c:v>2.8935023021432471E-2</c:v>
                </c:pt>
                <c:pt idx="3217">
                  <c:v>2.8935021955804885E-2</c:v>
                </c:pt>
                <c:pt idx="3218">
                  <c:v>2.8935020893534613E-2</c:v>
                </c:pt>
                <c:pt idx="3219">
                  <c:v>2.8935019834621656E-2</c:v>
                </c:pt>
                <c:pt idx="3220">
                  <c:v>2.8935018779225885E-2</c:v>
                </c:pt>
                <c:pt idx="3221">
                  <c:v>2.8935017727187429E-2</c:v>
                </c:pt>
                <c:pt idx="3222">
                  <c:v>2.8935016678426351E-2</c:v>
                </c:pt>
                <c:pt idx="3223">
                  <c:v>2.8935015633102523E-2</c:v>
                </c:pt>
                <c:pt idx="3224">
                  <c:v>2.8935014591215946E-2</c:v>
                </c:pt>
                <c:pt idx="3225">
                  <c:v>2.8935013552606748E-2</c:v>
                </c:pt>
                <c:pt idx="3226">
                  <c:v>2.8935012222230938E-2</c:v>
                </c:pt>
                <c:pt idx="3227">
                  <c:v>2.8935011191295601E-2</c:v>
                </c:pt>
                <c:pt idx="3228">
                  <c:v>2.8935010310320308E-2</c:v>
                </c:pt>
                <c:pt idx="3229">
                  <c:v>2.8935009285859792E-2</c:v>
                </c:pt>
                <c:pt idx="3230">
                  <c:v>2.8935008119033157E-2</c:v>
                </c:pt>
                <c:pt idx="3231">
                  <c:v>2.893500724685083E-2</c:v>
                </c:pt>
                <c:pt idx="3232">
                  <c:v>2.8935006232462257E-2</c:v>
                </c:pt>
                <c:pt idx="3233">
                  <c:v>2.8935005221351062E-2</c:v>
                </c:pt>
                <c:pt idx="3234">
                  <c:v>2.8935004069952086E-2</c:v>
                </c:pt>
                <c:pt idx="3235">
                  <c:v>2.8935003209280552E-2</c:v>
                </c:pt>
                <c:pt idx="3236">
                  <c:v>2.8935002208481109E-2</c:v>
                </c:pt>
                <c:pt idx="3237">
                  <c:v>2.8935001210959044E-2</c:v>
                </c:pt>
                <c:pt idx="3238">
                  <c:v>2.8935000216714357E-2</c:v>
                </c:pt>
                <c:pt idx="3239">
                  <c:v>2.8934999225986857E-2</c:v>
                </c:pt>
                <c:pt idx="3240">
                  <c:v>2.8934998238536735E-2</c:v>
                </c:pt>
                <c:pt idx="3241">
                  <c:v>2.8934997254523864E-2</c:v>
                </c:pt>
                <c:pt idx="3242">
                  <c:v>2.893732156697304E-2</c:v>
                </c:pt>
                <c:pt idx="3243">
                  <c:v>2.8934995296650001E-2</c:v>
                </c:pt>
                <c:pt idx="3244">
                  <c:v>2.8934994322789009E-2</c:v>
                </c:pt>
                <c:pt idx="3245">
                  <c:v>2.8934993213916016E-2</c:v>
                </c:pt>
                <c:pt idx="3246">
                  <c:v>2.8934992385218905E-2</c:v>
                </c:pt>
                <c:pt idx="3247">
                  <c:v>2.8934991421429856E-2</c:v>
                </c:pt>
                <c:pt idx="3248">
                  <c:v>2.8934990324147591E-2</c:v>
                </c:pt>
                <c:pt idx="3249">
                  <c:v>2.8934989504003639E-2</c:v>
                </c:pt>
                <c:pt idx="3250">
                  <c:v>2.8934988550526342E-2</c:v>
                </c:pt>
                <c:pt idx="3251">
                  <c:v>2.8934987600406359E-2</c:v>
                </c:pt>
                <c:pt idx="3252">
                  <c:v>2.8934986653323946E-2</c:v>
                </c:pt>
                <c:pt idx="3253">
                  <c:v>2.8934985709918593E-2</c:v>
                </c:pt>
                <c:pt idx="3254">
                  <c:v>2.8934984769950489E-2</c:v>
                </c:pt>
                <c:pt idx="3255">
                  <c:v>2.8934983833259764E-2</c:v>
                </c:pt>
                <c:pt idx="3256">
                  <c:v>2.8934982899766482E-2</c:v>
                </c:pt>
                <c:pt idx="3257">
                  <c:v>2.8934981969950258E-2</c:v>
                </c:pt>
                <c:pt idx="3258">
                  <c:v>2.8934981043331476E-2</c:v>
                </c:pt>
                <c:pt idx="3259">
                  <c:v>2.8934980120229881E-2</c:v>
                </c:pt>
                <c:pt idx="3260">
                  <c:v>2.8934979200325728E-2</c:v>
                </c:pt>
                <c:pt idx="3261">
                  <c:v>2.8934978153243307E-2</c:v>
                </c:pt>
                <c:pt idx="3262">
                  <c:v>2.8934977240853144E-2</c:v>
                </c:pt>
                <c:pt idx="3263">
                  <c:v>2.8934976461156836E-2</c:v>
                </c:pt>
                <c:pt idx="3264">
                  <c:v>2.8934975555001685E-2</c:v>
                </c:pt>
                <c:pt idx="3265">
                  <c:v>2.8934974652043977E-2</c:v>
                </c:pt>
                <c:pt idx="3266">
                  <c:v>2.8934973752523518E-2</c:v>
                </c:pt>
                <c:pt idx="3267">
                  <c:v>2.8934972856360375E-2</c:v>
                </c:pt>
                <c:pt idx="3268">
                  <c:v>2.8934971836376278E-2</c:v>
                </c:pt>
                <c:pt idx="3269">
                  <c:v>2.8934971074265903E-2</c:v>
                </c:pt>
                <c:pt idx="3270">
                  <c:v>2.8934970188334574E-2</c:v>
                </c:pt>
                <c:pt idx="3271">
                  <c:v>2.8934969305600688E-2</c:v>
                </c:pt>
                <c:pt idx="3272">
                  <c:v>2.893496830104425E-2</c:v>
                </c:pt>
                <c:pt idx="3273">
                  <c:v>2.893496755060454E-2</c:v>
                </c:pt>
                <c:pt idx="3274">
                  <c:v>2.8934966678022533E-2</c:v>
                </c:pt>
                <c:pt idx="3275">
                  <c:v>2.8934965808957713E-2</c:v>
                </c:pt>
                <c:pt idx="3276">
                  <c:v>2.8934964943250208E-2</c:v>
                </c:pt>
                <c:pt idx="3277">
                  <c:v>2.8934964080900016E-2</c:v>
                </c:pt>
                <c:pt idx="3278">
                  <c:v>2.8937288561801111E-2</c:v>
                </c:pt>
                <c:pt idx="3279">
                  <c:v>2.8937287707551107E-2</c:v>
                </c:pt>
                <c:pt idx="3280">
                  <c:v>2.8934961392650393E-2</c:v>
                </c:pt>
                <c:pt idx="3281">
                  <c:v>2.8934960544289012E-2</c:v>
                </c:pt>
                <c:pt idx="3282">
                  <c:v>2.8934959699284946E-2</c:v>
                </c:pt>
                <c:pt idx="3283">
                  <c:v>2.8934958857718129E-2</c:v>
                </c:pt>
                <c:pt idx="3284">
                  <c:v>2.8934958019588564E-2</c:v>
                </c:pt>
                <c:pt idx="3285">
                  <c:v>2.8934957184736376E-2</c:v>
                </c:pt>
                <c:pt idx="3286">
                  <c:v>2.8934956353321439E-2</c:v>
                </c:pt>
                <c:pt idx="3287">
                  <c:v>2.8934955525263817E-2</c:v>
                </c:pt>
                <c:pt idx="3288">
                  <c:v>2.8934954700723381E-2</c:v>
                </c:pt>
                <c:pt idx="3289">
                  <c:v>2.8934953879300451E-2</c:v>
                </c:pt>
                <c:pt idx="3290">
                  <c:v>2.8934953061314772E-2</c:v>
                </c:pt>
                <c:pt idx="3291">
                  <c:v>2.8939603674457359E-2</c:v>
                </c:pt>
                <c:pt idx="3292">
                  <c:v>2.8934950973544815E-2</c:v>
                </c:pt>
                <c:pt idx="3293">
                  <c:v>2.8934950167789353E-2</c:v>
                </c:pt>
                <c:pt idx="3294">
                  <c:v>2.8934949365311269E-2</c:v>
                </c:pt>
                <c:pt idx="3295">
                  <c:v>2.8934948566270435E-2</c:v>
                </c:pt>
                <c:pt idx="3296">
                  <c:v>2.8934947657077714E-2</c:v>
                </c:pt>
                <c:pt idx="3297">
                  <c:v>2.8934946978260712E-2</c:v>
                </c:pt>
                <c:pt idx="3298">
                  <c:v>2.8934946189291821E-2</c:v>
                </c:pt>
                <c:pt idx="3299">
                  <c:v>2.8934945291689829E-2</c:v>
                </c:pt>
                <c:pt idx="3300">
                  <c:v>2.8934944621346048E-2</c:v>
                </c:pt>
                <c:pt idx="3301">
                  <c:v>2.8934943842608973E-2</c:v>
                </c:pt>
                <c:pt idx="3302">
                  <c:v>2.8934943067309149E-2</c:v>
                </c:pt>
                <c:pt idx="3303">
                  <c:v>2.8934942295126831E-2</c:v>
                </c:pt>
                <c:pt idx="3304">
                  <c:v>2.8934941526541635E-2</c:v>
                </c:pt>
                <c:pt idx="3305">
                  <c:v>2.8934940761313754E-2</c:v>
                </c:pt>
                <c:pt idx="3306">
                  <c:v>2.893493999920338E-2</c:v>
                </c:pt>
                <c:pt idx="3307">
                  <c:v>2.8934939240690127E-2</c:v>
                </c:pt>
                <c:pt idx="3308">
                  <c:v>2.893493848553419E-2</c:v>
                </c:pt>
                <c:pt idx="3309">
                  <c:v>2.8934937733815502E-2</c:v>
                </c:pt>
                <c:pt idx="3310">
                  <c:v>2.8934936985454129E-2</c:v>
                </c:pt>
                <c:pt idx="3311">
                  <c:v>2.8934936240450071E-2</c:v>
                </c:pt>
                <c:pt idx="3312">
                  <c:v>2.8934935393047923E-2</c:v>
                </c:pt>
                <c:pt idx="3313">
                  <c:v>2.8934934760513897E-2</c:v>
                </c:pt>
                <c:pt idx="3314">
                  <c:v>2.8934934025581782E-2</c:v>
                </c:pt>
                <c:pt idx="3315">
                  <c:v>2.893493329424679E-2</c:v>
                </c:pt>
                <c:pt idx="3316">
                  <c:v>2.8934932566029303E-2</c:v>
                </c:pt>
                <c:pt idx="3317">
                  <c:v>2.8934931841169131E-2</c:v>
                </c:pt>
                <c:pt idx="3318">
                  <c:v>2.8934931119906082E-2</c:v>
                </c:pt>
                <c:pt idx="3319">
                  <c:v>2.8934930402000347E-2</c:v>
                </c:pt>
                <c:pt idx="3320">
                  <c:v>2.8934929687451927E-2</c:v>
                </c:pt>
                <c:pt idx="3321">
                  <c:v>2.8934928976180885E-2</c:v>
                </c:pt>
                <c:pt idx="3322">
                  <c:v>2.8934928268347093E-2</c:v>
                </c:pt>
                <c:pt idx="3323">
                  <c:v>2.8934927563870616E-2</c:v>
                </c:pt>
                <c:pt idx="3324">
                  <c:v>2.8934926862911325E-2</c:v>
                </c:pt>
                <c:pt idx="3325">
                  <c:v>2.8934926165069541E-2</c:v>
                </c:pt>
                <c:pt idx="3326">
                  <c:v>2.8934925371784104E-2</c:v>
                </c:pt>
                <c:pt idx="3327">
                  <c:v>2.8934924779937532E-2</c:v>
                </c:pt>
                <c:pt idx="3328">
                  <c:v>2.8934924092247627E-2</c:v>
                </c:pt>
                <c:pt idx="3329">
                  <c:v>2.8934923408074908E-2</c:v>
                </c:pt>
                <c:pt idx="3330">
                  <c:v>2.8936085304094306E-2</c:v>
                </c:pt>
                <c:pt idx="3331">
                  <c:v>2.8934921953478465E-2</c:v>
                </c:pt>
                <c:pt idx="3332">
                  <c:v>2.8934921375780576E-2</c:v>
                </c:pt>
                <c:pt idx="3333">
                  <c:v>2.8934920705276923E-2</c:v>
                </c:pt>
                <c:pt idx="3334">
                  <c:v>2.8934920037810841E-2</c:v>
                </c:pt>
                <c:pt idx="3335">
                  <c:v>2.8934919374021817E-2</c:v>
                </c:pt>
                <c:pt idx="3336">
                  <c:v>2.8934918713510172E-2</c:v>
                </c:pt>
                <c:pt idx="3337">
                  <c:v>2.8934918056355841E-2</c:v>
                </c:pt>
                <c:pt idx="3338">
                  <c:v>2.893491740263876E-2</c:v>
                </c:pt>
                <c:pt idx="3339">
                  <c:v>2.8934916752199058E-2</c:v>
                </c:pt>
                <c:pt idx="3340">
                  <c:v>2.893491610511667E-2</c:v>
                </c:pt>
                <c:pt idx="3341">
                  <c:v>2.8934915461631405E-2</c:v>
                </c:pt>
                <c:pt idx="3342">
                  <c:v>2.8934914821423519E-2</c:v>
                </c:pt>
                <c:pt idx="3343">
                  <c:v>2.893491418449301E-2</c:v>
                </c:pt>
                <c:pt idx="3344">
                  <c:v>2.8934913550999752E-2</c:v>
                </c:pt>
                <c:pt idx="3345">
                  <c:v>2.8934912920863809E-2</c:v>
                </c:pt>
                <c:pt idx="3346">
                  <c:v>2.8934912115747835E-2</c:v>
                </c:pt>
                <c:pt idx="3347">
                  <c:v>2.8934911670823737E-2</c:v>
                </c:pt>
                <c:pt idx="3348">
                  <c:v>2.893491096251033E-2</c:v>
                </c:pt>
                <c:pt idx="3349">
                  <c:v>2.8934910434372796E-2</c:v>
                </c:pt>
                <c:pt idx="3350">
                  <c:v>2.8934909821023425E-2</c:v>
                </c:pt>
                <c:pt idx="3351">
                  <c:v>2.8934909124300745E-2</c:v>
                </c:pt>
                <c:pt idx="3352">
                  <c:v>2.8934908604876242E-2</c:v>
                </c:pt>
                <c:pt idx="3353">
                  <c:v>2.8934908001758686E-2</c:v>
                </c:pt>
                <c:pt idx="3354">
                  <c:v>2.893490740207838E-2</c:v>
                </c:pt>
                <c:pt idx="3355">
                  <c:v>2.8934906805835325E-2</c:v>
                </c:pt>
                <c:pt idx="3356">
                  <c:v>2.8934906212949585E-2</c:v>
                </c:pt>
                <c:pt idx="3357">
                  <c:v>2.8934905623341223E-2</c:v>
                </c:pt>
                <c:pt idx="3358">
                  <c:v>2.8934905037250047E-2</c:v>
                </c:pt>
                <c:pt idx="3359">
                  <c:v>2.8934904454516186E-2</c:v>
                </c:pt>
                <c:pt idx="3360">
                  <c:v>2.8934903874979767E-2</c:v>
                </c:pt>
                <c:pt idx="3361">
                  <c:v>2.8934903298960535E-2</c:v>
                </c:pt>
                <c:pt idx="3362">
                  <c:v>2.8934902726378553E-2</c:v>
                </c:pt>
                <c:pt idx="3363">
                  <c:v>2.8934902157153886E-2</c:v>
                </c:pt>
                <c:pt idx="3364">
                  <c:v>2.893490159112666E-2</c:v>
                </c:pt>
                <c:pt idx="3365">
                  <c:v>2.8934900948600628E-2</c:v>
                </c:pt>
                <c:pt idx="3366">
                  <c:v>2.893490046962377E-2</c:v>
                </c:pt>
                <c:pt idx="3367">
                  <c:v>2.8934899913908296E-2</c:v>
                </c:pt>
                <c:pt idx="3368">
                  <c:v>2.8934899361470201E-2</c:v>
                </c:pt>
                <c:pt idx="3369">
                  <c:v>2.8934898812469356E-2</c:v>
                </c:pt>
                <c:pt idx="3370">
                  <c:v>2.8934898266985698E-2</c:v>
                </c:pt>
                <c:pt idx="3371">
                  <c:v>2.8934897724619546E-2</c:v>
                </c:pt>
                <c:pt idx="3372">
                  <c:v>2.8934897185770581E-2</c:v>
                </c:pt>
                <c:pt idx="3373">
                  <c:v>2.8934896650358866E-2</c:v>
                </c:pt>
                <c:pt idx="3374">
                  <c:v>2.8934896118304465E-2</c:v>
                </c:pt>
                <c:pt idx="3375">
                  <c:v>2.8934895589527443E-2</c:v>
                </c:pt>
                <c:pt idx="3376">
                  <c:v>2.8934895064187671E-2</c:v>
                </c:pt>
                <c:pt idx="3377">
                  <c:v>2.8934894542365086E-2</c:v>
                </c:pt>
                <c:pt idx="3378">
                  <c:v>2.8934893950038898E-2</c:v>
                </c:pt>
                <c:pt idx="3379">
                  <c:v>2.8934893508552051E-2</c:v>
                </c:pt>
                <c:pt idx="3380">
                  <c:v>2.8934892996721473E-2</c:v>
                </c:pt>
                <c:pt idx="3381">
                  <c:v>2.8934892488328146E-2</c:v>
                </c:pt>
                <c:pt idx="3382">
                  <c:v>2.8934891839567101E-2</c:v>
                </c:pt>
                <c:pt idx="3383">
                  <c:v>2.8934891410230534E-2</c:v>
                </c:pt>
                <c:pt idx="3384">
                  <c:v>2.893489098329205E-2</c:v>
                </c:pt>
                <c:pt idx="3385">
                  <c:v>2.8934890488487852E-2</c:v>
                </c:pt>
                <c:pt idx="3386">
                  <c:v>2.8934889996801161E-2</c:v>
                </c:pt>
                <c:pt idx="3387">
                  <c:v>2.8934889508791528E-2</c:v>
                </c:pt>
                <c:pt idx="3388">
                  <c:v>2.8934889023979338E-2</c:v>
                </c:pt>
                <c:pt idx="3389">
                  <c:v>2.8934888542604398E-2</c:v>
                </c:pt>
                <c:pt idx="3390">
                  <c:v>2.8934888064506836E-2</c:v>
                </c:pt>
                <c:pt idx="3391">
                  <c:v>2.8934887590006397E-2</c:v>
                </c:pt>
                <c:pt idx="3392">
                  <c:v>2.8934887118703401E-2</c:v>
                </c:pt>
                <c:pt idx="3393">
                  <c:v>2.8934886650757718E-2</c:v>
                </c:pt>
                <c:pt idx="3394">
                  <c:v>2.8934886186329223E-2</c:v>
                </c:pt>
                <c:pt idx="3395">
                  <c:v>2.8934885725258042E-2</c:v>
                </c:pt>
                <c:pt idx="3396">
                  <c:v>2.8934885267544175E-2</c:v>
                </c:pt>
                <c:pt idx="3397">
                  <c:v>2.8934884684010953E-2</c:v>
                </c:pt>
                <c:pt idx="3398">
                  <c:v>2.8934884362268321E-2</c:v>
                </c:pt>
                <c:pt idx="3399">
                  <c:v>2.8934883914626397E-2</c:v>
                </c:pt>
                <c:pt idx="3400">
                  <c:v>2.8934883407192302E-2</c:v>
                </c:pt>
                <c:pt idx="3401">
                  <c:v>2.8934883029574365E-2</c:v>
                </c:pt>
                <c:pt idx="3402">
                  <c:v>2.8934882592084321E-2</c:v>
                </c:pt>
                <c:pt idx="3403">
                  <c:v>2.8934882158111463E-2</c:v>
                </c:pt>
                <c:pt idx="3404">
                  <c:v>2.8934881666105028E-2</c:v>
                </c:pt>
                <c:pt idx="3405">
                  <c:v>2.8934881299997883E-2</c:v>
                </c:pt>
                <c:pt idx="3406">
                  <c:v>2.8934880876096969E-2</c:v>
                </c:pt>
                <c:pt idx="3407">
                  <c:v>2.8934880455553369E-2</c:v>
                </c:pt>
                <c:pt idx="3408">
                  <c:v>2.893488003844702E-2</c:v>
                </c:pt>
                <c:pt idx="3409">
                  <c:v>2.8934879624618048E-2</c:v>
                </c:pt>
                <c:pt idx="3410">
                  <c:v>2.8934879214226328E-2</c:v>
                </c:pt>
                <c:pt idx="3411">
                  <c:v>2.8934878807111986E-2</c:v>
                </c:pt>
                <c:pt idx="3412">
                  <c:v>2.893487840351483E-2</c:v>
                </c:pt>
                <c:pt idx="3413">
                  <c:v>2.8934878003195053E-2</c:v>
                </c:pt>
                <c:pt idx="3414">
                  <c:v>2.8934877606472398E-2</c:v>
                </c:pt>
                <c:pt idx="3415">
                  <c:v>2.8934877212867249E-2</c:v>
                </c:pt>
                <c:pt idx="3416">
                  <c:v>2.8934876822779287E-2</c:v>
                </c:pt>
                <c:pt idx="3417">
                  <c:v>2.893487638089276E-2</c:v>
                </c:pt>
                <c:pt idx="3418">
                  <c:v>2.8934876052595371E-2</c:v>
                </c:pt>
                <c:pt idx="3419">
                  <c:v>2.8934875672579352E-2</c:v>
                </c:pt>
                <c:pt idx="3420">
                  <c:v>2.893487529608052E-2</c:v>
                </c:pt>
                <c:pt idx="3421">
                  <c:v>2.893487492277913E-2</c:v>
                </c:pt>
                <c:pt idx="3422">
                  <c:v>2.8934874552835055E-2</c:v>
                </c:pt>
                <c:pt idx="3423">
                  <c:v>2.8934874186568038E-2</c:v>
                </c:pt>
                <c:pt idx="3424">
                  <c:v>2.8934873823418528E-2</c:v>
                </c:pt>
                <c:pt idx="3425">
                  <c:v>2.8934873463706268E-2</c:v>
                </c:pt>
                <c:pt idx="3426">
                  <c:v>2.8934873107271386E-2</c:v>
                </c:pt>
                <c:pt idx="3427">
                  <c:v>2.8934872754353691E-2</c:v>
                </c:pt>
                <c:pt idx="3428">
                  <c:v>2.8934872404873246E-2</c:v>
                </c:pt>
                <c:pt idx="3429">
                  <c:v>2.8934872058590244E-2</c:v>
                </c:pt>
                <c:pt idx="3430">
                  <c:v>2.8934871667063433E-2</c:v>
                </c:pt>
                <c:pt idx="3431">
                  <c:v>2.8934871376335991E-2</c:v>
                </c:pt>
                <c:pt idx="3432">
                  <c:v>2.8934871040284804E-2</c:v>
                </c:pt>
                <c:pt idx="3433">
                  <c:v>2.8934870707590932E-2</c:v>
                </c:pt>
                <c:pt idx="3434">
                  <c:v>2.8934870284889058E-2</c:v>
                </c:pt>
                <c:pt idx="3435">
                  <c:v>2.8934869959948983E-2</c:v>
                </c:pt>
                <c:pt idx="3436">
                  <c:v>2.8934869684089648E-2</c:v>
                </c:pt>
                <c:pt idx="3437">
                  <c:v>2.8934869365384586E-2</c:v>
                </c:pt>
                <c:pt idx="3438">
                  <c:v>2.8934869050036838E-2</c:v>
                </c:pt>
                <c:pt idx="3439">
                  <c:v>2.8934868738206276E-2</c:v>
                </c:pt>
                <c:pt idx="3440">
                  <c:v>2.8934868429733029E-2</c:v>
                </c:pt>
                <c:pt idx="3441">
                  <c:v>2.8934868124617097E-2</c:v>
                </c:pt>
                <c:pt idx="3442">
                  <c:v>2.8934867822698607E-2</c:v>
                </c:pt>
                <c:pt idx="3443">
                  <c:v>2.8934867524457175E-2</c:v>
                </c:pt>
                <c:pt idx="3444">
                  <c:v>2.893486722933325E-2</c:v>
                </c:pt>
                <c:pt idx="3445">
                  <c:v>2.8934866937646575E-2</c:v>
                </c:pt>
                <c:pt idx="3446">
                  <c:v>2.8934866649397151E-2</c:v>
                </c:pt>
                <c:pt idx="3447">
                  <c:v>2.8934866283849558E-2</c:v>
                </c:pt>
                <c:pt idx="3448">
                  <c:v>2.8934866083050181E-2</c:v>
                </c:pt>
                <c:pt idx="3449">
                  <c:v>2.8934865804952636E-2</c:v>
                </c:pt>
                <c:pt idx="3450">
                  <c:v>2.8934865530292342E-2</c:v>
                </c:pt>
                <c:pt idx="3451">
                  <c:v>2.8934865258909426E-2</c:v>
                </c:pt>
                <c:pt idx="3452">
                  <c:v>2.8934864952914197E-2</c:v>
                </c:pt>
                <c:pt idx="3453">
                  <c:v>2.8934864726295473E-2</c:v>
                </c:pt>
                <c:pt idx="3454">
                  <c:v>2.8934864465144372E-2</c:v>
                </c:pt>
                <c:pt idx="3455">
                  <c:v>2.893486420727065E-2</c:v>
                </c:pt>
                <c:pt idx="3456">
                  <c:v>2.893486391670308E-2</c:v>
                </c:pt>
                <c:pt idx="3457">
                  <c:v>2.893486370175502E-2</c:v>
                </c:pt>
                <c:pt idx="3458">
                  <c:v>2.8934863454033177E-2</c:v>
                </c:pt>
                <c:pt idx="3459">
                  <c:v>2.8934863209748585E-2</c:v>
                </c:pt>
                <c:pt idx="3460">
                  <c:v>2.8934862968741371E-2</c:v>
                </c:pt>
                <c:pt idx="3461">
                  <c:v>2.8934862731331279E-2</c:v>
                </c:pt>
                <c:pt idx="3462">
                  <c:v>2.893486249711863E-2</c:v>
                </c:pt>
                <c:pt idx="3463">
                  <c:v>2.8934862266183359E-2</c:v>
                </c:pt>
                <c:pt idx="3464">
                  <c:v>2.893486203884521E-2</c:v>
                </c:pt>
                <c:pt idx="3465">
                  <c:v>2.8934861814864377E-2</c:v>
                </c:pt>
                <c:pt idx="3466">
                  <c:v>2.8934861594240857E-2</c:v>
                </c:pt>
                <c:pt idx="3467">
                  <c:v>2.8934861376734844E-2</c:v>
                </c:pt>
                <c:pt idx="3468">
                  <c:v>2.8934861162985825E-2</c:v>
                </c:pt>
                <c:pt idx="3469">
                  <c:v>2.89348609226181E-2</c:v>
                </c:pt>
                <c:pt idx="3470">
                  <c:v>2.893486074539986E-2</c:v>
                </c:pt>
                <c:pt idx="3471">
                  <c:v>2.8934860541562912E-2</c:v>
                </c:pt>
                <c:pt idx="3472">
                  <c:v>2.8934860341323088E-2</c:v>
                </c:pt>
                <c:pt idx="3473">
                  <c:v>2.8934860144200769E-2</c:v>
                </c:pt>
                <c:pt idx="3474">
                  <c:v>2.8934859950515701E-2</c:v>
                </c:pt>
                <c:pt idx="3475">
                  <c:v>2.893485976034782E-2</c:v>
                </c:pt>
                <c:pt idx="3476">
                  <c:v>2.8934859573537253E-2</c:v>
                </c:pt>
                <c:pt idx="3477">
                  <c:v>2.8934859390004064E-2</c:v>
                </c:pt>
                <c:pt idx="3478">
                  <c:v>2.893485920982819E-2</c:v>
                </c:pt>
                <c:pt idx="3479">
                  <c:v>2.8934859033169502E-2</c:v>
                </c:pt>
                <c:pt idx="3480">
                  <c:v>2.8934858835327759E-2</c:v>
                </c:pt>
                <c:pt idx="3481">
                  <c:v>2.8934858689844134E-2</c:v>
                </c:pt>
                <c:pt idx="3482">
                  <c:v>2.8934858523337326E-2</c:v>
                </c:pt>
                <c:pt idx="3483">
                  <c:v>2.8934858360187832E-2</c:v>
                </c:pt>
                <c:pt idx="3484">
                  <c:v>2.8934858200315716E-2</c:v>
                </c:pt>
                <c:pt idx="3485">
                  <c:v>2.8934858043800915E-2</c:v>
                </c:pt>
                <c:pt idx="3486">
                  <c:v>2.8934857847717765E-2</c:v>
                </c:pt>
                <c:pt idx="3487">
                  <c:v>2.8934857720059881E-2</c:v>
                </c:pt>
                <c:pt idx="3488">
                  <c:v>2.8934857594880015E-2</c:v>
                </c:pt>
                <c:pt idx="3489">
                  <c:v>2.8934857451794471E-2</c:v>
                </c:pt>
                <c:pt idx="3490">
                  <c:v>2.8934857312385986E-2</c:v>
                </c:pt>
                <c:pt idx="3491">
                  <c:v>2.8934857176174944E-2</c:v>
                </c:pt>
                <c:pt idx="3492">
                  <c:v>2.8934857043401152E-2</c:v>
                </c:pt>
                <c:pt idx="3493">
                  <c:v>2.8934856914064611E-2</c:v>
                </c:pt>
                <c:pt idx="3494">
                  <c:v>2.8934856788085384E-2</c:v>
                </c:pt>
                <c:pt idx="3495">
                  <c:v>2.8934856665463471E-2</c:v>
                </c:pt>
                <c:pt idx="3496">
                  <c:v>2.8934856546118937E-2</c:v>
                </c:pt>
                <c:pt idx="3497">
                  <c:v>2.8934856430211653E-2</c:v>
                </c:pt>
                <c:pt idx="3498">
                  <c:v>2.8934856317821556E-2</c:v>
                </c:pt>
                <c:pt idx="3499">
                  <c:v>2.8934856208628901E-2</c:v>
                </c:pt>
                <c:pt idx="3500">
                  <c:v>2.8934856102953432E-2</c:v>
                </c:pt>
                <c:pt idx="3501">
                  <c:v>2.8934856000475406E-2</c:v>
                </c:pt>
                <c:pt idx="3502">
                  <c:v>2.8934855873856691E-2</c:v>
                </c:pt>
                <c:pt idx="3503">
                  <c:v>2.8934855805831106E-2</c:v>
                </c:pt>
                <c:pt idx="3504">
                  <c:v>2.8934855713664831E-2</c:v>
                </c:pt>
                <c:pt idx="3505">
                  <c:v>2.8934855612465782E-2</c:v>
                </c:pt>
                <c:pt idx="3506">
                  <c:v>2.8934855539404225E-2</c:v>
                </c:pt>
                <c:pt idx="3507">
                  <c:v>2.8934855457309894E-2</c:v>
                </c:pt>
                <c:pt idx="3508">
                  <c:v>2.8934855367621637E-2</c:v>
                </c:pt>
                <c:pt idx="3509">
                  <c:v>2.8934855303353046E-2</c:v>
                </c:pt>
                <c:pt idx="3510">
                  <c:v>2.8934855231330658E-2</c:v>
                </c:pt>
                <c:pt idx="3511">
                  <c:v>2.8934855162745521E-2</c:v>
                </c:pt>
                <c:pt idx="3512">
                  <c:v>2.893485509767757E-2</c:v>
                </c:pt>
                <c:pt idx="3513">
                  <c:v>2.8934855035886997E-2</c:v>
                </c:pt>
                <c:pt idx="3514">
                  <c:v>2.8934854977373803E-2</c:v>
                </c:pt>
                <c:pt idx="3515">
                  <c:v>2.8934854922297859E-2</c:v>
                </c:pt>
                <c:pt idx="3516">
                  <c:v>2.8934854870739102E-2</c:v>
                </c:pt>
                <c:pt idx="3517">
                  <c:v>2.8934854822377787E-2</c:v>
                </c:pt>
                <c:pt idx="3518">
                  <c:v>2.8934854777453722E-2</c:v>
                </c:pt>
                <c:pt idx="3519">
                  <c:v>2.8934854736046844E-2</c:v>
                </c:pt>
                <c:pt idx="3520">
                  <c:v>2.8934854697837409E-2</c:v>
                </c:pt>
                <c:pt idx="3521">
                  <c:v>2.8934854658428932E-2</c:v>
                </c:pt>
                <c:pt idx="3522">
                  <c:v>2.8934854631730289E-2</c:v>
                </c:pt>
                <c:pt idx="3523">
                  <c:v>2.8934854603672733E-2</c:v>
                </c:pt>
                <c:pt idx="3524">
                  <c:v>2.8934854579132363E-2</c:v>
                </c:pt>
                <c:pt idx="3525">
                  <c:v>2.8934854557789436E-2</c:v>
                </c:pt>
                <c:pt idx="3526">
                  <c:v>2.8934854539963695E-2</c:v>
                </c:pt>
                <c:pt idx="3527">
                  <c:v>2.8934854525495268E-2</c:v>
                </c:pt>
                <c:pt idx="3528">
                  <c:v>2.893485451430422E-2</c:v>
                </c:pt>
                <c:pt idx="3529">
                  <c:v>2.8934854506550423E-2</c:v>
                </c:pt>
                <c:pt idx="3530">
                  <c:v>2.8934854502233875E-2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189824"/>
        <c:axId val="672189056"/>
      </c:lineChart>
      <c:dateAx>
        <c:axId val="672189824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89056"/>
        <c:crosses val="autoZero"/>
        <c:auto val="1"/>
        <c:lblOffset val="100"/>
        <c:baseTimeUnit val="days"/>
        <c:majorUnit val="3"/>
        <c:majorTimeUnit val="months"/>
      </c:dateAx>
      <c:valAx>
        <c:axId val="67218905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21898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Oct 13 2014 15:51:57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_USDYC6M#0001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IF(HolidayCheck,LocalCalendar,LiborCalendar)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42004</v>
      </c>
      <c r="E21" s="225">
        <f>DATE(YEAR(D21+1),12,31)</f>
        <v>42369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ht="12" thickBot="1" x14ac:dyDescent="0.25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196"/>
      <c r="L24" s="197"/>
      <c r="M24" s="197"/>
      <c r="N24" s="198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</row>
    <row r="26" spans="1:14" x14ac:dyDescent="0.2">
      <c r="A26" s="174"/>
      <c r="B26" s="178"/>
      <c r="C26" s="210"/>
      <c r="D26" s="210"/>
      <c r="E26" s="178"/>
      <c r="F26" s="178"/>
      <c r="G26" s="175"/>
    </row>
    <row r="27" spans="1:14" x14ac:dyDescent="0.2">
      <c r="A27" s="174"/>
      <c r="B27" s="178"/>
      <c r="C27" s="231">
        <f>_xll.qlTermStructureReferenceDate(YieldCurve)</f>
        <v>41947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63863</v>
      </c>
      <c r="D28" s="191">
        <f>MIN(_xll.ohPack(Selected!J1:J126))</f>
        <v>0.15148330745402988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[1]Libor!$D$11</f>
        <v>USD6M#0000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6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obj_006c6#0001</v>
      </c>
      <c r="B2" s="100" t="str">
        <f>_xll.qlRateHelperQuoteName(A2)</f>
        <v>USDSWD_SYNTH6M_Quote</v>
      </c>
      <c r="C2" s="20">
        <f>_xll.qlRateHelperQuoteValue($A2,Trigger)</f>
        <v>3.6380000000000002E-3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41947</v>
      </c>
      <c r="I2" s="23">
        <f>_xll.qlRateHelperLatestDate($A2,Trigger)</f>
        <v>41954</v>
      </c>
      <c r="J2" s="1">
        <v>10</v>
      </c>
      <c r="K2" s="1" t="s">
        <v>39</v>
      </c>
    </row>
    <row r="3" spans="1:12" x14ac:dyDescent="0.2">
      <c r="A3" s="100" t="str">
        <f>Deposits!E4</f>
        <v>obj_006ae#0001</v>
      </c>
      <c r="B3" s="100" t="str">
        <f>_xll.qlRateHelperQuoteName(A3)</f>
        <v>USD1MD_SYNTH6M_Quote</v>
      </c>
      <c r="C3" s="20">
        <f>_xll.qlRateHelperQuoteValue($A3,Trigger)</f>
        <v>3.5769999999999999E-3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41947</v>
      </c>
      <c r="I3" s="23">
        <f>_xll.qlRateHelperLatestDate($A3,Trigger)</f>
        <v>41977</v>
      </c>
      <c r="J3" s="1">
        <v>20</v>
      </c>
      <c r="K3" s="1" t="s">
        <v>38</v>
      </c>
    </row>
    <row r="4" spans="1:12" x14ac:dyDescent="0.2">
      <c r="A4" s="100" t="str">
        <f>Deposits!E5</f>
        <v>obj_006ba#0001</v>
      </c>
      <c r="B4" s="100" t="str">
        <f>_xll.qlRateHelperQuoteName(A4)</f>
        <v>USD2MD_SYNTH6M_Quote</v>
      </c>
      <c r="C4" s="20">
        <f>_xll.qlRateHelperQuoteValue($A4,Trigger)</f>
        <v>3.4759999999999999E-3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41947</v>
      </c>
      <c r="I4" s="23">
        <f>_xll.qlRateHelperLatestDate($A4,Trigger)</f>
        <v>42009</v>
      </c>
      <c r="J4" s="1">
        <v>40</v>
      </c>
      <c r="K4" s="1" t="s">
        <v>37</v>
      </c>
    </row>
    <row r="5" spans="1:12" x14ac:dyDescent="0.2">
      <c r="A5" s="100" t="str">
        <f>Deposits!E6</f>
        <v>obj_006b0#0001</v>
      </c>
      <c r="B5" s="100" t="str">
        <f>_xll.qlRateHelperQuoteName(A5)</f>
        <v>USD3MD_SYNTH6M_Quote</v>
      </c>
      <c r="C5" s="20">
        <f>_xll.qlRateHelperQuoteValue($A5,Trigger)</f>
        <v>3.3779999999999999E-3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41947</v>
      </c>
      <c r="I5" s="23">
        <f>_xll.qlRateHelperLatestDate($A5,Trigger)</f>
        <v>42039</v>
      </c>
      <c r="J5" s="1">
        <v>70</v>
      </c>
      <c r="K5" s="1" t="s">
        <v>36</v>
      </c>
    </row>
    <row r="6" spans="1:12" x14ac:dyDescent="0.2">
      <c r="A6" s="100" t="str">
        <f>Deposits!E7</f>
        <v>obj_006ab#0001</v>
      </c>
      <c r="B6" s="100" t="str">
        <f>_xll.qlRateHelperQuoteName(A6)</f>
        <v>USD4MD_SYNTH6M_Quote</v>
      </c>
      <c r="C6" s="20">
        <f>_xll.qlRateHelperQuoteValue($A6,Trigger)</f>
        <v>3.3180000000000002E-3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41947</v>
      </c>
      <c r="I6" s="23">
        <f>_xll.qlRateHelperLatestDate($A6,Trigger)</f>
        <v>42067</v>
      </c>
    </row>
    <row r="7" spans="1:12" x14ac:dyDescent="0.2">
      <c r="A7" s="100" t="str">
        <f>Deposits!E8</f>
        <v>obj_006aa#0001</v>
      </c>
      <c r="B7" s="100" t="str">
        <f>_xll.qlRateHelperQuoteName(A7)</f>
        <v>USD5MD_SYNTH6M_Quote</v>
      </c>
      <c r="C7" s="20">
        <f>_xll.qlRateHelperQuoteValue($A7,Trigger)</f>
        <v>3.2810000000000001E-3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41947</v>
      </c>
      <c r="I7" s="23">
        <f>_xll.qlRateHelperLatestDate($A7,Trigger)</f>
        <v>42101</v>
      </c>
    </row>
    <row r="8" spans="1:12" x14ac:dyDescent="0.2">
      <c r="A8" s="100" t="str">
        <f>Deposits!E9</f>
        <v>obj_006b6#0001</v>
      </c>
      <c r="B8" s="100" t="str">
        <f>_xll.qlRateHelperQuoteName(A8)</f>
        <v>USD6MD_SYNTH6M_Quote</v>
      </c>
      <c r="C8" s="20">
        <f>_xll.qlRateHelperQuoteValue($A8,Trigger)</f>
        <v>3.277E-3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41947</v>
      </c>
      <c r="I8" s="23">
        <f>_xll.qlRateHelperLatestDate($A8,Trigger)</f>
        <v>42129</v>
      </c>
    </row>
    <row r="9" spans="1:12" x14ac:dyDescent="0.2">
      <c r="A9" s="101" t="str">
        <f>FRAs!H3</f>
        <v>obj_006c4#0001</v>
      </c>
      <c r="B9" s="101" t="str">
        <f>_xll.qlRateHelperQuoteName(A9)</f>
        <v>USD1x7F_Quote</v>
      </c>
      <c r="C9" s="28">
        <f>_xll.qlRateHelperQuoteValue($A9,Trigger)</f>
        <v>3.2699999999999995E-3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41977</v>
      </c>
      <c r="I9" s="31">
        <f>_xll.qlRateHelperLatestDate($A9,Trigger)</f>
        <v>42159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obj_006b1#0001</v>
      </c>
      <c r="B10" s="100" t="str">
        <f>_xll.qlRateHelperQuoteName(A10)</f>
        <v>USD2x8F_Quote</v>
      </c>
      <c r="C10" s="20">
        <f>_xll.qlRateHelperQuoteValue($A10,Trigger)</f>
        <v>3.4099999999999998E-3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42009</v>
      </c>
      <c r="I10" s="23">
        <f>_xll.qlRateHelperLatestDate($A10,Trigger)</f>
        <v>42191</v>
      </c>
      <c r="K10" s="1" t="b">
        <f>FRAs!F4</f>
        <v>0</v>
      </c>
      <c r="L10" s="1" t="b">
        <f t="shared" ref="L10:L32" si="0">AND(K10,IF(ISERROR(C10),FALSE,TRUE))</f>
        <v>0</v>
      </c>
    </row>
    <row r="11" spans="1:12" x14ac:dyDescent="0.2">
      <c r="A11" s="100" t="str">
        <f>FRAs!H5</f>
        <v>obj_006bb#0001</v>
      </c>
      <c r="B11" s="100" t="str">
        <f>_xll.qlRateHelperQuoteName(A11)</f>
        <v>USD3x9F_Quote</v>
      </c>
      <c r="C11" s="20">
        <f>_xll.qlRateHelperQuoteValue($A11,Trigger)</f>
        <v>3.62E-3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42039</v>
      </c>
      <c r="I11" s="23">
        <f>_xll.qlRateHelperLatestDate($A11,Trigger)</f>
        <v>42220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obj_006be#0001</v>
      </c>
      <c r="B12" s="100" t="str">
        <f>_xll.qlRateHelperQuoteName(A12)</f>
        <v>USD4x10F_Quote</v>
      </c>
      <c r="C12" s="20">
        <f>_xll.qlRateHelperQuoteValue($A12,Trigger)</f>
        <v>3.9000000000000003E-3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42067</v>
      </c>
      <c r="I12" s="23">
        <f>_xll.qlRateHelperLatestDate($A12,Trigger)</f>
        <v>42251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obj_006b8#0001</v>
      </c>
      <c r="B13" s="100" t="str">
        <f>_xll.qlRateHelperQuoteName(A13)</f>
        <v>USD5x11F_Quote</v>
      </c>
      <c r="C13" s="20">
        <f>_xll.qlRateHelperQuoteValue($A13,Trigger)</f>
        <v>4.3299999999999996E-3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42101</v>
      </c>
      <c r="I13" s="23">
        <f>_xll.qlRateHelperLatestDate($A13,Trigger)</f>
        <v>42284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obj_006ac#0001</v>
      </c>
      <c r="B14" s="100" t="str">
        <f>_xll.qlRateHelperQuoteName(A14)</f>
        <v>USD6x12F_Quote</v>
      </c>
      <c r="C14" s="20">
        <f>_xll.qlRateHelperQuoteValue($A14,Trigger)</f>
        <v>4.8199999999999996E-3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42129</v>
      </c>
      <c r="I14" s="23">
        <f>_xll.qlRateHelperLatestDate($A14,Trigger)</f>
        <v>42313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FRAs!H9</f>
        <v>obj_006b4#0001</v>
      </c>
      <c r="B15" s="100" t="str">
        <f>_xll.qlRateHelperQuoteName(A15)</f>
        <v>USD7x13F_SYNTH6M_Quote</v>
      </c>
      <c r="C15" s="20">
        <f>_xll.qlRateHelperQuoteValue($A15,Trigger)</f>
        <v>5.3959999999999998E-3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42159</v>
      </c>
      <c r="I15" s="23">
        <f>_xll.qlRateHelperLatestDate($A15,Trigger)</f>
        <v>42342</v>
      </c>
      <c r="K15" s="1" t="b">
        <f>FRAs!F9</f>
        <v>1</v>
      </c>
      <c r="L15" s="1" t="b">
        <f t="shared" si="0"/>
        <v>1</v>
      </c>
    </row>
    <row r="16" spans="1:12" x14ac:dyDescent="0.2">
      <c r="A16" s="100" t="str">
        <f>FRAs!H10</f>
        <v>obj_006c8#0001</v>
      </c>
      <c r="B16" s="100" t="str">
        <f>_xll.qlRateHelperQuoteName(A16)</f>
        <v>USD8x14F_SYNTH6M_Quote</v>
      </c>
      <c r="C16" s="20">
        <f>_xll.qlRateHelperQuoteValue($A16,Trigger)</f>
        <v>6.0660000000000002E-3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42191</v>
      </c>
      <c r="I16" s="23">
        <f>_xll.qlRateHelperLatestDate($A16,Trigger)</f>
        <v>42375</v>
      </c>
      <c r="K16" s="1" t="b">
        <f>FRAs!F10</f>
        <v>1</v>
      </c>
      <c r="L16" s="1" t="b">
        <f t="shared" si="0"/>
        <v>1</v>
      </c>
    </row>
    <row r="17" spans="1:12" x14ac:dyDescent="0.2">
      <c r="A17" s="100" t="str">
        <f>FRAs!H11</f>
        <v>obj_006c3#0001</v>
      </c>
      <c r="B17" s="100" t="str">
        <f>_xll.qlRateHelperQuoteName(A17)</f>
        <v>USD9x15F_Quote</v>
      </c>
      <c r="C17" s="20">
        <f>_xll.qlRateHelperQuoteValue($A17,Trigger)</f>
        <v>6.7999999999999996E-3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42220</v>
      </c>
      <c r="I17" s="23">
        <f>_xll.qlRateHelperLatestDate($A17,Trigger)</f>
        <v>42404</v>
      </c>
      <c r="K17" s="1" t="b">
        <f>FRAs!F11</f>
        <v>0</v>
      </c>
      <c r="L17" s="1" t="b">
        <f t="shared" si="0"/>
        <v>0</v>
      </c>
    </row>
    <row r="18" spans="1:12" x14ac:dyDescent="0.2">
      <c r="A18" s="100" t="str">
        <f>FRAs!H12</f>
        <v>obj_006bf#0001</v>
      </c>
      <c r="B18" s="100" t="str">
        <f>_xll.qlRateHelperQuoteName(A18)</f>
        <v>USD10x16F_SYNTH6M_Quote</v>
      </c>
      <c r="C18" s="20">
        <f>_xll.qlRateHelperQuoteValue($A18,Trigger)</f>
        <v>7.5310000000000004E-3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42251</v>
      </c>
      <c r="I18" s="23">
        <f>_xll.qlRateHelperLatestDate($A18,Trigger)</f>
        <v>42433</v>
      </c>
      <c r="K18" s="1" t="b">
        <f>FRAs!F12</f>
        <v>1</v>
      </c>
      <c r="L18" s="1" t="b">
        <f t="shared" si="0"/>
        <v>1</v>
      </c>
    </row>
    <row r="19" spans="1:12" x14ac:dyDescent="0.2">
      <c r="A19" s="100" t="str">
        <f>FRAs!H13</f>
        <v>obj_006bd#0001</v>
      </c>
      <c r="B19" s="100" t="str">
        <f>_xll.qlRateHelperQuoteName(A19)</f>
        <v>USD11x17F_SYNTH6M_Quote</v>
      </c>
      <c r="C19" s="20">
        <f>_xll.qlRateHelperQuoteValue($A19,Trigger)</f>
        <v>8.3350000000000004E-3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42282</v>
      </c>
      <c r="I19" s="23">
        <f>_xll.qlRateHelperLatestDate($A19,Trigger)</f>
        <v>42465</v>
      </c>
      <c r="K19" s="1" t="b">
        <f>FRAs!F13</f>
        <v>1</v>
      </c>
      <c r="L19" s="1" t="b">
        <f t="shared" si="0"/>
        <v>1</v>
      </c>
    </row>
    <row r="20" spans="1:12" x14ac:dyDescent="0.2">
      <c r="A20" s="100" t="str">
        <f>FRAs!H14</f>
        <v>obj_006c1#0001</v>
      </c>
      <c r="B20" s="100" t="str">
        <f>_xll.qlRateHelperQuoteName(A20)</f>
        <v>USD12x18F_Quote</v>
      </c>
      <c r="C20" s="20">
        <f>_xll.qlRateHelperQuoteValue($A20,Trigger)</f>
        <v>9.1000000000000004E-3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42312</v>
      </c>
      <c r="I20" s="23">
        <f>_xll.qlRateHelperLatestDate($A20,Trigger)</f>
        <v>42494</v>
      </c>
      <c r="K20" s="1" t="b">
        <f>FRAs!F14</f>
        <v>0</v>
      </c>
      <c r="L20" s="1" t="b">
        <f t="shared" si="0"/>
        <v>0</v>
      </c>
    </row>
    <row r="21" spans="1:12" x14ac:dyDescent="0.2">
      <c r="A21" s="100" t="str">
        <f>FRAs!H15</f>
        <v>obj_006b9#0001</v>
      </c>
      <c r="B21" s="100" t="str">
        <f>_xll.qlRateHelperQuoteName(A21)</f>
        <v>USD13x19F_SYNTH6M_Quote</v>
      </c>
      <c r="C21" s="20">
        <f>_xll.qlRateHelperQuoteValue($A21,Trigger)</f>
        <v>9.9349999999999994E-3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42342</v>
      </c>
      <c r="I21" s="23">
        <f>_xll.qlRateHelperLatestDate($A21,Trigger)</f>
        <v>42527</v>
      </c>
      <c r="K21" s="1" t="b">
        <f>FRAs!F15</f>
        <v>1</v>
      </c>
      <c r="L21" s="1" t="b">
        <f t="shared" si="0"/>
        <v>1</v>
      </c>
    </row>
    <row r="22" spans="1:12" ht="11.25" customHeight="1" x14ac:dyDescent="0.2">
      <c r="A22" s="100" t="str">
        <f>FRAs!H16</f>
        <v>obj_006c7#0001</v>
      </c>
      <c r="B22" s="100" t="str">
        <f>_xll.qlRateHelperQuoteName(A22)</f>
        <v>USD14x20F_SYNTH6M_Quote</v>
      </c>
      <c r="C22" s="20">
        <f>_xll.qlRateHelperQuoteValue($A22,Trigger)</f>
        <v>1.0708000000000001E-2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42373</v>
      </c>
      <c r="I22" s="23">
        <f>_xll.qlRateHelperLatestDate($A22,Trigger)</f>
        <v>42556</v>
      </c>
      <c r="K22" s="1" t="b">
        <f>FRAs!F16</f>
        <v>1</v>
      </c>
      <c r="L22" s="1" t="b">
        <f t="shared" si="0"/>
        <v>1</v>
      </c>
    </row>
    <row r="23" spans="1:12" x14ac:dyDescent="0.2">
      <c r="A23" s="100" t="str">
        <f>FRAs!H17</f>
        <v>obj_006c2#0001</v>
      </c>
      <c r="B23" s="100" t="str">
        <f>_xll.qlRateHelperQuoteName(A23)</f>
        <v>USD15x21F_SYNTH6M_Quote</v>
      </c>
      <c r="C23" s="20">
        <f>_xll.qlRateHelperQuoteValue($A23,Trigger)</f>
        <v>1.2449E-2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42404</v>
      </c>
      <c r="I23" s="23">
        <f>_xll.qlRateHelperLatestDate($A23,Trigger)</f>
        <v>42586</v>
      </c>
      <c r="K23" s="1" t="b">
        <f>FRAs!F17</f>
        <v>1</v>
      </c>
      <c r="L23" s="1" t="b">
        <f t="shared" si="0"/>
        <v>1</v>
      </c>
    </row>
    <row r="24" spans="1:12" x14ac:dyDescent="0.2">
      <c r="A24" s="100" t="str">
        <f>FRAs!H18</f>
        <v>obj_006ad#0001</v>
      </c>
      <c r="B24" s="100" t="str">
        <f>_xll.qlRateHelperQuoteName(A24)</f>
        <v>USD16x22F_SYNTH6M_Quote</v>
      </c>
      <c r="C24" s="20">
        <f>_xll.qlRateHelperQuoteValue($A24,Trigger)</f>
        <v>1.2317E-2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42433</v>
      </c>
      <c r="I24" s="23">
        <f>_xll.qlRateHelperLatestDate($A24,Trigger)</f>
        <v>42619</v>
      </c>
      <c r="K24" s="1" t="b">
        <f>FRAs!F18</f>
        <v>1</v>
      </c>
      <c r="L24" s="1" t="b">
        <f t="shared" si="0"/>
        <v>1</v>
      </c>
    </row>
    <row r="25" spans="1:12" x14ac:dyDescent="0.2">
      <c r="A25" s="100" t="str">
        <f>FRAs!H19</f>
        <v>obj_006c5#0001</v>
      </c>
      <c r="B25" s="100" t="str">
        <f>_xll.qlRateHelperQuoteName(A25)</f>
        <v>USD17x23F_SYNTH6M_Quote</v>
      </c>
      <c r="C25" s="20">
        <f>_xll.qlRateHelperQuoteValue($A25,Trigger)</f>
        <v>1.3067E-2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42464</v>
      </c>
      <c r="I25" s="23">
        <f>_xll.qlRateHelperLatestDate($A25,Trigger)</f>
        <v>42647</v>
      </c>
      <c r="K25" s="1" t="b">
        <f>FRAs!F19</f>
        <v>1</v>
      </c>
      <c r="L25" s="1" t="b">
        <f t="shared" si="0"/>
        <v>1</v>
      </c>
    </row>
    <row r="26" spans="1:12" x14ac:dyDescent="0.2">
      <c r="A26" s="100" t="str">
        <f>FRAs!H20</f>
        <v>obj_006b7#0001</v>
      </c>
      <c r="B26" s="100" t="str">
        <f>_xll.qlRateHelperQuoteName(A26)</f>
        <v>USD18x24F_Quote</v>
      </c>
      <c r="C26" s="20">
        <f>_xll.qlRateHelperQuoteValue($A26,Trigger)</f>
        <v>1.3780000000000001E-2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42494</v>
      </c>
      <c r="I26" s="23">
        <f>_xll.qlRateHelperLatestDate($A26,Trigger)</f>
        <v>42678</v>
      </c>
      <c r="K26" s="1" t="b">
        <f>FRAs!F20</f>
        <v>0</v>
      </c>
      <c r="L26" s="1" t="b">
        <f t="shared" si="0"/>
        <v>0</v>
      </c>
    </row>
    <row r="27" spans="1:12" x14ac:dyDescent="0.2">
      <c r="A27" s="100" t="str">
        <f>FRAs!H21</f>
        <v>obj_006b3#0001</v>
      </c>
      <c r="B27" s="100" t="str">
        <f>_xll.qlRateHelperQuoteName(A27)</f>
        <v>USD19x25F_SYNTH6M_Quote</v>
      </c>
      <c r="C27" s="20">
        <f>_xll.qlRateHelperQuoteValue($A27,Trigger)</f>
        <v>1.4533000000000001E-2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42527</v>
      </c>
      <c r="I27" s="23">
        <f>_xll.qlRateHelperLatestDate($A27,Trigger)</f>
        <v>42710</v>
      </c>
      <c r="K27" s="1" t="b">
        <f>FRAs!F21</f>
        <v>1</v>
      </c>
      <c r="L27" s="1" t="b">
        <f t="shared" si="0"/>
        <v>1</v>
      </c>
    </row>
    <row r="28" spans="1:12" x14ac:dyDescent="0.2">
      <c r="A28" s="100" t="str">
        <f>FRAs!H22</f>
        <v>obj_006b2#0001</v>
      </c>
      <c r="B28" s="100" t="str">
        <f>_xll.qlRateHelperQuoteName(A28)</f>
        <v>USD20x26F_SYNTH6M_Quote</v>
      </c>
      <c r="C28" s="20">
        <f>_xll.qlRateHelperQuoteValue($A28,Trigger)</f>
        <v>1.5200999999999999E-2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42555</v>
      </c>
      <c r="I28" s="23">
        <f>_xll.qlRateHelperLatestDate($A28,Trigger)</f>
        <v>42739</v>
      </c>
      <c r="K28" s="1" t="b">
        <f>FRAs!F22</f>
        <v>1</v>
      </c>
      <c r="L28" s="1" t="b">
        <f t="shared" si="0"/>
        <v>1</v>
      </c>
    </row>
    <row r="29" spans="1:12" x14ac:dyDescent="0.2">
      <c r="A29" s="100" t="str">
        <f>FRAs!H23</f>
        <v>obj_006c0#0001</v>
      </c>
      <c r="B29" s="100" t="str">
        <f>_xll.qlRateHelperQuoteName(A29)</f>
        <v>USD21x27F_SYNTH6M_Quote</v>
      </c>
      <c r="C29" s="20">
        <f>_xll.qlRateHelperQuoteValue($A29,Trigger)</f>
        <v>1.5917000000000001E-2</v>
      </c>
      <c r="D29" s="20"/>
      <c r="E29" s="21" t="b">
        <v>0</v>
      </c>
      <c r="F29" s="21">
        <v>20</v>
      </c>
      <c r="G29" s="21">
        <v>1</v>
      </c>
      <c r="H29" s="22">
        <f>_xll.qlRateHelperEarliestDate($A29,Trigger)</f>
        <v>42586</v>
      </c>
      <c r="I29" s="23">
        <f>_xll.qlRateHelperLatestDate($A29,Trigger)</f>
        <v>42772</v>
      </c>
      <c r="K29" s="1" t="b">
        <f>FRAs!F23</f>
        <v>1</v>
      </c>
      <c r="L29" s="1" t="b">
        <f t="shared" si="0"/>
        <v>1</v>
      </c>
    </row>
    <row r="30" spans="1:12" x14ac:dyDescent="0.2">
      <c r="A30" s="100" t="str">
        <f>FRAs!H24</f>
        <v>obj_006af#0001</v>
      </c>
      <c r="B30" s="100" t="str">
        <f>_xll.qlRateHelperQuoteName(A30)</f>
        <v>USD22x28F_SYNTH6M_Quote</v>
      </c>
      <c r="C30" s="20">
        <f>_xll.qlRateHelperQuoteValue($A30,Trigger)</f>
        <v>1.6625000000000001E-2</v>
      </c>
      <c r="D30" s="20"/>
      <c r="E30" s="21" t="b">
        <v>0</v>
      </c>
      <c r="F30" s="21">
        <v>20</v>
      </c>
      <c r="G30" s="21">
        <v>1</v>
      </c>
      <c r="H30" s="22">
        <f>_xll.qlRateHelperEarliestDate($A30,Trigger)</f>
        <v>42618</v>
      </c>
      <c r="I30" s="23">
        <f>_xll.qlRateHelperLatestDate($A30,Trigger)</f>
        <v>42800</v>
      </c>
      <c r="K30" s="1" t="b">
        <f>FRAs!F24</f>
        <v>1</v>
      </c>
      <c r="L30" s="1" t="b">
        <f t="shared" si="0"/>
        <v>1</v>
      </c>
    </row>
    <row r="31" spans="1:12" x14ac:dyDescent="0.2">
      <c r="A31" s="100" t="str">
        <f>FRAs!H25</f>
        <v>obj_006b5#0001</v>
      </c>
      <c r="B31" s="100" t="str">
        <f>_xll.qlRateHelperQuoteName(A31)</f>
        <v>USD23x29F_SYNTH6M_Quote</v>
      </c>
      <c r="C31" s="20">
        <f>_xll.qlRateHelperQuoteValue($A31,Trigger)</f>
        <v>1.7292999999999999E-2</v>
      </c>
      <c r="D31" s="20"/>
      <c r="E31" s="21" t="b">
        <v>0</v>
      </c>
      <c r="F31" s="21">
        <v>20</v>
      </c>
      <c r="G31" s="21">
        <v>1</v>
      </c>
      <c r="H31" s="22">
        <f>_xll.qlRateHelperEarliestDate($A31,Trigger)</f>
        <v>42647</v>
      </c>
      <c r="I31" s="23">
        <f>_xll.qlRateHelperLatestDate($A31,Trigger)</f>
        <v>42829</v>
      </c>
      <c r="K31" s="1" t="b">
        <f>FRAs!F25</f>
        <v>1</v>
      </c>
      <c r="L31" s="1" t="b">
        <f t="shared" si="0"/>
        <v>1</v>
      </c>
    </row>
    <row r="32" spans="1:12" x14ac:dyDescent="0.2">
      <c r="A32" s="100" t="str">
        <f>FRAs!H26</f>
        <v>obj_006bc#0001</v>
      </c>
      <c r="B32" s="100" t="str">
        <f>_xll.qlRateHelperQuoteName(A32)</f>
        <v>USD24x30F_SYNTH6M_Quote</v>
      </c>
      <c r="C32" s="20">
        <f>_xll.qlRateHelperQuoteValue($A32,Trigger)</f>
        <v>1.8024999999999999E-2</v>
      </c>
      <c r="D32" s="20"/>
      <c r="E32" s="21" t="b">
        <v>0</v>
      </c>
      <c r="F32" s="21">
        <v>20</v>
      </c>
      <c r="G32" s="21">
        <v>1</v>
      </c>
      <c r="H32" s="22">
        <f>_xll.qlRateHelperEarliestDate($A32,Trigger)</f>
        <v>42678</v>
      </c>
      <c r="I32" s="23">
        <f>_xll.qlRateHelperLatestDate($A32,Trigger)</f>
        <v>42859</v>
      </c>
      <c r="K32" s="1" t="b">
        <f>FRAs!F26</f>
        <v>1</v>
      </c>
      <c r="L32" s="1" t="b">
        <f t="shared" si="0"/>
        <v>1</v>
      </c>
    </row>
    <row r="33" spans="1:9" x14ac:dyDescent="0.2">
      <c r="A33" s="101" t="str">
        <f>SwapsFromBasis!K6</f>
        <v>obj_006a3#0001</v>
      </c>
      <c r="B33" s="167" t="str">
        <f>SUBSTITUTE(SUBSTITUTE(_xll.qlRateHelperQuoteName(A33),"M3L","B6EBASIS"),"_S6L3L","")</f>
        <v>USDAB6EBASIS1Y_Quote</v>
      </c>
      <c r="C33" s="28">
        <f>_xll.qlRateHelperQuoteValue($A33,Trigger)</f>
        <v>4.0396136156055293E-3</v>
      </c>
      <c r="D33" s="28">
        <f>_xll.qlSwapRateHelperSpread($A33,Trigger)</f>
        <v>0</v>
      </c>
      <c r="E33" s="29" t="b">
        <v>0</v>
      </c>
      <c r="F33" s="29">
        <v>40</v>
      </c>
      <c r="G33" s="29">
        <v>1</v>
      </c>
      <c r="H33" s="30">
        <f>_xll.qlRateHelperEarliestDate($A33,Trigger)</f>
        <v>41947</v>
      </c>
      <c r="I33" s="31">
        <f>_xll.qlRateHelperLatestDate($A33,Trigger)</f>
        <v>42312</v>
      </c>
    </row>
    <row r="34" spans="1:9" x14ac:dyDescent="0.2">
      <c r="A34" s="100" t="str">
        <f>SwapsFromBasis!K7</f>
        <v>obj_006c9#0001</v>
      </c>
      <c r="B34" s="168" t="str">
        <f>SUBSTITUTE(SUBSTITUTE(_xll.qlRateHelperQuoteName(A34),"M3L","B6EBASIS"),"_S6L3L","")</f>
        <v>USDAB6EBASIS2Y_Quote</v>
      </c>
      <c r="C34" s="20">
        <f>_xll.qlRateHelperQuoteValue($A34,Trigger)</f>
        <v>7.7634119770451197E-3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41947</v>
      </c>
      <c r="I34" s="23">
        <f>_xll.qlRateHelperLatestDate($A34,Trigger)</f>
        <v>42678</v>
      </c>
    </row>
    <row r="35" spans="1:9" x14ac:dyDescent="0.2">
      <c r="A35" s="100" t="str">
        <f>SwapsFromBasis!K8</f>
        <v>obj_006ca#0001</v>
      </c>
      <c r="B35" s="168" t="str">
        <f>SUBSTITUTE(SUBSTITUTE(_xll.qlRateHelperQuoteName(A35),"M3L","B6EBASIS"),"_S6L3L","")</f>
        <v>USDAB6EBASIS3Y_Quote</v>
      </c>
      <c r="C35" s="20">
        <f>_xll.qlRateHelperQuoteValue($A35,Trigger)</f>
        <v>1.1953667136262825E-2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41947</v>
      </c>
      <c r="I35" s="23">
        <f>_xll.qlRateHelperLatestDate($A35,Trigger)</f>
        <v>43045</v>
      </c>
    </row>
    <row r="36" spans="1:9" x14ac:dyDescent="0.2">
      <c r="A36" s="100" t="str">
        <f>SwapsFromBasis!K9</f>
        <v>obj_006cb#0001</v>
      </c>
      <c r="B36" s="168" t="str">
        <f>SUBSTITUTE(SUBSTITUTE(_xll.qlRateHelperQuoteName(A36),"M3L","B6EBASIS"),"_S6L3L","")</f>
        <v>USDAB6EBASIS4Y_Quote</v>
      </c>
      <c r="C36" s="20">
        <f>_xll.qlRateHelperQuoteValue($A36,Trigger)</f>
        <v>1.5484728415621072E-2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41947</v>
      </c>
      <c r="I36" s="23">
        <f>_xll.qlRateHelperLatestDate($A36,Trigger)</f>
        <v>43409</v>
      </c>
    </row>
    <row r="37" spans="1:9" x14ac:dyDescent="0.2">
      <c r="A37" s="100" t="str">
        <f>SwapsFromBasis!K10</f>
        <v>obj_006cc#0001</v>
      </c>
      <c r="B37" s="168" t="str">
        <f>SUBSTITUTE(SUBSTITUTE(_xll.qlRateHelperQuoteName(A37),"M3L","B6EBASIS"),"_S6L3L","")</f>
        <v>USDAB6EBASIS5Y_Quote</v>
      </c>
      <c r="C37" s="20">
        <f>_xll.qlRateHelperQuoteValue($A37,Trigger)</f>
        <v>1.8195605059462196E-2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41947</v>
      </c>
      <c r="I37" s="23">
        <f>_xll.qlRateHelperLatestDate($A37,Trigger)</f>
        <v>43773</v>
      </c>
    </row>
    <row r="38" spans="1:9" x14ac:dyDescent="0.2">
      <c r="A38" s="100" t="str">
        <f>SwapsFromBasis!K11</f>
        <v>obj_006cd#0001</v>
      </c>
      <c r="B38" s="168" t="str">
        <f>SUBSTITUTE(SUBSTITUTE(_xll.qlRateHelperQuoteName(A38),"M3L","B6EBASIS"),"_S6L3L","")</f>
        <v>USDAB6EBASIS6Y_Quote</v>
      </c>
      <c r="C38" s="20">
        <f>_xll.qlRateHelperQuoteValue($A38,Trigger)</f>
        <v>2.0296477513028936E-2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41947</v>
      </c>
      <c r="I38" s="23">
        <f>_xll.qlRateHelperLatestDate($A38,Trigger)</f>
        <v>44139</v>
      </c>
    </row>
    <row r="39" spans="1:9" x14ac:dyDescent="0.2">
      <c r="A39" s="100" t="str">
        <f>SwapsFromBasis!K12</f>
        <v>obj_006cf#0001</v>
      </c>
      <c r="B39" s="168" t="str">
        <f>SUBSTITUTE(SUBSTITUTE(_xll.qlRateHelperQuoteName(A39),"M3L","B6EBASIS"),"_S6L3L","")</f>
        <v>USDAB6EBASIS7Y_Quote</v>
      </c>
      <c r="C39" s="20">
        <f>_xll.qlRateHelperQuoteValue($A39,Trigger)</f>
        <v>2.1967114542548762E-2</v>
      </c>
      <c r="D39" s="20">
        <f>_xll.qlSwapRateHelperSpread($A39,Trigger)</f>
        <v>0</v>
      </c>
      <c r="E39" s="21" t="b">
        <v>1</v>
      </c>
      <c r="F39" s="21">
        <v>40</v>
      </c>
      <c r="G39" s="21">
        <v>1</v>
      </c>
      <c r="H39" s="22">
        <f>_xll.qlRateHelperEarliestDate($A39,Trigger)</f>
        <v>41947</v>
      </c>
      <c r="I39" s="23">
        <f>_xll.qlRateHelperLatestDate($A39,Trigger)</f>
        <v>44504</v>
      </c>
    </row>
    <row r="40" spans="1:9" x14ac:dyDescent="0.2">
      <c r="A40" s="100" t="str">
        <f>SwapsFromBasis!K13</f>
        <v>obj_006ce#0001</v>
      </c>
      <c r="B40" s="168" t="str">
        <f>SUBSTITUTE(SUBSTITUTE(_xll.qlRateHelperQuoteName(A40),"M3L","B6EBASIS"),"_S6L3L","")</f>
        <v>USDAB6EBASIS8Y_Quote</v>
      </c>
      <c r="C40" s="20">
        <f>_xll.qlRateHelperQuoteValue($A40,Trigger)</f>
        <v>2.3317684212282953E-2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41947</v>
      </c>
      <c r="I40" s="23">
        <f>_xll.qlRateHelperLatestDate($A40,Trigger)</f>
        <v>44869</v>
      </c>
    </row>
    <row r="41" spans="1:9" x14ac:dyDescent="0.2">
      <c r="A41" s="100" t="str">
        <f>SwapsFromBasis!K14</f>
        <v>obj_006d0#0001</v>
      </c>
      <c r="B41" s="168" t="str">
        <f>SUBSTITUTE(SUBSTITUTE(_xll.qlRateHelperQuoteName(A41),"M3L","B6EBASIS"),"_S6L3L","")</f>
        <v>USDAB6EBASIS9Y_Quote</v>
      </c>
      <c r="C41" s="20">
        <f>_xll.qlRateHelperQuoteValue($A41,Trigger)</f>
        <v>2.4458141232539535E-2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41947</v>
      </c>
      <c r="I41" s="23">
        <f>_xll.qlRateHelperLatestDate($A41,Trigger)</f>
        <v>45236</v>
      </c>
    </row>
    <row r="42" spans="1:9" x14ac:dyDescent="0.2">
      <c r="A42" s="100" t="str">
        <f>SwapsFromBasis!K15</f>
        <v>obj_006d1#0001</v>
      </c>
      <c r="B42" s="168" t="str">
        <f>SUBSTITUTE(SUBSTITUTE(_xll.qlRateHelperQuoteName(A42),"M3L","B6EBASIS"),"_S6L3L","")</f>
        <v>USDAB6EBASIS10Y_Quote</v>
      </c>
      <c r="C42" s="20">
        <f>_xll.qlRateHelperQuoteValue($A42,Trigger)</f>
        <v>2.5428535926963494E-2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41947</v>
      </c>
      <c r="I42" s="23">
        <f>_xll.qlRateHelperLatestDate($A42,Trigger)</f>
        <v>45600</v>
      </c>
    </row>
    <row r="43" spans="1:9" x14ac:dyDescent="0.2">
      <c r="A43" s="100" t="str">
        <f>SwapsFromBasis!K16</f>
        <v>obj_006d2#0001</v>
      </c>
      <c r="B43" s="168" t="str">
        <f>SUBSTITUTE(SUBSTITUTE(_xll.qlRateHelperQuoteName(A43),"M3L","B6EBASIS"),"_S6L3L","")</f>
        <v>USDAB6EBASIS11Y_Quote</v>
      </c>
      <c r="C43" s="20">
        <f>_xll.qlRateHelperQuoteValue($A43,Trigger)</f>
        <v>2.6278144995535373E-2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41947</v>
      </c>
      <c r="I43" s="23">
        <f>_xll.qlRateHelperLatestDate($A43,Trigger)</f>
        <v>45965</v>
      </c>
    </row>
    <row r="44" spans="1:9" x14ac:dyDescent="0.2">
      <c r="A44" s="100" t="str">
        <f>SwapsFromBasis!K17</f>
        <v>obj_006d3#0001</v>
      </c>
      <c r="B44" s="168" t="str">
        <f>SUBSTITUTE(SUBSTITUTE(_xll.qlRateHelperQuoteName(A44),"M3L","B6EBASIS"),"_S6L3L","")</f>
        <v>USDAB6EBASIS12Y_Quote</v>
      </c>
      <c r="C44" s="20">
        <f>_xll.qlRateHelperQuoteValue($A44,Trigger)</f>
        <v>2.7009244803808889E-2</v>
      </c>
      <c r="D44" s="20">
        <f>_xll.qlSwapRateHelperSpread($A44,Trigger)</f>
        <v>0</v>
      </c>
      <c r="E44" s="21" t="b">
        <v>1</v>
      </c>
      <c r="F44" s="21">
        <v>40</v>
      </c>
      <c r="G44" s="21">
        <v>1</v>
      </c>
      <c r="H44" s="22">
        <f>_xll.qlRateHelperEarliestDate($A44,Trigger)</f>
        <v>41947</v>
      </c>
      <c r="I44" s="23">
        <f>_xll.qlRateHelperLatestDate($A44,Trigger)</f>
        <v>46330</v>
      </c>
    </row>
    <row r="45" spans="1:9" x14ac:dyDescent="0.2">
      <c r="A45" s="100" t="str">
        <f>SwapsFromBasis!K18</f>
        <v>obj_006d4#0001</v>
      </c>
      <c r="B45" s="168" t="str">
        <f>SUBSTITUTE(SUBSTITUTE(_xll.qlRateHelperQuoteName(A45),"M3L","B6EBASIS"),"_S6L3L","")</f>
        <v>USDAB6EBASIS13Y_Quote</v>
      </c>
      <c r="C45" s="20">
        <f>_xll.qlRateHelperQuoteValue($A45,Trigger)</f>
        <v>2.7626401720358618E-2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41947</v>
      </c>
      <c r="I45" s="23">
        <f>_xll.qlRateHelperLatestDate($A45,Trigger)</f>
        <v>46695</v>
      </c>
    </row>
    <row r="46" spans="1:9" x14ac:dyDescent="0.2">
      <c r="A46" s="100" t="str">
        <f>SwapsFromBasis!K19</f>
        <v>obj_006d5#0001</v>
      </c>
      <c r="B46" s="168" t="str">
        <f>SUBSTITUTE(SUBSTITUTE(_xll.qlRateHelperQuoteName(A46),"M3L","B6EBASIS"),"_S6L3L","")</f>
        <v>USDAB6EBASIS14Y_Quote</v>
      </c>
      <c r="C46" s="20">
        <f>_xll.qlRateHelperQuoteValue($A46,Trigger)</f>
        <v>2.8156333879202185E-2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41947</v>
      </c>
      <c r="I46" s="23">
        <f>_xll.qlRateHelperLatestDate($A46,Trigger)</f>
        <v>47063</v>
      </c>
    </row>
    <row r="47" spans="1:9" x14ac:dyDescent="0.2">
      <c r="A47" s="100" t="str">
        <f>SwapsFromBasis!K20</f>
        <v>obj_006d6#0001</v>
      </c>
      <c r="B47" s="168" t="str">
        <f>SUBSTITUTE(SUBSTITUTE(_xll.qlRateHelperQuoteName(A47),"M3L","B6EBASIS"),"_S6L3L","")</f>
        <v>USDAB6EBASIS15Y_Quote</v>
      </c>
      <c r="C47" s="20">
        <f>_xll.qlRateHelperQuoteValue($A47,Trigger)</f>
        <v>2.8609883588151561E-2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41947</v>
      </c>
      <c r="I47" s="23">
        <f>_xll.qlRateHelperLatestDate($A47,Trigger)</f>
        <v>47427</v>
      </c>
    </row>
    <row r="48" spans="1:9" x14ac:dyDescent="0.2">
      <c r="A48" s="100" t="str">
        <f>SwapsFromBasis!K21</f>
        <v>obj_006d7#0001</v>
      </c>
      <c r="B48" s="168" t="str">
        <f>SUBSTITUTE(SUBSTITUTE(_xll.qlRateHelperQuoteName(A48),"M3L","B6EBASIS"),"_S6L3L","")</f>
        <v>USDAB6EBASIS16Y_Quote</v>
      </c>
      <c r="C48" s="20">
        <f>_xll.qlRateHelperQuoteValue($A48,Trigger)</f>
        <v>2.9008090264924555E-2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41947</v>
      </c>
      <c r="I48" s="23">
        <f>_xll.qlRateHelperLatestDate($A48,Trigger)</f>
        <v>47791</v>
      </c>
    </row>
    <row r="49" spans="1:9" x14ac:dyDescent="0.2">
      <c r="A49" s="100" t="str">
        <f>SwapsFromBasis!K22</f>
        <v>obj_006d8#0001</v>
      </c>
      <c r="B49" s="168" t="str">
        <f>SUBSTITUTE(SUBSTITUTE(_xll.qlRateHelperQuoteName(A49),"M3L","B6EBASIS"),"_S6L3L","")</f>
        <v>USDAB6EBASIS17Y_Quote</v>
      </c>
      <c r="C49" s="20">
        <f>_xll.qlRateHelperQuoteValue($A49,Trigger)</f>
        <v>2.9358730790178089E-2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41947</v>
      </c>
      <c r="I49" s="23">
        <f>_xll.qlRateHelperLatestDate($A49,Trigger)</f>
        <v>48156</v>
      </c>
    </row>
    <row r="50" spans="1:9" x14ac:dyDescent="0.2">
      <c r="A50" s="100" t="str">
        <f>SwapsFromBasis!K23</f>
        <v>obj_006d9#0001</v>
      </c>
      <c r="B50" s="168" t="str">
        <f>SUBSTITUTE(SUBSTITUTE(_xll.qlRateHelperQuoteName(A50),"M3L","B6EBASIS"),"_S6L3L","")</f>
        <v>USDAB6EBASIS18Y_Quote</v>
      </c>
      <c r="C50" s="20">
        <f>_xll.qlRateHelperQuoteValue($A50,Trigger)</f>
        <v>2.9665859970160659E-2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41947</v>
      </c>
      <c r="I50" s="23">
        <f>_xll.qlRateHelperLatestDate($A50,Trigger)</f>
        <v>48522</v>
      </c>
    </row>
    <row r="51" spans="1:9" x14ac:dyDescent="0.2">
      <c r="A51" s="100" t="str">
        <f>SwapsFromBasis!K24</f>
        <v>obj_006da#0001</v>
      </c>
      <c r="B51" s="168" t="str">
        <f>SUBSTITUTE(SUBSTITUTE(_xll.qlRateHelperQuoteName(A51),"M3L","B6EBASIS"),"_S6L3L","")</f>
        <v>USDAB6EBASIS19Y_Quote</v>
      </c>
      <c r="C51" s="20">
        <f>_xll.qlRateHelperQuoteValue($A51,Trigger)</f>
        <v>2.9931340432223955E-2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41947</v>
      </c>
      <c r="I51" s="23">
        <f>_xll.qlRateHelperLatestDate($A51,Trigger)</f>
        <v>48887</v>
      </c>
    </row>
    <row r="52" spans="1:9" x14ac:dyDescent="0.2">
      <c r="A52" s="100" t="str">
        <f>SwapsFromBasis!K25</f>
        <v>obj_006db#0001</v>
      </c>
      <c r="B52" s="168" t="str">
        <f>SUBSTITUTE(SUBSTITUTE(_xll.qlRateHelperQuoteName(A52),"M3L","B6EBASIS"),"_S6L3L","")</f>
        <v>USDAB6EBASIS20Y_Quote</v>
      </c>
      <c r="C52" s="20">
        <f>_xll.qlRateHelperQuoteValue($A52,Trigger)</f>
        <v>3.0160428303178232E-2</v>
      </c>
      <c r="D52" s="20">
        <f>_xll.qlSwapRateHelperSpread($A52,Trigger)</f>
        <v>0</v>
      </c>
      <c r="E52" s="21" t="b">
        <v>1</v>
      </c>
      <c r="F52" s="21">
        <v>40</v>
      </c>
      <c r="G52" s="21">
        <v>1</v>
      </c>
      <c r="H52" s="22">
        <f>_xll.qlRateHelperEarliestDate($A52,Trigger)</f>
        <v>41947</v>
      </c>
      <c r="I52" s="23">
        <f>_xll.qlRateHelperLatestDate($A52,Trigger)</f>
        <v>49254</v>
      </c>
    </row>
    <row r="53" spans="1:9" x14ac:dyDescent="0.2">
      <c r="A53" s="100" t="str">
        <f>SwapsFromBasis!K26</f>
        <v>obj_006dc#0001</v>
      </c>
      <c r="B53" s="168" t="str">
        <f>SUBSTITUTE(SUBSTITUTE(_xll.qlRateHelperQuoteName(A53),"M3L","B6EBASIS"),"_S6L3L","")</f>
        <v>USDAB6EBASIS21Y_Quote</v>
      </c>
      <c r="C53" s="20">
        <f>_xll.qlRateHelperQuoteValue($A53,Trigger)</f>
        <v>3.0353233949642101E-2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41947</v>
      </c>
      <c r="I53" s="23">
        <f>_xll.qlRateHelperLatestDate($A53,Trigger)</f>
        <v>49618</v>
      </c>
    </row>
    <row r="54" spans="1:9" x14ac:dyDescent="0.2">
      <c r="A54" s="100" t="str">
        <f>SwapsFromBasis!K27</f>
        <v>obj_006dd#0001</v>
      </c>
      <c r="B54" s="168" t="str">
        <f>SUBSTITUTE(SUBSTITUTE(_xll.qlRateHelperQuoteName(A54),"M3L","B6EBASIS"),"_S6L3L","")</f>
        <v>USDAB6EBASIS22Y_Quote</v>
      </c>
      <c r="C54" s="20">
        <f>_xll.qlRateHelperQuoteValue($A54,Trigger)</f>
        <v>3.0518085324360043E-2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41947</v>
      </c>
      <c r="I54" s="23">
        <f>_xll.qlRateHelperLatestDate($A54,Trigger)</f>
        <v>49983</v>
      </c>
    </row>
    <row r="55" spans="1:9" x14ac:dyDescent="0.2">
      <c r="A55" s="100" t="str">
        <f>SwapsFromBasis!K28</f>
        <v>obj_006de#0001</v>
      </c>
      <c r="B55" s="168" t="str">
        <f>SUBSTITUTE(SUBSTITUTE(_xll.qlRateHelperQuoteName(A55),"M3L","B6EBASIS"),"_S6L3L","")</f>
        <v>USDAB6EBASIS23Y_Quote</v>
      </c>
      <c r="C55" s="20">
        <f>_xll.qlRateHelperQuoteValue($A55,Trigger)</f>
        <v>3.065974980253653E-2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41947</v>
      </c>
      <c r="I55" s="23">
        <f>_xll.qlRateHelperLatestDate($A55,Trigger)</f>
        <v>50348</v>
      </c>
    </row>
    <row r="56" spans="1:9" x14ac:dyDescent="0.2">
      <c r="A56" s="100" t="str">
        <f>SwapsFromBasis!K29</f>
        <v>obj_006df#0001</v>
      </c>
      <c r="B56" s="168" t="str">
        <f>SUBSTITUTE(SUBSTITUTE(_xll.qlRateHelperQuoteName(A56),"M3L","B6EBASIS"),"_S6L3L","")</f>
        <v>USDAB6EBASIS24Y_Quote</v>
      </c>
      <c r="C56" s="20">
        <f>_xll.qlRateHelperQuoteValue($A56,Trigger)</f>
        <v>3.0782679702720434E-2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41947</v>
      </c>
      <c r="I56" s="23">
        <f>_xll.qlRateHelperLatestDate($A56,Trigger)</f>
        <v>50713</v>
      </c>
    </row>
    <row r="57" spans="1:9" x14ac:dyDescent="0.2">
      <c r="A57" s="100" t="str">
        <f>SwapsFromBasis!K30</f>
        <v>obj_006e0#0001</v>
      </c>
      <c r="B57" s="168" t="str">
        <f>SUBSTITUTE(SUBSTITUTE(_xll.qlRateHelperQuoteName(A57),"M3L","B6EBASIS"),"_S6L3L","")</f>
        <v>USDAB6EBASIS25Y_Quote</v>
      </c>
      <c r="C57" s="20">
        <f>_xll.qlRateHelperQuoteValue($A57,Trigger)</f>
        <v>3.0890579624940719E-2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41947</v>
      </c>
      <c r="I57" s="23">
        <f>_xll.qlRateHelperLatestDate($A57,Trigger)</f>
        <v>51078</v>
      </c>
    </row>
    <row r="58" spans="1:9" x14ac:dyDescent="0.2">
      <c r="A58" s="100" t="str">
        <f>SwapsFromBasis!K31</f>
        <v>obj_006e1#0001</v>
      </c>
      <c r="B58" s="168" t="str">
        <f>SUBSTITUTE(SUBSTITUTE(_xll.qlRateHelperQuoteName(A58),"M3L","B6EBASIS"),"_S6L3L","")</f>
        <v>USDAB6EBASIS26Y_Quote</v>
      </c>
      <c r="C58" s="20">
        <f>_xll.qlRateHelperQuoteValue($A58,Trigger)</f>
        <v>3.0986769667543282E-2</v>
      </c>
      <c r="D58" s="20">
        <f>_xll.qlSwapRateHelperSpread($A58,Trigger)</f>
        <v>0</v>
      </c>
      <c r="E58" s="21" t="b">
        <v>0</v>
      </c>
      <c r="F58" s="21">
        <v>40</v>
      </c>
      <c r="G58" s="21">
        <v>1</v>
      </c>
      <c r="H58" s="22">
        <f>_xll.qlRateHelperEarliestDate($A58,Trigger)</f>
        <v>41947</v>
      </c>
      <c r="I58" s="23">
        <f>_xll.qlRateHelperLatestDate($A58,Trigger)</f>
        <v>51445</v>
      </c>
    </row>
    <row r="59" spans="1:9" x14ac:dyDescent="0.2">
      <c r="A59" s="100" t="str">
        <f>SwapsFromBasis!K32</f>
        <v>obj_006e2#0001</v>
      </c>
      <c r="B59" s="168" t="str">
        <f>SUBSTITUTE(SUBSTITUTE(_xll.qlRateHelperQuoteName(A59),"M3L","B6EBASIS"),"_S6L3L","")</f>
        <v>USDAB6EBASIS27Y_Quote</v>
      </c>
      <c r="C59" s="20">
        <f>_xll.qlRateHelperQuoteValue($A59,Trigger)</f>
        <v>3.1070748863255906E-2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41947</v>
      </c>
      <c r="I59" s="23">
        <f>_xll.qlRateHelperLatestDate($A59,Trigger)</f>
        <v>51809</v>
      </c>
    </row>
    <row r="60" spans="1:9" x14ac:dyDescent="0.2">
      <c r="A60" s="100" t="str">
        <f>SwapsFromBasis!K33</f>
        <v>obj_006e3#0001</v>
      </c>
      <c r="B60" s="168" t="str">
        <f>SUBSTITUTE(SUBSTITUTE(_xll.qlRateHelperQuoteName(A60),"M3L","B6EBASIS"),"_S6L3L","")</f>
        <v>USDAB6EBASIS28Y_Quote</v>
      </c>
      <c r="C60" s="20">
        <f>_xll.qlRateHelperQuoteValue($A60,Trigger)</f>
        <v>3.1144196161498008E-2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41947</v>
      </c>
      <c r="I60" s="23">
        <f>_xll.qlRateHelperLatestDate($A60,Trigger)</f>
        <v>52174</v>
      </c>
    </row>
    <row r="61" spans="1:9" x14ac:dyDescent="0.2">
      <c r="A61" s="100" t="str">
        <f>SwapsFromBasis!K34</f>
        <v>obj_006e4#0001</v>
      </c>
      <c r="B61" s="168" t="str">
        <f>SUBSTITUTE(SUBSTITUTE(_xll.qlRateHelperQuoteName(A61),"M3L","B6EBASIS"),"_S6L3L","")</f>
        <v>USDAB6EBASIS29Y_Quote</v>
      </c>
      <c r="C61" s="20">
        <f>_xll.qlRateHelperQuoteValue($A61,Trigger)</f>
        <v>3.1207282551154285E-2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41947</v>
      </c>
      <c r="I61" s="23">
        <f>_xll.qlRateHelperLatestDate($A61,Trigger)</f>
        <v>52539</v>
      </c>
    </row>
    <row r="62" spans="1:9" x14ac:dyDescent="0.2">
      <c r="A62" s="100" t="str">
        <f>SwapsFromBasis!K35</f>
        <v>obj_006e5#0001</v>
      </c>
      <c r="B62" s="168" t="str">
        <f>SUBSTITUTE(SUBSTITUTE(_xll.qlRateHelperQuoteName(A62),"M3L","B6EBASIS"),"_S6L3L","")</f>
        <v>USDAB6EBASIS30Y_Quote</v>
      </c>
      <c r="C62" s="20">
        <f>_xll.qlRateHelperQuoteValue($A62,Trigger)</f>
        <v>3.1260584686863199E-2</v>
      </c>
      <c r="D62" s="20">
        <f>_xll.qlSwapRateHelperSpread($A62,Trigger)</f>
        <v>0</v>
      </c>
      <c r="E62" s="21" t="b">
        <v>1</v>
      </c>
      <c r="F62" s="21">
        <v>40</v>
      </c>
      <c r="G62" s="21">
        <v>1</v>
      </c>
      <c r="H62" s="22">
        <f>_xll.qlRateHelperEarliestDate($A62,Trigger)</f>
        <v>41947</v>
      </c>
      <c r="I62" s="23">
        <f>_xll.qlRateHelperLatestDate($A62,Trigger)</f>
        <v>52905</v>
      </c>
    </row>
    <row r="63" spans="1:9" x14ac:dyDescent="0.2">
      <c r="A63" s="100" t="str">
        <f>SwapsFromBasis!K36</f>
        <v>obj_006e6#0001</v>
      </c>
      <c r="B63" s="168" t="str">
        <f>SUBSTITUTE(SUBSTITUTE(_xll.qlRateHelperQuoteName(A63),"M3L","B6EBASIS"),"_S6L3L","")</f>
        <v>USDAB6EBASIS35Y_Quote</v>
      </c>
      <c r="C63" s="20">
        <f>_xll.qlRateHelperQuoteValue($A63,Trigger)</f>
        <v>3.1411565234285933E-2</v>
      </c>
      <c r="D63" s="20">
        <f>_xll.qlSwapRateHelperSpread($A63,Trigger)</f>
        <v>0</v>
      </c>
      <c r="E63" s="21" t="b">
        <v>1</v>
      </c>
      <c r="F63" s="21">
        <v>40</v>
      </c>
      <c r="G63" s="21">
        <v>1</v>
      </c>
      <c r="H63" s="22">
        <f>_xll.qlRateHelperEarliestDate($A63,Trigger)</f>
        <v>41947</v>
      </c>
      <c r="I63" s="23">
        <f>_xll.qlRateHelperLatestDate($A63,Trigger)</f>
        <v>54731</v>
      </c>
    </row>
    <row r="64" spans="1:9" x14ac:dyDescent="0.2">
      <c r="A64" s="100" t="str">
        <f>SwapsFromBasis!K37</f>
        <v>obj_006e7#0001</v>
      </c>
      <c r="B64" s="168" t="str">
        <f>SUBSTITUTE(SUBSTITUTE(_xll.qlRateHelperQuoteName(A64),"M3L","B6EBASIS"),"_S6L3L","")</f>
        <v>USDAB6EBASIS40Y_Quote</v>
      </c>
      <c r="C64" s="20">
        <f>_xll.qlRateHelperQuoteValue($A64,Trigger)</f>
        <v>3.1420624132363253E-2</v>
      </c>
      <c r="D64" s="20">
        <f>_xll.qlSwapRateHelperSpread($A64,Trigger)</f>
        <v>0</v>
      </c>
      <c r="E64" s="21" t="b">
        <v>1</v>
      </c>
      <c r="F64" s="21">
        <v>40</v>
      </c>
      <c r="G64" s="21">
        <v>1</v>
      </c>
      <c r="H64" s="22">
        <f>_xll.qlRateHelperEarliestDate($A64,Trigger)</f>
        <v>41947</v>
      </c>
      <c r="I64" s="23">
        <f>_xll.qlRateHelperLatestDate($A64,Trigger)</f>
        <v>56557</v>
      </c>
    </row>
    <row r="65" spans="1:9" x14ac:dyDescent="0.2">
      <c r="A65" s="100" t="str">
        <f>SwapsFromBasis!K38</f>
        <v>obj_006e8#0001</v>
      </c>
      <c r="B65" s="168" t="str">
        <f>SUBSTITUTE(SUBSTITUTE(_xll.qlRateHelperQuoteName(A65),"M3L","B6EBASIS"),"_S6L3L","")</f>
        <v>USDAB6EBASIS50Y_Quote</v>
      </c>
      <c r="C65" s="20">
        <f>_xll.qlRateHelperQuoteValue($A65,Trigger)</f>
        <v>3.1260538686801037E-2</v>
      </c>
      <c r="D65" s="20">
        <f>_xll.qlSwapRateHelperSpread($A65,Trigger)</f>
        <v>0</v>
      </c>
      <c r="E65" s="21" t="b">
        <v>1</v>
      </c>
      <c r="F65" s="21">
        <v>40</v>
      </c>
      <c r="G65" s="21">
        <v>1</v>
      </c>
      <c r="H65" s="22">
        <f>_xll.qlRateHelperEarliestDate($A65,Trigger)</f>
        <v>41947</v>
      </c>
      <c r="I65" s="23">
        <f>_xll.qlRateHelperLatestDate($A65,Trigger)</f>
        <v>60210</v>
      </c>
    </row>
    <row r="66" spans="1:9" x14ac:dyDescent="0.2">
      <c r="A66" s="43" t="str">
        <f>SwapsFromBasis!K39</f>
        <v>obj_006e9#0001</v>
      </c>
      <c r="B66" s="169" t="str">
        <f>SUBSTITUTE(SUBSTITUTE(_xll.qlRateHelperQuoteName(A66),"M3L","B6EBASIS"),"_S6L3L","")</f>
        <v>USDAB6EBASIS60Y_Quote</v>
      </c>
      <c r="C66" s="24">
        <f>_xll.qlRateHelperQuoteValue($A66,Trigger)</f>
        <v>3.1120048819726499E-2</v>
      </c>
      <c r="D66" s="24">
        <f>_xll.qlSwapRateHelperSpread($A66,Trigger)</f>
        <v>0</v>
      </c>
      <c r="E66" s="25" t="b">
        <v>1</v>
      </c>
      <c r="F66" s="25">
        <v>40</v>
      </c>
      <c r="G66" s="25">
        <v>1</v>
      </c>
      <c r="H66" s="26">
        <f>_xll.qlRateHelperEarliestDate($A66,Trigger)</f>
        <v>41947</v>
      </c>
      <c r="I66" s="27">
        <f>_xll.qlRateHelperLatestDate($A66,Trigger)</f>
        <v>63863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0" ht="23.25" customHeight="1" thickBot="1" x14ac:dyDescent="0.25">
      <c r="A1" s="242" t="s">
        <v>56</v>
      </c>
      <c r="B1" s="243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</row>
    <row r="2" spans="1:10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obj_006c6</v>
      </c>
      <c r="E2" s="8" t="str">
        <f>_xll.qlRateHelperQuoteName(D2)</f>
        <v>USDSWD_SYNTH6M_Quote</v>
      </c>
      <c r="F2" s="9">
        <f>_xll.qlRateHelperRate($D2)</f>
        <v>3.6380000000000002E-3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41947</v>
      </c>
      <c r="I2" s="16">
        <f>_xll.qlRateHelperLatestDate($D2)</f>
        <v>41954</v>
      </c>
      <c r="J2" s="5">
        <v>0.99992926611474731</v>
      </c>
    </row>
    <row r="3" spans="1:10" x14ac:dyDescent="0.2">
      <c r="A3" s="10" t="s">
        <v>52</v>
      </c>
      <c r="B3" s="11">
        <v>0</v>
      </c>
      <c r="D3" s="8" t="str">
        <v>obj_006ae</v>
      </c>
      <c r="E3" s="8" t="str">
        <f>_xll.qlRateHelperQuoteName(D3)</f>
        <v>USD1MD_SYNTH6M_Quote</v>
      </c>
      <c r="F3" s="9">
        <f>_xll.qlRateHelperRate($D3)</f>
        <v>3.5769999999999999E-3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41947</v>
      </c>
      <c r="I3" s="16">
        <f>_xll.qlRateHelperLatestDate($D3)</f>
        <v>41977</v>
      </c>
      <c r="J3" s="5">
        <v>0.99970200549386234</v>
      </c>
    </row>
    <row r="4" spans="1:10" x14ac:dyDescent="0.2">
      <c r="A4" s="10" t="s">
        <v>51</v>
      </c>
      <c r="B4" s="11">
        <v>1</v>
      </c>
      <c r="D4" s="8" t="str">
        <v>obj_006ba</v>
      </c>
      <c r="E4" s="8" t="str">
        <f>_xll.qlRateHelperQuoteName(D4)</f>
        <v>USD2MD_SYNTH6M_Quote</v>
      </c>
      <c r="F4" s="9">
        <f>_xll.qlRateHelperRate($D4)</f>
        <v>3.4759999999999999E-3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41947</v>
      </c>
      <c r="I4" s="16">
        <f>_xll.qlRateHelperLatestDate($D4)</f>
        <v>42009</v>
      </c>
      <c r="J4" s="5">
        <v>0.99940171371631537</v>
      </c>
    </row>
    <row r="5" spans="1:10" ht="12" thickBot="1" x14ac:dyDescent="0.25">
      <c r="A5" s="102" t="s">
        <v>50</v>
      </c>
      <c r="B5" s="103" t="s">
        <v>49</v>
      </c>
      <c r="D5" s="8" t="str">
        <v>obj_006b0</v>
      </c>
      <c r="E5" s="8" t="str">
        <f>_xll.qlRateHelperQuoteName(D5)</f>
        <v>USD3MD_SYNTH6M_Quote</v>
      </c>
      <c r="F5" s="9">
        <f>_xll.qlRateHelperRate($D5)</f>
        <v>3.3779999999999999E-3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41947</v>
      </c>
      <c r="I5" s="16">
        <f>_xll.qlRateHelperLatestDate($D5)</f>
        <v>42039</v>
      </c>
      <c r="J5" s="5">
        <v>0.99913747791989438</v>
      </c>
    </row>
    <row r="6" spans="1:10" x14ac:dyDescent="0.2">
      <c r="A6" s="54"/>
      <c r="B6" s="54"/>
      <c r="D6" s="8" t="str">
        <v>obj_006ab</v>
      </c>
      <c r="E6" s="8" t="str">
        <f>_xll.qlRateHelperQuoteName(D6)</f>
        <v>USD4MD_SYNTH6M_Quote</v>
      </c>
      <c r="F6" s="9">
        <f>_xll.qlRateHelperRate($D6)</f>
        <v>3.3180000000000002E-3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41947</v>
      </c>
      <c r="I6" s="16">
        <f>_xll.qlRateHelperLatestDate($D6)</f>
        <v>42067</v>
      </c>
      <c r="J6" s="5">
        <v>0.99889522188459567</v>
      </c>
    </row>
    <row r="7" spans="1:10" x14ac:dyDescent="0.2">
      <c r="D7" s="8" t="str">
        <v>obj_006aa</v>
      </c>
      <c r="E7" s="8" t="str">
        <f>_xll.qlRateHelperQuoteName(D7)</f>
        <v>USD5MD_SYNTH6M_Quote</v>
      </c>
      <c r="F7" s="9">
        <f>_xll.qlRateHelperRate($D7)</f>
        <v>3.2810000000000001E-3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41947</v>
      </c>
      <c r="I7" s="16">
        <f>_xll.qlRateHelperLatestDate($D7)</f>
        <v>42101</v>
      </c>
      <c r="J7" s="5">
        <v>0.99859842827153766</v>
      </c>
    </row>
    <row r="8" spans="1:10" x14ac:dyDescent="0.2">
      <c r="D8" s="8" t="str">
        <v>obj_006b6</v>
      </c>
      <c r="E8" s="8" t="str">
        <f>_xll.qlRateHelperQuoteName(D8)</f>
        <v>USD6MD_SYNTH6M_Quote</v>
      </c>
      <c r="F8" s="9">
        <f>_xll.qlRateHelperRate($D8)</f>
        <v>3.277E-3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41947</v>
      </c>
      <c r="I8" s="16">
        <f>_xll.qlRateHelperLatestDate($D8)</f>
        <v>42129</v>
      </c>
      <c r="J8" s="5">
        <v>0.99834603457804427</v>
      </c>
    </row>
    <row r="9" spans="1:10" x14ac:dyDescent="0.2">
      <c r="D9" s="8" t="str">
        <v>obj_006c4</v>
      </c>
      <c r="E9" s="8" t="str">
        <f>_xll.qlRateHelperQuoteName(D9)</f>
        <v>USD1x7F_Quote</v>
      </c>
      <c r="F9" s="9">
        <f>_xll.qlRateHelperRate($D9)</f>
        <v>3.2699999999999995E-3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41977</v>
      </c>
      <c r="I9" s="16">
        <f>_xll.qlRateHelperLatestDate($D9)</f>
        <v>42159</v>
      </c>
      <c r="J9" s="5">
        <v>0.99805205909816319</v>
      </c>
    </row>
    <row r="10" spans="1:10" x14ac:dyDescent="0.2">
      <c r="D10" s="8" t="str">
        <v>obj_006b1</v>
      </c>
      <c r="E10" s="8" t="str">
        <f>_xll.qlRateHelperQuoteName(D10)</f>
        <v>USD2x8F_Quote</v>
      </c>
      <c r="F10" s="9">
        <f>_xll.qlRateHelperRate($D10)</f>
        <v>3.4099999999999998E-3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42009</v>
      </c>
      <c r="I10" s="16">
        <f>_xll.qlRateHelperLatestDate($D10)</f>
        <v>42191</v>
      </c>
      <c r="J10" s="5">
        <v>0.99768176577887757</v>
      </c>
    </row>
    <row r="11" spans="1:10" x14ac:dyDescent="0.2">
      <c r="D11" s="8" t="str">
        <v>obj_006bb</v>
      </c>
      <c r="E11" s="8" t="str">
        <f>_xll.qlRateHelperQuoteName(D11)</f>
        <v>USD3x9F_Quote</v>
      </c>
      <c r="F11" s="9">
        <f>_xll.qlRateHelperRate($D11)</f>
        <v>3.62E-3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42039</v>
      </c>
      <c r="I11" s="16">
        <f>_xll.qlRateHelperLatestDate($D11)</f>
        <v>42220</v>
      </c>
      <c r="J11" s="5">
        <v>0.99732229593449961</v>
      </c>
    </row>
    <row r="12" spans="1:10" x14ac:dyDescent="0.2">
      <c r="D12" s="8" t="str">
        <v>obj_006be</v>
      </c>
      <c r="E12" s="8" t="str">
        <f>_xll.qlRateHelperQuoteName(D12)</f>
        <v>USD4x10F_Quote</v>
      </c>
      <c r="F12" s="9">
        <f>_xll.qlRateHelperRate($D12)</f>
        <v>3.9000000000000003E-3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42067</v>
      </c>
      <c r="I12" s="16">
        <f>_xll.qlRateHelperLatestDate($D12)</f>
        <v>42251</v>
      </c>
      <c r="J12" s="5">
        <v>0.99690805183460618</v>
      </c>
    </row>
    <row r="13" spans="1:10" x14ac:dyDescent="0.2">
      <c r="D13" s="8" t="str">
        <v>obj_006b8</v>
      </c>
      <c r="E13" s="8" t="str">
        <f>_xll.qlRateHelperQuoteName(D13)</f>
        <v>USD5x11F_Quote</v>
      </c>
      <c r="F13" s="9">
        <f>_xll.qlRateHelperRate($D13)</f>
        <v>4.3299999999999996E-3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42101</v>
      </c>
      <c r="I13" s="16">
        <f>_xll.qlRateHelperLatestDate($D13)</f>
        <v>42284</v>
      </c>
      <c r="J13" s="5">
        <v>0.99640525726652573</v>
      </c>
    </row>
    <row r="14" spans="1:10" x14ac:dyDescent="0.2">
      <c r="D14" s="8" t="str">
        <v>obj_006ac</v>
      </c>
      <c r="E14" s="8" t="str">
        <f>_xll.qlRateHelperQuoteName(D14)</f>
        <v>USD6x12F_Quote</v>
      </c>
      <c r="F14" s="9">
        <f>_xll.qlRateHelperRate($D14)</f>
        <v>4.8199999999999996E-3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42129</v>
      </c>
      <c r="I14" s="16">
        <f>_xll.qlRateHelperLatestDate($D14)</f>
        <v>42313</v>
      </c>
      <c r="J14" s="5">
        <v>0.99589259783591277</v>
      </c>
    </row>
    <row r="15" spans="1:10" x14ac:dyDescent="0.2">
      <c r="D15" s="8" t="str">
        <v>obj_006c9</v>
      </c>
      <c r="E15" s="8" t="str">
        <f>_xll.qlRateHelperQuoteName(D15)</f>
        <v>USDAM3L2Y_S6L3L_Quote</v>
      </c>
      <c r="F15" s="9">
        <f>_xll.qlRateHelperRate($D15)</f>
        <v>7.7634119770451197E-3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41947</v>
      </c>
      <c r="I15" s="16">
        <f>_xll.qlRateHelperLatestDate($D15)</f>
        <v>42678</v>
      </c>
      <c r="J15" s="5">
        <v>0.98439331362449844</v>
      </c>
    </row>
    <row r="16" spans="1:10" x14ac:dyDescent="0.2">
      <c r="D16" s="8" t="str">
        <v>obj_006ca</v>
      </c>
      <c r="E16" s="8" t="str">
        <f>_xll.qlRateHelperQuoteName(D16)</f>
        <v>USDAM3L3Y_S6L3L_Quote</v>
      </c>
      <c r="F16" s="9">
        <f>_xll.qlRateHelperRate($D16)</f>
        <v>1.1953667136262825E-2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41947</v>
      </c>
      <c r="I16" s="16">
        <f>_xll.qlRateHelperLatestDate($D16)</f>
        <v>43045</v>
      </c>
      <c r="J16" s="5">
        <v>0.96424150156912947</v>
      </c>
    </row>
    <row r="17" spans="4:10" x14ac:dyDescent="0.2">
      <c r="D17" s="8" t="str">
        <v>obj_006cb</v>
      </c>
      <c r="E17" s="8" t="str">
        <f>_xll.qlRateHelperQuoteName(D17)</f>
        <v>USDAM3L4Y_S6L3L_Quote</v>
      </c>
      <c r="F17" s="9">
        <f>_xll.qlRateHelperRate($D17)</f>
        <v>1.5484728415621072E-2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41947</v>
      </c>
      <c r="I17" s="16">
        <f>_xll.qlRateHelperLatestDate($D17)</f>
        <v>43409</v>
      </c>
      <c r="J17" s="5">
        <v>0.93901763957295659</v>
      </c>
    </row>
    <row r="18" spans="4:10" x14ac:dyDescent="0.2">
      <c r="D18" s="8" t="str">
        <v>obj_006cc</v>
      </c>
      <c r="E18" s="8" t="str">
        <f>_xll.qlRateHelperQuoteName(D18)</f>
        <v>USDAM3L5Y_S6L3L_Quote</v>
      </c>
      <c r="F18" s="9">
        <f>_xll.qlRateHelperRate($D18)</f>
        <v>1.8195605059462196E-2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41947</v>
      </c>
      <c r="I18" s="16">
        <f>_xll.qlRateHelperLatestDate($D18)</f>
        <v>43773</v>
      </c>
      <c r="J18" s="5">
        <v>0.91163208800215645</v>
      </c>
    </row>
    <row r="19" spans="4:10" x14ac:dyDescent="0.2">
      <c r="D19" s="8" t="str">
        <v>obj_006cd</v>
      </c>
      <c r="E19" s="8" t="str">
        <f>_xll.qlRateHelperQuoteName(D19)</f>
        <v>USDAM3L6Y_S6L3L_Quote</v>
      </c>
      <c r="F19" s="9">
        <f>_xll.qlRateHelperRate($D19)</f>
        <v>2.0296477513028936E-2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41947</v>
      </c>
      <c r="I19" s="16">
        <f>_xll.qlRateHelperLatestDate($D19)</f>
        <v>44139</v>
      </c>
      <c r="J19" s="5">
        <v>0.88327422091191798</v>
      </c>
    </row>
    <row r="20" spans="4:10" x14ac:dyDescent="0.2">
      <c r="D20" s="8" t="str">
        <v>obj_006cf</v>
      </c>
      <c r="E20" s="8" t="str">
        <f>_xll.qlRateHelperQuoteName(D20)</f>
        <v>USDAM3L7Y_S6L3L_Quote</v>
      </c>
      <c r="F20" s="9">
        <f>_xll.qlRateHelperRate($D20)</f>
        <v>2.1967114542548762E-2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41947</v>
      </c>
      <c r="I20" s="16">
        <f>_xll.qlRateHelperLatestDate($D20)</f>
        <v>44504</v>
      </c>
      <c r="J20" s="5">
        <v>0.85469874035914084</v>
      </c>
    </row>
    <row r="21" spans="4:10" x14ac:dyDescent="0.2">
      <c r="D21" s="8" t="str">
        <v>obj_006ce</v>
      </c>
      <c r="E21" s="8" t="str">
        <f>_xll.qlRateHelperQuoteName(D21)</f>
        <v>USDAM3L8Y_S6L3L_Quote</v>
      </c>
      <c r="F21" s="9">
        <f>_xll.qlRateHelperRate($D21)</f>
        <v>2.3317684212282953E-2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41947</v>
      </c>
      <c r="I21" s="16">
        <f>_xll.qlRateHelperLatestDate($D21)</f>
        <v>44869</v>
      </c>
      <c r="J21" s="5">
        <v>0.8263043221337969</v>
      </c>
    </row>
    <row r="22" spans="4:10" x14ac:dyDescent="0.2">
      <c r="D22" s="8" t="str">
        <v>obj_006d0</v>
      </c>
      <c r="E22" s="8" t="str">
        <f>_xll.qlRateHelperQuoteName(D22)</f>
        <v>USDAM3L9Y_S6L3L_Quote</v>
      </c>
      <c r="F22" s="9">
        <f>_xll.qlRateHelperRate($D22)</f>
        <v>2.4458141232539535E-2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41947</v>
      </c>
      <c r="I22" s="16">
        <f>_xll.qlRateHelperLatestDate($D22)</f>
        <v>45236</v>
      </c>
      <c r="J22" s="5">
        <v>0.79800071910279202</v>
      </c>
    </row>
    <row r="23" spans="4:10" x14ac:dyDescent="0.2">
      <c r="D23" s="8" t="str">
        <v>obj_006d1</v>
      </c>
      <c r="E23" s="8" t="str">
        <f>_xll.qlRateHelperQuoteName(D23)</f>
        <v>USDAM3L10Y_S6L3L_Quote</v>
      </c>
      <c r="F23" s="9">
        <f>_xll.qlRateHelperRate($D23)</f>
        <v>2.5428535926963494E-2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41947</v>
      </c>
      <c r="I23" s="16">
        <f>_xll.qlRateHelperLatestDate($D23)</f>
        <v>45600</v>
      </c>
      <c r="J23" s="5">
        <v>0.77028057435355646</v>
      </c>
    </row>
    <row r="24" spans="4:10" x14ac:dyDescent="0.2">
      <c r="D24" s="8" t="str">
        <v>obj_006d3</v>
      </c>
      <c r="E24" s="8" t="str">
        <f>_xll.qlRateHelperQuoteName(D24)</f>
        <v>USDAM3L12Y_S6L3L_Quote</v>
      </c>
      <c r="F24" s="9">
        <f>_xll.qlRateHelperRate($D24)</f>
        <v>2.7009244803808889E-2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41947</v>
      </c>
      <c r="I24" s="16">
        <f>_xll.qlRateHelperLatestDate($D24)</f>
        <v>46330</v>
      </c>
      <c r="J24" s="5">
        <v>0.71627224674739176</v>
      </c>
    </row>
    <row r="25" spans="4:10" x14ac:dyDescent="0.2">
      <c r="D25" s="8" t="str">
        <v>obj_006d6</v>
      </c>
      <c r="E25" s="8" t="str">
        <f>_xll.qlRateHelperQuoteName(D25)</f>
        <v>USDAM3L15Y_S6L3L_Quote</v>
      </c>
      <c r="F25" s="9">
        <f>_xll.qlRateHelperRate($D25)</f>
        <v>2.8609883588151561E-2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41947</v>
      </c>
      <c r="I25" s="16">
        <f>_xll.qlRateHelperLatestDate($D25)</f>
        <v>47427</v>
      </c>
      <c r="J25" s="5">
        <v>0.64175394520690632</v>
      </c>
    </row>
    <row r="26" spans="4:10" x14ac:dyDescent="0.2">
      <c r="D26" s="8" t="str">
        <v>obj_006db</v>
      </c>
      <c r="E26" s="8" t="str">
        <f>_xll.qlRateHelperQuoteName(D26)</f>
        <v>USDAM3L20Y_S6L3L_Quote</v>
      </c>
      <c r="F26" s="9">
        <f>_xll.qlRateHelperRate($D26)</f>
        <v>3.0160428303178232E-2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41947</v>
      </c>
      <c r="I26" s="16">
        <f>_xll.qlRateHelperLatestDate($D26)</f>
        <v>49254</v>
      </c>
      <c r="J26" s="5">
        <v>0.53477311306667363</v>
      </c>
    </row>
    <row r="27" spans="4:10" x14ac:dyDescent="0.2">
      <c r="D27" s="8" t="str">
        <v>obj_006e0</v>
      </c>
      <c r="E27" s="8" t="str">
        <f>_xll.qlRateHelperQuoteName(D27)</f>
        <v>USDAM3L25Y_S6L3L_Quote</v>
      </c>
      <c r="F27" s="9">
        <f>_xll.qlRateHelperRate($D27)</f>
        <v>3.0890579624940719E-2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41947</v>
      </c>
      <c r="I27" s="16">
        <f>_xll.qlRateHelperLatestDate($D27)</f>
        <v>51078</v>
      </c>
      <c r="J27" s="5">
        <v>0.44855020519500954</v>
      </c>
    </row>
    <row r="28" spans="4:10" x14ac:dyDescent="0.2">
      <c r="D28" s="8" t="str">
        <v>obj_006e5</v>
      </c>
      <c r="E28" s="8" t="str">
        <f>_xll.qlRateHelperQuoteName(D28)</f>
        <v>USDAM3L30Y_S6L3L_Quote</v>
      </c>
      <c r="F28" s="9">
        <f>_xll.qlRateHelperRate($D28)</f>
        <v>3.1260584686863199E-2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41947</v>
      </c>
      <c r="I28" s="16">
        <f>_xll.qlRateHelperLatestDate($D28)</f>
        <v>52905</v>
      </c>
      <c r="J28" s="5">
        <v>0.37797023932042928</v>
      </c>
    </row>
    <row r="29" spans="4:10" x14ac:dyDescent="0.2">
      <c r="D29" s="8" t="str">
        <v>obj_006e6</v>
      </c>
      <c r="E29" s="8" t="str">
        <f>_xll.qlRateHelperQuoteName(D29)</f>
        <v>USDAM3L35Y_S6L3L_Quote</v>
      </c>
      <c r="F29" s="9">
        <f>_xll.qlRateHelperRate($D29)</f>
        <v>3.1411565234285933E-2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41947</v>
      </c>
      <c r="I29" s="16">
        <f>_xll.qlRateHelperLatestDate($D29)</f>
        <v>54731</v>
      </c>
      <c r="J29" s="5">
        <v>0.32053113149887413</v>
      </c>
    </row>
    <row r="30" spans="4:10" x14ac:dyDescent="0.2">
      <c r="D30" s="8" t="str">
        <v>obj_006e7</v>
      </c>
      <c r="E30" s="8" t="str">
        <f>_xll.qlRateHelperQuoteName(D30)</f>
        <v>USDAM3L40Y_S6L3L_Quote</v>
      </c>
      <c r="F30" s="9">
        <f>_xll.qlRateHelperRate($D30)</f>
        <v>3.1420624132363253E-2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41947</v>
      </c>
      <c r="I30" s="16">
        <f>_xll.qlRateHelperLatestDate($D30)</f>
        <v>56557</v>
      </c>
      <c r="J30" s="5">
        <v>0.273812160973331</v>
      </c>
    </row>
    <row r="31" spans="4:10" x14ac:dyDescent="0.2">
      <c r="D31" s="8" t="str">
        <v>obj_006e8</v>
      </c>
      <c r="E31" s="8" t="str">
        <f>_xll.qlRateHelperQuoteName(D31)</f>
        <v>USDAM3L50Y_S6L3L_Quote</v>
      </c>
      <c r="F31" s="9">
        <f>_xll.qlRateHelperRate($D31)</f>
        <v>3.1260538686801037E-2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41947</v>
      </c>
      <c r="I31" s="16">
        <f>_xll.qlRateHelperLatestDate($D31)</f>
        <v>60210</v>
      </c>
      <c r="J31" s="5">
        <v>0.20317620216099239</v>
      </c>
    </row>
    <row r="32" spans="4:10" x14ac:dyDescent="0.2">
      <c r="D32" s="8" t="str">
        <v>obj_006e9</v>
      </c>
      <c r="E32" s="8" t="str">
        <f>_xll.qlRateHelperQuoteName(D32)</f>
        <v>USDAM3L60Y_S6L3L_Quote</v>
      </c>
      <c r="F32" s="9">
        <f>_xll.qlRateHelperRate($D32)</f>
        <v>3.1120048819726499E-2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41947</v>
      </c>
      <c r="I32" s="16">
        <f>_xll.qlRateHelperLatestDate($D32)</f>
        <v>63863</v>
      </c>
      <c r="J32" s="5">
        <v>0.15148330745402988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obj_006a2#0001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obj_006c6#0001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obj_006a9#0001</v>
      </c>
      <c r="D4" s="44" t="str">
        <f t="shared" si="0"/>
        <v>USD1MD_SYNTH6M_Quote</v>
      </c>
      <c r="E4" s="45" t="str">
        <f>_xll.qlDepositRateHelper(,D4,C4,Permanent,Trigger,ObjectOverwrite)</f>
        <v>obj_006ae#0001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obj_006a6#0001</v>
      </c>
      <c r="D5" s="44" t="str">
        <f t="shared" si="0"/>
        <v>USD2MD_SYNTH6M_Quote</v>
      </c>
      <c r="E5" s="45" t="str">
        <f>_xll.qlDepositRateHelper(,D5,C5,Permanent,Trigger,ObjectOverwrite)</f>
        <v>obj_006ba#0001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obj_006a7#0001</v>
      </c>
      <c r="D6" s="44" t="str">
        <f t="shared" si="0"/>
        <v>USD3MD_SYNTH6M_Quote</v>
      </c>
      <c r="E6" s="45" t="str">
        <f>_xll.qlDepositRateHelper(,D6,C6,Permanent,Trigger,ObjectOverwrite)</f>
        <v>obj_006b0#0001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obj_006a4#0001</v>
      </c>
      <c r="D7" s="44" t="str">
        <f t="shared" si="0"/>
        <v>USD4MD_SYNTH6M_Quote</v>
      </c>
      <c r="E7" s="45" t="str">
        <f>_xll.qlDepositRateHelper(,D7,C7,Permanent,Trigger,ObjectOverwrite)</f>
        <v>obj_006ab#0001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obj_006a8#0001</v>
      </c>
      <c r="D8" s="44" t="str">
        <f t="shared" si="0"/>
        <v>USD5MD_SYNTH6M_Quote</v>
      </c>
      <c r="E8" s="45" t="str">
        <f>_xll.qlDepositRateHelper(,D8,C8,Permanent,Trigger,ObjectOverwrite)</f>
        <v>obj_006aa#0001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obj_006a5#0001</v>
      </c>
      <c r="D9" s="44" t="str">
        <f t="shared" si="0"/>
        <v>USD6MD_SYNTH6M_Quote</v>
      </c>
      <c r="E9" s="45" t="str">
        <f>_xll.qlDepositRateHelper(,D9,C9,Permanent,Trigger,ObjectOverwrite)</f>
        <v>obj_006b6#0001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/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obj_006c4#0001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obj_006b1#0001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obj_006bb#0001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obj_006be#0001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obj_006b8#0001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obj_006ac#0001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 t="str">
        <f>_xll.qlFraRateHelper(,G9,B9,E9,Permanent,Trigger,ObjectOverwrite)</f>
        <v>obj_006b4#0001</v>
      </c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 t="str">
        <f>_xll.qlFraRateHelper(,G10,B10,E10,Permanent,Trigger,ObjectOverwrite)</f>
        <v>obj_006c8#0001</v>
      </c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obj_006c3#0001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 t="str">
        <f>_xll.qlFraRateHelper(,G12,B12,E12,Permanent,Trigger,ObjectOverwrite)</f>
        <v>obj_006bf#0001</v>
      </c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 t="str">
        <f>_xll.qlFraRateHelper(,G13,B13,E13,Permanent,Trigger,ObjectOverwrite)</f>
        <v>obj_006bd#0001</v>
      </c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obj_006c1#0001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 t="str">
        <f>_xll.qlFraRateHelper(,G15,B15,E15,Permanent,Trigger,ObjectOverwrite)</f>
        <v>obj_006b9#0001</v>
      </c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 t="str">
        <f>_xll.qlFraRateHelper(,G16,B16,E16,Permanent,Trigger,ObjectOverwrite)</f>
        <v>obj_006c7#0001</v>
      </c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 t="str">
        <f>_xll.qlFraRateHelper(,G17,B17,E17,Permanent,Trigger,ObjectOverwrite)</f>
        <v>obj_006c2#0001</v>
      </c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 t="str">
        <f>_xll.qlFraRateHelper(,G18,B18,E18,Permanent,Trigger,ObjectOverwrite)</f>
        <v>obj_006ad#0001</v>
      </c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 t="str">
        <f>_xll.qlFraRateHelper(,G19,B19,E19,Permanent,Trigger,ObjectOverwrite)</f>
        <v>obj_006c5#0001</v>
      </c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obj_006b7#0001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 t="str">
        <f>_xll.qlFraRateHelper(,G21,B21,E21,Permanent,Trigger,ObjectOverwrite)</f>
        <v>obj_006b3#0001</v>
      </c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 t="str">
        <f>_xll.qlFraRateHelper(,G22,B22,E22,Permanent,Trigger,ObjectOverwrite)</f>
        <v>obj_006b2#0001</v>
      </c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 t="str">
        <f>_xll.qlFraRateHelper(,G23,B23,E23,Permanent,Trigger,ObjectOverwrite)</f>
        <v>obj_006c0#0001</v>
      </c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 t="str">
        <f>_xll.qlFraRateHelper(,G24,B24,E24,Permanent,Trigger,ObjectOverwrite)</f>
        <v>obj_006af#0001</v>
      </c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 t="str">
        <f>_xll.qlFraRateHelper(,G25,B25,E25,Permanent,Trigger,ObjectOverwrite)</f>
        <v>obj_006b5#0001</v>
      </c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 t="str">
        <f>_xll.qlFraRateHelper(,G26,B26,E26,Permanent,Trigger,ObjectOverwrite)</f>
        <v>obj_006bc#0001</v>
      </c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obj_006a1#0001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obj_006a3#0001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obj_006c9#0001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obj_006ca#0001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obj_006cb#0001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obj_006cc#0001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obj_006cd#0001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obj_006cf#0001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obj_006ce#0001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obj_006d0#0001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obj_006d1#0001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obj_006d2#0001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obj_006d3#0001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obj_006d4#0001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obj_006d5#0001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obj_006d6#0001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obj_006d7#0001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obj_006d8#0001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obj_006d9#0001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obj_006da#0001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obj_006db#0001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obj_006dc#0001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obj_006dd#0001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obj_006de#0001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obj_006df#0001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obj_006e0#0001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obj_006e1#0001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obj_006e2#0001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obj_006e3#0001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obj_006e4#0001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obj_006e5#0001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obj_006e6#0001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obj_006e7#0001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obj_006e8#0001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obj_006e9#0001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41912</v>
      </c>
      <c r="D3" s="119">
        <v>12</v>
      </c>
      <c r="E3" s="118">
        <f t="shared" ref="E3:E16" si="0">EDATE($Y$19,$D3)</f>
        <v>42312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0.01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3.2571676694197445E-3</v>
      </c>
      <c r="K3" s="123">
        <f>MAX(_xll.ohPack($Z$19:INDEX($Z$19:$Z$3552,MATCH(E3+1,$Y$19:$Y$3552,1),1)))</f>
        <v>9.128657713500592E-3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41912</v>
      </c>
      <c r="D4" s="119">
        <v>24</v>
      </c>
      <c r="E4" s="118">
        <f t="shared" si="0"/>
        <v>42678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0.02</v>
      </c>
      <c r="I4" s="123">
        <f t="shared" ref="I4:I16" si="4">IF(H4-G4&lt;0.5%,0.05%,IF(H4-G4&lt;1%,0.1%,IF(H4-G4&lt;2%,0.25%,0.5%)))</f>
        <v>2.5000000000000001E-3</v>
      </c>
      <c r="J4" s="122">
        <f>MIN(_xll.ohPack($Z$19:INDEX($Z$19:$Z$3552,MATCH(E4+1,$Y$19:$Y$3552,1),1)))</f>
        <v>3.2571676694197445E-3</v>
      </c>
      <c r="K4" s="123">
        <f>MAX(_xll.ohPack($Z$19:INDEX($Z$19:$Z$3552,MATCH(E4+1,$Y$19:$Y$3552,1),1)))</f>
        <v>1.8426619291605419E-2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9">
        <v>60</v>
      </c>
      <c r="E5" s="118">
        <f t="shared" si="0"/>
        <v>43773</v>
      </c>
      <c r="F5" s="120">
        <f t="shared" si="1"/>
        <v>6</v>
      </c>
      <c r="G5" s="121">
        <f t="shared" si="2"/>
        <v>3.0000000000000001E-3</v>
      </c>
      <c r="H5" s="122">
        <f t="shared" si="3"/>
        <v>3.5000000000000003E-2</v>
      </c>
      <c r="I5" s="123">
        <f t="shared" si="4"/>
        <v>5.0000000000000001E-3</v>
      </c>
      <c r="J5" s="122">
        <f>MIN(_xll.ohPack($Z$19:INDEX($Z$19:$Z$3552,MATCH(E5+1,$Y$19:$Y$3552,1),1)))</f>
        <v>3.2571676694197445E-3</v>
      </c>
      <c r="K5" s="123">
        <f>MAX(_xll.ohPack($Z$19:INDEX($Z$19:$Z$3552,MATCH(E5+1,$Y$19:$Y$3552,1),1)))</f>
        <v>3.0934628565452899E-2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41820</v>
      </c>
      <c r="D6" s="119">
        <v>120</v>
      </c>
      <c r="E6" s="118">
        <f t="shared" si="0"/>
        <v>45600</v>
      </c>
      <c r="F6" s="120">
        <f t="shared" si="1"/>
        <v>6</v>
      </c>
      <c r="G6" s="121">
        <f t="shared" si="2"/>
        <v>3.0000000000000001E-3</v>
      </c>
      <c r="H6" s="122">
        <f t="shared" si="3"/>
        <v>0.04</v>
      </c>
      <c r="I6" s="123">
        <f t="shared" si="4"/>
        <v>5.0000000000000001E-3</v>
      </c>
      <c r="J6" s="122">
        <f>MIN(_xll.ohPack($Z$19:INDEX($Z$19:$Z$3552,MATCH(E6+1,$Y$19:$Y$3552,1),1)))</f>
        <v>3.2571676694197445E-3</v>
      </c>
      <c r="K6" s="123">
        <f>MAX(_xll.ohPack($Z$19:INDEX($Z$19:$Z$3552,MATCH(E6+1,$Y$19:$Y$3552,1),1)))</f>
        <v>3.5838203437035331E-2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41639</v>
      </c>
      <c r="D7" s="119">
        <v>240</v>
      </c>
      <c r="E7" s="118">
        <f t="shared" si="0"/>
        <v>49252</v>
      </c>
      <c r="F7" s="120">
        <f t="shared" si="1"/>
        <v>12</v>
      </c>
      <c r="G7" s="121">
        <f t="shared" si="2"/>
        <v>3.0000000000000001E-3</v>
      </c>
      <c r="H7" s="122">
        <f t="shared" si="3"/>
        <v>0.04</v>
      </c>
      <c r="I7" s="123">
        <f t="shared" si="4"/>
        <v>5.0000000000000001E-3</v>
      </c>
      <c r="J7" s="122">
        <f>MIN(_xll.ohPack($Z$19:INDEX($Z$19:$Z$3552,MATCH(E7+1,$Y$19:$Y$3552,1),1)))</f>
        <v>3.2571676694197445E-3</v>
      </c>
      <c r="K7" s="123">
        <f>MAX(_xll.ohPack($Z$19:INDEX($Z$19:$Z$3552,MATCH(E7+1,$Y$19:$Y$3552,1),1)))</f>
        <v>3.6471454792862269E-2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41639</v>
      </c>
      <c r="D8" s="119">
        <v>360</v>
      </c>
      <c r="E8" s="118">
        <f t="shared" si="0"/>
        <v>52905</v>
      </c>
      <c r="F8" s="120">
        <f t="shared" si="1"/>
        <v>36</v>
      </c>
      <c r="G8" s="121">
        <f t="shared" si="2"/>
        <v>3.0000000000000001E-3</v>
      </c>
      <c r="H8" s="122">
        <f t="shared" si="3"/>
        <v>0.04</v>
      </c>
      <c r="I8" s="123">
        <f t="shared" si="4"/>
        <v>5.0000000000000001E-3</v>
      </c>
      <c r="J8" s="122">
        <f>MIN(_xll.ohPack($Z$19:INDEX($Z$19:$Z$3552,MATCH(E8+1,$Y$19:$Y$3552,1),1)))</f>
        <v>3.2571676694197445E-3</v>
      </c>
      <c r="K8" s="123">
        <f>MAX(_xll.ohPack($Z$19:INDEX($Z$19:$Z$3552,MATCH(E8+1,$Y$19:$Y$3552,1),1)))</f>
        <v>3.6471454792862269E-2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41639</v>
      </c>
      <c r="D9" s="119">
        <f>60*12</f>
        <v>720</v>
      </c>
      <c r="E9" s="118">
        <f t="shared" si="0"/>
        <v>63862</v>
      </c>
      <c r="F9" s="120">
        <f t="shared" si="1"/>
        <v>60</v>
      </c>
      <c r="G9" s="121">
        <f t="shared" si="2"/>
        <v>3.0000000000000001E-3</v>
      </c>
      <c r="H9" s="122">
        <f t="shared" si="3"/>
        <v>0.04</v>
      </c>
      <c r="I9" s="123">
        <f t="shared" si="4"/>
        <v>5.0000000000000001E-3</v>
      </c>
      <c r="J9" s="122">
        <f>MIN(_xll.ohPack($Z$19:INDEX($Z$19:$Z$3552,MATCH(E9+1,$Y$19:$Y$3552,1),1)))</f>
        <v>3.2571676694197445E-3</v>
      </c>
      <c r="K9" s="123">
        <f>MAX(_xll.ohPack($Z$19:INDEX($Z$19:$Z$3552,MATCH(E9+1,$Y$19:$Y$3552,1),1)))</f>
        <v>3.6471454792862269E-2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41912</v>
      </c>
      <c r="D10" s="129">
        <v>12</v>
      </c>
      <c r="E10" s="128">
        <f t="shared" si="0"/>
        <v>42312</v>
      </c>
      <c r="F10" s="130">
        <f t="shared" si="1"/>
        <v>1</v>
      </c>
      <c r="G10" s="131">
        <f t="shared" si="2"/>
        <v>3.0000000000000001E-3</v>
      </c>
      <c r="H10" s="132">
        <f t="shared" si="3"/>
        <v>7.0000000000000001E-3</v>
      </c>
      <c r="I10" s="133">
        <f t="shared" si="4"/>
        <v>5.0000000000000001E-4</v>
      </c>
      <c r="J10" s="132">
        <f>MIN(_xll.ohPack($AA$19:INDEX($AA$19:$AA$3552,MATCH(E10+1,$Y$19:$Y$3552,1),1)))</f>
        <v>3.1158444414192132E-3</v>
      </c>
      <c r="K10" s="133">
        <f>MAX(_xll.ohPack($AA$19:INDEX($AA$19:$AA$3552,MATCH(E10+1,$Y$19:$Y$3552,1),1)))</f>
        <v>6.9003416140223095E-3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41912</v>
      </c>
      <c r="D11" s="119">
        <v>24</v>
      </c>
      <c r="E11" s="118">
        <f t="shared" si="0"/>
        <v>42678</v>
      </c>
      <c r="F11" s="120">
        <f t="shared" si="1"/>
        <v>3</v>
      </c>
      <c r="G11" s="121">
        <f t="shared" si="2"/>
        <v>3.0000000000000001E-3</v>
      </c>
      <c r="H11" s="122">
        <f t="shared" si="3"/>
        <v>0.02</v>
      </c>
      <c r="I11" s="123">
        <f t="shared" si="4"/>
        <v>2.5000000000000001E-3</v>
      </c>
      <c r="J11" s="122">
        <f>MIN(_xll.ohPack($AA$19:INDEX($AA$19:$AA$3552,MATCH(E11+1,$Y$19:$Y$3552,1),1)))</f>
        <v>3.1158444414192132E-3</v>
      </c>
      <c r="K11" s="123">
        <f>MAX(_xll.ohPack($AA$19:INDEX($AA$19:$AA$3552,MATCH(E11+1,$Y$19:$Y$3552,1),1)))</f>
        <v>1.62651747433884E-2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41820</v>
      </c>
      <c r="D12" s="119">
        <v>60</v>
      </c>
      <c r="E12" s="118">
        <f t="shared" si="0"/>
        <v>43773</v>
      </c>
      <c r="F12" s="120">
        <f t="shared" si="1"/>
        <v>6</v>
      </c>
      <c r="G12" s="121">
        <f t="shared" si="2"/>
        <v>3.0000000000000001E-3</v>
      </c>
      <c r="H12" s="122">
        <f t="shared" si="3"/>
        <v>3.5000000000000003E-2</v>
      </c>
      <c r="I12" s="123">
        <f t="shared" si="4"/>
        <v>5.0000000000000001E-3</v>
      </c>
      <c r="J12" s="122">
        <f>MIN(_xll.ohPack($AA$19:INDEX($AA$19:$AA$3552,MATCH(E12+1,$Y$19:$Y$3552,1),1)))</f>
        <v>3.1158444414192132E-3</v>
      </c>
      <c r="K12" s="123">
        <f>MAX(_xll.ohPack($AA$19:INDEX($AA$19:$AA$3552,MATCH(E12+1,$Y$19:$Y$3552,1),1)))</f>
        <v>3.0296097190243287E-2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41820</v>
      </c>
      <c r="D13" s="119">
        <v>120</v>
      </c>
      <c r="E13" s="118">
        <f t="shared" si="0"/>
        <v>45600</v>
      </c>
      <c r="F13" s="120">
        <f t="shared" si="1"/>
        <v>6</v>
      </c>
      <c r="G13" s="121">
        <f t="shared" si="2"/>
        <v>3.0000000000000001E-3</v>
      </c>
      <c r="H13" s="122">
        <f t="shared" si="3"/>
        <v>0.04</v>
      </c>
      <c r="I13" s="123">
        <f t="shared" si="4"/>
        <v>5.0000000000000001E-3</v>
      </c>
      <c r="J13" s="122">
        <f>MIN(_xll.ohPack($AA$19:INDEX($AA$19:$AA$3552,MATCH(E13+1,$Y$19:$Y$3552,1),1)))</f>
        <v>3.1158444414192132E-3</v>
      </c>
      <c r="K13" s="123">
        <f>MAX(_xll.ohPack($AA$19:INDEX($AA$19:$AA$3552,MATCH(E13+1,$Y$19:$Y$3552,1),1)))</f>
        <v>3.5353280538332754E-2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41639</v>
      </c>
      <c r="D14" s="119">
        <v>240</v>
      </c>
      <c r="E14" s="118">
        <f t="shared" si="0"/>
        <v>49252</v>
      </c>
      <c r="F14" s="120">
        <f t="shared" si="1"/>
        <v>12</v>
      </c>
      <c r="G14" s="121">
        <f t="shared" si="2"/>
        <v>3.0000000000000001E-3</v>
      </c>
      <c r="H14" s="122">
        <f t="shared" si="3"/>
        <v>0.04</v>
      </c>
      <c r="I14" s="123">
        <f t="shared" si="4"/>
        <v>5.0000000000000001E-3</v>
      </c>
      <c r="J14" s="122">
        <f>MIN(_xll.ohPack($AA$19:INDEX($AA$19:$AA$3552,MATCH(E14+1,$Y$19:$Y$3552,1),1)))</f>
        <v>3.1158444414192132E-3</v>
      </c>
      <c r="K14" s="123">
        <f>MAX(_xll.ohPack($AA$19:INDEX($AA$19:$AA$3552,MATCH(E14+1,$Y$19:$Y$3552,1),1)))</f>
        <v>3.6137637992013083E-2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41639</v>
      </c>
      <c r="D15" s="119">
        <v>360</v>
      </c>
      <c r="E15" s="118">
        <f t="shared" si="0"/>
        <v>52905</v>
      </c>
      <c r="F15" s="120">
        <f t="shared" si="1"/>
        <v>36</v>
      </c>
      <c r="G15" s="121">
        <f t="shared" si="2"/>
        <v>3.0000000000000001E-3</v>
      </c>
      <c r="H15" s="122">
        <f t="shared" si="3"/>
        <v>0.04</v>
      </c>
      <c r="I15" s="123">
        <f t="shared" si="4"/>
        <v>5.0000000000000001E-3</v>
      </c>
      <c r="J15" s="122">
        <f>MIN(_xll.ohPack($AA$19:INDEX($AA$19:$AA$3552,MATCH(E15+1,$Y$19:$Y$3552,1),1)))</f>
        <v>3.1158444414192132E-3</v>
      </c>
      <c r="K15" s="123">
        <f>MAX(_xll.ohPack($AA$19:INDEX($AA$19:$AA$3552,MATCH(E15+1,$Y$19:$Y$3552,1),1)))</f>
        <v>3.6137637992013083E-2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41639</v>
      </c>
      <c r="D16" s="119">
        <v>720</v>
      </c>
      <c r="E16" s="118">
        <f t="shared" si="0"/>
        <v>63862</v>
      </c>
      <c r="F16" s="120">
        <f t="shared" si="1"/>
        <v>60</v>
      </c>
      <c r="G16" s="121">
        <f t="shared" si="2"/>
        <v>3.0000000000000001E-3</v>
      </c>
      <c r="H16" s="122">
        <f t="shared" si="3"/>
        <v>0.04</v>
      </c>
      <c r="I16" s="123">
        <f t="shared" si="4"/>
        <v>5.0000000000000001E-3</v>
      </c>
      <c r="J16" s="122">
        <f>MIN(_xll.ohPack($AA$19:INDEX($AA$19:$AA$3552,MATCH(E16+1,$Y$19:$Y$3552,1),1)))</f>
        <v>3.1158444414192132E-3</v>
      </c>
      <c r="K16" s="123">
        <f>MAX(_xll.ohPack($AA$19:INDEX($AA$19:$AA$3552,MATCH(E16+1,$Y$19:$Y$3552,1),1)))</f>
        <v>3.6137637992013083E-2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obj_006eb#0001</v>
      </c>
      <c r="AA17" s="137" t="str">
        <f>_xll.qlOvernightIndex(,FamilyName,NDays,Currency,Calendar,MoneyMarketDayCounter,YieldCurve)</f>
        <v>obj_006ec#0001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_xll.ohFilter(RateHelpers!A9:A32,NOT(RateHelpers!L9:L32))</f>
        <v>obj_006c4#0001</v>
      </c>
      <c r="N19" s="90" t="str">
        <f>_xll.qlRateHelperQuoteName(M19)</f>
        <v>USD1x7F_Quote</v>
      </c>
      <c r="O19" s="147">
        <f>_xll.qlRateHelperEarliestDate(M19)</f>
        <v>41977</v>
      </c>
      <c r="P19" s="148">
        <f>_xll.qlRateHelperQuoteValue(M19,"ohTrigger(Trigger,RecalcTrigger))")</f>
        <v>3.2699999999999995E-3</v>
      </c>
      <c r="Q19" s="91" t="e">
        <f>NA()</f>
        <v>#N/A</v>
      </c>
      <c r="R19" s="147">
        <f>_xll.qlInterestRateIndexFixingDate(IborIndex,O19)</f>
        <v>41975</v>
      </c>
      <c r="S19" s="148">
        <f>_xll.qlIndexFixing(IborIndex,R19,TRUE,RecalcTrigger)</f>
        <v>3.2700000000002965E-3</v>
      </c>
      <c r="T19" s="149">
        <f>S19-P19</f>
        <v>2.9707139526102821E-16</v>
      </c>
      <c r="U19" s="150">
        <f t="array" ref="U19">MAX(ABS(_xll.ohFilter(T19:T42,IF(ISERROR(T19:T42),FALSE,TRUE))))</f>
        <v>5.2234143239196507E-5</v>
      </c>
      <c r="V19" s="151"/>
      <c r="W19" s="90" t="s">
        <v>168</v>
      </c>
      <c r="X19" s="152">
        <f>_xll.qlSettingsEvaluationDate(Trigger)</f>
        <v>41943</v>
      </c>
      <c r="Y19" s="152">
        <f>_xll.qlInterestRateIndexValueDate(IborIndex,X19,Trigger)</f>
        <v>41947</v>
      </c>
      <c r="Z19" s="153">
        <f t="array" ref="Z19:Z3552">IFERROR(_xll.qlIndexFixing(IborIndex,X19:X3552,TRUE,RecalcTrigger),NA())</f>
        <v>3.2770000002048339E-3</v>
      </c>
      <c r="AA19" s="155">
        <f t="array" ref="AA19:AA3552">IFERROR(_xll.qlIndexFixing(OverNightIndex,Y19:Y3552,TRUE,RecalcTrigger),NA())</f>
        <v>3.6419289666422827E-3</v>
      </c>
    </row>
    <row r="20" spans="1:27" ht="12" thickBot="1" x14ac:dyDescent="0.25">
      <c r="J20" s="157"/>
      <c r="M20" s="90" t="str">
        <v>obj_006b1#0001</v>
      </c>
      <c r="N20" s="90" t="str">
        <f>_xll.qlRateHelperQuoteName(M20)</f>
        <v>USD2x8F_Quote</v>
      </c>
      <c r="O20" s="147">
        <f>_xll.qlRateHelperEarliestDate(M20)</f>
        <v>42009</v>
      </c>
      <c r="P20" s="148">
        <f>_xll.qlRateHelperQuoteValue(M20,"ohTrigger(Trigger,RecalcTrigger))")</f>
        <v>3.4099999999999998E-3</v>
      </c>
      <c r="Q20" s="91" t="e">
        <f>NA()</f>
        <v>#N/A</v>
      </c>
      <c r="R20" s="147">
        <f>_xll.qlInterestRateIndexFixingDate(IborIndex,O20)</f>
        <v>42004</v>
      </c>
      <c r="S20" s="148">
        <f>_xll.qlIndexFixing(IborIndex,R20,TRUE,RecalcTrigger)</f>
        <v>3.4099999999993693E-3</v>
      </c>
      <c r="T20" s="149">
        <f t="shared" ref="T20:T42" si="6">S20-P20</f>
        <v>-6.3057198351756938E-16</v>
      </c>
      <c r="W20" s="90" t="str">
        <f>W19</f>
        <v>1D</v>
      </c>
      <c r="X20" s="147">
        <f>_xll.qlCalendarAdvance(LiborCalendar,X19,W20,"f",FALSE)</f>
        <v>41946</v>
      </c>
      <c r="Y20" s="152">
        <f>_xll.qlInterestRateIndexValueDate(IborIndex,X20,Trigger)</f>
        <v>41948</v>
      </c>
      <c r="Z20" s="153">
        <v>3.2749372754282561E-3</v>
      </c>
      <c r="AA20" s="155">
        <v>3.6360414515268502E-3</v>
      </c>
    </row>
    <row r="21" spans="1:27" ht="12" thickBot="1" x14ac:dyDescent="0.25">
      <c r="M21" s="90" t="str">
        <v>obj_006bb#0001</v>
      </c>
      <c r="N21" s="90" t="str">
        <f>_xll.qlRateHelperQuoteName(M21)</f>
        <v>USD3x9F_Quote</v>
      </c>
      <c r="O21" s="147">
        <f>_xll.qlRateHelperEarliestDate(M21)</f>
        <v>42039</v>
      </c>
      <c r="P21" s="148">
        <f>_xll.qlRateHelperQuoteValue(M21,"ohTrigger(Trigger,RecalcTrigger))")</f>
        <v>3.62E-3</v>
      </c>
      <c r="Q21" s="91" t="e">
        <f>NA()</f>
        <v>#N/A</v>
      </c>
      <c r="R21" s="147">
        <f>_xll.qlInterestRateIndexFixingDate(IborIndex,O21)</f>
        <v>42037</v>
      </c>
      <c r="S21" s="148">
        <f>_xll.qlIndexFixing(IborIndex,R21,TRUE,RecalcTrigger)</f>
        <v>3.6199999999997345E-3</v>
      </c>
      <c r="T21" s="149">
        <f t="shared" si="6"/>
        <v>-2.6541269182445149E-16</v>
      </c>
      <c r="W21" s="90" t="str">
        <f t="shared" ref="W21:W84" si="7">W20</f>
        <v>1D</v>
      </c>
      <c r="X21" s="147">
        <f>_xll.qlCalendarAdvance(LiborCalendar,X20,W21,"f",FALSE)</f>
        <v>41947</v>
      </c>
      <c r="Y21" s="152">
        <f>_xll.qlInterestRateIndexValueDate(IborIndex,X21,Trigger)</f>
        <v>41949</v>
      </c>
      <c r="Z21" s="153">
        <v>3.2732054268931787E-3</v>
      </c>
      <c r="AA21" s="155">
        <v>3.6273876530490412E-3</v>
      </c>
    </row>
    <row r="22" spans="1:27" ht="23.25" thickBot="1" x14ac:dyDescent="0.25">
      <c r="J22" s="241" t="s">
        <v>178</v>
      </c>
      <c r="M22" s="90" t="str">
        <v>obj_006be#0001</v>
      </c>
      <c r="N22" s="90" t="str">
        <f>_xll.qlRateHelperQuoteName(M22)</f>
        <v>USD4x10F_Quote</v>
      </c>
      <c r="O22" s="147">
        <f>_xll.qlRateHelperEarliestDate(M22)</f>
        <v>42067</v>
      </c>
      <c r="P22" s="148">
        <f>_xll.qlRateHelperQuoteValue(M22,"ohTrigger(Trigger,RecalcTrigger))")</f>
        <v>3.9000000000000003E-3</v>
      </c>
      <c r="Q22" s="91" t="e">
        <f>NA()</f>
        <v>#N/A</v>
      </c>
      <c r="R22" s="147">
        <f>_xll.qlInterestRateIndexFixingDate(IborIndex,O22)</f>
        <v>42065</v>
      </c>
      <c r="S22" s="148">
        <f>_xll.qlIndexFixing(IborIndex,R22,TRUE,RecalcTrigger)</f>
        <v>3.8999999999981805E-3</v>
      </c>
      <c r="T22" s="149">
        <f t="shared" si="6"/>
        <v>-1.8197249262996706E-15</v>
      </c>
      <c r="W22" s="90" t="str">
        <f t="shared" si="7"/>
        <v>1D</v>
      </c>
      <c r="X22" s="147">
        <f>_xll.qlCalendarAdvance(LiborCalendar,X21,W22,"f",FALSE)</f>
        <v>41948</v>
      </c>
      <c r="Y22" s="152">
        <f>_xll.qlInterestRateIndexValueDate(IborIndex,X22,Trigger)</f>
        <v>41950</v>
      </c>
      <c r="Z22" s="153">
        <v>3.2715230073688197E-3</v>
      </c>
      <c r="AA22" s="155">
        <v>3.6218638112650581E-3</v>
      </c>
    </row>
    <row r="23" spans="1:27" ht="12" thickBot="1" x14ac:dyDescent="0.25">
      <c r="J23" s="240" t="str">
        <f>ROUNDDOWN((_xll.qlTermStructureMaxDate(YieldCurve,Trigger)-_xll.qlTermStructureReferenceDate(YieldCurve,Trigger))/365,)&amp;"Y"</f>
        <v>60Y</v>
      </c>
      <c r="M23" s="90" t="str">
        <v>obj_006b8#0001</v>
      </c>
      <c r="N23" s="90" t="str">
        <f>_xll.qlRateHelperQuoteName(M23)</f>
        <v>USD5x11F_Quote</v>
      </c>
      <c r="O23" s="147">
        <f>_xll.qlRateHelperEarliestDate(M23)</f>
        <v>42101</v>
      </c>
      <c r="P23" s="148">
        <f>_xll.qlRateHelperQuoteValue(M23,"ohTrigger(Trigger,RecalcTrigger))")</f>
        <v>4.3299999999999996E-3</v>
      </c>
      <c r="Q23" s="91" t="e">
        <f>NA()</f>
        <v>#N/A</v>
      </c>
      <c r="R23" s="147">
        <f>_xll.qlInterestRateIndexFixingDate(IborIndex,O23)</f>
        <v>42095</v>
      </c>
      <c r="S23" s="148">
        <f>_xll.qlIndexFixing(IborIndex,R23,TRUE,RecalcTrigger)</f>
        <v>4.3299999999937061E-3</v>
      </c>
      <c r="T23" s="149">
        <f t="shared" si="6"/>
        <v>-6.2935767708438561E-15</v>
      </c>
      <c r="W23" s="90" t="str">
        <f t="shared" si="7"/>
        <v>1D</v>
      </c>
      <c r="X23" s="147">
        <f>_xll.qlCalendarAdvance(LiborCalendar,X22,W23,"f",FALSE)</f>
        <v>41949</v>
      </c>
      <c r="Y23" s="152">
        <f>_xll.qlInterestRateIndexValueDate(IborIndex,X23,Trigger)</f>
        <v>41953</v>
      </c>
      <c r="Z23" s="153">
        <v>3.267478047148469E-3</v>
      </c>
      <c r="AA23" s="155">
        <v>3.6161876854556851E-3</v>
      </c>
    </row>
    <row r="24" spans="1:27" x14ac:dyDescent="0.2">
      <c r="M24" s="90" t="str">
        <v>obj_006ac#0001</v>
      </c>
      <c r="N24" s="90" t="str">
        <f>_xll.qlRateHelperQuoteName(M24)</f>
        <v>USD6x12F_Quote</v>
      </c>
      <c r="O24" s="147">
        <f>_xll.qlRateHelperEarliestDate(M24)</f>
        <v>42129</v>
      </c>
      <c r="P24" s="148">
        <f>_xll.qlRateHelperQuoteValue(M24,"ohTrigger(Trigger,RecalcTrigger))")</f>
        <v>4.8199999999999996E-3</v>
      </c>
      <c r="Q24" s="91" t="e">
        <f>NA()</f>
        <v>#N/A</v>
      </c>
      <c r="R24" s="147">
        <f>_xll.qlInterestRateIndexFixingDate(IborIndex,O24)</f>
        <v>42124</v>
      </c>
      <c r="S24" s="148">
        <f>_xll.qlIndexFixing(IborIndex,R24,TRUE,RecalcTrigger)</f>
        <v>4.8199999999923911E-3</v>
      </c>
      <c r="T24" s="149">
        <f t="shared" si="6"/>
        <v>-7.6084971656342759E-15</v>
      </c>
      <c r="W24" s="90" t="str">
        <f t="shared" si="7"/>
        <v>1D</v>
      </c>
      <c r="X24" s="147">
        <f>_xll.qlCalendarAdvance(LiborCalendar,X23,W24,"f",FALSE)</f>
        <v>41950</v>
      </c>
      <c r="Y24" s="152">
        <f>_xll.qlInterestRateIndexValueDate(IborIndex,X24,Trigger)</f>
        <v>41955</v>
      </c>
      <c r="Z24" s="153">
        <v>3.2641474985242711E-3</v>
      </c>
      <c r="AA24" s="155">
        <v>3.5990612077796413E-3</v>
      </c>
    </row>
    <row r="25" spans="1:27" x14ac:dyDescent="0.2">
      <c r="M25" s="90" t="str">
        <v>obj_006c3#0001</v>
      </c>
      <c r="N25" s="90" t="str">
        <f>_xll.qlRateHelperQuoteName(M25)</f>
        <v>USD9x15F_Quote</v>
      </c>
      <c r="O25" s="147">
        <f>_xll.qlRateHelperEarliestDate(M25)</f>
        <v>42220</v>
      </c>
      <c r="P25" s="148">
        <f>_xll.qlRateHelperQuoteValue(M25,"ohTrigger(Trigger,RecalcTrigger))")</f>
        <v>6.7999999999999996E-3</v>
      </c>
      <c r="Q25" s="91" t="e">
        <f>NA()</f>
        <v>#N/A</v>
      </c>
      <c r="R25" s="147">
        <f>_xll.qlInterestRateIndexFixingDate(IborIndex,O25)</f>
        <v>42216</v>
      </c>
      <c r="S25" s="148">
        <f>_xll.qlIndexFixing(IborIndex,R25,TRUE,RecalcTrigger)</f>
        <v>6.7477658567608031E-3</v>
      </c>
      <c r="T25" s="149">
        <f t="shared" si="6"/>
        <v>-5.2234143239196507E-5</v>
      </c>
      <c r="W25" s="90" t="str">
        <f t="shared" si="7"/>
        <v>1D</v>
      </c>
      <c r="X25" s="147">
        <f>_xll.qlCalendarAdvance(LiborCalendar,X24,W25,"f",FALSE)</f>
        <v>41953</v>
      </c>
      <c r="Y25" s="152">
        <f>_xll.qlInterestRateIndexValueDate(IborIndex,X25,Trigger)</f>
        <v>41955</v>
      </c>
      <c r="Z25" s="153">
        <v>3.2641474985242711E-3</v>
      </c>
      <c r="AA25" s="155">
        <v>3.5990612077796413E-3</v>
      </c>
    </row>
    <row r="26" spans="1:27" x14ac:dyDescent="0.2">
      <c r="M26" s="90" t="str">
        <v>obj_006c1#0001</v>
      </c>
      <c r="N26" s="90" t="str">
        <f>_xll.qlRateHelperQuoteName(M26)</f>
        <v>USD12x18F_Quote</v>
      </c>
      <c r="O26" s="147">
        <f>_xll.qlRateHelperEarliestDate(M26)</f>
        <v>42312</v>
      </c>
      <c r="P26" s="148">
        <f>_xll.qlRateHelperQuoteValue(M26,"ohTrigger(Trigger,RecalcTrigger))")</f>
        <v>9.1000000000000004E-3</v>
      </c>
      <c r="Q26" s="91" t="e">
        <f>NA()</f>
        <v>#N/A</v>
      </c>
      <c r="R26" s="147">
        <f>_xll.qlInterestRateIndexFixingDate(IborIndex,O26)</f>
        <v>42310</v>
      </c>
      <c r="S26" s="148">
        <f>_xll.qlIndexFixing(IborIndex,R26,TRUE,RecalcTrigger)</f>
        <v>9.1029908887225053E-3</v>
      </c>
      <c r="T26" s="149">
        <f t="shared" si="6"/>
        <v>2.9908887225049002E-6</v>
      </c>
      <c r="U26" s="160"/>
      <c r="W26" s="90" t="str">
        <f t="shared" si="7"/>
        <v>1D</v>
      </c>
      <c r="X26" s="147">
        <f>_xll.qlCalendarAdvance(LiborCalendar,X25,W26,"f",FALSE)</f>
        <v>41954</v>
      </c>
      <c r="Y26" s="152">
        <f>_xll.qlInterestRateIndexValueDate(IborIndex,X26,Trigger)</f>
        <v>41956</v>
      </c>
      <c r="Z26" s="153">
        <v>3.2629341013678172E-3</v>
      </c>
      <c r="AA26" s="155">
        <v>3.5874894965104431E-3</v>
      </c>
    </row>
    <row r="27" spans="1:27" x14ac:dyDescent="0.2">
      <c r="M27" s="90" t="str">
        <v>obj_006b7#0001</v>
      </c>
      <c r="N27" s="90" t="str">
        <f>_xll.qlRateHelperQuoteName(M27)</f>
        <v>USD18x24F_Quote</v>
      </c>
      <c r="O27" s="147">
        <f>_xll.qlRateHelperEarliestDate(M27)</f>
        <v>42494</v>
      </c>
      <c r="P27" s="148">
        <f>_xll.qlRateHelperQuoteValue(M27,"ohTrigger(Trigger,RecalcTrigger))")</f>
        <v>1.3780000000000001E-2</v>
      </c>
      <c r="Q27" s="91" t="e">
        <f>NA()</f>
        <v>#N/A</v>
      </c>
      <c r="R27" s="147">
        <f>_xll.qlInterestRateIndexFixingDate(IborIndex,O27)</f>
        <v>42489</v>
      </c>
      <c r="S27" s="148">
        <f>_xll.qlIndexFixing(IborIndex,R27,TRUE,RecalcTrigger)</f>
        <v>1.3824866750258099E-2</v>
      </c>
      <c r="T27" s="149">
        <f t="shared" si="6"/>
        <v>4.4866750258098012E-5</v>
      </c>
      <c r="W27" s="90" t="str">
        <f t="shared" si="7"/>
        <v>1D</v>
      </c>
      <c r="X27" s="147">
        <f>_xll.qlCalendarAdvance(LiborCalendar,X26,W27,"f",FALSE)</f>
        <v>41955</v>
      </c>
      <c r="Y27" s="152">
        <f>_xll.qlInterestRateIndexValueDate(IborIndex,X27,Trigger)</f>
        <v>41957</v>
      </c>
      <c r="Z27" s="153">
        <v>3.2618206020715132E-3</v>
      </c>
      <c r="AA27" s="155">
        <v>3.5816863467097448E-3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41956</v>
      </c>
      <c r="Y28" s="152">
        <f>_xll.qlInterestRateIndexValueDate(IborIndex,X28,Trigger)</f>
        <v>41960</v>
      </c>
      <c r="Z28" s="153">
        <v>3.2602878040337156E-3</v>
      </c>
      <c r="AA28" s="155">
        <v>3.5758620262438257E-3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41957</v>
      </c>
      <c r="Y29" s="152">
        <f>_xll.qlInterestRateIndexValueDate(IborIndex,X29,Trigger)</f>
        <v>41961</v>
      </c>
      <c r="Z29" s="153">
        <v>3.2584475886361032E-3</v>
      </c>
      <c r="AA29" s="155">
        <v>3.5700165351126856E-3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41960</v>
      </c>
      <c r="Y30" s="152">
        <f>_xll.qlInterestRateIndexValueDate(IborIndex,X30,Trigger)</f>
        <v>41962</v>
      </c>
      <c r="Z30" s="153">
        <v>3.2578950825938599E-3</v>
      </c>
      <c r="AA30" s="155">
        <v>3.5582901540465173E-3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41961</v>
      </c>
      <c r="Y31" s="152">
        <f>_xll.qlInterestRateIndexValueDate(IborIndex,X31,Trigger)</f>
        <v>41963</v>
      </c>
      <c r="Z31" s="153">
        <v>3.2574670760778849E-3</v>
      </c>
      <c r="AA31" s="155">
        <v>3.5464228640957884E-3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41962</v>
      </c>
      <c r="Y32" s="152">
        <f>_xll.qlInterestRateIndexValueDate(IborIndex,X32,Trigger)</f>
        <v>41964</v>
      </c>
      <c r="Z32" s="153">
        <v>3.2571676694197445E-3</v>
      </c>
      <c r="AA32" s="155">
        <v>3.54047151971848E-3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41963</v>
      </c>
      <c r="Y33" s="152">
        <f>_xll.qlInterestRateIndexValueDate(IborIndex,X33,Trigger)</f>
        <v>41967</v>
      </c>
      <c r="Z33" s="153">
        <v>3.2609292171990084E-3</v>
      </c>
      <c r="AA33" s="155">
        <v>3.5344990045960145E-3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41964</v>
      </c>
      <c r="Y34" s="152">
        <f>_xll.qlInterestRateIndexValueDate(IborIndex,X34,Trigger)</f>
        <v>41968</v>
      </c>
      <c r="Z34" s="153">
        <v>3.2593284625733782E-3</v>
      </c>
      <c r="AA34" s="155">
        <v>3.5285053189682003E-3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41967</v>
      </c>
      <c r="Y35" s="152">
        <f>_xll.qlInterestRateIndexValueDate(IborIndex,X35,Trigger)</f>
        <v>41969</v>
      </c>
      <c r="Z35" s="153">
        <v>3.2577431472734023E-3</v>
      </c>
      <c r="AA35" s="155">
        <v>3.5164817270594284E-3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41968</v>
      </c>
      <c r="Y36" s="152">
        <f>_xll.qlInterestRateIndexValueDate(IborIndex,X36,Trigger)</f>
        <v>41971</v>
      </c>
      <c r="Z36" s="153">
        <v>3.2613686184839617E-3</v>
      </c>
      <c r="AA36" s="155">
        <v>3.4982193305310716E-3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41969</v>
      </c>
      <c r="Y37" s="152">
        <f>_xll.qlInterestRateIndexValueDate(IborIndex,X37,Trigger)</f>
        <v>41971</v>
      </c>
      <c r="Z37" s="153">
        <v>3.2613686184839617E-3</v>
      </c>
      <c r="AA37" s="155">
        <v>3.4982193305310716E-3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41970</v>
      </c>
      <c r="Y38" s="152">
        <f>_xll.qlInterestRateIndexValueDate(IborIndex,X38,Trigger)</f>
        <v>41974</v>
      </c>
      <c r="Z38" s="153">
        <v>3.2648890934921767E-3</v>
      </c>
      <c r="AA38" s="155">
        <v>3.4920986209918681E-3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41971</v>
      </c>
      <c r="Y39" s="152">
        <f>_xll.qlInterestRateIndexValueDate(IborIndex,X39,Trigger)</f>
        <v>41975</v>
      </c>
      <c r="Z39" s="153">
        <v>3.266410576604423E-3</v>
      </c>
      <c r="AA39" s="155">
        <v>3.4859495776373706E-3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41974</v>
      </c>
      <c r="Y40" s="152">
        <f>_xll.qlInterestRateIndexValueDate(IborIndex,X40,Trigger)</f>
        <v>41976</v>
      </c>
      <c r="Z40" s="153">
        <v>3.2681128526370839E-3</v>
      </c>
      <c r="AA40" s="155">
        <v>3.4734855004003862E-3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41975</v>
      </c>
      <c r="Y41" s="152">
        <f>_xll.qlInterestRateIndexValueDate(IborIndex,X41,Trigger)</f>
        <v>41977</v>
      </c>
      <c r="Z41" s="153">
        <v>3.2700000000002965E-3</v>
      </c>
      <c r="AA41" s="155">
        <v>3.4607405656394974E-3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41976</v>
      </c>
      <c r="Y42" s="152">
        <f>_xll.qlInterestRateIndexValueDate(IborIndex,X42,Trigger)</f>
        <v>41978</v>
      </c>
      <c r="Z42" s="153">
        <v>3.2720748029991553E-3</v>
      </c>
      <c r="AA42" s="155">
        <v>3.4542779400048573E-3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41977</v>
      </c>
      <c r="Y43" s="152">
        <f>_xll.qlInterestRateIndexValueDate(IborIndex,X43,Trigger)</f>
        <v>41981</v>
      </c>
      <c r="Z43" s="153">
        <v>3.279396046026365E-3</v>
      </c>
      <c r="AA43" s="155">
        <v>3.4477511652841741E-3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41978</v>
      </c>
      <c r="Y44" s="152">
        <f>_xll.qlInterestRateIndexValueDate(IborIndex,X44,Trigger)</f>
        <v>41982</v>
      </c>
      <c r="Z44" s="153">
        <v>3.2821897836113733E-3</v>
      </c>
      <c r="AA44" s="155">
        <v>3.4411602413975118E-3</v>
      </c>
    </row>
    <row r="45" spans="10:27" x14ac:dyDescent="0.2">
      <c r="M45" s="90" t="str">
        <f t="array" ref="M45:M77">_xll.ohFilter(RateHelpers!A33:A65,IF(ISERROR(RateHelpers!C33:C65),FALSE,TRUE))</f>
        <v>obj_006a3#0001</v>
      </c>
      <c r="N45" s="90" t="str">
        <f>_xll.qlRateHelperQuoteName(M45)</f>
        <v>USDAM3L1Y_S6L3L_Quote</v>
      </c>
      <c r="O45" s="147">
        <f>_xll.qlRateHelperLatestDate(M45,Trigger)</f>
        <v>42312</v>
      </c>
      <c r="P45" s="163">
        <f>_xll.qlRateHelperQuoteValue(M45,_xll.ohTrigger(RecalcTrigger,YieldCurve))</f>
        <v>4.0396136156055293E-3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obj_0070b#0001</v>
      </c>
      <c r="S45" s="165">
        <f>_xll.qlIndexFixing(R45,$X$19,TRUE,Trigger)</f>
        <v>4.0472889155379358E-3</v>
      </c>
      <c r="T45" s="149">
        <f t="shared" ref="T45:T49" si="8">S45-P45</f>
        <v>7.6752999324065582E-6</v>
      </c>
      <c r="U45" s="150">
        <f t="array" ref="U45">MAX(ABS(_xll.ohFilter(T45:T77,IF(ISERROR(T45:T77),FALSE,TRUE))))</f>
        <v>7.6752999324065582E-6</v>
      </c>
      <c r="W45" s="90" t="str">
        <f t="shared" si="7"/>
        <v>1D</v>
      </c>
      <c r="X45" s="147">
        <f>_xll.qlCalendarAdvance(LiborCalendar,X44,W45,"f",FALSE)</f>
        <v>41981</v>
      </c>
      <c r="Y45" s="152">
        <f>_xll.qlInterestRateIndexValueDate(IborIndex,X45,Trigger)</f>
        <v>41983</v>
      </c>
      <c r="Z45" s="153">
        <v>3.2851540388368285E-3</v>
      </c>
      <c r="AA45" s="155">
        <v>3.427797201283056E-3</v>
      </c>
    </row>
    <row r="46" spans="10:27" x14ac:dyDescent="0.2">
      <c r="M46" s="90" t="str">
        <v>obj_006c9#0001</v>
      </c>
      <c r="N46" s="90" t="str">
        <f>_xll.qlRateHelperQuoteName(M46)</f>
        <v>USDAM3L2Y_S6L3L_Quote</v>
      </c>
      <c r="O46" s="147">
        <f>_xll.qlRateHelperLatestDate(M46,Trigger)</f>
        <v>42678</v>
      </c>
      <c r="P46" s="163">
        <f>_xll.qlRateHelperQuoteValue(M46,_xll.ohTrigger(RecalcTrigger,YieldCurve))</f>
        <v>7.7634119770451197E-3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obj_006fb#0001</v>
      </c>
      <c r="S46" s="165">
        <f>_xll.qlIndexFixing(R46,$X$19,TRUE,Trigger)</f>
        <v>7.7634119769492407E-3</v>
      </c>
      <c r="T46" s="149">
        <f t="shared" si="8"/>
        <v>-9.5879033878976117E-14</v>
      </c>
      <c r="W46" s="90" t="str">
        <f t="shared" si="7"/>
        <v>1D</v>
      </c>
      <c r="X46" s="147">
        <f>_xll.qlCalendarAdvance(LiborCalendar,X45,W46,"f",FALSE)</f>
        <v>41982</v>
      </c>
      <c r="Y46" s="152">
        <f>_xll.qlInterestRateIndexValueDate(IborIndex,X46,Trigger)</f>
        <v>41984</v>
      </c>
      <c r="Z46" s="153">
        <v>3.2882851253517261E-3</v>
      </c>
      <c r="AA46" s="155">
        <v>3.4141550554700473E-3</v>
      </c>
    </row>
    <row r="47" spans="10:27" x14ac:dyDescent="0.2">
      <c r="M47" s="90" t="str">
        <v>obj_006ca#0001</v>
      </c>
      <c r="N47" s="90" t="str">
        <f>_xll.qlRateHelperQuoteName(M47)</f>
        <v>USDAM3L3Y_S6L3L_Quote</v>
      </c>
      <c r="O47" s="147">
        <f>_xll.qlRateHelperLatestDate(M47,Trigger)</f>
        <v>43045</v>
      </c>
      <c r="P47" s="163">
        <f>_xll.qlRateHelperQuoteValue(M47,_xll.ohTrigger(RecalcTrigger,YieldCurve))</f>
        <v>1.1953667136262825E-2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obj_006f1#0001</v>
      </c>
      <c r="S47" s="165">
        <f>_xll.qlIndexFixing(R47,$X$19,TRUE,Trigger)</f>
        <v>1.1953667136152275E-2</v>
      </c>
      <c r="T47" s="149">
        <f t="shared" si="8"/>
        <v>-1.1055045767704996E-13</v>
      </c>
      <c r="W47" s="90" t="str">
        <f t="shared" si="7"/>
        <v>1D</v>
      </c>
      <c r="X47" s="147">
        <f>_xll.qlCalendarAdvance(LiborCalendar,X46,W47,"f",FALSE)</f>
        <v>41983</v>
      </c>
      <c r="Y47" s="152">
        <f>_xll.qlInterestRateIndexValueDate(IborIndex,X47,Trigger)</f>
        <v>41985</v>
      </c>
      <c r="Z47" s="153">
        <v>3.2915793568230691E-3</v>
      </c>
      <c r="AA47" s="155">
        <v>3.4072433863130414E-3</v>
      </c>
    </row>
    <row r="48" spans="10:27" x14ac:dyDescent="0.2">
      <c r="J48" s="161" t="b">
        <v>1</v>
      </c>
      <c r="M48" s="90" t="str">
        <v>obj_006cb#0001</v>
      </c>
      <c r="N48" s="90" t="str">
        <f>_xll.qlRateHelperQuoteName(M48)</f>
        <v>USDAM3L4Y_S6L3L_Quote</v>
      </c>
      <c r="O48" s="147">
        <f>_xll.qlRateHelperLatestDate(M48,Trigger)</f>
        <v>43409</v>
      </c>
      <c r="P48" s="163">
        <f>_xll.qlRateHelperQuoteValue(M48,_xll.ohTrigger(RecalcTrigger,YieldCurve))</f>
        <v>1.5484728415621072E-2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obj_006ee#0001</v>
      </c>
      <c r="S48" s="165">
        <f>_xll.qlIndexFixing(R48,$X$19,TRUE,Trigger)</f>
        <v>1.5484728415425156E-2</v>
      </c>
      <c r="T48" s="149">
        <f t="shared" si="8"/>
        <v>-1.9591619992986864E-13</v>
      </c>
      <c r="W48" s="90" t="str">
        <f t="shared" si="7"/>
        <v>1D</v>
      </c>
      <c r="X48" s="147">
        <f>_xll.qlCalendarAdvance(LiborCalendar,X47,W48,"f",FALSE)</f>
        <v>41984</v>
      </c>
      <c r="Y48" s="152">
        <f>_xll.qlInterestRateIndexValueDate(IborIndex,X48,Trigger)</f>
        <v>41988</v>
      </c>
      <c r="Z48" s="153">
        <v>3.3024040578772634E-3</v>
      </c>
      <c r="AA48" s="155">
        <v>3.4002675681499284E-3</v>
      </c>
    </row>
    <row r="49" spans="10:27" x14ac:dyDescent="0.2">
      <c r="M49" s="90" t="str">
        <v>obj_006cc#0001</v>
      </c>
      <c r="N49" s="90" t="str">
        <f>_xll.qlRateHelperQuoteName(M49)</f>
        <v>USDAM3L5Y_S6L3L_Quote</v>
      </c>
      <c r="O49" s="147">
        <f>_xll.qlRateHelperLatestDate(M49,Trigger)</f>
        <v>43773</v>
      </c>
      <c r="P49" s="163">
        <f>_xll.qlRateHelperQuoteValue(M49,_xll.ohTrigger(RecalcTrigger,YieldCurve))</f>
        <v>1.8195605059462196E-2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obj_006f7#0001</v>
      </c>
      <c r="S49" s="165">
        <f>_xll.qlIndexFixing(R49,$X$19,TRUE,Trigger)</f>
        <v>1.8195605059434919E-2</v>
      </c>
      <c r="T49" s="149">
        <f t="shared" si="8"/>
        <v>-2.7276791936259315E-14</v>
      </c>
      <c r="W49" s="90" t="str">
        <f t="shared" si="7"/>
        <v>1D</v>
      </c>
      <c r="X49" s="147">
        <f>_xll.qlCalendarAdvance(LiborCalendar,X48,W49,"f",FALSE)</f>
        <v>41985</v>
      </c>
      <c r="Y49" s="152">
        <f>_xll.qlInterestRateIndexValueDate(IborIndex,X49,Trigger)</f>
        <v>41989</v>
      </c>
      <c r="Z49" s="153">
        <v>3.3063140061316602E-3</v>
      </c>
      <c r="AA49" s="155">
        <v>3.3932276008208362E-3</v>
      </c>
    </row>
    <row r="50" spans="10:27" x14ac:dyDescent="0.2">
      <c r="M50" s="90" t="str">
        <v>obj_006cd#0001</v>
      </c>
      <c r="N50" s="90" t="str">
        <f>_xll.qlRateHelperQuoteName(M50)</f>
        <v>USDAM3L6Y_S6L3L_Quote</v>
      </c>
      <c r="O50" s="147">
        <f>_xll.qlRateHelperLatestDate(M50,Trigger)</f>
        <v>44139</v>
      </c>
      <c r="P50" s="163">
        <f>_xll.qlRateHelperQuoteValue(M50,_xll.ohTrigger(RecalcTrigger,YieldCurve))</f>
        <v>2.0296477513028936E-2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obj_006f0#0001</v>
      </c>
      <c r="S50" s="165">
        <f>_xll.qlIndexFixing(R50,$X$19,TRUE,Trigger)</f>
        <v>2.0296477512926969E-2</v>
      </c>
      <c r="T50" s="149">
        <f>S50-P50</f>
        <v>-1.0196704591791672E-13</v>
      </c>
      <c r="W50" s="90" t="str">
        <f t="shared" si="7"/>
        <v>1D</v>
      </c>
      <c r="X50" s="147">
        <f>_xll.qlCalendarAdvance(LiborCalendar,X49,W50,"f",FALSE)</f>
        <v>41988</v>
      </c>
      <c r="Y50" s="152">
        <f>_xll.qlInterestRateIndexValueDate(IborIndex,X50,Trigger)</f>
        <v>41990</v>
      </c>
      <c r="Z50" s="153">
        <v>3.3103686678663765E-3</v>
      </c>
      <c r="AA50" s="155">
        <v>3.3789655507732164E-3</v>
      </c>
    </row>
    <row r="51" spans="10:27" x14ac:dyDescent="0.2">
      <c r="M51" s="90" t="str">
        <v>obj_006cf#0001</v>
      </c>
      <c r="N51" s="90" t="str">
        <f>_xll.qlRateHelperQuoteName(M51)</f>
        <v>USDAM3L7Y_S6L3L_Quote</v>
      </c>
      <c r="O51" s="147">
        <f>_xll.qlRateHelperLatestDate(M51,Trigger)</f>
        <v>44504</v>
      </c>
      <c r="P51" s="163">
        <f>_xll.qlRateHelperQuoteValue(M51,_xll.ohTrigger(RecalcTrigger,YieldCurve))</f>
        <v>2.1967114542548762E-2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obj_006f3#0001</v>
      </c>
      <c r="S51" s="165">
        <f>_xll.qlIndexFixing(R51,$X$19,TRUE,Trigger)</f>
        <v>2.1967114542582093E-2</v>
      </c>
      <c r="T51" s="149">
        <f t="shared" ref="T51:T77" si="10">S51-P51</f>
        <v>3.3330976867418372E-14</v>
      </c>
      <c r="W51" s="90" t="str">
        <f t="shared" si="7"/>
        <v>1D</v>
      </c>
      <c r="X51" s="147">
        <f>_xll.qlCalendarAdvance(LiborCalendar,X50,W51,"f",FALSE)</f>
        <v>41989</v>
      </c>
      <c r="Y51" s="152">
        <f>_xll.qlInterestRateIndexValueDate(IborIndex,X51,Trigger)</f>
        <v>41991</v>
      </c>
      <c r="Z51" s="153">
        <v>3.3145643568037561E-3</v>
      </c>
      <c r="AA51" s="155">
        <v>3.3644262416032689E-3</v>
      </c>
    </row>
    <row r="52" spans="10:27" ht="15" x14ac:dyDescent="0.25">
      <c r="J52"/>
      <c r="M52" s="90" t="str">
        <v>obj_006ce#0001</v>
      </c>
      <c r="N52" s="90" t="str">
        <f>_xll.qlRateHelperQuoteName(M52)</f>
        <v>USDAM3L8Y_S6L3L_Quote</v>
      </c>
      <c r="O52" s="147">
        <f>_xll.qlRateHelperLatestDate(M52,Trigger)</f>
        <v>44869</v>
      </c>
      <c r="P52" s="163">
        <f>_xll.qlRateHelperQuoteValue(M52,_xll.ohTrigger(RecalcTrigger,YieldCurve))</f>
        <v>2.3317684212282953E-2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obj_006fe#0001</v>
      </c>
      <c r="S52" s="165">
        <f>_xll.qlIndexFixing(R52,$X$19,TRUE,Trigger)</f>
        <v>2.331768421207818E-2</v>
      </c>
      <c r="T52" s="149">
        <f t="shared" si="10"/>
        <v>-2.0477369799820622E-13</v>
      </c>
      <c r="W52" s="90" t="str">
        <f t="shared" si="7"/>
        <v>1D</v>
      </c>
      <c r="X52" s="147">
        <f>_xll.qlCalendarAdvance(LiborCalendar,X51,W52,"f",FALSE)</f>
        <v>41990</v>
      </c>
      <c r="Y52" s="152">
        <f>_xll.qlInterestRateIndexValueDate(IborIndex,X52,Trigger)</f>
        <v>41992</v>
      </c>
      <c r="Z52" s="153">
        <v>3.3188973866648242E-3</v>
      </c>
      <c r="AA52" s="155">
        <v>3.3570655290837692E-3</v>
      </c>
    </row>
    <row r="53" spans="10:27" x14ac:dyDescent="0.2">
      <c r="M53" s="90" t="str">
        <v>obj_006d0#0001</v>
      </c>
      <c r="N53" s="90" t="str">
        <f>_xll.qlRateHelperQuoteName(M53)</f>
        <v>USDAM3L9Y_S6L3L_Quote</v>
      </c>
      <c r="O53" s="147">
        <f>_xll.qlRateHelperLatestDate(M53,Trigger)</f>
        <v>45236</v>
      </c>
      <c r="P53" s="163">
        <f>_xll.qlRateHelperQuoteValue(M53,_xll.ohTrigger(RecalcTrigger,YieldCurve))</f>
        <v>2.4458141232539535E-2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obj_00709#0001</v>
      </c>
      <c r="S53" s="165">
        <f>_xll.qlIndexFixing(R53,$X$19,TRUE,Trigger)</f>
        <v>2.4458141232997242E-2</v>
      </c>
      <c r="T53" s="149">
        <f t="shared" si="10"/>
        <v>4.5770678913648055E-13</v>
      </c>
      <c r="W53" s="90" t="str">
        <f t="shared" si="7"/>
        <v>1D</v>
      </c>
      <c r="X53" s="147">
        <f>_xll.qlCalendarAdvance(LiborCalendar,X52,W53,"f",FALSE)</f>
        <v>41991</v>
      </c>
      <c r="Y53" s="152">
        <f>_xll.qlInterestRateIndexValueDate(IborIndex,X53,Trigger)</f>
        <v>41995</v>
      </c>
      <c r="Z53" s="153">
        <v>3.3326836589437597E-3</v>
      </c>
      <c r="AA53" s="155">
        <v>3.3345961220927478E-3</v>
      </c>
    </row>
    <row r="54" spans="10:27" x14ac:dyDescent="0.2">
      <c r="M54" s="90" t="str">
        <v>obj_006d1#0001</v>
      </c>
      <c r="N54" s="90" t="str">
        <f>_xll.qlRateHelperQuoteName(M54)</f>
        <v>USDAM3L10Y_S6L3L_Quote</v>
      </c>
      <c r="O54" s="147">
        <f>_xll.qlRateHelperLatestDate(M54,Trigger)</f>
        <v>45600</v>
      </c>
      <c r="P54" s="163">
        <f>_xll.qlRateHelperQuoteValue(M54,_xll.ohTrigger(RecalcTrigger,YieldCurve))</f>
        <v>2.5428535926963494E-2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obj_006f6#0001</v>
      </c>
      <c r="S54" s="165">
        <f>_xll.qlIndexFixing(R54,$X$19,TRUE,Trigger)</f>
        <v>2.5428535926974603E-2</v>
      </c>
      <c r="T54" s="149">
        <f t="shared" si="10"/>
        <v>1.1109169140155473E-14</v>
      </c>
      <c r="W54" s="90" t="str">
        <f t="shared" si="7"/>
        <v>1D</v>
      </c>
      <c r="X54" s="147">
        <f>_xll.qlCalendarAdvance(LiborCalendar,X53,W54,"f",FALSE)</f>
        <v>41992</v>
      </c>
      <c r="Y54" s="152">
        <f>_xll.qlInterestRateIndexValueDate(IborIndex,X54,Trigger)</f>
        <v>41996</v>
      </c>
      <c r="Z54" s="153">
        <v>3.3375291896149701E-3</v>
      </c>
      <c r="AA54" s="155">
        <v>3.3115541253181391E-3</v>
      </c>
    </row>
    <row r="55" spans="10:27" ht="15" x14ac:dyDescent="0.25">
      <c r="J55"/>
      <c r="M55" s="90" t="str">
        <v>obj_006d2#0001</v>
      </c>
      <c r="N55" s="90" t="str">
        <f>_xll.qlRateHelperQuoteName(M55)</f>
        <v>USDAM3L11Y_S6L3L_Quote</v>
      </c>
      <c r="O55" s="147">
        <f>_xll.qlRateHelperLatestDate(M55,Trigger)</f>
        <v>45965</v>
      </c>
      <c r="P55" s="163">
        <f>_xll.qlRateHelperQuoteValue(M55,_xll.ohTrigger(RecalcTrigger,YieldCurve))</f>
        <v>2.6278144995535373E-2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obj_006f5#0001</v>
      </c>
      <c r="S55" s="165">
        <f>_xll.qlIndexFixing(R55,$X$19,TRUE,Trigger)</f>
        <v>2.6278242381446673E-2</v>
      </c>
      <c r="T55" s="149">
        <f t="shared" si="10"/>
        <v>9.7385911300429395E-8</v>
      </c>
      <c r="W55" s="90" t="str">
        <f t="shared" si="7"/>
        <v>1D</v>
      </c>
      <c r="X55" s="147">
        <f>_xll.qlCalendarAdvance(LiborCalendar,X54,W55,"f",FALSE)</f>
        <v>41995</v>
      </c>
      <c r="Y55" s="152">
        <f>_xll.qlInterestRateIndexValueDate(IborIndex,X55,Trigger)</f>
        <v>41997</v>
      </c>
      <c r="Z55" s="153">
        <v>3.3424936297205671E-3</v>
      </c>
      <c r="AA55" s="155">
        <v>3.303744369915762E-3</v>
      </c>
    </row>
    <row r="56" spans="10:27" x14ac:dyDescent="0.2">
      <c r="M56" s="90" t="str">
        <v>obj_006d3#0001</v>
      </c>
      <c r="N56" s="90" t="str">
        <f>_xll.qlRateHelperQuoteName(M56)</f>
        <v>USDAM3L12Y_S6L3L_Quote</v>
      </c>
      <c r="O56" s="147">
        <f>_xll.qlRateHelperLatestDate(M56,Trigger)</f>
        <v>46330</v>
      </c>
      <c r="P56" s="163">
        <f>_xll.qlRateHelperQuoteValue(M56,_xll.ohTrigger(RecalcTrigger,YieldCurve))</f>
        <v>2.7009244803808889E-2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obj_006f2#0001</v>
      </c>
      <c r="S56" s="165">
        <f>_xll.qlIndexFixing(R56,$X$19,TRUE,Trigger)</f>
        <v>2.7009244803772717E-2</v>
      </c>
      <c r="T56" s="149">
        <f t="shared" si="10"/>
        <v>-3.6172453921068382E-14</v>
      </c>
      <c r="W56" s="90" t="str">
        <f t="shared" si="7"/>
        <v>1D</v>
      </c>
      <c r="X56" s="147">
        <f>_xll.qlCalendarAdvance(LiborCalendar,X55,W56,"f",FALSE)</f>
        <v>41996</v>
      </c>
      <c r="Y56" s="152">
        <f>_xll.qlInterestRateIndexValueDate(IborIndex,X56,Trigger)</f>
        <v>42002</v>
      </c>
      <c r="Z56" s="153">
        <v>3.3689704494282444E-3</v>
      </c>
      <c r="AA56" s="155">
        <v>3.291916489480684E-3</v>
      </c>
    </row>
    <row r="57" spans="10:27" x14ac:dyDescent="0.2">
      <c r="M57" s="90" t="str">
        <v>obj_006d4#0001</v>
      </c>
      <c r="N57" s="90" t="str">
        <f>_xll.qlRateHelperQuoteName(M57)</f>
        <v>USDAM3L13Y_S6L3L_Quote</v>
      </c>
      <c r="O57" s="147">
        <f>_xll.qlRateHelperLatestDate(M57,Trigger)</f>
        <v>46695</v>
      </c>
      <c r="P57" s="163">
        <f>_xll.qlRateHelperQuoteValue(M57,_xll.ohTrigger(RecalcTrigger,YieldCurve))</f>
        <v>2.7626401720358618E-2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obj_006f4#0001</v>
      </c>
      <c r="S57" s="165">
        <f>_xll.qlIndexFixing(R57,$X$19,TRUE,Trigger)</f>
        <v>2.7626185307083283E-2</v>
      </c>
      <c r="T57" s="149">
        <f t="shared" si="10"/>
        <v>-2.1641327533489241E-7</v>
      </c>
      <c r="W57" s="90" t="str">
        <f t="shared" si="7"/>
        <v>1D</v>
      </c>
      <c r="X57" s="147">
        <f>_xll.qlCalendarAdvance(LiborCalendar,X56,W57,"f",FALSE)</f>
        <v>41997</v>
      </c>
      <c r="Y57" s="152">
        <f>_xll.qlInterestRateIndexValueDate(IborIndex,X57,Trigger)</f>
        <v>42003</v>
      </c>
      <c r="Z57" s="153">
        <v>3.374570932450199E-3</v>
      </c>
      <c r="AA57" s="155">
        <v>3.2718722110303133E-3</v>
      </c>
    </row>
    <row r="58" spans="10:27" x14ac:dyDescent="0.2">
      <c r="M58" s="90" t="str">
        <v>obj_006d5#0001</v>
      </c>
      <c r="N58" s="90" t="str">
        <f>_xll.qlRateHelperQuoteName(M58)</f>
        <v>USDAM3L14Y_S6L3L_Quote</v>
      </c>
      <c r="O58" s="147">
        <f>_xll.qlRateHelperLatestDate(M58,Trigger)</f>
        <v>47063</v>
      </c>
      <c r="P58" s="163">
        <f>_xll.qlRateHelperQuoteValue(M58,_xll.ohTrigger(RecalcTrigger,YieldCurve))</f>
        <v>2.8156333879202185E-2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obj_00706#0001</v>
      </c>
      <c r="S58" s="165">
        <f>_xll.qlIndexFixing(R58,$X$19,TRUE,Trigger)</f>
        <v>2.815615378772688E-2</v>
      </c>
      <c r="T58" s="149">
        <f t="shared" si="10"/>
        <v>-1.8009147530542724E-7</v>
      </c>
      <c r="W58" s="90" t="str">
        <f t="shared" si="7"/>
        <v>1D</v>
      </c>
      <c r="X58" s="147">
        <f>_xll.qlCalendarAdvance(LiborCalendar,X57,W58,"f",FALSE)</f>
        <v>42002</v>
      </c>
      <c r="Y58" s="152">
        <f>_xll.qlInterestRateIndexValueDate(IborIndex,X58,Trigger)</f>
        <v>42004</v>
      </c>
      <c r="Z58" s="153">
        <v>3.3749312674531372E-3</v>
      </c>
      <c r="AA58" s="155">
        <v>3.2555898822383966E-3</v>
      </c>
    </row>
    <row r="59" spans="10:27" x14ac:dyDescent="0.2">
      <c r="M59" s="90" t="str">
        <v>obj_006d6#0001</v>
      </c>
      <c r="N59" s="90" t="str">
        <f>_xll.qlRateHelperQuoteName(M59)</f>
        <v>USDAM3L15Y_S6L3L_Quote</v>
      </c>
      <c r="O59" s="147">
        <f>_xll.qlRateHelperLatestDate(M59,Trigger)</f>
        <v>47427</v>
      </c>
      <c r="P59" s="163">
        <f>_xll.qlRateHelperQuoteValue(M59,_xll.ohTrigger(RecalcTrigger,YieldCurve))</f>
        <v>2.8609883588151561E-2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obj_00702#0001</v>
      </c>
      <c r="S59" s="165">
        <f>_xll.qlIndexFixing(R59,$X$19,TRUE,Trigger)</f>
        <v>2.8609883588310337E-2</v>
      </c>
      <c r="T59" s="149">
        <f t="shared" si="10"/>
        <v>1.587757703092052E-13</v>
      </c>
      <c r="W59" s="90" t="str">
        <f t="shared" si="7"/>
        <v>1D</v>
      </c>
      <c r="X59" s="147">
        <f>_xll.qlCalendarAdvance(LiborCalendar,X58,W59,"f",FALSE)</f>
        <v>42003</v>
      </c>
      <c r="Y59" s="152">
        <f>_xll.qlInterestRateIndexValueDate(IborIndex,X59,Trigger)</f>
        <v>42006</v>
      </c>
      <c r="Z59" s="153">
        <v>3.3865586685048444E-3</v>
      </c>
      <c r="AA59" s="155">
        <v>3.2476381280233113E-3</v>
      </c>
    </row>
    <row r="60" spans="10:27" x14ac:dyDescent="0.2">
      <c r="M60" s="90" t="str">
        <v>obj_006d7#0001</v>
      </c>
      <c r="N60" s="90" t="str">
        <f>_xll.qlRateHelperQuoteName(M60)</f>
        <v>USDAM3L16Y_S6L3L_Quote</v>
      </c>
      <c r="O60" s="147">
        <f>_xll.qlRateHelperLatestDate(M60,Trigger)</f>
        <v>47791</v>
      </c>
      <c r="P60" s="163">
        <f>_xll.qlRateHelperQuoteValue(M60,_xll.ohTrigger(RecalcTrigger,YieldCurve))</f>
        <v>2.9008090264924555E-2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obj_00708#0001</v>
      </c>
      <c r="S60" s="165">
        <f>_xll.qlIndexFixing(R60,$X$19,TRUE,Trigger)</f>
        <v>2.9008208745402653E-2</v>
      </c>
      <c r="T60" s="149">
        <f t="shared" si="10"/>
        <v>1.1848047809862039E-7</v>
      </c>
      <c r="W60" s="90" t="str">
        <f t="shared" si="7"/>
        <v>1D</v>
      </c>
      <c r="X60" s="147">
        <f>_xll.qlCalendarAdvance(LiborCalendar,X59,W60,"f",FALSE)</f>
        <v>42004</v>
      </c>
      <c r="Y60" s="152">
        <f>_xll.qlInterestRateIndexValueDate(IborIndex,X60,Trigger)</f>
        <v>42009</v>
      </c>
      <c r="Z60" s="153">
        <v>3.4099999999993693E-3</v>
      </c>
      <c r="AA60" s="155">
        <v>3.239929268872288E-3</v>
      </c>
    </row>
    <row r="61" spans="10:27" x14ac:dyDescent="0.2">
      <c r="M61" s="90" t="str">
        <v>obj_006d8#0001</v>
      </c>
      <c r="N61" s="90" t="str">
        <f>_xll.qlRateHelperQuoteName(M61)</f>
        <v>USDAM3L17Y_S6L3L_Quote</v>
      </c>
      <c r="O61" s="147">
        <f>_xll.qlRateHelperLatestDate(M61,Trigger)</f>
        <v>48156</v>
      </c>
      <c r="P61" s="163">
        <f>_xll.qlRateHelperQuoteValue(M61,_xll.ohTrigger(RecalcTrigger,YieldCurve))</f>
        <v>2.9358730790178089E-2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obj_006f9#0001</v>
      </c>
      <c r="S61" s="165">
        <f>_xll.qlIndexFixing(R61,$X$19,TRUE,Trigger)</f>
        <v>2.9358869033230699E-2</v>
      </c>
      <c r="T61" s="149">
        <f t="shared" si="10"/>
        <v>1.382430526095102E-7</v>
      </c>
      <c r="W61" s="90" t="str">
        <f t="shared" si="7"/>
        <v>1D</v>
      </c>
      <c r="X61" s="147">
        <f>_xll.qlCalendarAdvance(LiborCalendar,X60,W61,"f",FALSE)</f>
        <v>42006</v>
      </c>
      <c r="Y61" s="152">
        <f>_xll.qlInterestRateIndexValueDate(IborIndex,X61,Trigger)</f>
        <v>42010</v>
      </c>
      <c r="Z61" s="153">
        <v>3.4108222494662753E-3</v>
      </c>
      <c r="AA61" s="155">
        <v>3.232463304945199E-3</v>
      </c>
    </row>
    <row r="62" spans="10:27" x14ac:dyDescent="0.2">
      <c r="M62" s="90" t="str">
        <v>obj_006d9#0001</v>
      </c>
      <c r="N62" s="90" t="str">
        <f>_xll.qlRateHelperQuoteName(M62)</f>
        <v>USDAM3L18Y_S6L3L_Quote</v>
      </c>
      <c r="O62" s="147">
        <f>_xll.qlRateHelperLatestDate(M62,Trigger)</f>
        <v>48522</v>
      </c>
      <c r="P62" s="163">
        <f>_xll.qlRateHelperQuoteValue(M62,_xll.ohTrigger(RecalcTrigger,YieldCurve))</f>
        <v>2.9665859970160659E-2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obj_00701#0001</v>
      </c>
      <c r="S62" s="165">
        <f>_xll.qlIndexFixing(R62,$X$19,TRUE,Trigger)</f>
        <v>2.9665956595646106E-2</v>
      </c>
      <c r="T62" s="149">
        <f t="shared" si="10"/>
        <v>9.6625485446200088E-8</v>
      </c>
      <c r="W62" s="90" t="str">
        <f t="shared" si="7"/>
        <v>1D</v>
      </c>
      <c r="X62" s="147">
        <f>_xll.qlCalendarAdvance(LiborCalendar,X61,W62,"f",FALSE)</f>
        <v>42009</v>
      </c>
      <c r="Y62" s="152">
        <f>_xll.qlInterestRateIndexValueDate(IborIndex,X62,Trigger)</f>
        <v>42011</v>
      </c>
      <c r="Z62" s="153">
        <v>3.4170757067104622E-3</v>
      </c>
      <c r="AA62" s="155">
        <v>3.2183697987697713E-3</v>
      </c>
    </row>
    <row r="63" spans="10:27" x14ac:dyDescent="0.2">
      <c r="M63" s="90" t="str">
        <v>obj_006da#0001</v>
      </c>
      <c r="N63" s="90" t="str">
        <f>_xll.qlRateHelperQuoteName(M63)</f>
        <v>USDAM3L19Y_S6L3L_Quote</v>
      </c>
      <c r="O63" s="147">
        <f>_xll.qlRateHelperLatestDate(M63,Trigger)</f>
        <v>48887</v>
      </c>
      <c r="P63" s="163">
        <f>_xll.qlRateHelperQuoteValue(M63,_xll.ohTrigger(RecalcTrigger,YieldCurve))</f>
        <v>2.9931340432223955E-2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obj_006fd#0001</v>
      </c>
      <c r="S63" s="165">
        <f>_xll.qlIndexFixing(R63,$X$19,TRUE,Trigger)</f>
        <v>2.9931374082695548E-2</v>
      </c>
      <c r="T63" s="149">
        <f t="shared" si="10"/>
        <v>3.3650471593232867E-8</v>
      </c>
      <c r="W63" s="90" t="str">
        <f t="shared" si="7"/>
        <v>1D</v>
      </c>
      <c r="X63" s="147">
        <f>_xll.qlCalendarAdvance(LiborCalendar,X62,W63,"f",FALSE)</f>
        <v>42010</v>
      </c>
      <c r="Y63" s="152">
        <f>_xll.qlInterestRateIndexValueDate(IborIndex,X63,Trigger)</f>
        <v>42012</v>
      </c>
      <c r="Z63" s="153">
        <v>3.4233990474657815E-3</v>
      </c>
      <c r="AA63" s="155">
        <v>3.2050283999573992E-3</v>
      </c>
    </row>
    <row r="64" spans="10:27" x14ac:dyDescent="0.2">
      <c r="M64" s="90" t="str">
        <v>obj_006db#0001</v>
      </c>
      <c r="N64" s="90" t="str">
        <f>_xll.qlRateHelperQuoteName(M64)</f>
        <v>USDAM3L20Y_S6L3L_Quote</v>
      </c>
      <c r="O64" s="147">
        <f>_xll.qlRateHelperLatestDate(M64,Trigger)</f>
        <v>49254</v>
      </c>
      <c r="P64" s="163">
        <f>_xll.qlRateHelperQuoteValue(M64,_xll.ohTrigger(RecalcTrigger,YieldCurve))</f>
        <v>3.0160428303178232E-2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obj_0070c#0001</v>
      </c>
      <c r="S64" s="165">
        <f>_xll.qlIndexFixing(R64,$X$19,TRUE,Trigger)</f>
        <v>3.0160428303303625E-2</v>
      </c>
      <c r="T64" s="149">
        <f t="shared" si="10"/>
        <v>1.2539275173750752E-13</v>
      </c>
      <c r="W64" s="90" t="str">
        <f t="shared" si="7"/>
        <v>1D</v>
      </c>
      <c r="X64" s="147">
        <f>_xll.qlCalendarAdvance(LiborCalendar,X63,W64,"f",FALSE)</f>
        <v>42011</v>
      </c>
      <c r="Y64" s="152">
        <f>_xll.qlInterestRateIndexValueDate(IborIndex,X64,Trigger)</f>
        <v>42013</v>
      </c>
      <c r="Z64" s="153">
        <v>3.4297921224880801E-3</v>
      </c>
      <c r="AA64" s="155">
        <v>3.1987769112706843E-3</v>
      </c>
    </row>
    <row r="65" spans="10:27" x14ac:dyDescent="0.2">
      <c r="M65" s="90" t="str">
        <v>obj_006dc#0001</v>
      </c>
      <c r="N65" s="90" t="str">
        <f>_xll.qlRateHelperQuoteName(M65)</f>
        <v>USDAM3L21Y_S6L3L_Quote</v>
      </c>
      <c r="O65" s="147">
        <f>_xll.qlRateHelperLatestDate(M65,Trigger)</f>
        <v>49618</v>
      </c>
      <c r="P65" s="163">
        <f>_xll.qlRateHelperQuoteValue(M65,_xll.ohTrigger(RecalcTrigger,YieldCurve))</f>
        <v>3.0353233949642101E-2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obj_006ff#0001</v>
      </c>
      <c r="S65" s="165">
        <f>_xll.qlIndexFixing(R65,$X$19,TRUE,Trigger)</f>
        <v>3.0353269959382818E-2</v>
      </c>
      <c r="T65" s="149">
        <f t="shared" si="10"/>
        <v>3.6009740717046768E-8</v>
      </c>
      <c r="W65" s="90" t="str">
        <f t="shared" si="7"/>
        <v>1D</v>
      </c>
      <c r="X65" s="147">
        <f>_xll.qlCalendarAdvance(LiborCalendar,X64,W65,"f",FALSE)</f>
        <v>42012</v>
      </c>
      <c r="Y65" s="152">
        <f>_xll.qlInterestRateIndexValueDate(IborIndex,X65,Trigger)</f>
        <v>42016</v>
      </c>
      <c r="Z65" s="153">
        <v>3.4547100924856907E-3</v>
      </c>
      <c r="AA65" s="155">
        <v>3.1927683177279675E-3</v>
      </c>
    </row>
    <row r="66" spans="10:27" x14ac:dyDescent="0.2">
      <c r="M66" s="90" t="str">
        <v>obj_006dd#0001</v>
      </c>
      <c r="N66" s="90" t="str">
        <f>_xll.qlRateHelperQuoteName(M66)</f>
        <v>USDAM3L22Y_S6L3L_Quote</v>
      </c>
      <c r="O66" s="147">
        <f>_xll.qlRateHelperLatestDate(M66,Trigger)</f>
        <v>49983</v>
      </c>
      <c r="P66" s="163">
        <f>_xll.qlRateHelperQuoteValue(M66,_xll.ohTrigger(RecalcTrigger,YieldCurve))</f>
        <v>3.0518085324360043E-2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obj_0070d#0001</v>
      </c>
      <c r="S66" s="165">
        <f>_xll.qlIndexFixing(R66,$X$19,TRUE,Trigger)</f>
        <v>3.0518201111791946E-2</v>
      </c>
      <c r="T66" s="149">
        <f t="shared" si="10"/>
        <v>1.157874319028529E-7</v>
      </c>
      <c r="W66" s="90" t="str">
        <f t="shared" si="7"/>
        <v>1D</v>
      </c>
      <c r="X66" s="147">
        <f>_xll.qlCalendarAdvance(LiborCalendar,X65,W66,"f",FALSE)</f>
        <v>42013</v>
      </c>
      <c r="Y66" s="152">
        <f>_xll.qlInterestRateIndexValueDate(IborIndex,X66,Trigger)</f>
        <v>42017</v>
      </c>
      <c r="Z66" s="153">
        <v>3.4560587805543583E-3</v>
      </c>
      <c r="AA66" s="155">
        <v>3.1870026192493128E-3</v>
      </c>
    </row>
    <row r="67" spans="10:27" x14ac:dyDescent="0.2">
      <c r="M67" s="90" t="str">
        <v>obj_006de#0001</v>
      </c>
      <c r="N67" s="90" t="str">
        <f>_xll.qlRateHelperQuoteName(M67)</f>
        <v>USDAM3L23Y_S6L3L_Quote</v>
      </c>
      <c r="O67" s="147">
        <f>_xll.qlRateHelperLatestDate(M67,Trigger)</f>
        <v>50348</v>
      </c>
      <c r="P67" s="163">
        <f>_xll.qlRateHelperQuoteValue(M67,_xll.ohTrigger(RecalcTrigger,YieldCurve))</f>
        <v>3.065974980253653E-2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obj_0070a#0001</v>
      </c>
      <c r="S67" s="165">
        <f>_xll.qlIndexFixing(R67,$X$19,TRUE,Trigger)</f>
        <v>3.0659935154851516E-2</v>
      </c>
      <c r="T67" s="149">
        <f t="shared" si="10"/>
        <v>1.8535231498598148E-7</v>
      </c>
      <c r="W67" s="90" t="str">
        <f t="shared" si="7"/>
        <v>1D</v>
      </c>
      <c r="X67" s="147">
        <f>_xll.qlCalendarAdvance(LiborCalendar,X66,W67,"f",FALSE)</f>
        <v>42016</v>
      </c>
      <c r="Y67" s="152">
        <f>_xll.qlInterestRateIndexValueDate(IborIndex,X67,Trigger)</f>
        <v>42018</v>
      </c>
      <c r="Z67" s="153">
        <v>3.4627982884400479E-3</v>
      </c>
      <c r="AA67" s="155">
        <v>3.1763088965952591E-3</v>
      </c>
    </row>
    <row r="68" spans="10:27" x14ac:dyDescent="0.2">
      <c r="M68" s="90" t="str">
        <v>obj_006df#0001</v>
      </c>
      <c r="N68" s="90" t="str">
        <f>_xll.qlRateHelperQuoteName(M68)</f>
        <v>USDAM3L24Y_S6L3L_Quote</v>
      </c>
      <c r="O68" s="147">
        <f>_xll.qlRateHelperLatestDate(M68,Trigger)</f>
        <v>50713</v>
      </c>
      <c r="P68" s="163">
        <f>_xll.qlRateHelperQuoteValue(M68,_xll.ohTrigger(RecalcTrigger,YieldCurve))</f>
        <v>3.0782679702720434E-2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obj_00704#0001</v>
      </c>
      <c r="S68" s="165">
        <f>_xll.qlIndexFixing(R68,$X$19,TRUE,Trigger)</f>
        <v>3.0782854042017974E-2</v>
      </c>
      <c r="T68" s="149">
        <f t="shared" si="10"/>
        <v>1.7433929754007149E-7</v>
      </c>
      <c r="W68" s="90" t="str">
        <f t="shared" si="7"/>
        <v>1D</v>
      </c>
      <c r="X68" s="147">
        <f>_xll.qlCalendarAdvance(LiborCalendar,X67,W68,"f",FALSE)</f>
        <v>42017</v>
      </c>
      <c r="Y68" s="152">
        <f>_xll.qlInterestRateIndexValueDate(IborIndex,X68,Trigger)</f>
        <v>42019</v>
      </c>
      <c r="Z68" s="153">
        <v>3.4696066352399749E-3</v>
      </c>
      <c r="AA68" s="155">
        <v>3.1663687751759539E-3</v>
      </c>
    </row>
    <row r="69" spans="10:27" x14ac:dyDescent="0.2">
      <c r="M69" s="90" t="str">
        <v>obj_006e0#0001</v>
      </c>
      <c r="N69" s="90" t="str">
        <f>_xll.qlRateHelperQuoteName(M69)</f>
        <v>USDAM3L25Y_S6L3L_Quote</v>
      </c>
      <c r="O69" s="147">
        <f>_xll.qlRateHelperLatestDate(M69,Trigger)</f>
        <v>51078</v>
      </c>
      <c r="P69" s="163">
        <f>_xll.qlRateHelperQuoteValue(M69,_xll.ohTrigger(RecalcTrigger,YieldCurve))</f>
        <v>3.0890579624940719E-2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obj_00707#0001</v>
      </c>
      <c r="S69" s="165">
        <f>_xll.qlIndexFixing(R69,$X$19,TRUE,Trigger)</f>
        <v>3.0890579624985388E-2</v>
      </c>
      <c r="T69" s="149">
        <f t="shared" si="10"/>
        <v>4.4669129506402783E-14</v>
      </c>
      <c r="W69" s="90" t="str">
        <f t="shared" si="7"/>
        <v>1D</v>
      </c>
      <c r="X69" s="147">
        <f>_xll.qlCalendarAdvance(LiborCalendar,X68,W69,"f",FALSE)</f>
        <v>42018</v>
      </c>
      <c r="Y69" s="152">
        <f>_xll.qlInterestRateIndexValueDate(IborIndex,X69,Trigger)</f>
        <v>42020</v>
      </c>
      <c r="Z69" s="153">
        <v>3.4764836717484085E-3</v>
      </c>
      <c r="AA69" s="155">
        <v>3.1618175516179292E-3</v>
      </c>
    </row>
    <row r="70" spans="10:27" x14ac:dyDescent="0.2">
      <c r="M70" s="90" t="str">
        <v>obj_006e1#0001</v>
      </c>
      <c r="N70" s="90" t="str">
        <f>_xll.qlRateHelperQuoteName(M70)</f>
        <v>USDAM3L26Y_S6L3L_Quote</v>
      </c>
      <c r="O70" s="147">
        <f>_xll.qlRateHelperLatestDate(M70,Trigger)</f>
        <v>51445</v>
      </c>
      <c r="P70" s="163">
        <f>_xll.qlRateHelperQuoteValue(M70,_xll.ohTrigger(RecalcTrigger,YieldCurve))</f>
        <v>3.0986769667543282E-2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obj_00705#0001</v>
      </c>
      <c r="S70" s="165">
        <f>_xll.qlIndexFixing(R70,$X$19,TRUE,Trigger)</f>
        <v>3.0986388118133822E-2</v>
      </c>
      <c r="T70" s="149">
        <f t="shared" si="10"/>
        <v>-3.8154940945958615E-7</v>
      </c>
      <c r="W70" s="90" t="str">
        <f t="shared" si="7"/>
        <v>1D</v>
      </c>
      <c r="X70" s="147">
        <f>_xll.qlCalendarAdvance(LiborCalendar,X69,W70,"f",FALSE)</f>
        <v>42019</v>
      </c>
      <c r="Y70" s="152">
        <f>_xll.qlInterestRateIndexValueDate(IborIndex,X70,Trigger)</f>
        <v>42024</v>
      </c>
      <c r="Z70" s="153">
        <v>3.5046757308948052E-3</v>
      </c>
      <c r="AA70" s="155">
        <v>3.1534437892943856E-3</v>
      </c>
    </row>
    <row r="71" spans="10:27" x14ac:dyDescent="0.2">
      <c r="J71" s="1"/>
      <c r="M71" s="90" t="str">
        <v>obj_006e2#0001</v>
      </c>
      <c r="N71" s="90" t="str">
        <f>_xll.qlRateHelperQuoteName(M71)</f>
        <v>USDAM3L27Y_S6L3L_Quote</v>
      </c>
      <c r="O71" s="147">
        <f>_xll.qlRateHelperLatestDate(M71,Trigger)</f>
        <v>51809</v>
      </c>
      <c r="P71" s="163">
        <f>_xll.qlRateHelperQuoteValue(M71,_xll.ohTrigger(RecalcTrigger,YieldCurve))</f>
        <v>3.1070748863255906E-2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obj_006fc#0001</v>
      </c>
      <c r="S71" s="165">
        <f>_xll.qlIndexFixing(R71,$X$19,TRUE,Trigger)</f>
        <v>3.1069992193112083E-2</v>
      </c>
      <c r="T71" s="149">
        <f t="shared" si="10"/>
        <v>-7.5667014382344022E-7</v>
      </c>
      <c r="W71" s="90" t="str">
        <f t="shared" si="7"/>
        <v>1D</v>
      </c>
      <c r="X71" s="147">
        <f>_xll.qlCalendarAdvance(LiborCalendar,X70,W71,"f",FALSE)</f>
        <v>42020</v>
      </c>
      <c r="Y71" s="152">
        <f>_xll.qlInterestRateIndexValueDate(IborIndex,X71,Trigger)</f>
        <v>42024</v>
      </c>
      <c r="Z71" s="153">
        <v>3.5046757308948052E-3</v>
      </c>
      <c r="AA71" s="155">
        <v>3.1534437892943856E-3</v>
      </c>
    </row>
    <row r="72" spans="10:27" x14ac:dyDescent="0.2">
      <c r="M72" s="90" t="str">
        <v>obj_006e3#0001</v>
      </c>
      <c r="N72" s="90" t="str">
        <f>_xll.qlRateHelperQuoteName(M72)</f>
        <v>USDAM3L28Y_S6L3L_Quote</v>
      </c>
      <c r="O72" s="147">
        <f>_xll.qlRateHelperLatestDate(M72,Trigger)</f>
        <v>52174</v>
      </c>
      <c r="P72" s="163">
        <f>_xll.qlRateHelperQuoteValue(M72,_xll.ohTrigger(RecalcTrigger,YieldCurve))</f>
        <v>3.1144196161498008E-2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obj_00703#0001</v>
      </c>
      <c r="S72" s="165">
        <f>_xll.qlIndexFixing(R72,$X$19,TRUE,Trigger)</f>
        <v>3.1143260604981168E-2</v>
      </c>
      <c r="T72" s="149">
        <f t="shared" si="10"/>
        <v>-9.3555651684007479E-7</v>
      </c>
      <c r="W72" s="90" t="str">
        <f t="shared" si="7"/>
        <v>1D</v>
      </c>
      <c r="X72" s="147">
        <f>_xll.qlCalendarAdvance(LiborCalendar,X71,W72,"f",FALSE)</f>
        <v>42023</v>
      </c>
      <c r="Y72" s="152">
        <f>_xll.qlInterestRateIndexValueDate(IborIndex,X72,Trigger)</f>
        <v>42025</v>
      </c>
      <c r="Z72" s="153">
        <v>3.5118939780112942E-3</v>
      </c>
      <c r="AA72" s="155">
        <v>3.1461500666285502E-3</v>
      </c>
    </row>
    <row r="73" spans="10:27" x14ac:dyDescent="0.2">
      <c r="M73" s="90" t="str">
        <v>obj_006e4#0001</v>
      </c>
      <c r="N73" s="90" t="str">
        <f>_xll.qlRateHelperQuoteName(M73)</f>
        <v>USDAM3L29Y_S6L3L_Quote</v>
      </c>
      <c r="O73" s="147">
        <f>_xll.qlRateHelperLatestDate(M73,Trigger)</f>
        <v>52539</v>
      </c>
      <c r="P73" s="163">
        <f>_xll.qlRateHelperQuoteValue(M73,_xll.ohTrigger(RecalcTrigger,YieldCurve))</f>
        <v>3.1207282551154285E-2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obj_006ed#0001</v>
      </c>
      <c r="S73" s="165">
        <f>_xll.qlIndexFixing(R73,$X$19,TRUE,Trigger)</f>
        <v>3.1206548668374554E-2</v>
      </c>
      <c r="T73" s="149">
        <f t="shared" si="10"/>
        <v>-7.3388277973054916E-7</v>
      </c>
      <c r="W73" s="90" t="str">
        <f t="shared" si="7"/>
        <v>1D</v>
      </c>
      <c r="X73" s="147">
        <f>_xll.qlCalendarAdvance(LiborCalendar,X72,W73,"f",FALSE)</f>
        <v>42024</v>
      </c>
      <c r="Y73" s="152">
        <f>_xll.qlInterestRateIndexValueDate(IborIndex,X73,Trigger)</f>
        <v>42026</v>
      </c>
      <c r="Z73" s="153">
        <v>3.5191800196968581E-3</v>
      </c>
      <c r="AA73" s="155">
        <v>3.1396110041370662E-3</v>
      </c>
    </row>
    <row r="74" spans="10:27" x14ac:dyDescent="0.2">
      <c r="M74" s="90" t="str">
        <v>obj_006e5#0001</v>
      </c>
      <c r="N74" s="90" t="str">
        <f>_xll.qlRateHelperQuoteName(M74)</f>
        <v>USDAM3L30Y_S6L3L_Quote</v>
      </c>
      <c r="O74" s="147">
        <f>_xll.qlRateHelperLatestDate(M74,Trigger)</f>
        <v>52905</v>
      </c>
      <c r="P74" s="163">
        <f>_xll.qlRateHelperQuoteValue(M74,_xll.ohTrigger(RecalcTrigger,YieldCurve))</f>
        <v>3.1260584686863199E-2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obj_00700#0001</v>
      </c>
      <c r="S74" s="165">
        <f>_xll.qlIndexFixing(R74,$X$19,TRUE,Trigger)</f>
        <v>3.1260584686909128E-2</v>
      </c>
      <c r="T74" s="149">
        <f t="shared" si="10"/>
        <v>4.5928538749961945E-14</v>
      </c>
      <c r="W74" s="90" t="str">
        <f t="shared" si="7"/>
        <v>1D</v>
      </c>
      <c r="X74" s="147">
        <f>_xll.qlCalendarAdvance(LiborCalendar,X73,W74,"f",FALSE)</f>
        <v>42025</v>
      </c>
      <c r="Y74" s="152">
        <f>_xll.qlInterestRateIndexValueDate(IborIndex,X74,Trigger)</f>
        <v>42027</v>
      </c>
      <c r="Z74" s="153">
        <v>3.5265337067788881E-3</v>
      </c>
      <c r="AA74" s="155">
        <v>3.1367600451481792E-3</v>
      </c>
    </row>
    <row r="75" spans="10:27" x14ac:dyDescent="0.2">
      <c r="M75" s="90" t="str">
        <v>obj_006e6#0001</v>
      </c>
      <c r="N75" s="90" t="str">
        <f>_xll.qlRateHelperQuoteName(M75)</f>
        <v>USDAM3L35Y_S6L3L_Quote</v>
      </c>
      <c r="O75" s="147">
        <f>_xll.qlRateHelperLatestDate(M75,Trigger)</f>
        <v>54731</v>
      </c>
      <c r="P75" s="163">
        <f>_xll.qlRateHelperQuoteValue(M75,_xll.ohTrigger(RecalcTrigger,YieldCurve))</f>
        <v>3.1411565234285933E-2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obj_006ef#0001</v>
      </c>
      <c r="S75" s="165">
        <f>_xll.qlIndexFixing(R75,$X$19,TRUE,Trigger)</f>
        <v>3.1411565234190246E-2</v>
      </c>
      <c r="T75" s="149">
        <f t="shared" si="10"/>
        <v>-9.5687346934880679E-14</v>
      </c>
      <c r="W75" s="90" t="str">
        <f t="shared" si="7"/>
        <v>1D</v>
      </c>
      <c r="X75" s="147">
        <f>_xll.qlCalendarAdvance(LiborCalendar,X74,W75,"f",FALSE)</f>
        <v>42026</v>
      </c>
      <c r="Y75" s="152">
        <f>_xll.qlInterestRateIndexValueDate(IborIndex,X75,Trigger)</f>
        <v>42030</v>
      </c>
      <c r="Z75" s="153">
        <v>3.5543615043530422E-3</v>
      </c>
      <c r="AA75" s="155">
        <v>3.1341519810634821E-3</v>
      </c>
    </row>
    <row r="76" spans="10:27" x14ac:dyDescent="0.2">
      <c r="M76" s="90" t="str">
        <v>obj_006e7#0001</v>
      </c>
      <c r="N76" s="90" t="str">
        <f>_xll.qlRateHelperQuoteName(M76)</f>
        <v>USDAM3L40Y_S6L3L_Quote</v>
      </c>
      <c r="O76" s="147">
        <f>_xll.qlRateHelperLatestDate(M76,Trigger)</f>
        <v>56557</v>
      </c>
      <c r="P76" s="163">
        <f>_xll.qlRateHelperQuoteValue(M76,_xll.ohTrigger(RecalcTrigger,YieldCurve))</f>
        <v>3.1420624132363253E-2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obj_006fa#0001</v>
      </c>
      <c r="S76" s="165">
        <f>_xll.qlIndexFixing(R76,$X$19,TRUE,Trigger)</f>
        <v>3.1420624132394638E-2</v>
      </c>
      <c r="T76" s="149">
        <f t="shared" si="10"/>
        <v>3.1384617127372394E-14</v>
      </c>
      <c r="W76" s="90" t="str">
        <f t="shared" si="7"/>
        <v>1D</v>
      </c>
      <c r="X76" s="147">
        <f>_xll.qlCalendarAdvance(LiborCalendar,X75,W76,"f",FALSE)</f>
        <v>42027</v>
      </c>
      <c r="Y76" s="152">
        <f>_xll.qlInterestRateIndexValueDate(IborIndex,X76,Trigger)</f>
        <v>42031</v>
      </c>
      <c r="Z76" s="153">
        <v>3.5566219257771804E-3</v>
      </c>
      <c r="AA76" s="155">
        <v>3.131786811882975E-3</v>
      </c>
    </row>
    <row r="77" spans="10:27" ht="12" thickBot="1" x14ac:dyDescent="0.25">
      <c r="M77" s="90" t="str">
        <v>obj_006e8#0001</v>
      </c>
      <c r="N77" s="90" t="str">
        <f>_xll.qlRateHelperQuoteName(M77)</f>
        <v>USDAM3L50Y_S6L3L_Quote</v>
      </c>
      <c r="O77" s="147">
        <f>_xll.qlRateHelperLatestDate(M77,Trigger)</f>
        <v>60210</v>
      </c>
      <c r="P77" s="163">
        <f>_xll.qlRateHelperQuoteValue(M77,_xll.ohTrigger(RecalcTrigger,YieldCurve))</f>
        <v>3.1260538686801037E-2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obj_006f8#0001</v>
      </c>
      <c r="S77" s="165">
        <f>_xll.qlIndexFixing(R77,$X$19,TRUE,Trigger)</f>
        <v>3.1260538686805325E-2</v>
      </c>
      <c r="T77" s="149">
        <f t="shared" si="10"/>
        <v>4.2882364326146671E-15</v>
      </c>
      <c r="W77" s="90" t="str">
        <f t="shared" si="7"/>
        <v>1D</v>
      </c>
      <c r="X77" s="147">
        <f>_xll.qlCalendarAdvance(LiborCalendar,X76,W77,"f",FALSE)</f>
        <v>42030</v>
      </c>
      <c r="Y77" s="152">
        <f>_xll.qlInterestRateIndexValueDate(IborIndex,X77,Trigger)</f>
        <v>42032</v>
      </c>
      <c r="Z77" s="153">
        <v>3.56431160241053E-3</v>
      </c>
      <c r="AA77" s="155">
        <v>3.1278932998368703E-3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42031</v>
      </c>
      <c r="Y78" s="152">
        <f>_xll.qlInterestRateIndexValueDate(IborIndex,X78,Trigger)</f>
        <v>42033</v>
      </c>
      <c r="Z78" s="153">
        <v>3.57206802949965E-3</v>
      </c>
      <c r="AA78" s="155">
        <v>3.124755084202846E-3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42032</v>
      </c>
      <c r="Y79" s="152">
        <f>_xll.qlInterestRateIndexValueDate(IborIndex,X79,Trigger)</f>
        <v>42034</v>
      </c>
      <c r="Z79" s="153">
        <v>3.5852944366398711E-3</v>
      </c>
      <c r="AA79" s="155">
        <v>3.1236043894633525E-3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42033</v>
      </c>
      <c r="Y80" s="152">
        <f>_xll.qlInterestRateIndexValueDate(IborIndex,X80,Trigger)</f>
        <v>42037</v>
      </c>
      <c r="Z80" s="153">
        <v>3.6092010552867763E-3</v>
      </c>
      <c r="AA80" s="155">
        <v>3.1226655459803965E-3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42034</v>
      </c>
      <c r="Y81" s="152">
        <f>_xll.qlInterestRateIndexValueDate(IborIndex,X81,Trigger)</f>
        <v>42038</v>
      </c>
      <c r="Z81" s="153">
        <v>3.6118462019903573E-3</v>
      </c>
      <c r="AA81" s="155">
        <v>3.1218143786038155E-3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42037</v>
      </c>
      <c r="Y82" s="152">
        <f>_xll.qlInterestRateIndexValueDate(IborIndex,X82,Trigger)</f>
        <v>42039</v>
      </c>
      <c r="Z82" s="153">
        <v>3.6199999999997345E-3</v>
      </c>
      <c r="AA82" s="155">
        <v>3.1203278639324594E-3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42038</v>
      </c>
      <c r="Y83" s="152">
        <f>_xll.qlInterestRateIndexValueDate(IborIndex,X83,Trigger)</f>
        <v>42040</v>
      </c>
      <c r="Z83" s="153">
        <v>3.6282197794680823E-3</v>
      </c>
      <c r="AA83" s="155">
        <v>3.1189760335248451E-3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42039</v>
      </c>
      <c r="Y84" s="152">
        <f>_xll.qlInterestRateIndexValueDate(IborIndex,X84,Trigger)</f>
        <v>42041</v>
      </c>
      <c r="Z84" s="153">
        <v>3.6365067658045667E-3</v>
      </c>
      <c r="AA84" s="155">
        <v>3.1184080283619409E-3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42040</v>
      </c>
      <c r="Y85" s="152">
        <f>_xll.qlInterestRateIndexValueDate(IborIndex,X85,Trigger)</f>
        <v>42044</v>
      </c>
      <c r="Z85" s="153">
        <v>3.6673588471513286E-3</v>
      </c>
      <c r="AA85" s="155">
        <v>3.1178966555778231E-3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42041</v>
      </c>
      <c r="Y86" s="152">
        <f>_xll.qlInterestRateIndexValueDate(IborIndex,X86,Trigger)</f>
        <v>42045</v>
      </c>
      <c r="Z86" s="153">
        <v>3.6703567871341535E-3</v>
      </c>
      <c r="AA86" s="155">
        <v>3.117441915332364E-3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42044</v>
      </c>
      <c r="Y87" s="152">
        <f>_xll.qlInterestRateIndexValueDate(IborIndex,X87,Trigger)</f>
        <v>42046</v>
      </c>
      <c r="Z87" s="153">
        <v>3.6790023135743217E-3</v>
      </c>
      <c r="AA87" s="155">
        <v>3.1167481927596441E-3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42045</v>
      </c>
      <c r="Y88" s="152">
        <f>_xll.qlInterestRateIndexValueDate(IborIndex,X88,Trigger)</f>
        <v>42047</v>
      </c>
      <c r="Z88" s="153">
        <v>3.6877240494196857E-3</v>
      </c>
      <c r="AA88" s="155">
        <v>3.1161892784581369E-3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42046</v>
      </c>
      <c r="Y89" s="152">
        <f>_xll.qlInterestRateIndexValueDate(IborIndex,X89,Trigger)</f>
        <v>42048</v>
      </c>
      <c r="Z89" s="153">
        <v>3.6965234952126974E-3</v>
      </c>
      <c r="AA89" s="155">
        <v>3.1160177003464185E-3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42047</v>
      </c>
      <c r="Y90" s="152">
        <f>_xll.qlInterestRateIndexValueDate(IborIndex,X90,Trigger)</f>
        <v>42052</v>
      </c>
      <c r="Z90" s="153">
        <v>3.7325283899468597E-3</v>
      </c>
      <c r="AA90" s="155">
        <v>3.1158444414192132E-3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42048</v>
      </c>
      <c r="Y91" s="152">
        <f>_xll.qlInterestRateIndexValueDate(IborIndex,X91,Trigger)</f>
        <v>42052</v>
      </c>
      <c r="Z91" s="153">
        <v>3.7325283899468597E-3</v>
      </c>
      <c r="AA91" s="155">
        <v>3.1158444414192132E-3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42051</v>
      </c>
      <c r="Y92" s="152">
        <f>_xll.qlInterestRateIndexValueDate(IborIndex,X92,Trigger)</f>
        <v>42053</v>
      </c>
      <c r="Z92" s="153">
        <v>3.7417388948651734E-3</v>
      </c>
      <c r="AA92" s="155">
        <v>3.1159435591199269E-3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42052</v>
      </c>
      <c r="Y93" s="152">
        <f>_xll.qlInterestRateIndexValueDate(IborIndex,X93,Trigger)</f>
        <v>42054</v>
      </c>
      <c r="Z93" s="153">
        <v>3.7510361137467895E-3</v>
      </c>
      <c r="AA93" s="155">
        <v>3.1161775129096014E-3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42053</v>
      </c>
      <c r="Y94" s="152">
        <f>_xll.qlInterestRateIndexValueDate(IborIndex,X94,Trigger)</f>
        <v>42055</v>
      </c>
      <c r="Z94" s="153">
        <v>3.7604215473947262E-3</v>
      </c>
      <c r="AA94" s="155">
        <v>3.1164023618490688E-3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42054</v>
      </c>
      <c r="Y95" s="152">
        <f>_xll.qlInterestRateIndexValueDate(IborIndex,X95,Trigger)</f>
        <v>42058</v>
      </c>
      <c r="Z95" s="153">
        <v>3.7951570621381331E-3</v>
      </c>
      <c r="AA95" s="155">
        <v>3.1166838431673227E-3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42055</v>
      </c>
      <c r="Y96" s="152">
        <f>_xll.qlInterestRateIndexValueDate(IborIndex,X96,Trigger)</f>
        <v>42059</v>
      </c>
      <c r="Z96" s="153">
        <v>3.7988754471153176E-3</v>
      </c>
      <c r="AA96" s="155">
        <v>3.1170219570242352E-3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42058</v>
      </c>
      <c r="Y97" s="152">
        <f>_xll.qlInterestRateIndexValueDate(IborIndex,X97,Trigger)</f>
        <v>42060</v>
      </c>
      <c r="Z97" s="153">
        <v>3.8087244680546821E-3</v>
      </c>
      <c r="AA97" s="155">
        <v>3.1179139629333719E-3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42059</v>
      </c>
      <c r="Y98" s="152">
        <f>_xll.qlInterestRateIndexValueDate(IborIndex,X98,Trigger)</f>
        <v>42061</v>
      </c>
      <c r="Z98" s="153">
        <v>3.8186707094383381E-3</v>
      </c>
      <c r="AA98" s="155">
        <v>3.1189407367193667E-3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42060</v>
      </c>
      <c r="Y99" s="152">
        <f>_xll.qlInterestRateIndexValueDate(IborIndex,X99,Trigger)</f>
        <v>42062</v>
      </c>
      <c r="Z99" s="153">
        <v>3.8349299390210709E-3</v>
      </c>
      <c r="AA99" s="155">
        <v>3.1195620127100199E-3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42061</v>
      </c>
      <c r="Y100" s="152">
        <f>_xll.qlInterestRateIndexValueDate(IborIndex,X100,Trigger)</f>
        <v>42065</v>
      </c>
      <c r="Z100" s="153">
        <v>3.8786628061772475E-3</v>
      </c>
      <c r="AA100" s="155">
        <v>3.1202435114074945E-3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42062</v>
      </c>
      <c r="Y101" s="152">
        <f>_xll.qlInterestRateIndexValueDate(IborIndex,X101,Trigger)</f>
        <v>42066</v>
      </c>
      <c r="Z101" s="153">
        <v>3.8892764757317896E-3</v>
      </c>
      <c r="AA101" s="155">
        <v>3.1209995936443136E-3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42065</v>
      </c>
      <c r="Y102" s="152">
        <f>_xll.qlInterestRateIndexValueDate(IborIndex,X102,Trigger)</f>
        <v>42067</v>
      </c>
      <c r="Z102" s="153">
        <v>3.8999999999981805E-3</v>
      </c>
      <c r="AA102" s="155">
        <v>3.1227994254212632E-3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42066</v>
      </c>
      <c r="Y103" s="152">
        <f>_xll.qlInterestRateIndexValueDate(IborIndex,X103,Trigger)</f>
        <v>42068</v>
      </c>
      <c r="Z103" s="153">
        <v>3.930931443643532E-3</v>
      </c>
      <c r="AA103" s="155">
        <v>3.1248056601462793E-3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42067</v>
      </c>
      <c r="Y104" s="152">
        <f>_xll.qlInterestRateIndexValueDate(IborIndex,X104,Trigger)</f>
        <v>42069</v>
      </c>
      <c r="Z104" s="153">
        <v>3.9352517995127814E-3</v>
      </c>
      <c r="AA104" s="155">
        <v>3.125952611240379E-3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42068</v>
      </c>
      <c r="Y105" s="152">
        <f>_xll.qlInterestRateIndexValueDate(IborIndex,X105,Trigger)</f>
        <v>42072</v>
      </c>
      <c r="Z105" s="153">
        <v>3.9553124401389096E-3</v>
      </c>
      <c r="AA105" s="155">
        <v>3.1271777360419861E-3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42069</v>
      </c>
      <c r="Y106" s="152">
        <f>_xll.qlInterestRateIndexValueDate(IborIndex,X106,Trigger)</f>
        <v>42073</v>
      </c>
      <c r="Z106" s="153">
        <v>3.9667226903635734E-3</v>
      </c>
      <c r="AA106" s="155">
        <v>3.1284810347109726E-3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42072</v>
      </c>
      <c r="Y107" s="152">
        <f>_xll.qlInterestRateIndexValueDate(IborIndex,X107,Trigger)</f>
        <v>42074</v>
      </c>
      <c r="Z107" s="153">
        <v>3.9782517818211785E-3</v>
      </c>
      <c r="AA107" s="155">
        <v>3.1313754482731326E-3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42073</v>
      </c>
      <c r="Y108" s="152">
        <f>_xll.qlInterestRateIndexValueDate(IborIndex,X108,Trigger)</f>
        <v>42075</v>
      </c>
      <c r="Z108" s="153">
        <v>4.0041241899938049E-3</v>
      </c>
      <c r="AA108" s="155">
        <v>3.1344759668616717E-3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42074</v>
      </c>
      <c r="Y109" s="152">
        <f>_xll.qlInterestRateIndexValueDate(IborIndex,X109,Trigger)</f>
        <v>42076</v>
      </c>
      <c r="Z109" s="153">
        <v>4.0088225586683438E-3</v>
      </c>
      <c r="AA109" s="155">
        <v>3.1361701343080028E-3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42075</v>
      </c>
      <c r="Y110" s="152">
        <f>_xll.qlInterestRateIndexValueDate(IborIndex,X110,Trigger)</f>
        <v>42079</v>
      </c>
      <c r="Z110" s="153">
        <v>4.0377236704605812E-3</v>
      </c>
      <c r="AA110" s="155">
        <v>3.1379424755417773E-3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42076</v>
      </c>
      <c r="Y111" s="152">
        <f>_xll.qlInterestRateIndexValueDate(IborIndex,X111,Trigger)</f>
        <v>42080</v>
      </c>
      <c r="Z111" s="153">
        <v>4.0499920977702924E-3</v>
      </c>
      <c r="AA111" s="155">
        <v>3.1397929906429312E-3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42079</v>
      </c>
      <c r="Y112" s="152">
        <f>_xll.qlInterestRateIndexValueDate(IborIndex,X112,Trigger)</f>
        <v>42081</v>
      </c>
      <c r="Z112" s="153">
        <v>4.0623881296304072E-3</v>
      </c>
      <c r="AA112" s="155">
        <v>3.1437820533497529E-3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42080</v>
      </c>
      <c r="Y113" s="152">
        <f>_xll.qlInterestRateIndexValueDate(IborIndex,X113,Trigger)</f>
        <v>42082</v>
      </c>
      <c r="Z113" s="153">
        <v>4.0901070502620939E-3</v>
      </c>
      <c r="AA113" s="155">
        <v>3.1479767885222998E-3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42081</v>
      </c>
      <c r="Y114" s="152">
        <f>_xll.qlInterestRateIndexValueDate(IborIndex,X114,Trigger)</f>
        <v>42083</v>
      </c>
      <c r="Z114" s="153">
        <v>4.0952081660561605E-3</v>
      </c>
      <c r="AA114" s="155">
        <v>3.1502181725606704E-3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42082</v>
      </c>
      <c r="Y115" s="152">
        <f>_xll.qlInterestRateIndexValueDate(IborIndex,X115,Trigger)</f>
        <v>42086</v>
      </c>
      <c r="Z115" s="153">
        <v>4.1263261834687832E-3</v>
      </c>
      <c r="AA115" s="155">
        <v>3.1525377303065483E-3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42083</v>
      </c>
      <c r="Y116" s="152">
        <f>_xll.qlInterestRateIndexValueDate(IborIndex,X116,Trigger)</f>
        <v>42087</v>
      </c>
      <c r="Z116" s="153">
        <v>4.1395141392179717E-3</v>
      </c>
      <c r="AA116" s="155">
        <v>3.1549354617599334E-3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42086</v>
      </c>
      <c r="Y117" s="152">
        <f>_xll.qlInterestRateIndexValueDate(IborIndex,X117,Trigger)</f>
        <v>42088</v>
      </c>
      <c r="Z117" s="153">
        <v>4.1528384655984702E-3</v>
      </c>
      <c r="AA117" s="155">
        <v>3.1600192418235196E-3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42087</v>
      </c>
      <c r="Y118" s="152">
        <f>_xll.qlInterestRateIndexValueDate(IborIndex,X118,Trigger)</f>
        <v>42089</v>
      </c>
      <c r="Z118" s="153">
        <v>4.1825595069438157E-3</v>
      </c>
      <c r="AA118" s="155">
        <v>3.1653081258475879E-3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42088</v>
      </c>
      <c r="Y119" s="152">
        <f>_xll.qlInterestRateIndexValueDate(IborIndex,X119,Trigger)</f>
        <v>42090</v>
      </c>
      <c r="Z119" s="153">
        <v>4.1880775284168963E-3</v>
      </c>
      <c r="AA119" s="155">
        <v>3.1680967262381898E-3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42089</v>
      </c>
      <c r="Y120" s="152">
        <f>_xll.qlInterestRateIndexValueDate(IborIndex,X120,Trigger)</f>
        <v>42093</v>
      </c>
      <c r="Z120" s="153">
        <v>4.221549498086551E-3</v>
      </c>
      <c r="AA120" s="155">
        <v>3.1709635005761072E-3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42090</v>
      </c>
      <c r="Y121" s="152">
        <f>_xll.qlInterestRateIndexValueDate(IborIndex,X121,Trigger)</f>
        <v>42094</v>
      </c>
      <c r="Z121" s="153">
        <v>4.2272841403725777E-3</v>
      </c>
      <c r="AA121" s="155">
        <v>3.1801672244711199E-3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42093</v>
      </c>
      <c r="Y122" s="152">
        <f>_xll.qlInterestRateIndexValueDate(IborIndex,X122,Trigger)</f>
        <v>42095</v>
      </c>
      <c r="Z122" s="153">
        <v>4.241515025319097E-3</v>
      </c>
      <c r="AA122" s="155">
        <v>3.1898121747175878E-3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42094</v>
      </c>
      <c r="Y123" s="152">
        <f>_xll.qlInterestRateIndexValueDate(IborIndex,X123,Trigger)</f>
        <v>42096</v>
      </c>
      <c r="Z123" s="153">
        <v>4.2558914135384339E-3</v>
      </c>
      <c r="AA123" s="155">
        <v>3.1932644366339247E-3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42095</v>
      </c>
      <c r="Y124" s="152">
        <f>_xll.qlInterestRateIndexValueDate(IborIndex,X124,Trigger)</f>
        <v>42101</v>
      </c>
      <c r="Z124" s="153">
        <v>4.3299999999937061E-3</v>
      </c>
      <c r="AA124" s="155">
        <v>3.1968331432441488E-3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42096</v>
      </c>
      <c r="Y125" s="152">
        <f>_xll.qlInterestRateIndexValueDate(IborIndex,X125,Trigger)</f>
        <v>42102</v>
      </c>
      <c r="Z125" s="153">
        <v>4.3452753678185543E-3</v>
      </c>
      <c r="AA125" s="155">
        <v>3.204387228015193E-3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42101</v>
      </c>
      <c r="Y126" s="152">
        <f>_xll.qlInterestRateIndexValueDate(IborIndex,X126,Trigger)</f>
        <v>42103</v>
      </c>
      <c r="Z126" s="153">
        <v>4.3607020664173258E-3</v>
      </c>
      <c r="AA126" s="155">
        <v>3.212272417902895E-3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42102</v>
      </c>
      <c r="Y127" s="152">
        <f>_xll.qlInterestRateIndexValueDate(IborIndex,X127,Trigger)</f>
        <v>42104</v>
      </c>
      <c r="Z127" s="153">
        <v>4.4043343851798344E-3</v>
      </c>
      <c r="AA127" s="155">
        <v>3.2164233485421079E-3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42103</v>
      </c>
      <c r="Y128" s="152">
        <f>_xll.qlInterestRateIndexValueDate(IborIndex,X128,Trigger)</f>
        <v>42107</v>
      </c>
      <c r="Z128" s="153">
        <v>4.4238875179793934E-3</v>
      </c>
      <c r="AA128" s="155">
        <v>3.2206907239551441E-3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42104</v>
      </c>
      <c r="Y129" s="152">
        <f>_xll.qlInterestRateIndexValueDate(IborIndex,X129,Trigger)</f>
        <v>42108</v>
      </c>
      <c r="Z129" s="153">
        <v>4.440044882325524E-3</v>
      </c>
      <c r="AA129" s="155">
        <v>3.2250745442219397E-3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42107</v>
      </c>
      <c r="Y130" s="152">
        <f>_xll.qlInterestRateIndexValueDate(IborIndex,X130,Trigger)</f>
        <v>42109</v>
      </c>
      <c r="Z130" s="153">
        <v>4.4563431820347074E-3</v>
      </c>
      <c r="AA130" s="155">
        <v>3.234259390438865E-3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42108</v>
      </c>
      <c r="Y131" s="152">
        <f>_xll.qlInterestRateIndexValueDate(IborIndex,X131,Trigger)</f>
        <v>42110</v>
      </c>
      <c r="Z131" s="153">
        <v>4.4727806844518303E-3</v>
      </c>
      <c r="AA131" s="155">
        <v>3.2437742734270358E-3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42109</v>
      </c>
      <c r="Y132" s="152">
        <f>_xll.qlInterestRateIndexValueDate(IborIndex,X132,Trigger)</f>
        <v>42111</v>
      </c>
      <c r="Z132" s="153">
        <v>4.509034510118499E-3</v>
      </c>
      <c r="AA132" s="155">
        <v>3.2487403178027563E-3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42110</v>
      </c>
      <c r="Y133" s="152">
        <f>_xll.qlInterestRateIndexValueDate(IborIndex,X133,Trigger)</f>
        <v>42114</v>
      </c>
      <c r="Z133" s="153">
        <v>4.5398880670814556E-3</v>
      </c>
      <c r="AA133" s="155">
        <v>3.2538228069523001E-3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42111</v>
      </c>
      <c r="Y134" s="152">
        <f>_xll.qlInterestRateIndexValueDate(IborIndex,X134,Trigger)</f>
        <v>42115</v>
      </c>
      <c r="Z134" s="153">
        <v>4.5569955921798497E-3</v>
      </c>
      <c r="AA134" s="155">
        <v>3.2590217410355393E-3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42114</v>
      </c>
      <c r="Y135" s="152">
        <f>_xll.qlInterestRateIndexValueDate(IborIndex,X135,Trigger)</f>
        <v>42116</v>
      </c>
      <c r="Z135" s="153">
        <v>4.5742319234208266E-3</v>
      </c>
      <c r="AA135" s="155">
        <v>3.269837457624547E-3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42115</v>
      </c>
      <c r="Y136" s="152">
        <f>_xll.qlInterestRateIndexValueDate(IborIndex,X136,Trigger)</f>
        <v>42117</v>
      </c>
      <c r="Z136" s="153">
        <v>4.5915953279265015E-3</v>
      </c>
      <c r="AA136" s="155">
        <v>3.280981925666282E-3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42116</v>
      </c>
      <c r="Y137" s="152">
        <f>_xll.qlInterestRateIndexValueDate(IborIndex,X137,Trigger)</f>
        <v>42118</v>
      </c>
      <c r="Z137" s="153">
        <v>4.6296236299407517E-3</v>
      </c>
      <c r="AA137" s="155">
        <v>3.2867630839383821E-3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42117</v>
      </c>
      <c r="Y138" s="152">
        <f>_xll.qlInterestRateIndexValueDate(IborIndex,X138,Trigger)</f>
        <v>42121</v>
      </c>
      <c r="Z138" s="153">
        <v>4.6622850197512019E-3</v>
      </c>
      <c r="AA138" s="155">
        <v>3.2926606870642416E-3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42118</v>
      </c>
      <c r="Y139" s="152">
        <f>_xll.qlInterestRateIndexValueDate(IborIndex,X139,Trigger)</f>
        <v>42122</v>
      </c>
      <c r="Z139" s="153">
        <v>4.6802577961069054E-3</v>
      </c>
      <c r="AA139" s="155">
        <v>3.2986747352037327E-3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42121</v>
      </c>
      <c r="Y140" s="152">
        <f>_xll.qlInterestRateIndexValueDate(IborIndex,X140,Trigger)</f>
        <v>42123</v>
      </c>
      <c r="Z140" s="153">
        <v>4.6983472476601999E-3</v>
      </c>
      <c r="AA140" s="155">
        <v>3.3143378488498243E-3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42122</v>
      </c>
      <c r="Y141" s="152">
        <f>_xll.qlInterestRateIndexValueDate(IborIndex,X141,Trigger)</f>
        <v>42124</v>
      </c>
      <c r="Z141" s="153">
        <v>4.7165516412567008E-3</v>
      </c>
      <c r="AA141" s="155">
        <v>3.3305922075488326E-3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42123</v>
      </c>
      <c r="Y142" s="152">
        <f>_xll.qlInterestRateIndexValueDate(IborIndex,X142,Trigger)</f>
        <v>42125</v>
      </c>
      <c r="Z142" s="153">
        <v>4.7560980153770948E-3</v>
      </c>
      <c r="AA142" s="155">
        <v>3.3379082773787871E-3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42124</v>
      </c>
      <c r="Y143" s="152">
        <f>_xll.qlInterestRateIndexValueDate(IborIndex,X143,Trigger)</f>
        <v>42129</v>
      </c>
      <c r="Z143" s="153">
        <v>4.8199999999923911E-3</v>
      </c>
      <c r="AA143" s="155">
        <v>3.3459441446304083E-3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42125</v>
      </c>
      <c r="Y144" s="152">
        <f>_xll.qlInterestRateIndexValueDate(IborIndex,X144,Trigger)</f>
        <v>42130</v>
      </c>
      <c r="Z144" s="153">
        <v>4.8388937915632294E-3</v>
      </c>
      <c r="AA144" s="155">
        <v>3.3644466461346667E-3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42129</v>
      </c>
      <c r="Y145" s="152">
        <f>_xll.qlInterestRateIndexValueDate(IborIndex,X145,Trigger)</f>
        <v>42131</v>
      </c>
      <c r="Z145" s="153">
        <v>4.8796218329789426E-3</v>
      </c>
      <c r="AA145" s="155">
        <v>3.3852855877736232E-3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42130</v>
      </c>
      <c r="Y146" s="152">
        <f>_xll.qlInterestRateIndexValueDate(IborIndex,X146,Trigger)</f>
        <v>42132</v>
      </c>
      <c r="Z146" s="153">
        <v>4.8878665534000292E-3</v>
      </c>
      <c r="AA146" s="155">
        <v>3.3969204424533217E-3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42131</v>
      </c>
      <c r="Y147" s="152">
        <f>_xll.qlInterestRateIndexValueDate(IborIndex,X147,Trigger)</f>
        <v>42135</v>
      </c>
      <c r="Z147" s="153">
        <v>4.9457637619236949E-3</v>
      </c>
      <c r="AA147" s="155">
        <v>3.409275094874431E-3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42132</v>
      </c>
      <c r="Y148" s="152">
        <f>_xll.qlInterestRateIndexValueDate(IborIndex,X148,Trigger)</f>
        <v>42136</v>
      </c>
      <c r="Z148" s="153">
        <v>4.9541980344125491E-3</v>
      </c>
      <c r="AA148" s="155">
        <v>3.4223495450369512E-3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42135</v>
      </c>
      <c r="Y149" s="152">
        <f>_xll.qlInterestRateIndexValueDate(IborIndex,X149,Trigger)</f>
        <v>42137</v>
      </c>
      <c r="Z149" s="153">
        <v>4.9737024688453159E-3</v>
      </c>
      <c r="AA149" s="155">
        <v>3.4509308513186454E-3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42136</v>
      </c>
      <c r="Y150" s="152">
        <f>_xll.qlInterestRateIndexValueDate(IborIndex,X150,Trigger)</f>
        <v>42138</v>
      </c>
      <c r="Z150" s="153">
        <v>5.0154839544013265E-3</v>
      </c>
      <c r="AA150" s="155">
        <v>3.4818453250995418E-3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42137</v>
      </c>
      <c r="Y151" s="152">
        <f>_xll.qlInterestRateIndexValueDate(IborIndex,X151,Trigger)</f>
        <v>42139</v>
      </c>
      <c r="Z151" s="153">
        <v>5.0240477305060656E-3</v>
      </c>
      <c r="AA151" s="155">
        <v>3.4985187654079652E-3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42138</v>
      </c>
      <c r="Y152" s="152">
        <f>_xll.qlInterestRateIndexValueDate(IborIndex,X152,Trigger)</f>
        <v>42142</v>
      </c>
      <c r="Z152" s="153">
        <v>5.0722200908091281E-3</v>
      </c>
      <c r="AA152" s="155">
        <v>3.5159120040173519E-3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42139</v>
      </c>
      <c r="Y153" s="152">
        <f>_xll.qlInterestRateIndexValueDate(IborIndex,X153,Trigger)</f>
        <v>42143</v>
      </c>
      <c r="Z153" s="153">
        <v>5.0920953072726254E-3</v>
      </c>
      <c r="AA153" s="155">
        <v>3.5340250410076379E-3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42142</v>
      </c>
      <c r="Y154" s="152">
        <f>_xll.qlInterestRateIndexValueDate(IborIndex,X154,Trigger)</f>
        <v>42144</v>
      </c>
      <c r="Z154" s="153">
        <v>5.1120186210839658E-3</v>
      </c>
      <c r="AA154" s="155">
        <v>3.5829601146408763E-3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42143</v>
      </c>
      <c r="Y155" s="152">
        <f>_xll.qlInterestRateIndexValueDate(IborIndex,X155,Trigger)</f>
        <v>42145</v>
      </c>
      <c r="Z155" s="153">
        <v>5.1546271179292438E-3</v>
      </c>
      <c r="AA155" s="155">
        <v>3.6353872062289128E-3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42144</v>
      </c>
      <c r="Y156" s="152">
        <f>_xll.qlInterestRateIndexValueDate(IborIndex,X156,Trigger)</f>
        <v>42146</v>
      </c>
      <c r="Z156" s="153">
        <v>5.163336442043827E-3</v>
      </c>
      <c r="AA156" s="155">
        <v>3.6578190361424845E-3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42145</v>
      </c>
      <c r="Y157" s="152">
        <f>_xll.qlInterestRateIndexValueDate(IborIndex,X157,Trigger)</f>
        <v>42150</v>
      </c>
      <c r="Z157" s="153">
        <v>5.2438113034624307E-3</v>
      </c>
      <c r="AA157" s="155">
        <v>3.6809706653162522E-3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42146</v>
      </c>
      <c r="Y158" s="152">
        <f>_xll.qlInterestRateIndexValueDate(IborIndex,X158,Trigger)</f>
        <v>42151</v>
      </c>
      <c r="Z158" s="153">
        <v>5.252499697467352E-3</v>
      </c>
      <c r="AA158" s="155">
        <v>3.729711894955301E-3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42150</v>
      </c>
      <c r="Y159" s="152">
        <f>_xll.qlInterestRateIndexValueDate(IborIndex,X159,Trigger)</f>
        <v>42152</v>
      </c>
      <c r="Z159" s="153">
        <v>5.2957231122222146E-3</v>
      </c>
      <c r="AA159" s="155">
        <v>3.7807751774909804E-3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42151</v>
      </c>
      <c r="Y160" s="152">
        <f>_xll.qlInterestRateIndexValueDate(IborIndex,X160,Trigger)</f>
        <v>42153</v>
      </c>
      <c r="Z160" s="153">
        <v>5.3043972667975422E-3</v>
      </c>
      <c r="AA160" s="155">
        <v>3.8075258051240013E-3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42152</v>
      </c>
      <c r="Y161" s="152">
        <f>_xll.qlInterestRateIndexValueDate(IborIndex,X161,Trigger)</f>
        <v>42156</v>
      </c>
      <c r="Z161" s="153">
        <v>5.3417996996491064E-3</v>
      </c>
      <c r="AA161" s="155">
        <v>3.8349962329764509E-3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42153</v>
      </c>
      <c r="Y162" s="152">
        <f>_xll.qlInterestRateIndexValueDate(IborIndex,X162,Trigger)</f>
        <v>42157</v>
      </c>
      <c r="Z162" s="153">
        <v>5.3619623105344754E-3</v>
      </c>
      <c r="AA162" s="155">
        <v>3.8629441450410695E-3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42156</v>
      </c>
      <c r="Y163" s="152">
        <f>_xll.qlInterestRateIndexValueDate(IborIndex,X163,Trigger)</f>
        <v>42158</v>
      </c>
      <c r="Z163" s="153">
        <v>5.3821181543494429E-3</v>
      </c>
      <c r="AA163" s="155">
        <v>3.9169202304822903E-3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42157</v>
      </c>
      <c r="Y164" s="152">
        <f>_xll.qlInterestRateIndexValueDate(IborIndex,X164,Trigger)</f>
        <v>42159</v>
      </c>
      <c r="Z164" s="153">
        <v>5.4022632929397255E-3</v>
      </c>
      <c r="AA164" s="155">
        <v>3.96836409636947E-3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42158</v>
      </c>
      <c r="Y165" s="152">
        <f>_xll.qlInterestRateIndexValueDate(IborIndex,X165,Trigger)</f>
        <v>42160</v>
      </c>
      <c r="Z165" s="153">
        <v>5.4458957188335613E-3</v>
      </c>
      <c r="AA165" s="155">
        <v>3.9928838430824953E-3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42159</v>
      </c>
      <c r="Y166" s="152">
        <f>_xll.qlInterestRateIndexValueDate(IborIndex,X166,Trigger)</f>
        <v>42163</v>
      </c>
      <c r="Z166" s="153">
        <v>5.4827430060337169E-3</v>
      </c>
      <c r="AA166" s="155">
        <v>4.0166694930920954E-3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42160</v>
      </c>
      <c r="Y167" s="152">
        <f>_xll.qlInterestRateIndexValueDate(IborIndex,X167,Trigger)</f>
        <v>42164</v>
      </c>
      <c r="Z167" s="153">
        <v>5.5028565385239672E-3</v>
      </c>
      <c r="AA167" s="155">
        <v>4.0397210462383981E-3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42163</v>
      </c>
      <c r="Y168" s="152">
        <f>_xll.qlInterestRateIndexValueDate(IborIndex,X168,Trigger)</f>
        <v>42165</v>
      </c>
      <c r="Z168" s="153">
        <v>5.5229755701851728E-3</v>
      </c>
      <c r="AA168" s="155">
        <v>4.0834234783915235E-3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42164</v>
      </c>
      <c r="Y169" s="152">
        <f>_xll.qlInterestRateIndexValueDate(IborIndex,X169,Trigger)</f>
        <v>42166</v>
      </c>
      <c r="Z169" s="153">
        <v>5.543104130047557E-3</v>
      </c>
      <c r="AA169" s="155">
        <v>4.1245862869132566E-3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42165</v>
      </c>
      <c r="Y170" s="152">
        <f>_xll.qlInterestRateIndexValueDate(IborIndex,X170,Trigger)</f>
        <v>42167</v>
      </c>
      <c r="Z170" s="153">
        <v>5.5871642168124876E-3</v>
      </c>
      <c r="AA170" s="155">
        <v>4.1439673535048627E-3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42166</v>
      </c>
      <c r="Y171" s="152">
        <f>_xll.qlInterestRateIndexValueDate(IborIndex,X171,Trigger)</f>
        <v>42170</v>
      </c>
      <c r="Z171" s="153">
        <v>5.6237942378709466E-3</v>
      </c>
      <c r="AA171" s="155">
        <v>4.1626143224338108E-3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42167</v>
      </c>
      <c r="Y172" s="152">
        <f>_xll.qlInterestRateIndexValueDate(IborIndex,X172,Trigger)</f>
        <v>42171</v>
      </c>
      <c r="Z172" s="153">
        <v>5.6440308799558464E-3</v>
      </c>
      <c r="AA172" s="155">
        <v>4.1805271936201649E-3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42170</v>
      </c>
      <c r="Y173" s="152">
        <f>_xll.qlInterestRateIndexValueDate(IborIndex,X173,Trigger)</f>
        <v>42172</v>
      </c>
      <c r="Z173" s="153">
        <v>5.6643012278880401E-3</v>
      </c>
      <c r="AA173" s="155">
        <v>4.2139552677689096E-3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42171</v>
      </c>
      <c r="Y174" s="152">
        <f>_xll.qlInterestRateIndexValueDate(IborIndex,X174,Trigger)</f>
        <v>42173</v>
      </c>
      <c r="Z174" s="153">
        <v>5.6846093118566067E-3</v>
      </c>
      <c r="AA174" s="155">
        <v>4.2448376983017511E-3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42172</v>
      </c>
      <c r="Y175" s="152">
        <f>_xll.qlInterestRateIndexValueDate(IborIndex,X175,Trigger)</f>
        <v>42174</v>
      </c>
      <c r="Z175" s="153">
        <v>5.7292860926156037E-3</v>
      </c>
      <c r="AA175" s="155">
        <v>4.2590800790165417E-3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42173</v>
      </c>
      <c r="Y176" s="152">
        <f>_xll.qlInterestRateIndexValueDate(IborIndex,X176,Trigger)</f>
        <v>42177</v>
      </c>
      <c r="Z176" s="153">
        <v>5.7662996177809496E-3</v>
      </c>
      <c r="AA176" s="155">
        <v>4.2725883612693139E-3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42174</v>
      </c>
      <c r="Y177" s="152">
        <f>_xll.qlInterestRateIndexValueDate(IborIndex,X177,Trigger)</f>
        <v>42178</v>
      </c>
      <c r="Z177" s="153">
        <v>5.7868568406819511E-3</v>
      </c>
      <c r="AA177" s="155">
        <v>4.2853625451400035E-3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42177</v>
      </c>
      <c r="Y178" s="152">
        <f>_xll.qlInterestRateIndexValueDate(IborIndex,X178,Trigger)</f>
        <v>42179</v>
      </c>
      <c r="Z178" s="153">
        <v>5.8074759843133534E-3</v>
      </c>
      <c r="AA178" s="155">
        <v>4.308515481215025E-3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42178</v>
      </c>
      <c r="Y179" s="152">
        <f>_xll.qlInterestRateIndexValueDate(IborIndex,X179,Trigger)</f>
        <v>42180</v>
      </c>
      <c r="Z179" s="153">
        <v>5.8775037414819107E-3</v>
      </c>
      <c r="AA179" s="155">
        <v>4.3291182944837914E-3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42179</v>
      </c>
      <c r="Y180" s="152">
        <f>_xll.qlInterestRateIndexValueDate(IborIndex,X180,Trigger)</f>
        <v>42181</v>
      </c>
      <c r="Z180" s="153">
        <v>5.8859935747859115E-3</v>
      </c>
      <c r="AA180" s="155">
        <v>4.3382219850052195E-3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42180</v>
      </c>
      <c r="Y181" s="152">
        <f>_xll.qlInterestRateIndexValueDate(IborIndex,X181,Trigger)</f>
        <v>42184</v>
      </c>
      <c r="Z181" s="153">
        <v>5.9116416180734731E-3</v>
      </c>
      <c r="AA181" s="155">
        <v>4.3465915765850127E-3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42181</v>
      </c>
      <c r="Y182" s="152">
        <f>_xll.qlInterestRateIndexValueDate(IborIndex,X182,Trigger)</f>
        <v>42185</v>
      </c>
      <c r="Z182" s="153">
        <v>5.9451730235430805E-3</v>
      </c>
      <c r="AA182" s="155">
        <v>4.3542270693031071E-3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42184</v>
      </c>
      <c r="Y183" s="152">
        <f>_xll.qlInterestRateIndexValueDate(IborIndex,X183,Trigger)</f>
        <v>42186</v>
      </c>
      <c r="Z183" s="153">
        <v>6.0038310557716367E-3</v>
      </c>
      <c r="AA183" s="155">
        <v>4.3671040337045497E-3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42185</v>
      </c>
      <c r="Y184" s="152">
        <f>_xll.qlInterestRateIndexValueDate(IborIndex,X184,Trigger)</f>
        <v>42187</v>
      </c>
      <c r="Z184" s="153">
        <v>6.0126683492958055E-3</v>
      </c>
      <c r="AA184" s="155">
        <v>4.377586368118358E-3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42186</v>
      </c>
      <c r="Y185" s="152">
        <f>_xll.qlInterestRateIndexValueDate(IborIndex,X185,Trigger)</f>
        <v>42191</v>
      </c>
      <c r="Z185" s="153">
        <v>6.0737983453301491E-3</v>
      </c>
      <c r="AA185" s="155">
        <v>4.387631987334828E-3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42187</v>
      </c>
      <c r="Y186" s="152">
        <f>_xll.qlInterestRateIndexValueDate(IborIndex,X186,Trigger)</f>
        <v>42191</v>
      </c>
      <c r="Z186" s="153">
        <v>6.0737983453301491E-3</v>
      </c>
      <c r="AA186" s="155">
        <v>4.387631987334828E-3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42188</v>
      </c>
      <c r="Y187" s="152">
        <f>_xll.qlInterestRateIndexValueDate(IborIndex,X187,Trigger)</f>
        <v>42192</v>
      </c>
      <c r="Z187" s="153">
        <v>6.0956097012749948E-3</v>
      </c>
      <c r="AA187" s="155">
        <v>4.3929785098395513E-3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42191</v>
      </c>
      <c r="Y188" s="152">
        <f>_xll.qlInterestRateIndexValueDate(IborIndex,X188,Trigger)</f>
        <v>42193</v>
      </c>
      <c r="Z188" s="153">
        <v>6.1175336238297861E-3</v>
      </c>
      <c r="AA188" s="155">
        <v>4.4044448023949911E-3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42192</v>
      </c>
      <c r="Y189" s="152">
        <f>_xll.qlInterestRateIndexValueDate(IborIndex,X189,Trigger)</f>
        <v>42194</v>
      </c>
      <c r="Z189" s="153">
        <v>6.164890749415561E-3</v>
      </c>
      <c r="AA189" s="155">
        <v>4.4165226864478768E-3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42193</v>
      </c>
      <c r="Y190" s="152">
        <f>_xll.qlInterestRateIndexValueDate(IborIndex,X190,Trigger)</f>
        <v>42195</v>
      </c>
      <c r="Z190" s="153">
        <v>6.1743933090321577E-3</v>
      </c>
      <c r="AA190" s="155">
        <v>4.4229482522872843E-3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42194</v>
      </c>
      <c r="Y191" s="152">
        <f>_xll.qlInterestRateIndexValueDate(IborIndex,X191,Trigger)</f>
        <v>42198</v>
      </c>
      <c r="Z191" s="153">
        <v>6.2288009013814049E-3</v>
      </c>
      <c r="AA191" s="155">
        <v>4.4295896268575774E-3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42195</v>
      </c>
      <c r="Y192" s="152">
        <f>_xll.qlInterestRateIndexValueDate(IborIndex,X192,Trigger)</f>
        <v>42199</v>
      </c>
      <c r="Z192" s="153">
        <v>6.2513757224890798E-3</v>
      </c>
      <c r="AA192" s="155">
        <v>4.4364468100788201E-3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42198</v>
      </c>
      <c r="Y193" s="152">
        <f>_xll.qlInterestRateIndexValueDate(IborIndex,X193,Trigger)</f>
        <v>42200</v>
      </c>
      <c r="Z193" s="153">
        <v>6.2740549428442621E-3</v>
      </c>
      <c r="AA193" s="155">
        <v>4.4509355678723495E-3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42199</v>
      </c>
      <c r="Y194" s="152">
        <f>_xll.qlInterestRateIndexValueDate(IborIndex,X194,Trigger)</f>
        <v>42201</v>
      </c>
      <c r="Z194" s="153">
        <v>6.3351878588962084E-3</v>
      </c>
      <c r="AA194" s="155">
        <v>4.4660336304325199E-3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42200</v>
      </c>
      <c r="Y195" s="152">
        <f>_xll.qlInterestRateIndexValueDate(IborIndex,X195,Trigger)</f>
        <v>42202</v>
      </c>
      <c r="Z195" s="153">
        <v>6.3453179478120229E-3</v>
      </c>
      <c r="AA195" s="155">
        <v>4.473969857388127E-3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42201</v>
      </c>
      <c r="Y196" s="152">
        <f>_xll.qlInterestRateIndexValueDate(IborIndex,X196,Trigger)</f>
        <v>42205</v>
      </c>
      <c r="Z196" s="153">
        <v>6.3889761901183275E-3</v>
      </c>
      <c r="AA196" s="155">
        <v>4.4821218931545559E-3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42202</v>
      </c>
      <c r="Y197" s="152">
        <f>_xll.qlInterestRateIndexValueDate(IborIndex,X197,Trigger)</f>
        <v>42206</v>
      </c>
      <c r="Z197" s="153">
        <v>6.412257299487357E-3</v>
      </c>
      <c r="AA197" s="155">
        <v>4.4904897377318065E-3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42205</v>
      </c>
      <c r="Y198" s="152">
        <f>_xll.qlInterestRateIndexValueDate(IborIndex,X198,Trigger)</f>
        <v>42207</v>
      </c>
      <c r="Z198" s="153">
        <v>6.4356346389133519E-3</v>
      </c>
      <c r="AA198" s="155">
        <v>4.508001238541226E-3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42206</v>
      </c>
      <c r="Y199" s="152">
        <f>_xll.qlInterestRateIndexValueDate(IborIndex,X199,Trigger)</f>
        <v>42208</v>
      </c>
      <c r="Z199" s="153">
        <v>6.4848638123471049E-3</v>
      </c>
      <c r="AA199" s="155">
        <v>4.5261192043088982E-3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42207</v>
      </c>
      <c r="Y200" s="152">
        <f>_xll.qlInterestRateIndexValueDate(IborIndex,X200,Trigger)</f>
        <v>42209</v>
      </c>
      <c r="Z200" s="153">
        <v>6.4955631898064026E-3</v>
      </c>
      <c r="AA200" s="155">
        <v>4.5355660931800656E-3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42208</v>
      </c>
      <c r="Y201" s="152">
        <f>_xll.qlInterestRateIndexValueDate(IborIndex,X201,Trigger)</f>
        <v>42212</v>
      </c>
      <c r="Z201" s="153">
        <v>6.5539239338103898E-3</v>
      </c>
      <c r="AA201" s="155">
        <v>4.5452287907821187E-3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42209</v>
      </c>
      <c r="Y202" s="152">
        <f>_xll.qlInterestRateIndexValueDate(IborIndex,X202,Trigger)</f>
        <v>42213</v>
      </c>
      <c r="Z202" s="153">
        <v>6.5778541411256808E-3</v>
      </c>
      <c r="AA202" s="155">
        <v>4.5551072975147378E-3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42212</v>
      </c>
      <c r="Y203" s="152">
        <f>_xll.qlInterestRateIndexValueDate(IborIndex,X203,Trigger)</f>
        <v>42214</v>
      </c>
      <c r="Z203" s="153">
        <v>6.6018724072751094E-3</v>
      </c>
      <c r="AA203" s="155">
        <v>4.5756418294562451E-3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42213</v>
      </c>
      <c r="Y204" s="152">
        <f>_xll.qlInterestRateIndexValueDate(IborIndex,X204,Trigger)</f>
        <v>42215</v>
      </c>
      <c r="Z204" s="153">
        <v>6.6130274033086699E-3</v>
      </c>
      <c r="AA204" s="155">
        <v>4.5967794135126638E-3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42214</v>
      </c>
      <c r="Y205" s="152">
        <f>_xll.qlInterestRateIndexValueDate(IborIndex,X205,Trigger)</f>
        <v>42216</v>
      </c>
      <c r="Z205" s="153">
        <v>6.6242508394892602E-3</v>
      </c>
      <c r="AA205" s="155">
        <v>4.6077555884416199E-3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42215</v>
      </c>
      <c r="Y206" s="152">
        <f>_xll.qlInterestRateIndexValueDate(IborIndex,X206,Trigger)</f>
        <v>42219</v>
      </c>
      <c r="Z206" s="153">
        <v>6.7232437566129392E-3</v>
      </c>
      <c r="AA206" s="155">
        <v>4.6190406899349057E-3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42216</v>
      </c>
      <c r="Y207" s="152">
        <f>_xll.qlInterestRateIndexValueDate(IborIndex,X207,Trigger)</f>
        <v>42220</v>
      </c>
      <c r="Z207" s="153">
        <v>6.7477658567608031E-3</v>
      </c>
      <c r="AA207" s="155">
        <v>4.630653341335389E-3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42219</v>
      </c>
      <c r="Y208" s="152">
        <f>_xll.qlInterestRateIndexValueDate(IborIndex,X208,Trigger)</f>
        <v>42221</v>
      </c>
      <c r="Z208" s="153">
        <v>6.7723677407364718E-3</v>
      </c>
      <c r="AA208" s="155">
        <v>4.6550306688519782E-3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42220</v>
      </c>
      <c r="Y209" s="152">
        <f>_xll.qlInterestRateIndexValueDate(IborIndex,X209,Trigger)</f>
        <v>42222</v>
      </c>
      <c r="Z209" s="153">
        <v>6.8230461564419958E-3</v>
      </c>
      <c r="AA209" s="155">
        <v>4.6803794478478267E-3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42221</v>
      </c>
      <c r="Y210" s="152">
        <f>_xll.qlInterestRateIndexValueDate(IborIndex,X210,Trigger)</f>
        <v>42223</v>
      </c>
      <c r="Z210" s="153">
        <v>6.8348090127732129E-3</v>
      </c>
      <c r="AA210" s="155">
        <v>4.6936298497435303E-3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42222</v>
      </c>
      <c r="Y211" s="152">
        <f>_xll.qlInterestRateIndexValueDate(IborIndex,X211,Trigger)</f>
        <v>42226</v>
      </c>
      <c r="Z211" s="153">
        <v>6.8965132360885115E-3</v>
      </c>
      <c r="AA211" s="155">
        <v>4.7072078019461117E-3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42223</v>
      </c>
      <c r="Y212" s="152">
        <f>_xll.qlInterestRateIndexValueDate(IborIndex,X212,Trigger)</f>
        <v>42227</v>
      </c>
      <c r="Z212" s="153">
        <v>6.9215571080443088E-3</v>
      </c>
      <c r="AA212" s="155">
        <v>4.7211133042956988E-3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42226</v>
      </c>
      <c r="Y213" s="152">
        <f>_xll.qlInterestRateIndexValueDate(IborIndex,X213,Trigger)</f>
        <v>42228</v>
      </c>
      <c r="Z213" s="153">
        <v>6.9466684231746303E-3</v>
      </c>
      <c r="AA213" s="155">
        <v>4.7500788175103281E-3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42227</v>
      </c>
      <c r="Y214" s="152">
        <f>_xll.qlInterestRateIndexValueDate(IborIndex,X214,Trigger)</f>
        <v>42229</v>
      </c>
      <c r="Z214" s="153">
        <v>7.010931544704853E-3</v>
      </c>
      <c r="AA214" s="155">
        <v>4.7800108170026334E-3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42228</v>
      </c>
      <c r="Y215" s="152">
        <f>_xll.qlInterestRateIndexValueDate(IborIndex,X215,Trigger)</f>
        <v>42230</v>
      </c>
      <c r="Z215" s="153">
        <v>7.023150292436468E-3</v>
      </c>
      <c r="AA215" s="155">
        <v>4.7955540712063538E-3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42229</v>
      </c>
      <c r="Y216" s="152">
        <f>_xll.qlInterestRateIndexValueDate(IborIndex,X216,Trigger)</f>
        <v>42233</v>
      </c>
      <c r="Z216" s="153">
        <v>7.0731744208085709E-3</v>
      </c>
      <c r="AA216" s="155">
        <v>4.8114248758768241E-3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42230</v>
      </c>
      <c r="Y217" s="152">
        <f>_xll.qlInterestRateIndexValueDate(IborIndex,X217,Trigger)</f>
        <v>42234</v>
      </c>
      <c r="Z217" s="153">
        <v>7.0986530584087239E-3</v>
      </c>
      <c r="AA217" s="155">
        <v>4.8276232310939804E-3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42233</v>
      </c>
      <c r="Y218" s="152">
        <f>_xll.qlInterestRateIndexValueDate(IborIndex,X218,Trigger)</f>
        <v>42235</v>
      </c>
      <c r="Z218" s="153">
        <v>7.1241866928550843E-3</v>
      </c>
      <c r="AA218" s="155">
        <v>4.861177416763951E-3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42234</v>
      </c>
      <c r="Y219" s="152">
        <f>_xll.qlInterestRateIndexValueDate(IborIndex,X219,Trigger)</f>
        <v>42236</v>
      </c>
      <c r="Z219" s="153">
        <v>7.1758591237500429E-3</v>
      </c>
      <c r="AA219" s="155">
        <v>4.8956921579090817E-3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42235</v>
      </c>
      <c r="Y220" s="152">
        <f>_xll.qlInterestRateIndexValueDate(IborIndex,X220,Trigger)</f>
        <v>42237</v>
      </c>
      <c r="Z220" s="153">
        <v>7.1884558930799501E-3</v>
      </c>
      <c r="AA220" s="155">
        <v>4.9135282664192204E-3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42236</v>
      </c>
      <c r="Y221" s="152">
        <f>_xll.qlInterestRateIndexValueDate(IborIndex,X221,Trigger)</f>
        <v>42240</v>
      </c>
      <c r="Z221" s="153">
        <v>7.2526175708797569E-3</v>
      </c>
      <c r="AA221" s="155">
        <v>4.9316919257158531E-3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42237</v>
      </c>
      <c r="Y222" s="152">
        <f>_xll.qlInterestRateIndexValueDate(IborIndex,X222,Trigger)</f>
        <v>42241</v>
      </c>
      <c r="Z222" s="153">
        <v>7.2784438370154326E-3</v>
      </c>
      <c r="AA222" s="155">
        <v>4.9501831358789161E-3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42240</v>
      </c>
      <c r="Y223" s="152">
        <f>_xll.qlInterestRateIndexValueDate(IborIndex,X223,Trigger)</f>
        <v>42242</v>
      </c>
      <c r="Z223" s="153">
        <v>7.3043126493659207E-3</v>
      </c>
      <c r="AA223" s="155">
        <v>4.9981530016185438E-3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42241</v>
      </c>
      <c r="Y224" s="152">
        <f>_xll.qlInterestRateIndexValueDate(IborIndex,X224,Trigger)</f>
        <v>42243</v>
      </c>
      <c r="Z224" s="153">
        <v>7.3563090814686731E-3</v>
      </c>
      <c r="AA224" s="155">
        <v>5.0475524511295333E-3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42242</v>
      </c>
      <c r="Y225" s="152">
        <f>_xll.qlInterestRateIndexValueDate(IborIndex,X225,Trigger)</f>
        <v>42244</v>
      </c>
      <c r="Z225" s="153">
        <v>7.3692138372220932E-3</v>
      </c>
      <c r="AA225" s="155">
        <v>5.0680089675303464E-3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42243</v>
      </c>
      <c r="Y226" s="152">
        <f>_xll.qlInterestRateIndexValueDate(IborIndex,X226,Trigger)</f>
        <v>42248</v>
      </c>
      <c r="Z226" s="153">
        <v>7.4342410970704249E-3</v>
      </c>
      <c r="AA226" s="155">
        <v>5.0887930351173338E-3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42244</v>
      </c>
      <c r="Y227" s="152">
        <f>_xll.qlInterestRateIndexValueDate(IborIndex,X227,Trigger)</f>
        <v>42249</v>
      </c>
      <c r="Z227" s="153">
        <v>7.4603613140716172E-3</v>
      </c>
      <c r="AA227" s="155">
        <v>5.1314962929271957E-3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42248</v>
      </c>
      <c r="Y228" s="152">
        <f>_xll.qlInterestRateIndexValueDate(IborIndex,X228,Trigger)</f>
        <v>42250</v>
      </c>
      <c r="Z228" s="153">
        <v>7.4865101322566484E-3</v>
      </c>
      <c r="AA228" s="155">
        <v>5.1750820691154331E-3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42249</v>
      </c>
      <c r="Y229" s="152">
        <f>_xll.qlInterestRateIndexValueDate(IborIndex,X229,Trigger)</f>
        <v>42251</v>
      </c>
      <c r="Z229" s="153">
        <v>7.5126857523913505E-3</v>
      </c>
      <c r="AA229" s="155">
        <v>5.197424272243012E-3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42250</v>
      </c>
      <c r="Y230" s="152">
        <f>_xll.qlInterestRateIndexValueDate(IborIndex,X230,Trigger)</f>
        <v>42255</v>
      </c>
      <c r="Z230" s="153">
        <v>7.617621435546936E-3</v>
      </c>
      <c r="AA230" s="155">
        <v>5.2430316172635827E-3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42251</v>
      </c>
      <c r="Y231" s="152">
        <f>_xll.qlInterestRateIndexValueDate(IborIndex,X231,Trigger)</f>
        <v>42255</v>
      </c>
      <c r="Z231" s="153">
        <v>7.617621435546936E-3</v>
      </c>
      <c r="AA231" s="155">
        <v>5.2430316172635827E-3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42254</v>
      </c>
      <c r="Y232" s="152">
        <f>_xll.qlInterestRateIndexValueDate(IborIndex,X232,Trigger)</f>
        <v>42256</v>
      </c>
      <c r="Z232" s="153">
        <v>7.6439051898535837E-3</v>
      </c>
      <c r="AA232" s="155">
        <v>5.290049829014265E-3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42255</v>
      </c>
      <c r="Y233" s="152">
        <f>_xll.qlInterestRateIndexValueDate(IborIndex,X233,Trigger)</f>
        <v>42257</v>
      </c>
      <c r="Z233" s="153">
        <v>7.6702054977196349E-3</v>
      </c>
      <c r="AA233" s="155">
        <v>5.3379380636453533E-3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42256</v>
      </c>
      <c r="Y234" s="152">
        <f>_xll.qlInterestRateIndexValueDate(IborIndex,X234,Trigger)</f>
        <v>42258</v>
      </c>
      <c r="Z234" s="153">
        <v>7.6965206690666806E-3</v>
      </c>
      <c r="AA234" s="155">
        <v>5.3624337915714193E-3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42257</v>
      </c>
      <c r="Y235" s="152">
        <f>_xll.qlInterestRateIndexValueDate(IborIndex,X235,Trigger)</f>
        <v>42261</v>
      </c>
      <c r="Z235" s="153">
        <v>7.7755384618609109E-3</v>
      </c>
      <c r="AA235" s="155">
        <v>5.3872371660457219E-3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42258</v>
      </c>
      <c r="Y236" s="152">
        <f>_xll.qlInterestRateIndexValueDate(IborIndex,X236,Trigger)</f>
        <v>42262</v>
      </c>
      <c r="Z236" s="153">
        <v>7.8018961845523829E-3</v>
      </c>
      <c r="AA236" s="155">
        <v>5.4123481872281332E-3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42261</v>
      </c>
      <c r="Y237" s="152">
        <f>_xll.qlInterestRateIndexValueDate(IborIndex,X237,Trigger)</f>
        <v>42263</v>
      </c>
      <c r="Z237" s="153">
        <v>7.8282603189870799E-3</v>
      </c>
      <c r="AA237" s="155">
        <v>5.4636786378647884E-3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42262</v>
      </c>
      <c r="Y238" s="152">
        <f>_xll.qlInterestRateIndexValueDate(IborIndex,X238,Trigger)</f>
        <v>42264</v>
      </c>
      <c r="Z238" s="153">
        <v>7.854629174549441E-3</v>
      </c>
      <c r="AA238" s="155">
        <v>5.5158687403178419E-3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42263</v>
      </c>
      <c r="Y239" s="152">
        <f>_xll.qlInterestRateIndexValueDate(IborIndex,X239,Trigger)</f>
        <v>42265</v>
      </c>
      <c r="Z239" s="153">
        <v>7.8810010605329904E-3</v>
      </c>
      <c r="AA239" s="155">
        <v>5.5425179960000293E-3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42264</v>
      </c>
      <c r="Y240" s="152">
        <f>_xll.qlInterestRateIndexValueDate(IborIndex,X240,Trigger)</f>
        <v>42268</v>
      </c>
      <c r="Z240" s="153">
        <v>7.9601179926046678E-3</v>
      </c>
      <c r="AA240" s="155">
        <v>5.5694748987900056E-3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42265</v>
      </c>
      <c r="Y241" s="152">
        <f>_xll.qlInterestRateIndexValueDate(IborIndex,X241,Trigger)</f>
        <v>42269</v>
      </c>
      <c r="Z241" s="153">
        <v>7.9864850914166795E-3</v>
      </c>
      <c r="AA241" s="155">
        <v>5.5967394487677069E-3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42268</v>
      </c>
      <c r="Y242" s="152">
        <f>_xll.qlInterestRateIndexValueDate(IborIndex,X242,Trigger)</f>
        <v>42270</v>
      </c>
      <c r="Z242" s="153">
        <v>8.0128467657730809E-3</v>
      </c>
      <c r="AA242" s="155">
        <v>5.652382784866461E-3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42269</v>
      </c>
      <c r="Y243" s="152">
        <f>_xll.qlInterestRateIndexValueDate(IborIndex,X243,Trigger)</f>
        <v>42271</v>
      </c>
      <c r="Z243" s="153">
        <v>8.039201324428048E-3</v>
      </c>
      <c r="AA243" s="155">
        <v>5.7088741215149952E-3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42270</v>
      </c>
      <c r="Y244" s="152">
        <f>_xll.qlInterestRateIndexValueDate(IborIndex,X244,Trigger)</f>
        <v>42272</v>
      </c>
      <c r="Z244" s="153">
        <v>8.1174570453161742E-3</v>
      </c>
      <c r="AA244" s="155">
        <v>5.7376769083905543E-3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42271</v>
      </c>
      <c r="Y245" s="152">
        <f>_xll.qlInterestRateIndexValueDate(IborIndex,X245,Trigger)</f>
        <v>42275</v>
      </c>
      <c r="Z245" s="153">
        <v>8.1574838552552816E-3</v>
      </c>
      <c r="AA245" s="155">
        <v>5.7667873427735827E-3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42272</v>
      </c>
      <c r="Y246" s="152">
        <f>_xll.qlInterestRateIndexValueDate(IborIndex,X246,Trigger)</f>
        <v>42276</v>
      </c>
      <c r="Z246" s="153">
        <v>8.1708081823481937E-3</v>
      </c>
      <c r="AA246" s="155">
        <v>5.7962054249038886E-3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42275</v>
      </c>
      <c r="Y247" s="152">
        <f>_xll.qlInterestRateIndexValueDate(IborIndex,X247,Trigger)</f>
        <v>42277</v>
      </c>
      <c r="Z247" s="153">
        <v>8.2100491252329235E-3</v>
      </c>
      <c r="AA247" s="155">
        <v>5.8561623411623742E-3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42276</v>
      </c>
      <c r="Y248" s="152">
        <f>_xll.qlInterestRateIndexValueDate(IborIndex,X248,Trigger)</f>
        <v>42278</v>
      </c>
      <c r="Z248" s="153">
        <v>8.2363043355509046E-3</v>
      </c>
      <c r="AA248" s="155">
        <v>5.9169542314574386E-3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42277</v>
      </c>
      <c r="Y249" s="152">
        <f>_xll.qlInterestRateIndexValueDate(IborIndex,X249,Trigger)</f>
        <v>42279</v>
      </c>
      <c r="Z249" s="153">
        <v>8.2884616272706629E-3</v>
      </c>
      <c r="AA249" s="155">
        <v>5.9479105531234922E-3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42278</v>
      </c>
      <c r="Y250" s="152">
        <f>_xll.qlInterestRateIndexValueDate(IborIndex,X250,Trigger)</f>
        <v>42282</v>
      </c>
      <c r="Z250" s="153">
        <v>8.3411030800826999E-3</v>
      </c>
      <c r="AA250" s="155">
        <v>5.9790898229294953E-3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42279</v>
      </c>
      <c r="Y251" s="152">
        <f>_xll.qlInterestRateIndexValueDate(IborIndex,X251,Trigger)</f>
        <v>42283</v>
      </c>
      <c r="Z251" s="153">
        <v>8.3672388270879961E-3</v>
      </c>
      <c r="AA251" s="155">
        <v>6.010153241327032E-3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42282</v>
      </c>
      <c r="Y252" s="152">
        <f>_xll.qlInterestRateIndexValueDate(IborIndex,X252,Trigger)</f>
        <v>42284</v>
      </c>
      <c r="Z252" s="153">
        <v>8.3933456321554842E-3</v>
      </c>
      <c r="AA252" s="155">
        <v>6.0717139746380155E-3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42283</v>
      </c>
      <c r="Y253" s="152">
        <f>_xll.qlInterestRateIndexValueDate(IborIndex,X253,Trigger)</f>
        <v>42285</v>
      </c>
      <c r="Z253" s="153">
        <v>8.4194222768036713E-3</v>
      </c>
      <c r="AA253" s="155">
        <v>6.132401401082177E-3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42284</v>
      </c>
      <c r="Y254" s="152">
        <f>_xll.qlInterestRateIndexValueDate(IborIndex,X254,Trigger)</f>
        <v>42286</v>
      </c>
      <c r="Z254" s="153">
        <v>8.4713722677678179E-3</v>
      </c>
      <c r="AA254" s="155">
        <v>6.1624620622424686E-3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42285</v>
      </c>
      <c r="Y255" s="152">
        <f>_xll.qlInterestRateIndexValueDate(IborIndex,X255,Trigger)</f>
        <v>42290</v>
      </c>
      <c r="Z255" s="153">
        <v>8.5493848176411685E-3</v>
      </c>
      <c r="AA255" s="155">
        <v>6.2219817296771396E-3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42286</v>
      </c>
      <c r="Y256" s="152">
        <f>_xll.qlInterestRateIndexValueDate(IborIndex,X256,Trigger)</f>
        <v>42290</v>
      </c>
      <c r="Z256" s="153">
        <v>8.5493848176411685E-3</v>
      </c>
      <c r="AA256" s="155">
        <v>6.2219817296771396E-3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42289</v>
      </c>
      <c r="Y257" s="152">
        <f>_xll.qlInterestRateIndexValueDate(IborIndex,X257,Trigger)</f>
        <v>42291</v>
      </c>
      <c r="Z257" s="153">
        <v>8.5753009293441686E-3</v>
      </c>
      <c r="AA257" s="155">
        <v>6.2807419127697273E-3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42290</v>
      </c>
      <c r="Y258" s="152">
        <f>_xll.qlInterestRateIndexValueDate(IborIndex,X258,Trigger)</f>
        <v>42292</v>
      </c>
      <c r="Z258" s="153">
        <v>8.601194155840871E-3</v>
      </c>
      <c r="AA258" s="155">
        <v>6.3386144437238556E-3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42291</v>
      </c>
      <c r="Y259" s="152">
        <f>_xll.qlInterestRateIndexValueDate(IborIndex,X259,Trigger)</f>
        <v>42293</v>
      </c>
      <c r="Z259" s="153">
        <v>8.6529640288057052E-3</v>
      </c>
      <c r="AA259" s="155">
        <v>6.3672712426576794E-3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42292</v>
      </c>
      <c r="Y260" s="152">
        <f>_xll.qlInterestRateIndexValueDate(IborIndex,X260,Trigger)</f>
        <v>42296</v>
      </c>
      <c r="Z260" s="153">
        <v>8.7045603297011796E-3</v>
      </c>
      <c r="AA260" s="155">
        <v>6.3957274896164762E-3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42293</v>
      </c>
      <c r="Y261" s="152">
        <f>_xll.qlInterestRateIndexValueDate(IborIndex,X261,Trigger)</f>
        <v>42297</v>
      </c>
      <c r="Z261" s="153">
        <v>8.730355720632221E-3</v>
      </c>
      <c r="AA261" s="155">
        <v>6.4239831845203099E-3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42296</v>
      </c>
      <c r="Y262" s="152">
        <f>_xll.qlInterestRateIndexValueDate(IborIndex,X262,Trigger)</f>
        <v>42298</v>
      </c>
      <c r="Z262" s="153">
        <v>8.7561348629524999E-3</v>
      </c>
      <c r="AA262" s="155">
        <v>6.4799427013007005E-3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42297</v>
      </c>
      <c r="Y263" s="152">
        <f>_xll.qlInterestRateIndexValueDate(IborIndex,X263,Trigger)</f>
        <v>42299</v>
      </c>
      <c r="Z263" s="153">
        <v>8.7818988629657004E-3</v>
      </c>
      <c r="AA263" s="155">
        <v>6.5350004435060782E-3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42298</v>
      </c>
      <c r="Y264" s="152">
        <f>_xll.qlInterestRateIndexValueDate(IborIndex,X264,Trigger)</f>
        <v>42300</v>
      </c>
      <c r="Z264" s="153">
        <v>8.8335546578101037E-3</v>
      </c>
      <c r="AA264" s="155">
        <v>6.5622533777354164E-3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42299</v>
      </c>
      <c r="Y265" s="152">
        <f>_xll.qlInterestRateIndexValueDate(IborIndex,X265,Trigger)</f>
        <v>42303</v>
      </c>
      <c r="Z265" s="153">
        <v>8.884825568052505E-3</v>
      </c>
      <c r="AA265" s="155">
        <v>6.5893057597499194E-3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42300</v>
      </c>
      <c r="Y266" s="152">
        <f>_xll.qlInterestRateIndexValueDate(IborIndex,X266,Trigger)</f>
        <v>42304</v>
      </c>
      <c r="Z266" s="153">
        <v>8.9105304531153923E-3</v>
      </c>
      <c r="AA266" s="155">
        <v>6.6161575894696512E-3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42303</v>
      </c>
      <c r="Y267" s="152">
        <f>_xll.qlInterestRateIndexValueDate(IborIndex,X267,Trigger)</f>
        <v>42305</v>
      </c>
      <c r="Z267" s="153">
        <v>8.9362268349098065E-3</v>
      </c>
      <c r="AA267" s="155">
        <v>6.6693162913367132E-3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42304</v>
      </c>
      <c r="Y268" s="152">
        <f>_xll.qlInterestRateIndexValueDate(IborIndex,X268,Trigger)</f>
        <v>42306</v>
      </c>
      <c r="Z268" s="153">
        <v>8.9619158201452286E-3</v>
      </c>
      <c r="AA268" s="155">
        <v>6.721559384041953E-3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42305</v>
      </c>
      <c r="Y269" s="152">
        <f>_xll.qlInterestRateIndexValueDate(IborIndex,X269,Trigger)</f>
        <v>42307</v>
      </c>
      <c r="Z269" s="153">
        <v>8.974639663770408E-3</v>
      </c>
      <c r="AA269" s="155">
        <v>6.747408451488468E-3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42306</v>
      </c>
      <c r="Y270" s="152">
        <f>_xll.qlInterestRateIndexValueDate(IborIndex,X270,Trigger)</f>
        <v>42310</v>
      </c>
      <c r="Z270" s="153">
        <v>9.0646199316840696E-3</v>
      </c>
      <c r="AA270" s="155">
        <v>6.7730569663204676E-3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42307</v>
      </c>
      <c r="Y271" s="152">
        <f>_xll.qlInterestRateIndexValueDate(IborIndex,X271,Trigger)</f>
        <v>42311</v>
      </c>
      <c r="Z271" s="153">
        <v>9.0773244080283016E-3</v>
      </c>
      <c r="AA271" s="155">
        <v>6.7985385410906929E-3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42310</v>
      </c>
      <c r="Y272" s="152">
        <f>_xll.qlInterestRateIndexValueDate(IborIndex,X272,Trigger)</f>
        <v>42312</v>
      </c>
      <c r="Z272" s="153">
        <v>9.1029908887225053E-3</v>
      </c>
      <c r="AA272" s="155">
        <v>6.8495685259950534E-3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42311</v>
      </c>
      <c r="Y273" s="152">
        <f>_xll.qlInterestRateIndexValueDate(IborIndex,X273,Trigger)</f>
        <v>42313</v>
      </c>
      <c r="Z273" s="153">
        <v>9.128657713500592E-3</v>
      </c>
      <c r="AA273" s="155">
        <v>6.9003416140223095E-3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42312</v>
      </c>
      <c r="Y274" s="152">
        <f>_xll.qlInterestRateIndexValueDate(IborIndex,X274,Trigger)</f>
        <v>42314</v>
      </c>
      <c r="Z274" s="153">
        <v>9.154325810045107E-3</v>
      </c>
      <c r="AA274" s="155">
        <v>6.9257951883106017E-3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42313</v>
      </c>
      <c r="Y275" s="152">
        <f>_xll.qlInterestRateIndexValueDate(IborIndex,X275,Trigger)</f>
        <v>42317</v>
      </c>
      <c r="Z275" s="153">
        <v>9.2313388439336404E-3</v>
      </c>
      <c r="AA275" s="155">
        <v>6.9512498849810811E-3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42314</v>
      </c>
      <c r="Y276" s="152">
        <f>_xll.qlInterestRateIndexValueDate(IborIndex,X276,Trigger)</f>
        <v>42318</v>
      </c>
      <c r="Z276" s="153">
        <v>9.25701277014194E-3</v>
      </c>
      <c r="AA276" s="155">
        <v>6.9767057040337477E-3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42317</v>
      </c>
      <c r="Y277" s="152">
        <f>_xll.qlInterestRateIndexValueDate(IborIndex,X277,Trigger)</f>
        <v>42320</v>
      </c>
      <c r="Z277" s="153">
        <v>9.3083649952133054E-3</v>
      </c>
      <c r="AA277" s="155">
        <v>7.0785402044659662E-3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42318</v>
      </c>
      <c r="Y278" s="152">
        <f>_xll.qlInterestRateIndexValueDate(IborIndex,X278,Trigger)</f>
        <v>42320</v>
      </c>
      <c r="Z278" s="153">
        <v>9.3083649952133054E-3</v>
      </c>
      <c r="AA278" s="155">
        <v>7.0785402044659662E-3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42319</v>
      </c>
      <c r="Y279" s="152">
        <f>_xll.qlInterestRateIndexValueDate(IborIndex,X279,Trigger)</f>
        <v>42321</v>
      </c>
      <c r="Z279" s="153">
        <v>9.3340432941729969E-3</v>
      </c>
      <c r="AA279" s="155">
        <v>7.1040016355894409E-3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42320</v>
      </c>
      <c r="Y280" s="152">
        <f>_xll.qlInterestRateIndexValueDate(IborIndex,X280,Trigger)</f>
        <v>42324</v>
      </c>
      <c r="Z280" s="153">
        <v>9.4110869373199568E-3</v>
      </c>
      <c r="AA280" s="155">
        <v>7.1294641890951027E-3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42321</v>
      </c>
      <c r="Y281" s="152">
        <f>_xll.qlInterestRateIndexValueDate(IborIndex,X281,Trigger)</f>
        <v>42325</v>
      </c>
      <c r="Z281" s="153">
        <v>9.4367710672856545E-3</v>
      </c>
      <c r="AA281" s="155">
        <v>7.1549278650628878E-3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42324</v>
      </c>
      <c r="Y282" s="152">
        <f>_xll.qlInterestRateIndexValueDate(IborIndex,X282,Trigger)</f>
        <v>42326</v>
      </c>
      <c r="Z282" s="153">
        <v>9.4624566551221017E-3</v>
      </c>
      <c r="AA282" s="155">
        <v>7.2060031931364676E-3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42325</v>
      </c>
      <c r="Y283" s="152">
        <f>_xll.qlInterestRateIndexValueDate(IborIndex,X283,Trigger)</f>
        <v>42327</v>
      </c>
      <c r="Z283" s="153">
        <v>9.4881437008780458E-3</v>
      </c>
      <c r="AA283" s="155">
        <v>7.2567937929957083E-3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42326</v>
      </c>
      <c r="Y284" s="152">
        <f>_xll.qlInterestRateIndexValueDate(IborIndex,X284,Trigger)</f>
        <v>42328</v>
      </c>
      <c r="Z284" s="153">
        <v>9.5138322046013652E-3</v>
      </c>
      <c r="AA284" s="155">
        <v>7.2822630810343014E-3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42327</v>
      </c>
      <c r="Y285" s="152">
        <f>_xll.qlInterestRateIndexValueDate(IborIndex,X285,Trigger)</f>
        <v>42331</v>
      </c>
      <c r="Z285" s="153">
        <v>9.5909064640538593E-3</v>
      </c>
      <c r="AA285" s="155">
        <v>7.3077334913751457E-3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42328</v>
      </c>
      <c r="Y286" s="152">
        <f>_xll.qlInterestRateIndexValueDate(IborIndex,X286,Trigger)</f>
        <v>42332</v>
      </c>
      <c r="Z286" s="153">
        <v>9.6166008001254098E-3</v>
      </c>
      <c r="AA286" s="155">
        <v>7.3332050242580493E-3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42331</v>
      </c>
      <c r="Y287" s="152">
        <f>_xll.qlInterestRateIndexValueDate(IborIndex,X287,Trigger)</f>
        <v>42333</v>
      </c>
      <c r="Z287" s="153">
        <v>9.6422965944037015E-3</v>
      </c>
      <c r="AA287" s="155">
        <v>7.3843032919818086E-3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42332</v>
      </c>
      <c r="Y288" s="152">
        <f>_xll.qlInterestRateIndexValueDate(IborIndex,X288,Trigger)</f>
        <v>42335</v>
      </c>
      <c r="Z288" s="153">
        <v>9.6936925577737632E-3</v>
      </c>
      <c r="AA288" s="155">
        <v>7.4605795246451834E-3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42333</v>
      </c>
      <c r="Y289" s="152">
        <f>_xll.qlInterestRateIndexValueDate(IborIndex,X289,Trigger)</f>
        <v>42335</v>
      </c>
      <c r="Z289" s="153">
        <v>9.6936925577737632E-3</v>
      </c>
      <c r="AA289" s="155">
        <v>7.4605795246451834E-3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42334</v>
      </c>
      <c r="Y290" s="152">
        <f>_xll.qlInterestRateIndexValueDate(IborIndex,X290,Trigger)</f>
        <v>42338</v>
      </c>
      <c r="Z290" s="153">
        <v>9.7837993842767364E-3</v>
      </c>
      <c r="AA290" s="155">
        <v>7.4860577919011462E-3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42335</v>
      </c>
      <c r="Y291" s="152">
        <f>_xll.qlInterestRateIndexValueDate(IborIndex,X291,Trigger)</f>
        <v>42339</v>
      </c>
      <c r="Z291" s="153">
        <v>9.809505356080812E-3</v>
      </c>
      <c r="AA291" s="155">
        <v>7.5115371816991683E-3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42338</v>
      </c>
      <c r="Y292" s="152">
        <f>_xll.qlInterestRateIndexValueDate(IborIndex,X292,Trigger)</f>
        <v>42340</v>
      </c>
      <c r="Z292" s="153">
        <v>9.8352127883175374E-3</v>
      </c>
      <c r="AA292" s="155">
        <v>7.5626585679966496E-3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42339</v>
      </c>
      <c r="Y293" s="152">
        <f>_xll.qlInterestRateIndexValueDate(IborIndex,X293,Trigger)</f>
        <v>42341</v>
      </c>
      <c r="Z293" s="153">
        <v>9.8609216810362707E-3</v>
      </c>
      <c r="AA293" s="155">
        <v>7.6134659647131286E-3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42340</v>
      </c>
      <c r="Y294" s="152">
        <f>_xll.qlInterestRateIndexValueDate(IborIndex,X294,Trigger)</f>
        <v>42342</v>
      </c>
      <c r="Z294" s="153">
        <v>9.9126508649228159E-3</v>
      </c>
      <c r="AA294" s="155">
        <v>7.6389509665020228E-3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42341</v>
      </c>
      <c r="Y295" s="152">
        <f>_xll.qlInterestRateIndexValueDate(IborIndex,X295,Trigger)</f>
        <v>42345</v>
      </c>
      <c r="Z295" s="153">
        <v>9.9637718576883385E-3</v>
      </c>
      <c r="AA295" s="155">
        <v>7.6644370907530401E-3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42342</v>
      </c>
      <c r="Y296" s="152">
        <f>_xll.qlInterestRateIndexValueDate(IborIndex,X296,Trigger)</f>
        <v>42346</v>
      </c>
      <c r="Z296" s="153">
        <v>9.9894880535374136E-3</v>
      </c>
      <c r="AA296" s="155">
        <v>7.6899243373862447E-3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42345</v>
      </c>
      <c r="Y297" s="152">
        <f>_xll.qlInterestRateIndexValueDate(IborIndex,X297,Trigger)</f>
        <v>42347</v>
      </c>
      <c r="Z297" s="153">
        <v>1.0015205710157665E-2</v>
      </c>
      <c r="AA297" s="155">
        <v>7.7410690214207989E-3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42346</v>
      </c>
      <c r="Y298" s="152">
        <f>_xll.qlInterestRateIndexValueDate(IborIndex,X298,Trigger)</f>
        <v>42348</v>
      </c>
      <c r="Z298" s="153">
        <v>1.004092482759714E-2</v>
      </c>
      <c r="AA298" s="155">
        <v>7.7918845480606791E-3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42347</v>
      </c>
      <c r="Y299" s="152">
        <f>_xll.qlInterestRateIndexValueDate(IborIndex,X299,Trigger)</f>
        <v>42349</v>
      </c>
      <c r="Z299" s="153">
        <v>1.0092684443716284E-2</v>
      </c>
      <c r="AA299" s="155">
        <v>7.8173774067646917E-3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42348</v>
      </c>
      <c r="Y300" s="152">
        <f>_xll.qlInterestRateIndexValueDate(IborIndex,X300,Trigger)</f>
        <v>42352</v>
      </c>
      <c r="Z300" s="153">
        <v>1.0143815906514827E-2</v>
      </c>
      <c r="AA300" s="155">
        <v>7.8428713879308276E-3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42349</v>
      </c>
      <c r="Y301" s="152">
        <f>_xll.qlInterestRateIndexValueDate(IborIndex,X301,Trigger)</f>
        <v>42353</v>
      </c>
      <c r="Z301" s="153">
        <v>1.0169542328775531E-2</v>
      </c>
      <c r="AA301" s="155">
        <v>7.8683664914791507E-3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42352</v>
      </c>
      <c r="Y302" s="152">
        <f>_xll.qlInterestRateIndexValueDate(IborIndex,X302,Trigger)</f>
        <v>42354</v>
      </c>
      <c r="Z302" s="153">
        <v>1.0195270212145939E-2</v>
      </c>
      <c r="AA302" s="155">
        <v>7.91953465252071E-3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42353</v>
      </c>
      <c r="Y303" s="152">
        <f>_xll.qlInterestRateIndexValueDate(IborIndex,X303,Trigger)</f>
        <v>42355</v>
      </c>
      <c r="Z303" s="153">
        <v>1.0220999556673226E-2</v>
      </c>
      <c r="AA303" s="155">
        <v>7.9703581298939952E-3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42354</v>
      </c>
      <c r="Y304" s="152">
        <f>_xll.qlInterestRateIndexValueDate(IborIndex,X304,Trigger)</f>
        <v>42356</v>
      </c>
      <c r="Z304" s="153">
        <v>1.0272789792973915E-2</v>
      </c>
      <c r="AA304" s="155">
        <v>7.9958588455131263E-3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42355</v>
      </c>
      <c r="Y305" s="152">
        <f>_xll.qlInterestRateIndexValueDate(IborIndex,X305,Trigger)</f>
        <v>42359</v>
      </c>
      <c r="Z305" s="153">
        <v>1.032393154732524E-2</v>
      </c>
      <c r="AA305" s="155">
        <v>8.0213606835943807E-3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42356</v>
      </c>
      <c r="Y306" s="152">
        <f>_xll.qlInterestRateIndexValueDate(IborIndex,X306,Trigger)</f>
        <v>42360</v>
      </c>
      <c r="Z306" s="153">
        <v>1.0349668198365518E-2</v>
      </c>
      <c r="AA306" s="155">
        <v>8.0982383697953964E-3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42359</v>
      </c>
      <c r="Y307" s="152">
        <f>_xll.qlInterestRateIndexValueDate(IborIndex,X307,Trigger)</f>
        <v>42361</v>
      </c>
      <c r="Z307" s="153">
        <v>1.0375406310853151E-2</v>
      </c>
      <c r="AA307" s="155">
        <v>8.1743952827473265E-3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42360</v>
      </c>
      <c r="Y308" s="152">
        <f>_xll.qlInterestRateIndexValueDate(IborIndex,X308,Trigger)</f>
        <v>42362</v>
      </c>
      <c r="Z308" s="153">
        <v>1.0401145884836626E-2</v>
      </c>
      <c r="AA308" s="155">
        <v>8.1999049778236355E-3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42361</v>
      </c>
      <c r="Y309" s="152">
        <f>_xll.qlInterestRateIndexValueDate(IborIndex,X309,Trigger)</f>
        <v>42367</v>
      </c>
      <c r="Z309" s="153">
        <v>1.0529865678884712E-2</v>
      </c>
      <c r="AA309" s="155">
        <v>8.2639693659980473E-3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42362</v>
      </c>
      <c r="Y310" s="152">
        <f>_xll.qlInterestRateIndexValueDate(IborIndex,X310,Trigger)</f>
        <v>42368</v>
      </c>
      <c r="Z310" s="153">
        <v>1.0555614022858822E-2</v>
      </c>
      <c r="AA310" s="155">
        <v>8.3274702890978602E-3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42367</v>
      </c>
      <c r="Y311" s="152">
        <f>_xll.qlInterestRateIndexValueDate(IborIndex,X311,Trigger)</f>
        <v>42369</v>
      </c>
      <c r="Z311" s="153">
        <v>1.0568316759169133E-2</v>
      </c>
      <c r="AA311" s="155">
        <v>8.3529867186271645E-3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42368</v>
      </c>
      <c r="Y312" s="152">
        <f>_xll.qlInterestRateIndexValueDate(IborIndex,X312,Trigger)</f>
        <v>42373</v>
      </c>
      <c r="Z312" s="153">
        <v>1.0684377671212013E-2</v>
      </c>
      <c r="AA312" s="155">
        <v>8.3785042706185919E-3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42369</v>
      </c>
      <c r="Y313" s="152">
        <f>_xll.qlInterestRateIndexValueDate(IborIndex,X313,Trigger)</f>
        <v>42374</v>
      </c>
      <c r="Z313" s="153">
        <v>1.0697080268389055E-2</v>
      </c>
      <c r="AA313" s="155">
        <v>8.4040229449922066E-3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42373</v>
      </c>
      <c r="Y314" s="152">
        <f>_xll.qlInterestRateIndexValueDate(IborIndex,X314,Trigger)</f>
        <v>42375</v>
      </c>
      <c r="Z314" s="153">
        <v>1.0722837350713632E-2</v>
      </c>
      <c r="AA314" s="155">
        <v>8.4552626141931597E-3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42374</v>
      </c>
      <c r="Y315" s="152">
        <f>_xll.qlInterestRateIndexValueDate(IborIndex,X315,Trigger)</f>
        <v>42376</v>
      </c>
      <c r="Z315" s="153">
        <v>1.0748595893310554E-2</v>
      </c>
      <c r="AA315" s="155">
        <v>8.5061088667082174E-3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42375</v>
      </c>
      <c r="Y316" s="152">
        <f>_xll.qlInterestRateIndexValueDate(IborIndex,X316,Trigger)</f>
        <v>42377</v>
      </c>
      <c r="Z316" s="153">
        <v>1.077435589622769E-2</v>
      </c>
      <c r="AA316" s="155">
        <v>8.5316331532325762E-3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42376</v>
      </c>
      <c r="Y317" s="152">
        <f>_xll.qlInterestRateIndexValueDate(IborIndex,X317,Trigger)</f>
        <v>42380</v>
      </c>
      <c r="Z317" s="153">
        <v>1.0851644667382651E-2</v>
      </c>
      <c r="AA317" s="155">
        <v>8.5571585621391222E-3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42377</v>
      </c>
      <c r="Y318" s="152">
        <f>_xll.qlInterestRateIndexValueDate(IborIndex,X318,Trigger)</f>
        <v>42381</v>
      </c>
      <c r="Z318" s="153">
        <v>1.0877410512062907E-2</v>
      </c>
      <c r="AA318" s="155">
        <v>8.5826850935077914E-3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42380</v>
      </c>
      <c r="Y319" s="152">
        <f>_xll.qlInterestRateIndexValueDate(IborIndex,X319,Trigger)</f>
        <v>42382</v>
      </c>
      <c r="Z319" s="153">
        <v>1.0903177817304063E-2</v>
      </c>
      <c r="AA319" s="155">
        <v>8.6339489583941997E-3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42381</v>
      </c>
      <c r="Y320" s="152">
        <f>_xll.qlInterestRateIndexValueDate(IborIndex,X320,Trigger)</f>
        <v>42383</v>
      </c>
      <c r="Z320" s="153">
        <v>1.0928946583153997E-2</v>
      </c>
      <c r="AA320" s="155">
        <v>8.6848024431240844E-3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42382</v>
      </c>
      <c r="Y321" s="152">
        <f>_xll.qlInterestRateIndexValueDate(IborIndex,X321,Trigger)</f>
        <v>42384</v>
      </c>
      <c r="Z321" s="153">
        <v>1.095471680966102E-2</v>
      </c>
      <c r="AA321" s="155">
        <v>8.7103345865635617E-3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42383</v>
      </c>
      <c r="Y322" s="152">
        <f>_xll.qlInterestRateIndexValueDate(IborIndex,X322,Trigger)</f>
        <v>42388</v>
      </c>
      <c r="Z322" s="153">
        <v>1.1057812323225396E-2</v>
      </c>
      <c r="AA322" s="155">
        <v>8.7614022408288861E-3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42384</v>
      </c>
      <c r="Y323" s="152">
        <f>_xll.qlInterestRateIndexValueDate(IborIndex,X323,Trigger)</f>
        <v>42388</v>
      </c>
      <c r="Z323" s="153">
        <v>1.1057812323225396E-2</v>
      </c>
      <c r="AA323" s="155">
        <v>8.7614022408288861E-3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42387</v>
      </c>
      <c r="Y324" s="152">
        <f>_xll.qlInterestRateIndexValueDate(IborIndex,X324,Trigger)</f>
        <v>42389</v>
      </c>
      <c r="Z324" s="153">
        <v>1.1083589853740807E-2</v>
      </c>
      <c r="AA324" s="155">
        <v>8.8126904814433971E-3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42388</v>
      </c>
      <c r="Y325" s="152">
        <f>_xll.qlInterestRateIndexValueDate(IborIndex,X325,Trigger)</f>
        <v>42390</v>
      </c>
      <c r="Z325" s="153">
        <v>1.1109368845202307E-2</v>
      </c>
      <c r="AA325" s="155">
        <v>8.8635510183454613E-3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42389</v>
      </c>
      <c r="Y326" s="152">
        <f>_xll.qlInterestRateIndexValueDate(IborIndex,X326,Trigger)</f>
        <v>42391</v>
      </c>
      <c r="Z326" s="153">
        <v>1.113514929765777E-2</v>
      </c>
      <c r="AA326" s="155">
        <v>8.8890910187799932E-3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42390</v>
      </c>
      <c r="Y327" s="152">
        <f>_xll.qlInterestRateIndexValueDate(IborIndex,X327,Trigger)</f>
        <v>42394</v>
      </c>
      <c r="Z327" s="153">
        <v>1.121249942147063E-2</v>
      </c>
      <c r="AA327" s="155">
        <v>8.9146321416766483E-3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42391</v>
      </c>
      <c r="Y328" s="152">
        <f>_xll.qlInterestRateIndexValueDate(IborIndex,X328,Trigger)</f>
        <v>42395</v>
      </c>
      <c r="Z328" s="153">
        <v>1.1238285718384198E-2</v>
      </c>
      <c r="AA328" s="155">
        <v>8.9401743869554906E-3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42394</v>
      </c>
      <c r="Y329" s="152">
        <f>_xll.qlInterestRateIndexValueDate(IborIndex,X329,Trigger)</f>
        <v>42396</v>
      </c>
      <c r="Z329" s="153">
        <v>1.1264073476532856E-2</v>
      </c>
      <c r="AA329" s="155">
        <v>8.9914871836604959E-3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42395</v>
      </c>
      <c r="Y330" s="152">
        <f>_xll.qlInterestRateIndexValueDate(IborIndex,X330,Trigger)</f>
        <v>42397</v>
      </c>
      <c r="Z330" s="153">
        <v>1.1289862695964475E-2</v>
      </c>
      <c r="AA330" s="155">
        <v>9.0423545925322202E-3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42396</v>
      </c>
      <c r="Y331" s="152">
        <f>_xll.qlInterestRateIndexValueDate(IborIndex,X331,Trigger)</f>
        <v>42398</v>
      </c>
      <c r="Z331" s="153">
        <v>1.131565337672737E-2</v>
      </c>
      <c r="AA331" s="155">
        <v>9.0679024499618066E-3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42397</v>
      </c>
      <c r="Y332" s="152">
        <f>_xll.qlInterestRateIndexValueDate(IborIndex,X332,Trigger)</f>
        <v>42401</v>
      </c>
      <c r="Z332" s="153">
        <v>1.1393034187485085E-2</v>
      </c>
      <c r="AA332" s="155">
        <v>9.0934514298535163E-3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42398</v>
      </c>
      <c r="Y333" s="152">
        <f>_xll.qlInterestRateIndexValueDate(IborIndex,X333,Trigger)</f>
        <v>42402</v>
      </c>
      <c r="Z333" s="153">
        <v>1.1418830714054456E-2</v>
      </c>
      <c r="AA333" s="155">
        <v>9.1190015321274132E-3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42401</v>
      </c>
      <c r="Y334" s="152">
        <f>_xll.qlInterestRateIndexValueDate(IborIndex,X334,Trigger)</f>
        <v>42403</v>
      </c>
      <c r="Z334" s="153">
        <v>1.1444628702196228E-2</v>
      </c>
      <c r="AA334" s="155">
        <v>9.1703390652320138E-3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42402</v>
      </c>
      <c r="Y335" s="152">
        <f>_xll.qlInterestRateIndexValueDate(IborIndex,X335,Trigger)</f>
        <v>42404</v>
      </c>
      <c r="Z335" s="153">
        <v>1.1470428151958277E-2</v>
      </c>
      <c r="AA335" s="155">
        <v>9.221213165684361E-3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42403</v>
      </c>
      <c r="Y336" s="152">
        <f>_xll.qlInterestRateIndexValueDate(IborIndex,X336,Trigger)</f>
        <v>42405</v>
      </c>
      <c r="Z336" s="153">
        <v>1.1496229063388914E-2</v>
      </c>
      <c r="AA336" s="155">
        <v>9.2467688801889381E-3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42404</v>
      </c>
      <c r="Y337" s="152">
        <f>_xll.qlInterestRateIndexValueDate(IborIndex,X337,Trigger)</f>
        <v>42408</v>
      </c>
      <c r="Z337" s="153">
        <v>1.1573640568172849E-2</v>
      </c>
      <c r="AA337" s="155">
        <v>9.2723257170757023E-3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42405</v>
      </c>
      <c r="Y338" s="152">
        <f>_xll.qlInterestRateIndexValueDate(IborIndex,X338,Trigger)</f>
        <v>42409</v>
      </c>
      <c r="Z338" s="153">
        <v>1.1599447326759212E-2</v>
      </c>
      <c r="AA338" s="155">
        <v>9.2978836763446537E-3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42408</v>
      </c>
      <c r="Y339" s="152">
        <f>_xll.qlInterestRateIndexValueDate(IborIndex,X339,Trigger)</f>
        <v>42410</v>
      </c>
      <c r="Z339" s="153">
        <v>1.1625255547254852E-2</v>
      </c>
      <c r="AA339" s="155">
        <v>9.3492461264510496E-3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42409</v>
      </c>
      <c r="Y340" s="152">
        <f>_xll.qlInterestRateIndexValueDate(IborIndex,X340,Trigger)</f>
        <v>42411</v>
      </c>
      <c r="Z340" s="153">
        <v>1.1651065229708516E-2</v>
      </c>
      <c r="AA340" s="155">
        <v>9.4001267379617559E-3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42410</v>
      </c>
      <c r="Y341" s="152">
        <f>_xll.qlInterestRateIndexValueDate(IborIndex,X341,Trigger)</f>
        <v>42412</v>
      </c>
      <c r="Z341" s="153">
        <v>1.1676876374167644E-2</v>
      </c>
      <c r="AA341" s="155">
        <v>9.4256903094613875E-3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42411</v>
      </c>
      <c r="Y342" s="152">
        <f>_xll.qlInterestRateIndexValueDate(IborIndex,X342,Trigger)</f>
        <v>42416</v>
      </c>
      <c r="Z342" s="153">
        <v>1.1780135573028105E-2</v>
      </c>
      <c r="AA342" s="155">
        <v>9.4768208196871484E-3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42412</v>
      </c>
      <c r="Y343" s="152">
        <f>_xll.qlInterestRateIndexValueDate(IborIndex,X343,Trigger)</f>
        <v>42416</v>
      </c>
      <c r="Z343" s="153">
        <v>1.1780135573028105E-2</v>
      </c>
      <c r="AA343" s="155">
        <v>9.4768208196871484E-3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42415</v>
      </c>
      <c r="Y344" s="152">
        <f>_xll.qlInterestRateIndexValueDate(IborIndex,X344,Trigger)</f>
        <v>42417</v>
      </c>
      <c r="Z344" s="153">
        <v>1.1805954028240114E-2</v>
      </c>
      <c r="AA344" s="155">
        <v>9.5282083675307661E-3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42416</v>
      </c>
      <c r="Y345" s="152">
        <f>_xll.qlInterestRateIndexValueDate(IborIndex,X345,Trigger)</f>
        <v>42418</v>
      </c>
      <c r="Z345" s="153">
        <v>1.1831773945747024E-2</v>
      </c>
      <c r="AA345" s="155">
        <v>9.579095309444341E-3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42417</v>
      </c>
      <c r="Y346" s="152">
        <f>_xll.qlInterestRateIndexValueDate(IborIndex,X346,Trigger)</f>
        <v>42419</v>
      </c>
      <c r="Z346" s="153">
        <v>1.1857595325597587E-2</v>
      </c>
      <c r="AA346" s="155">
        <v>9.6046667379390271E-3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42418</v>
      </c>
      <c r="Y347" s="152">
        <f>_xll.qlInterestRateIndexValueDate(IborIndex,X347,Trigger)</f>
        <v>42422</v>
      </c>
      <c r="Z347" s="153">
        <v>1.1935068239692127E-2</v>
      </c>
      <c r="AA347" s="155">
        <v>9.6302392888958366E-3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42419</v>
      </c>
      <c r="Y348" s="152">
        <f>_xll.qlInterestRateIndexValueDate(IborIndex,X348,Trigger)</f>
        <v>42423</v>
      </c>
      <c r="Z348" s="153">
        <v>1.1960895469398674E-2</v>
      </c>
      <c r="AA348" s="155">
        <v>9.6558129622348332E-3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42422</v>
      </c>
      <c r="Y349" s="152">
        <f>_xll.qlInterestRateIndexValueDate(IborIndex,X349,Trigger)</f>
        <v>42424</v>
      </c>
      <c r="Z349" s="153">
        <v>1.198672416168956E-2</v>
      </c>
      <c r="AA349" s="155">
        <v>9.7072257887376168E-3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42423</v>
      </c>
      <c r="Y350" s="152">
        <f>_xll.qlInterestRateIndexValueDate(IborIndex,X350,Trigger)</f>
        <v>42425</v>
      </c>
      <c r="Z350" s="153">
        <v>1.2012554316613978E-2</v>
      </c>
      <c r="AA350" s="155">
        <v>9.7581188801321161E-3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42424</v>
      </c>
      <c r="Y351" s="152">
        <f>_xll.qlInterestRateIndexValueDate(IborIndex,X351,Trigger)</f>
        <v>42426</v>
      </c>
      <c r="Z351" s="153">
        <v>1.2038385934218921E-2</v>
      </c>
      <c r="AA351" s="155">
        <v>9.783698165701793E-3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42425</v>
      </c>
      <c r="Y352" s="152">
        <f>_xll.qlInterestRateIndexValueDate(IborIndex,X352,Trigger)</f>
        <v>42429</v>
      </c>
      <c r="Z352" s="153">
        <v>1.2142170100554329E-2</v>
      </c>
      <c r="AA352" s="155">
        <v>9.809278573653657E-3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42426</v>
      </c>
      <c r="Y353" s="152">
        <f>_xll.qlInterestRateIndexValueDate(IborIndex,X353,Trigger)</f>
        <v>42430</v>
      </c>
      <c r="Z353" s="153">
        <v>1.2168010772255006E-2</v>
      </c>
      <c r="AA353" s="155">
        <v>9.8348601041475803E-3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42429</v>
      </c>
      <c r="Y354" s="152">
        <f>_xll.qlInterestRateIndexValueDate(IborIndex,X354,Trigger)</f>
        <v>42431</v>
      </c>
      <c r="Z354" s="153">
        <v>1.2193852910711532E-2</v>
      </c>
      <c r="AA354" s="155">
        <v>9.8862983902847645E-3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42430</v>
      </c>
      <c r="Y355" s="152">
        <f>_xll.qlInterestRateIndexValueDate(IborIndex,X355,Trigger)</f>
        <v>42432</v>
      </c>
      <c r="Z355" s="153">
        <v>1.2259141814885837E-2</v>
      </c>
      <c r="AA355" s="155">
        <v>9.9371974501050175E-3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42431</v>
      </c>
      <c r="Y356" s="152">
        <f>_xll.qlInterestRateIndexValueDate(IborIndex,X356,Trigger)</f>
        <v>42433</v>
      </c>
      <c r="Z356" s="153">
        <v>1.2271840332432999E-2</v>
      </c>
      <c r="AA356" s="155">
        <v>9.962784592749685E-3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42432</v>
      </c>
      <c r="Y357" s="152">
        <f>_xll.qlInterestRateIndexValueDate(IborIndex,X357,Trigger)</f>
        <v>42436</v>
      </c>
      <c r="Z357" s="153">
        <v>1.2323085606049619E-2</v>
      </c>
      <c r="AA357" s="155">
        <v>9.9883728578564757E-3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42433</v>
      </c>
      <c r="Y358" s="152">
        <f>_xll.qlInterestRateIndexValueDate(IborIndex,X358,Trigger)</f>
        <v>42437</v>
      </c>
      <c r="Z358" s="153">
        <v>1.2348936546069968E-2</v>
      </c>
      <c r="AA358" s="155">
        <v>1.0013962245345454E-2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42436</v>
      </c>
      <c r="Y359" s="152">
        <f>_xll.qlInterestRateIndexValueDate(IborIndex,X359,Trigger)</f>
        <v>42438</v>
      </c>
      <c r="Z359" s="153">
        <v>1.2374788953188935E-2</v>
      </c>
      <c r="AA359" s="155">
        <v>1.0065426172465308E-2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42437</v>
      </c>
      <c r="Y360" s="152">
        <f>_xll.qlInterestRateIndexValueDate(IborIndex,X360,Trigger)</f>
        <v>42439</v>
      </c>
      <c r="Z360" s="153">
        <v>1.2426960985292923E-2</v>
      </c>
      <c r="AA360" s="155">
        <v>1.0116331019602853E-2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42438</v>
      </c>
      <c r="Y361" s="152">
        <f>_xll.qlInterestRateIndexValueDate(IborIndex,X361,Trigger)</f>
        <v>42440</v>
      </c>
      <c r="Z361" s="153">
        <v>1.2439658193204643E-2</v>
      </c>
      <c r="AA361" s="155">
        <v>1.0141926019322511E-2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42439</v>
      </c>
      <c r="Y362" s="152">
        <f>_xll.qlInterestRateIndexValueDate(IborIndex,X362,Trigger)</f>
        <v>42443</v>
      </c>
      <c r="Z362" s="153">
        <v>1.2504072996968174E-2</v>
      </c>
      <c r="AA362" s="155">
        <v>1.0167522141424357E-2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42440</v>
      </c>
      <c r="Y363" s="152">
        <f>_xll.qlInterestRateIndexValueDate(IborIndex,X363,Trigger)</f>
        <v>42444</v>
      </c>
      <c r="Z363" s="153">
        <v>1.2529934207703238E-2</v>
      </c>
      <c r="AA363" s="155">
        <v>1.0193119385988325E-2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42443</v>
      </c>
      <c r="Y364" s="152">
        <f>_xll.qlInterestRateIndexValueDate(IborIndex,X364,Trigger)</f>
        <v>42445</v>
      </c>
      <c r="Z364" s="153">
        <v>1.2555796885879253E-2</v>
      </c>
      <c r="AA364" s="155">
        <v>1.0244609135492411E-2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42444</v>
      </c>
      <c r="Y365" s="152">
        <f>_xll.qlInterestRateIndexValueDate(IborIndex,X365,Trigger)</f>
        <v>42446</v>
      </c>
      <c r="Z365" s="153">
        <v>1.2608002013224113E-2</v>
      </c>
      <c r="AA365" s="155">
        <v>1.0295519588625623E-2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42445</v>
      </c>
      <c r="Y366" s="152">
        <f>_xll.qlInterestRateIndexValueDate(IborIndex,X366,Trigger)</f>
        <v>42447</v>
      </c>
      <c r="Z366" s="153">
        <v>1.2620698087602359E-2</v>
      </c>
      <c r="AA366" s="155">
        <v>1.0321122445340336E-2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42446</v>
      </c>
      <c r="Y367" s="152">
        <f>_xll.qlInterestRateIndexValueDate(IborIndex,X367,Trigger)</f>
        <v>42450</v>
      </c>
      <c r="Z367" s="153">
        <v>1.268513229007702E-2</v>
      </c>
      <c r="AA367" s="155">
        <v>1.0346726424517172E-2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42447</v>
      </c>
      <c r="Y368" s="152">
        <f>_xll.qlInterestRateIndexValueDate(IborIndex,X368,Trigger)</f>
        <v>42451</v>
      </c>
      <c r="Z368" s="153">
        <v>1.2711003773922706E-2</v>
      </c>
      <c r="AA368" s="155">
        <v>1.0424149847757747E-2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42450</v>
      </c>
      <c r="Y369" s="152">
        <f>_xll.qlInterestRateIndexValueDate(IborIndex,X369,Trigger)</f>
        <v>42452</v>
      </c>
      <c r="Z369" s="153">
        <v>1.2736876725551243E-2</v>
      </c>
      <c r="AA369" s="155">
        <v>1.0500373871042967E-2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42451</v>
      </c>
      <c r="Y370" s="152">
        <f>_xll.qlInterestRateIndexValueDate(IborIndex,X370,Trigger)</f>
        <v>42453</v>
      </c>
      <c r="Z370" s="153">
        <v>1.2789115138934232E-2</v>
      </c>
      <c r="AA370" s="155">
        <v>1.0525985707294794E-2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42452</v>
      </c>
      <c r="Y371" s="152">
        <f>_xll.qlInterestRateIndexValueDate(IborIndex,X371,Trigger)</f>
        <v>42458</v>
      </c>
      <c r="Z371" s="153">
        <v>1.2892145261504083E-2</v>
      </c>
      <c r="AA371" s="155">
        <v>1.0551598666008744E-2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42453</v>
      </c>
      <c r="Y372" s="152">
        <f>_xll.qlInterestRateIndexValueDate(IborIndex,X372,Trigger)</f>
        <v>42459</v>
      </c>
      <c r="Z372" s="153">
        <v>1.2918028488983227E-2</v>
      </c>
      <c r="AA372" s="155">
        <v>1.0603140605098815E-2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42458</v>
      </c>
      <c r="Y373" s="152">
        <f>_xll.qlInterestRateIndexValueDate(IborIndex,X373,Trigger)</f>
        <v>42460</v>
      </c>
      <c r="Z373" s="153">
        <v>1.2930721681592988E-2</v>
      </c>
      <c r="AA373" s="155">
        <v>1.0654061725405839E-2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42459</v>
      </c>
      <c r="Y374" s="152">
        <f>_xll.qlInterestRateIndexValueDate(IborIndex,X374,Trigger)</f>
        <v>42461</v>
      </c>
      <c r="Z374" s="153">
        <v>1.2982993911214642E-2</v>
      </c>
      <c r="AA374" s="155">
        <v>1.0679680296350469E-2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42460</v>
      </c>
      <c r="Y375" s="152">
        <f>_xll.qlInterestRateIndexValueDate(IborIndex,X375,Trigger)</f>
        <v>42464</v>
      </c>
      <c r="Z375" s="153">
        <v>1.3034268487449652E-2</v>
      </c>
      <c r="AA375" s="155">
        <v>1.0705299989757222E-2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42461</v>
      </c>
      <c r="Y376" s="152">
        <f>_xll.qlInterestRateIndexValueDate(IborIndex,X376,Trigger)</f>
        <v>42465</v>
      </c>
      <c r="Z376" s="153">
        <v>1.3060158855021891E-2</v>
      </c>
      <c r="AA376" s="155">
        <v>1.0730920805546162E-2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42464</v>
      </c>
      <c r="Y377" s="152">
        <f>_xll.qlInterestRateIndexValueDate(IborIndex,X377,Trigger)</f>
        <v>42466</v>
      </c>
      <c r="Z377" s="153">
        <v>1.3086050689135115E-2</v>
      </c>
      <c r="AA377" s="155">
        <v>1.0782489112211024E-2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42465</v>
      </c>
      <c r="Y378" s="152">
        <f>_xll.qlInterestRateIndexValueDate(IborIndex,X378,Trigger)</f>
        <v>42467</v>
      </c>
      <c r="Z378" s="153">
        <v>1.3111943989837378E-2</v>
      </c>
      <c r="AA378" s="155">
        <v>1.0833415293403093E-2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42466</v>
      </c>
      <c r="Y379" s="152">
        <f>_xll.qlInterestRateIndexValueDate(IborIndex,X379,Trigger)</f>
        <v>42468</v>
      </c>
      <c r="Z379" s="153">
        <v>1.317745755122922E-2</v>
      </c>
      <c r="AA379" s="155">
        <v>1.0859041721422713E-2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42467</v>
      </c>
      <c r="Y380" s="152">
        <f>_xll.qlInterestRateIndexValueDate(IborIndex,X380,Trigger)</f>
        <v>42471</v>
      </c>
      <c r="Z380" s="153">
        <v>1.3215531859515238E-2</v>
      </c>
      <c r="AA380" s="155">
        <v>1.0884669271904457E-2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42468</v>
      </c>
      <c r="Y381" s="152">
        <f>_xll.qlInterestRateIndexValueDate(IborIndex,X381,Trigger)</f>
        <v>42472</v>
      </c>
      <c r="Z381" s="153">
        <v>1.3241432493894771E-2</v>
      </c>
      <c r="AA381" s="155">
        <v>1.091029794492826E-2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42471</v>
      </c>
      <c r="Y382" s="152">
        <f>_xll.qlInterestRateIndexValueDate(IborIndex,X382,Trigger)</f>
        <v>42473</v>
      </c>
      <c r="Z382" s="153">
        <v>1.3267334595155566E-2</v>
      </c>
      <c r="AA382" s="155">
        <v>1.096189280110238E-2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42472</v>
      </c>
      <c r="Y383" s="152">
        <f>_xll.qlInterestRateIndexValueDate(IborIndex,X383,Trigger)</f>
        <v>42474</v>
      </c>
      <c r="Z383" s="153">
        <v>1.3293238163346982E-2</v>
      </c>
      <c r="AA383" s="155">
        <v>1.1012823861165089E-2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42473</v>
      </c>
      <c r="Y384" s="152">
        <f>_xll.qlInterestRateIndexValueDate(IborIndex,X384,Trigger)</f>
        <v>42475</v>
      </c>
      <c r="Z384" s="153">
        <v>1.3345577893820673E-2</v>
      </c>
      <c r="AA384" s="155">
        <v>1.1038458146339636E-2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42474</v>
      </c>
      <c r="Y385" s="152">
        <f>_xll.qlInterestRateIndexValueDate(IborIndex,X385,Trigger)</f>
        <v>42478</v>
      </c>
      <c r="Z385" s="153">
        <v>1.3396867106387694E-2</v>
      </c>
      <c r="AA385" s="155">
        <v>1.1064093554056242E-2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42475</v>
      </c>
      <c r="Y386" s="152">
        <f>_xll.qlInterestRateIndexValueDate(IborIndex,X386,Trigger)</f>
        <v>42479</v>
      </c>
      <c r="Z386" s="153">
        <v>1.3422778009959937E-2</v>
      </c>
      <c r="AA386" s="155">
        <v>1.10897300840751E-2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42478</v>
      </c>
      <c r="Y387" s="152">
        <f>_xll.qlInterestRateIndexValueDate(IborIndex,X387,Trigger)</f>
        <v>42480</v>
      </c>
      <c r="Z387" s="153">
        <v>1.3448690380755027E-2</v>
      </c>
      <c r="AA387" s="155">
        <v>1.1141351672119271E-2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42479</v>
      </c>
      <c r="Y388" s="152">
        <f>_xll.qlInterestRateIndexValueDate(IborIndex,X388,Trigger)</f>
        <v>42481</v>
      </c>
      <c r="Z388" s="153">
        <v>1.3474604218821011E-2</v>
      </c>
      <c r="AA388" s="155">
        <v>1.1192287428851699E-2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42480</v>
      </c>
      <c r="Y389" s="152">
        <f>_xll.qlInterestRateIndexValueDate(IborIndex,X389,Trigger)</f>
        <v>42482</v>
      </c>
      <c r="Z389" s="153">
        <v>1.352697798698866E-2</v>
      </c>
      <c r="AA389" s="155">
        <v>1.1217929571261109E-2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42481</v>
      </c>
      <c r="Y390" s="152">
        <f>_xll.qlInterestRateIndexValueDate(IborIndex,X390,Trigger)</f>
        <v>42485</v>
      </c>
      <c r="Z390" s="153">
        <v>1.3578274244771038E-2</v>
      </c>
      <c r="AA390" s="155">
        <v>1.124357283597277E-2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42482</v>
      </c>
      <c r="Y391" s="152">
        <f>_xll.qlInterestRateIndexValueDate(IborIndex,X391,Trigger)</f>
        <v>42486</v>
      </c>
      <c r="Z391" s="153">
        <v>1.3604195419923588E-2</v>
      </c>
      <c r="AA391" s="155">
        <v>1.1269217223226491E-2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42485</v>
      </c>
      <c r="Y392" s="152">
        <f>_xll.qlInterestRateIndexValueDate(IborIndex,X392,Trigger)</f>
        <v>42487</v>
      </c>
      <c r="Z392" s="153">
        <v>1.363011806263926E-2</v>
      </c>
      <c r="AA392" s="155">
        <v>1.1333868998859575E-2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42486</v>
      </c>
      <c r="Y393" s="152">
        <f>_xll.qlInterestRateIndexValueDate(IborIndex,X393,Trigger)</f>
        <v>42488</v>
      </c>
      <c r="Z393" s="153">
        <v>1.3656042172967847E-2</v>
      </c>
      <c r="AA393" s="155">
        <v>1.1397455996107198E-2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42487</v>
      </c>
      <c r="Y394" s="152">
        <f>_xll.qlInterestRateIndexValueDate(IborIndex,X394,Trigger)</f>
        <v>42489</v>
      </c>
      <c r="Z394" s="153">
        <v>1.3708450170611768E-2</v>
      </c>
      <c r="AA394" s="155">
        <v>1.1423107117973785E-2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42488</v>
      </c>
      <c r="Y395" s="152">
        <f>_xll.qlInterestRateIndexValueDate(IborIndex,X395,Trigger)</f>
        <v>42493</v>
      </c>
      <c r="Z395" s="153">
        <v>1.3798932107532547E-2</v>
      </c>
      <c r="AA395" s="155">
        <v>1.1448759362382432E-2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42489</v>
      </c>
      <c r="Y396" s="152">
        <f>_xll.qlInterestRateIndexValueDate(IborIndex,X396,Trigger)</f>
        <v>42494</v>
      </c>
      <c r="Z396" s="153">
        <v>1.3824866750258099E-2</v>
      </c>
      <c r="AA396" s="155">
        <v>1.1500434961382311E-2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42493</v>
      </c>
      <c r="Y397" s="152">
        <f>_xll.qlInterestRateIndexValueDate(IborIndex,X397,Trigger)</f>
        <v>42495</v>
      </c>
      <c r="Z397" s="153">
        <v>1.3877308214831208E-2</v>
      </c>
      <c r="AA397" s="155">
        <v>1.1551379564398445E-2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42494</v>
      </c>
      <c r="Y398" s="152">
        <f>_xll.qlInterestRateIndexValueDate(IborIndex,X398,Trigger)</f>
        <v>42496</v>
      </c>
      <c r="Z398" s="153">
        <v>1.3889993774824532E-2</v>
      </c>
      <c r="AA398" s="155">
        <v>1.1577037421037772E-2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42495</v>
      </c>
      <c r="Y399" s="152">
        <f>_xll.qlInterestRateIndexValueDate(IborIndex,X399,Trigger)</f>
        <v>42499</v>
      </c>
      <c r="Z399" s="153">
        <v>1.3954558816392806E-2</v>
      </c>
      <c r="AA399" s="155">
        <v>1.1602696400219159E-2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42496</v>
      </c>
      <c r="Y400" s="152">
        <f>_xll.qlInterestRateIndexValueDate(IborIndex,X400,Trigger)</f>
        <v>42500</v>
      </c>
      <c r="Z400" s="153">
        <v>1.3980499951836459E-2</v>
      </c>
      <c r="AA400" s="155">
        <v>1.1628356501702797E-2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42499</v>
      </c>
      <c r="Y401" s="152">
        <f>_xll.qlInterestRateIndexValueDate(IborIndex,X401,Trigger)</f>
        <v>42501</v>
      </c>
      <c r="Z401" s="153">
        <v>1.4046217783754809E-2</v>
      </c>
      <c r="AA401" s="155">
        <v>1.1680059380134722E-2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42500</v>
      </c>
      <c r="Y402" s="152">
        <f>_xll.qlInterestRateIndexValueDate(IborIndex,X402,Trigger)</f>
        <v>42502</v>
      </c>
      <c r="Z402" s="153">
        <v>1.4058901881132731E-2</v>
      </c>
      <c r="AA402" s="155">
        <v>1.1731008132418452E-2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42501</v>
      </c>
      <c r="Y403" s="152">
        <f>_xll.qlInterestRateIndexValueDate(IborIndex,X403,Trigger)</f>
        <v>42503</v>
      </c>
      <c r="Z403" s="153">
        <v>1.4071585438120498E-2</v>
      </c>
      <c r="AA403" s="155">
        <v>1.1756673846212706E-2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42502</v>
      </c>
      <c r="Y404" s="152">
        <f>_xll.qlInterestRateIndexValueDate(IborIndex,X404,Trigger)</f>
        <v>42506</v>
      </c>
      <c r="Z404" s="153">
        <v>1.413615293151789E-2</v>
      </c>
      <c r="AA404" s="155">
        <v>1.1782340682469084E-2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42503</v>
      </c>
      <c r="Y405" s="152">
        <f>_xll.qlInterestRateIndexValueDate(IborIndex,X405,Trigger)</f>
        <v>42507</v>
      </c>
      <c r="Z405" s="153">
        <v>1.4162094690334635E-2</v>
      </c>
      <c r="AA405" s="155">
        <v>1.1808008641187584E-2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42506</v>
      </c>
      <c r="Y406" s="152">
        <f>_xll.qlInterestRateIndexValueDate(IborIndex,X406,Trigger)</f>
        <v>42508</v>
      </c>
      <c r="Z406" s="153">
        <v>1.4188035924313818E-2</v>
      </c>
      <c r="AA406" s="155">
        <v>1.1859738981971901E-2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42507</v>
      </c>
      <c r="Y407" s="152">
        <f>_xll.qlInterestRateIndexValueDate(IborIndex,X407,Trigger)</f>
        <v>42509</v>
      </c>
      <c r="Z407" s="153">
        <v>1.4240493379417952E-2</v>
      </c>
      <c r="AA407" s="155">
        <v>1.1910691700602882E-2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42508</v>
      </c>
      <c r="Y408" s="152">
        <f>_xll.qlInterestRateIndexValueDate(IborIndex,X408,Trigger)</f>
        <v>42510</v>
      </c>
      <c r="Z408" s="153">
        <v>1.4253174441106436E-2</v>
      </c>
      <c r="AA408" s="155">
        <v>1.1936365271552063E-2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42509</v>
      </c>
      <c r="Y409" s="152">
        <f>_xll.qlInterestRateIndexValueDate(IborIndex,X409,Trigger)</f>
        <v>42513</v>
      </c>
      <c r="Z409" s="153">
        <v>1.431772884896048E-2</v>
      </c>
      <c r="AA409" s="155">
        <v>1.1962039965043303E-2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42510</v>
      </c>
      <c r="Y410" s="152">
        <f>_xll.qlInterestRateIndexValueDate(IborIndex,X410,Trigger)</f>
        <v>42514</v>
      </c>
      <c r="Z410" s="153">
        <v>1.4356918239311945E-2</v>
      </c>
      <c r="AA410" s="155">
        <v>1.198771578091673E-2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42513</v>
      </c>
      <c r="Y411" s="152">
        <f>_xll.qlInterestRateIndexValueDate(IborIndex,X411,Trigger)</f>
        <v>42515</v>
      </c>
      <c r="Z411" s="153">
        <v>1.4369596971933645E-2</v>
      </c>
      <c r="AA411" s="155">
        <v>1.2052516147689207E-2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42514</v>
      </c>
      <c r="Y412" s="152">
        <f>_xll.qlInterestRateIndexValueDate(IborIndex,X412,Trigger)</f>
        <v>42516</v>
      </c>
      <c r="Z412" s="153">
        <v>1.4422030622999647E-2</v>
      </c>
      <c r="AA412" s="155">
        <v>1.2116111697295651E-2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42515</v>
      </c>
      <c r="Y413" s="152">
        <f>_xll.qlInterestRateIndexValueDate(IborIndex,X413,Trigger)</f>
        <v>42517</v>
      </c>
      <c r="Z413" s="153">
        <v>1.4434708417211162E-2</v>
      </c>
      <c r="AA413" s="155">
        <v>1.2141794247941817E-2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42516</v>
      </c>
      <c r="Y414" s="152">
        <f>_xll.qlInterestRateIndexValueDate(IborIndex,X414,Trigger)</f>
        <v>42521</v>
      </c>
      <c r="Z414" s="153">
        <v>1.4511909399493672E-2</v>
      </c>
      <c r="AA414" s="155">
        <v>1.2167477921050107E-2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42517</v>
      </c>
      <c r="Y415" s="152">
        <f>_xll.qlInterestRateIndexValueDate(IborIndex,X415,Trigger)</f>
        <v>42522</v>
      </c>
      <c r="Z415" s="153">
        <v>1.4537829237886013E-2</v>
      </c>
      <c r="AA415" s="155">
        <v>1.2219263735859798E-2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42521</v>
      </c>
      <c r="Y416" s="152">
        <f>_xll.qlInterestRateIndexValueDate(IborIndex,X416,Trigger)</f>
        <v>42523</v>
      </c>
      <c r="Z416" s="153">
        <v>1.4563746377344818E-2</v>
      </c>
      <c r="AA416" s="155">
        <v>1.2270223838104499E-2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42522</v>
      </c>
      <c r="Y417" s="152">
        <f>_xll.qlInterestRateIndexValueDate(IborIndex,X417,Trigger)</f>
        <v>42524</v>
      </c>
      <c r="Z417" s="153">
        <v>1.4616134980468405E-2</v>
      </c>
      <c r="AA417" s="155">
        <v>1.2295913123443469E-2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42523</v>
      </c>
      <c r="Y418" s="152">
        <f>_xll.qlInterestRateIndexValueDate(IborIndex,X418,Trigger)</f>
        <v>42527</v>
      </c>
      <c r="Z418" s="153">
        <v>1.4667384856851136E-2</v>
      </c>
      <c r="AA418" s="155">
        <v>1.2321603531324499E-2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42524</v>
      </c>
      <c r="Y419" s="152">
        <f>_xll.qlInterestRateIndexValueDate(IborIndex,X419,Trigger)</f>
        <v>42528</v>
      </c>
      <c r="Z419" s="153">
        <v>1.4693286184824923E-2</v>
      </c>
      <c r="AA419" s="155">
        <v>1.2347295061667651E-2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42527</v>
      </c>
      <c r="Y420" s="152">
        <f>_xll.qlInterestRateIndexValueDate(IborIndex,X420,Trigger)</f>
        <v>42529</v>
      </c>
      <c r="Z420" s="153">
        <v>1.4719183887081278E-2</v>
      </c>
      <c r="AA420" s="155">
        <v>1.2399108888416777E-2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42528</v>
      </c>
      <c r="Y421" s="152">
        <f>_xll.qlInterestRateIndexValueDate(IborIndex,X421,Trigger)</f>
        <v>42530</v>
      </c>
      <c r="Z421" s="153">
        <v>1.4745077809127828E-2</v>
      </c>
      <c r="AA421" s="155">
        <v>1.2450072407501622E-2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42529</v>
      </c>
      <c r="Y422" s="152">
        <f>_xll.qlInterestRateIndexValueDate(IborIndex,X422,Trigger)</f>
        <v>42531</v>
      </c>
      <c r="Z422" s="153">
        <v>1.4797401725541882E-2</v>
      </c>
      <c r="AA422" s="155">
        <v>1.2475769550075455E-2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42530</v>
      </c>
      <c r="Y423" s="152">
        <f>_xll.qlInterestRateIndexValueDate(IborIndex,X423,Trigger)</f>
        <v>42534</v>
      </c>
      <c r="Z423" s="153">
        <v>1.4848612605090209E-2</v>
      </c>
      <c r="AA423" s="155">
        <v>1.2501467815191347E-2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42531</v>
      </c>
      <c r="Y424" s="152">
        <f>_xll.qlInterestRateIndexValueDate(IborIndex,X424,Trigger)</f>
        <v>42535</v>
      </c>
      <c r="Z424" s="153">
        <v>1.4874485308422543E-2</v>
      </c>
      <c r="AA424" s="155">
        <v>1.2527167202769363E-2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42534</v>
      </c>
      <c r="Y425" s="152">
        <f>_xll.qlInterestRateIndexValueDate(IborIndex,X425,Trigger)</f>
        <v>42536</v>
      </c>
      <c r="Z425" s="153">
        <v>1.4900353304423082E-2</v>
      </c>
      <c r="AA425" s="155">
        <v>1.2579009225017757E-2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42535</v>
      </c>
      <c r="Y426" s="152">
        <f>_xll.qlInterestRateIndexValueDate(IborIndex,X426,Trigger)</f>
        <v>42537</v>
      </c>
      <c r="Z426" s="153">
        <v>1.4926216438542668E-2</v>
      </c>
      <c r="AA426" s="155">
        <v>1.2629975977462848E-2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42536</v>
      </c>
      <c r="Y427" s="152">
        <f>_xll.qlInterestRateIndexValueDate(IborIndex,X427,Trigger)</f>
        <v>42538</v>
      </c>
      <c r="Z427" s="153">
        <v>1.4978456227760714E-2</v>
      </c>
      <c r="AA427" s="155">
        <v>1.265568097735148E-2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42537</v>
      </c>
      <c r="Y428" s="152">
        <f>_xll.qlInterestRateIndexValueDate(IborIndex,X428,Trigger)</f>
        <v>42541</v>
      </c>
      <c r="Z428" s="153">
        <v>1.5029617264963579E-2</v>
      </c>
      <c r="AA428" s="155">
        <v>1.2681387099622299E-2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42538</v>
      </c>
      <c r="Y429" s="152">
        <f>_xll.qlInterestRateIndexValueDate(IborIndex,X429,Trigger)</f>
        <v>42542</v>
      </c>
      <c r="Z429" s="153">
        <v>1.5055453771171488E-2</v>
      </c>
      <c r="AA429" s="155">
        <v>1.2707094344435177E-2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42541</v>
      </c>
      <c r="Y430" s="152">
        <f>_xll.qlInterestRateIndexValueDate(IborIndex,X430,Trigger)</f>
        <v>42543</v>
      </c>
      <c r="Z430" s="153">
        <v>1.5081284488039678E-2</v>
      </c>
      <c r="AA430" s="155">
        <v>1.2758964745929191E-2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42542</v>
      </c>
      <c r="Y431" s="152">
        <f>_xll.qlInterestRateIndexValueDate(IborIndex,X431,Trigger)</f>
        <v>42544</v>
      </c>
      <c r="Z431" s="153">
        <v>1.510710926096308E-2</v>
      </c>
      <c r="AA431" s="155">
        <v>1.280993454814805E-2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42543</v>
      </c>
      <c r="Y432" s="152">
        <f>_xll.qlInterestRateIndexValueDate(IborIndex,X432,Trigger)</f>
        <v>42545</v>
      </c>
      <c r="Z432" s="153">
        <v>1.518554666438458E-2</v>
      </c>
      <c r="AA432" s="155">
        <v>1.2835647405271544E-2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42544</v>
      </c>
      <c r="Y433" s="152">
        <f>_xll.qlInterestRateIndexValueDate(IborIndex,X433,Trigger)</f>
        <v>42548</v>
      </c>
      <c r="Z433" s="153">
        <v>1.5223491866711136E-2</v>
      </c>
      <c r="AA433" s="155">
        <v>1.2861361384857162E-2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42545</v>
      </c>
      <c r="Y434" s="152">
        <f>_xll.qlInterestRateIndexValueDate(IborIndex,X434,Trigger)</f>
        <v>42549</v>
      </c>
      <c r="Z434" s="153">
        <v>1.5236138554690819E-2</v>
      </c>
      <c r="AA434" s="155">
        <v>1.2887076486824967E-2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42548</v>
      </c>
      <c r="Y435" s="152">
        <f>_xll.qlInterestRateIndexValueDate(IborIndex,X435,Trigger)</f>
        <v>42550</v>
      </c>
      <c r="Z435" s="153">
        <v>1.5261924416802599E-2</v>
      </c>
      <c r="AA435" s="155">
        <v>1.2938975451417534E-2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42549</v>
      </c>
      <c r="Y436" s="152">
        <f>_xll.qlInterestRateIndexValueDate(IborIndex,X436,Trigger)</f>
        <v>42551</v>
      </c>
      <c r="Z436" s="153">
        <v>1.5287703252514806E-2</v>
      </c>
      <c r="AA436" s="155">
        <v>1.2989948119557226E-2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42550</v>
      </c>
      <c r="Y437" s="152">
        <f>_xll.qlInterestRateIndexValueDate(IborIndex,X437,Trigger)</f>
        <v>42552</v>
      </c>
      <c r="Z437" s="153">
        <v>1.5352833301663602E-2</v>
      </c>
      <c r="AA437" s="155">
        <v>1.3015668833915583E-2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42551</v>
      </c>
      <c r="Y438" s="152">
        <f>_xll.qlInterestRateIndexValueDate(IborIndex,X438,Trigger)</f>
        <v>42556</v>
      </c>
      <c r="Z438" s="153">
        <v>1.5429587545606267E-2</v>
      </c>
      <c r="AA438" s="155">
        <v>1.3067113630018667E-2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42552</v>
      </c>
      <c r="Y439" s="152">
        <f>_xll.qlInterestRateIndexValueDate(IborIndex,X439,Trigger)</f>
        <v>42556</v>
      </c>
      <c r="Z439" s="153">
        <v>1.5429587545606267E-2</v>
      </c>
      <c r="AA439" s="155">
        <v>1.3067113630018667E-2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42555</v>
      </c>
      <c r="Y440" s="152">
        <f>_xll.qlInterestRateIndexValueDate(IborIndex,X440,Trigger)</f>
        <v>42557</v>
      </c>
      <c r="Z440" s="153">
        <v>1.5455314870634897E-2</v>
      </c>
      <c r="AA440" s="155">
        <v>1.3119041341722593E-2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42556</v>
      </c>
      <c r="Y441" s="152">
        <f>_xll.qlInterestRateIndexValueDate(IborIndex,X441,Trigger)</f>
        <v>42558</v>
      </c>
      <c r="Z441" s="153">
        <v>1.5507195441590202E-2</v>
      </c>
      <c r="AA441" s="155">
        <v>1.3170016691770314E-2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42557</v>
      </c>
      <c r="Y442" s="152">
        <f>_xll.qlInterestRateIndexValueDate(IborIndex,X442,Trigger)</f>
        <v>42559</v>
      </c>
      <c r="Z442" s="153">
        <v>1.5519821741686944E-2</v>
      </c>
      <c r="AA442" s="155">
        <v>1.319574526344347E-2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42558</v>
      </c>
      <c r="Y443" s="152">
        <f>_xll.qlInterestRateIndexValueDate(IborIndex,X443,Trigger)</f>
        <v>42562</v>
      </c>
      <c r="Z443" s="153">
        <v>1.5583825274444657E-2</v>
      </c>
      <c r="AA443" s="155">
        <v>1.3221474957498813E-2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42559</v>
      </c>
      <c r="Y444" s="152">
        <f>_xll.qlInterestRateIndexValueDate(IborIndex,X444,Trigger)</f>
        <v>42563</v>
      </c>
      <c r="Z444" s="153">
        <v>1.5609501033543499E-2</v>
      </c>
      <c r="AA444" s="155">
        <v>1.324720577401628E-2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42562</v>
      </c>
      <c r="Y445" s="152">
        <f>_xll.qlInterestRateIndexValueDate(IborIndex,X445,Trigger)</f>
        <v>42564</v>
      </c>
      <c r="Z445" s="153">
        <v>1.5635167659585423E-2</v>
      </c>
      <c r="AA445" s="155">
        <v>1.3299162417057531E-2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42563</v>
      </c>
      <c r="Y446" s="152">
        <f>_xll.qlInterestRateIndexValueDate(IborIndex,X446,Trigger)</f>
        <v>42565</v>
      </c>
      <c r="Z446" s="153">
        <v>1.5699918186522131E-2</v>
      </c>
      <c r="AA446" s="155">
        <v>1.3350140264947186E-2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42564</v>
      </c>
      <c r="Y447" s="152">
        <f>_xll.qlInterestRateIndexValueDate(IborIndex,X447,Trigger)</f>
        <v>42566</v>
      </c>
      <c r="Z447" s="153">
        <v>1.5712526626080647E-2</v>
      </c>
      <c r="AA447" s="155">
        <v>1.3375876693775268E-2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42565</v>
      </c>
      <c r="Y448" s="152">
        <f>_xll.qlInterestRateIndexValueDate(IborIndex,X448,Trigger)</f>
        <v>42569</v>
      </c>
      <c r="Z448" s="153">
        <v>1.5763358405583221E-2</v>
      </c>
      <c r="AA448" s="155">
        <v>1.340161424514541E-2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42566</v>
      </c>
      <c r="Y449" s="152">
        <f>_xll.qlInterestRateIndexValueDate(IborIndex,X449,Trigger)</f>
        <v>42570</v>
      </c>
      <c r="Z449" s="153">
        <v>1.5788967000158121E-2</v>
      </c>
      <c r="AA449" s="155">
        <v>1.3427352918977675E-2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42569</v>
      </c>
      <c r="Y450" s="152">
        <f>_xll.qlInterestRateIndexValueDate(IborIndex,X450,Trigger)</f>
        <v>42571</v>
      </c>
      <c r="Z450" s="153">
        <v>1.5814565383894325E-2</v>
      </c>
      <c r="AA450" s="155">
        <v>1.3479338677688801E-2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42570</v>
      </c>
      <c r="Y451" s="152">
        <f>_xll.qlInterestRateIndexValueDate(IborIndex,X451,Trigger)</f>
        <v>42572</v>
      </c>
      <c r="Z451" s="153">
        <v>1.5866118616522415E-2</v>
      </c>
      <c r="AA451" s="155">
        <v>1.3530318839007904E-2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42571</v>
      </c>
      <c r="Y452" s="152">
        <f>_xll.qlInterestRateIndexValueDate(IborIndex,X452,Trigger)</f>
        <v>42573</v>
      </c>
      <c r="Z452" s="153">
        <v>1.5878708886505732E-2</v>
      </c>
      <c r="AA452" s="155">
        <v>1.3556063125150786E-2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42572</v>
      </c>
      <c r="Y453" s="152">
        <f>_xll.qlInterestRateIndexValueDate(IborIndex,X453,Trigger)</f>
        <v>42576</v>
      </c>
      <c r="Z453" s="153">
        <v>1.5942398749711897E-2</v>
      </c>
      <c r="AA453" s="155">
        <v>1.3581808533835726E-2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42573</v>
      </c>
      <c r="Y454" s="152">
        <f>_xll.qlInterestRateIndexValueDate(IborIndex,X454,Trigger)</f>
        <v>42577</v>
      </c>
      <c r="Z454" s="153">
        <v>1.5967932634137857E-2</v>
      </c>
      <c r="AA454" s="155">
        <v>1.360755506498279E-2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42576</v>
      </c>
      <c r="Y455" s="152">
        <f>_xll.qlInterestRateIndexValueDate(IborIndex,X455,Trigger)</f>
        <v>42578</v>
      </c>
      <c r="Z455" s="153">
        <v>1.5993455229559743E-2</v>
      </c>
      <c r="AA455" s="155">
        <v>1.3659570123882858E-2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42577</v>
      </c>
      <c r="Y456" s="152">
        <f>_xll.qlInterestRateIndexValueDate(IborIndex,X456,Trigger)</f>
        <v>42579</v>
      </c>
      <c r="Z456" s="153">
        <v>1.6044820480519657E-2</v>
      </c>
      <c r="AA456" s="155">
        <v>1.3710552414192279E-2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42578</v>
      </c>
      <c r="Y457" s="152">
        <f>_xll.qlInterestRateIndexValueDate(IborIndex,X457,Trigger)</f>
        <v>42580</v>
      </c>
      <c r="Z457" s="153">
        <v>1.6070303502671451E-2</v>
      </c>
      <c r="AA457" s="155">
        <v>1.3736304557729895E-2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42579</v>
      </c>
      <c r="Y458" s="152">
        <f>_xll.qlInterestRateIndexValueDate(IborIndex,X458,Trigger)</f>
        <v>42583</v>
      </c>
      <c r="Z458" s="153">
        <v>1.6120893479425615E-2</v>
      </c>
      <c r="AA458" s="155">
        <v>1.3762057823649698E-2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42580</v>
      </c>
      <c r="Y459" s="152">
        <f>_xll.qlInterestRateIndexValueDate(IborIndex,X459,Trigger)</f>
        <v>42584</v>
      </c>
      <c r="Z459" s="153">
        <v>1.6146345105405E-2</v>
      </c>
      <c r="AA459" s="155">
        <v>1.3787812212031625E-2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42583</v>
      </c>
      <c r="Y460" s="152">
        <f>_xll.qlInterestRateIndexValueDate(IborIndex,X460,Trigger)</f>
        <v>42585</v>
      </c>
      <c r="Z460" s="153">
        <v>1.6171784363834794E-2</v>
      </c>
      <c r="AA460" s="155">
        <v>1.3839856755906155E-2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42584</v>
      </c>
      <c r="Y461" s="152">
        <f>_xll.qlInterestRateIndexValueDate(IborIndex,X461,Trigger)</f>
        <v>42586</v>
      </c>
      <c r="Z461" s="153">
        <v>1.62229461644657E-2</v>
      </c>
      <c r="AA461" s="155">
        <v>1.3890840990500308E-2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42585</v>
      </c>
      <c r="Y462" s="152">
        <f>_xll.qlInterestRateIndexValueDate(IborIndex,X462,Trigger)</f>
        <v>42587</v>
      </c>
      <c r="Z462" s="153">
        <v>1.6235487240003059E-2</v>
      </c>
      <c r="AA462" s="155">
        <v>1.3916600991272787E-2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42586</v>
      </c>
      <c r="Y463" s="152">
        <f>_xll.qlInterestRateIndexValueDate(IborIndex,X463,Trigger)</f>
        <v>42590</v>
      </c>
      <c r="Z463" s="153">
        <v>1.6298789748673367E-2</v>
      </c>
      <c r="AA463" s="155">
        <v>1.3942362114587326E-2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42587</v>
      </c>
      <c r="Y464" s="152">
        <f>_xll.qlInterestRateIndexValueDate(IborIndex,X464,Trigger)</f>
        <v>42591</v>
      </c>
      <c r="Z464" s="153">
        <v>1.6324151565256746E-2</v>
      </c>
      <c r="AA464" s="155">
        <v>1.3968124360284051E-2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42590</v>
      </c>
      <c r="Y465" s="152">
        <f>_xll.qlInterestRateIndexValueDate(IborIndex,X465,Trigger)</f>
        <v>42592</v>
      </c>
      <c r="Z465" s="153">
        <v>1.63494999353688E-2</v>
      </c>
      <c r="AA465" s="155">
        <v>1.4020198573945208E-2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42591</v>
      </c>
      <c r="Y466" s="152">
        <f>_xll.qlInterestRateIndexValueDate(IborIndex,X466,Trigger)</f>
        <v>42593</v>
      </c>
      <c r="Z466" s="153">
        <v>1.6400443371831289E-2</v>
      </c>
      <c r="AA466" s="155">
        <v>1.407118456801193E-2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42592</v>
      </c>
      <c r="Y467" s="152">
        <f>_xll.qlInterestRateIndexValueDate(IborIndex,X467,Trigger)</f>
        <v>42594</v>
      </c>
      <c r="Z467" s="153">
        <v>1.6412954213870529E-2</v>
      </c>
      <c r="AA467" s="155">
        <v>1.4096952426179143E-2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42593</v>
      </c>
      <c r="Y468" s="152">
        <f>_xll.qlInterestRateIndexValueDate(IborIndex,X468,Trigger)</f>
        <v>42597</v>
      </c>
      <c r="Z468" s="153">
        <v>1.6476034692911541E-2</v>
      </c>
      <c r="AA468" s="155">
        <v>1.4122721406808481E-2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42594</v>
      </c>
      <c r="Y469" s="152">
        <f>_xll.qlInterestRateIndexValueDate(IborIndex,X469,Trigger)</f>
        <v>42598</v>
      </c>
      <c r="Z469" s="153">
        <v>1.6501299146521153E-2</v>
      </c>
      <c r="AA469" s="155">
        <v>1.4148491509899941E-2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42597</v>
      </c>
      <c r="Y470" s="152">
        <f>_xll.qlInterestRateIndexValueDate(IborIndex,X470,Trigger)</f>
        <v>42599</v>
      </c>
      <c r="Z470" s="153">
        <v>1.6526549074363652E-2</v>
      </c>
      <c r="AA470" s="155">
        <v>1.4200595578266473E-2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42598</v>
      </c>
      <c r="Y471" s="152">
        <f>_xll.qlInterestRateIndexValueDate(IborIndex,X471,Trigger)</f>
        <v>42600</v>
      </c>
      <c r="Z471" s="153">
        <v>1.6589986830038535E-2</v>
      </c>
      <c r="AA471" s="155">
        <v>1.4251583146966951E-2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42599</v>
      </c>
      <c r="Y472" s="152">
        <f>_xll.qlInterestRateIndexValueDate(IborIndex,X472,Trigger)</f>
        <v>42601</v>
      </c>
      <c r="Z472" s="153">
        <v>1.6602460649592921E-2</v>
      </c>
      <c r="AA472" s="155">
        <v>1.4277358862369027E-2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42600</v>
      </c>
      <c r="Y473" s="152">
        <f>_xll.qlInterestRateIndexValueDate(IborIndex,X473,Trigger)</f>
        <v>42604</v>
      </c>
      <c r="Z473" s="153">
        <v>1.6652575429270317E-2</v>
      </c>
      <c r="AA473" s="155">
        <v>1.4303135700313163E-2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42601</v>
      </c>
      <c r="Y474" s="152">
        <f>_xll.qlInterestRateIndexValueDate(IborIndex,X474,Trigger)</f>
        <v>42605</v>
      </c>
      <c r="Z474" s="153">
        <v>1.6677734963724822E-2</v>
      </c>
      <c r="AA474" s="155">
        <v>1.4328913660799358E-2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42604</v>
      </c>
      <c r="Y475" s="152">
        <f>_xll.qlInterestRateIndexValueDate(IborIndex,X475,Trigger)</f>
        <v>42606</v>
      </c>
      <c r="Z475" s="153">
        <v>1.6702878892747165E-2</v>
      </c>
      <c r="AA475" s="155">
        <v>1.439422739991647E-2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42605</v>
      </c>
      <c r="Y476" s="152">
        <f>_xll.qlInterestRateIndexValueDate(IborIndex,X476,Trigger)</f>
        <v>42607</v>
      </c>
      <c r="Z476" s="153">
        <v>1.6753343078929742E-2</v>
      </c>
      <c r="AA476" s="155">
        <v>1.4457820300002311E-2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42606</v>
      </c>
      <c r="Y477" s="152">
        <f>_xll.qlInterestRateIndexValueDate(IborIndex,X477,Trigger)</f>
        <v>42608</v>
      </c>
      <c r="Z477" s="153">
        <v>1.6765780782185959E-2</v>
      </c>
      <c r="AA477" s="155">
        <v>1.4483604995261246E-2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42607</v>
      </c>
      <c r="Y478" s="152">
        <f>_xll.qlInterestRateIndexValueDate(IborIndex,X478,Trigger)</f>
        <v>42612</v>
      </c>
      <c r="Z478" s="153">
        <v>1.6828143677577248E-2</v>
      </c>
      <c r="AA478" s="155">
        <v>1.450939081306224E-2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42608</v>
      </c>
      <c r="Y479" s="152">
        <f>_xll.qlInterestRateIndexValueDate(IborIndex,X479,Trigger)</f>
        <v>42613</v>
      </c>
      <c r="Z479" s="153">
        <v>1.6840563059527934E-2</v>
      </c>
      <c r="AA479" s="155">
        <v>1.4561555146821448E-2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42612</v>
      </c>
      <c r="Y480" s="152">
        <f>_xll.qlInterestRateIndexValueDate(IborIndex,X480,Trigger)</f>
        <v>42614</v>
      </c>
      <c r="Z480" s="153">
        <v>1.6865608043177334E-2</v>
      </c>
      <c r="AA480" s="155">
        <v>1.4612545308967384E-2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42613</v>
      </c>
      <c r="Y481" s="152">
        <f>_xll.qlInterestRateIndexValueDate(IborIndex,X481,Trigger)</f>
        <v>42615</v>
      </c>
      <c r="Z481" s="153">
        <v>1.6890636194121338E-2</v>
      </c>
      <c r="AA481" s="155">
        <v>1.463833673915893E-2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42614</v>
      </c>
      <c r="Y482" s="152">
        <f>_xll.qlInterestRateIndexValueDate(IborIndex,X482,Trigger)</f>
        <v>42619</v>
      </c>
      <c r="Z482" s="153">
        <v>1.6990577333910923E-2</v>
      </c>
      <c r="AA482" s="155">
        <v>1.4689922966928393E-2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42615</v>
      </c>
      <c r="Y483" s="152">
        <f>_xll.qlInterestRateIndexValueDate(IborIndex,X483,Trigger)</f>
        <v>42619</v>
      </c>
      <c r="Z483" s="153">
        <v>1.6990577333910923E-2</v>
      </c>
      <c r="AA483" s="155">
        <v>1.4689922966928393E-2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42618</v>
      </c>
      <c r="Y484" s="152">
        <f>_xll.qlInterestRateIndexValueDate(IborIndex,X484,Trigger)</f>
        <v>42620</v>
      </c>
      <c r="Z484" s="153">
        <v>1.7015518968565548E-2</v>
      </c>
      <c r="AA484" s="155">
        <v>1.4742117711508129E-2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42619</v>
      </c>
      <c r="Y485" s="152">
        <f>_xll.qlInterestRateIndexValueDate(IborIndex,X485,Trigger)</f>
        <v>42621</v>
      </c>
      <c r="Z485" s="153">
        <v>1.704044282935779E-2</v>
      </c>
      <c r="AA485" s="155">
        <v>1.4793108892252604E-2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42620</v>
      </c>
      <c r="Y486" s="152">
        <f>_xll.qlInterestRateIndexValueDate(IborIndex,X486,Trigger)</f>
        <v>42622</v>
      </c>
      <c r="Z486" s="153">
        <v>1.7065348759404082E-2</v>
      </c>
      <c r="AA486" s="155">
        <v>1.4818908179838886E-2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42621</v>
      </c>
      <c r="Y487" s="152">
        <f>_xll.qlInterestRateIndexValueDate(IborIndex,X487,Trigger)</f>
        <v>42625</v>
      </c>
      <c r="Z487" s="153">
        <v>1.7152460278660055E-2</v>
      </c>
      <c r="AA487" s="155">
        <v>1.4844708589807354E-2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42622</v>
      </c>
      <c r="Y488" s="152">
        <f>_xll.qlInterestRateIndexValueDate(IborIndex,X488,Trigger)</f>
        <v>42626</v>
      </c>
      <c r="Z488" s="153">
        <v>1.7164790034170041E-2</v>
      </c>
      <c r="AA488" s="155">
        <v>1.4870510122397818E-2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42625</v>
      </c>
      <c r="Y489" s="152">
        <f>_xll.qlInterestRateIndexValueDate(IborIndex,X489,Trigger)</f>
        <v>42627</v>
      </c>
      <c r="Z489" s="153">
        <v>1.7189603956954853E-2</v>
      </c>
      <c r="AA489" s="155">
        <v>1.4922735463489545E-2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42626</v>
      </c>
      <c r="Y490" s="152">
        <f>_xll.qlInterestRateIndexValueDate(IborIndex,X490,Trigger)</f>
        <v>42628</v>
      </c>
      <c r="Z490" s="153">
        <v>1.7214399007531564E-2</v>
      </c>
      <c r="AA490" s="155">
        <v>1.4973727477221033E-2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42627</v>
      </c>
      <c r="Y491" s="152">
        <f>_xll.qlInterestRateIndexValueDate(IborIndex,X491,Trigger)</f>
        <v>42629</v>
      </c>
      <c r="Z491" s="153">
        <v>1.7239175028964045E-2</v>
      </c>
      <c r="AA491" s="155">
        <v>1.4999534622202049E-2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42628</v>
      </c>
      <c r="Y492" s="152">
        <f>_xll.qlInterestRateIndexValueDate(IborIndex,X492,Trigger)</f>
        <v>42632</v>
      </c>
      <c r="Z492" s="153">
        <v>1.7325811897657969E-2</v>
      </c>
      <c r="AA492" s="155">
        <v>1.5025342889565252E-2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42629</v>
      </c>
      <c r="Y493" s="152">
        <f>_xll.qlInterestRateIndexValueDate(IborIndex,X493,Trigger)</f>
        <v>42633</v>
      </c>
      <c r="Z493" s="153">
        <v>1.7338085684290346E-2</v>
      </c>
      <c r="AA493" s="155">
        <v>1.5051152279470514E-2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42632</v>
      </c>
      <c r="Y494" s="152">
        <f>_xll.qlInterestRateIndexValueDate(IborIndex,X494,Trigger)</f>
        <v>42634</v>
      </c>
      <c r="Z494" s="153">
        <v>1.7362764205717852E-2</v>
      </c>
      <c r="AA494" s="155">
        <v>1.5103408403032148E-2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42633</v>
      </c>
      <c r="Y495" s="152">
        <f>_xll.qlInterestRateIndexValueDate(IborIndex,X495,Trigger)</f>
        <v>42635</v>
      </c>
      <c r="Z495" s="153">
        <v>1.738742275623734E-2</v>
      </c>
      <c r="AA495" s="155">
        <v>1.5154401063952605E-2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42634</v>
      </c>
      <c r="Y496" s="152">
        <f>_xll.qlInterestRateIndexValueDate(IborIndex,X496,Trigger)</f>
        <v>42636</v>
      </c>
      <c r="Z496" s="153">
        <v>1.7412061178863219E-2</v>
      </c>
      <c r="AA496" s="155">
        <v>1.518021606624842E-2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42635</v>
      </c>
      <c r="Y497" s="152">
        <f>_xll.qlInterestRateIndexValueDate(IborIndex,X497,Trigger)</f>
        <v>42639</v>
      </c>
      <c r="Z497" s="153">
        <v>1.7498198404405987E-2</v>
      </c>
      <c r="AA497" s="155">
        <v>1.5206032191006358E-2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42636</v>
      </c>
      <c r="Y498" s="152">
        <f>_xll.qlInterestRateIndexValueDate(IborIndex,X498,Trigger)</f>
        <v>42640</v>
      </c>
      <c r="Z498" s="153">
        <v>1.7510410450475196E-2</v>
      </c>
      <c r="AA498" s="155">
        <v>1.5231849438386291E-2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42639</v>
      </c>
      <c r="Y499" s="152">
        <f>_xll.qlInterestRateIndexValueDate(IborIndex,X499,Trigger)</f>
        <v>42641</v>
      </c>
      <c r="Z499" s="153">
        <v>1.7534945878604165E-2</v>
      </c>
      <c r="AA499" s="155">
        <v>1.5284136530349102E-2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42640</v>
      </c>
      <c r="Y500" s="152">
        <f>_xll.qlInterestRateIndexValueDate(IborIndex,X500,Trigger)</f>
        <v>42642</v>
      </c>
      <c r="Z500" s="153">
        <v>1.7559460236778957E-2</v>
      </c>
      <c r="AA500" s="155">
        <v>1.5335129652367385E-2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42641</v>
      </c>
      <c r="Y501" s="152">
        <f>_xll.qlInterestRateIndexValueDate(IborIndex,X501,Trigger)</f>
        <v>42643</v>
      </c>
      <c r="Z501" s="153">
        <v>1.7596251053201076E-2</v>
      </c>
      <c r="AA501" s="155">
        <v>1.5360952512137871E-2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42642</v>
      </c>
      <c r="Y502" s="152">
        <f>_xll.qlInterestRateIndexValueDate(IborIndex,X502,Trigger)</f>
        <v>42646</v>
      </c>
      <c r="Z502" s="153">
        <v>1.7669566240281511E-2</v>
      </c>
      <c r="AA502" s="155">
        <v>1.538677649437048E-2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42643</v>
      </c>
      <c r="Y503" s="152">
        <f>_xll.qlInterestRateIndexValueDate(IborIndex,X503,Trigger)</f>
        <v>42647</v>
      </c>
      <c r="Z503" s="153">
        <v>1.7693961079162768E-2</v>
      </c>
      <c r="AA503" s="155">
        <v>1.5412601599065212E-2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42646</v>
      </c>
      <c r="Y504" s="152">
        <f>_xll.qlInterestRateIndexValueDate(IborIndex,X504,Trigger)</f>
        <v>42648</v>
      </c>
      <c r="Z504" s="153">
        <v>1.7718333879270139E-2</v>
      </c>
      <c r="AA504" s="155">
        <v>1.5464919845680214E-2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42647</v>
      </c>
      <c r="Y505" s="152">
        <f>_xll.qlInterestRateIndexValueDate(IborIndex,X505,Trigger)</f>
        <v>42649</v>
      </c>
      <c r="Z505" s="153">
        <v>1.774268448437168E-2</v>
      </c>
      <c r="AA505" s="155">
        <v>1.5515913242785118E-2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42648</v>
      </c>
      <c r="Y506" s="152">
        <f>_xll.qlInterestRateIndexValueDate(IborIndex,X506,Trigger)</f>
        <v>42650</v>
      </c>
      <c r="Z506" s="153">
        <v>1.7767012738229726E-2</v>
      </c>
      <c r="AA506" s="155">
        <v>1.5541743959950338E-2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42649</v>
      </c>
      <c r="Y507" s="152">
        <f>_xll.qlInterestRateIndexValueDate(IborIndex,X507,Trigger)</f>
        <v>42654</v>
      </c>
      <c r="Z507" s="153">
        <v>1.7864099116228691E-2</v>
      </c>
      <c r="AA507" s="155">
        <v>1.5593408761747085E-2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42650</v>
      </c>
      <c r="Y508" s="152">
        <f>_xll.qlInterestRateIndexValueDate(IborIndex,X508,Trigger)</f>
        <v>42654</v>
      </c>
      <c r="Z508" s="153">
        <v>1.7864099116228691E-2</v>
      </c>
      <c r="AA508" s="155">
        <v>1.5593408761747085E-2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42653</v>
      </c>
      <c r="Y509" s="152">
        <f>_xll.qlInterestRateIndexValueDate(IborIndex,X509,Trigger)</f>
        <v>42655</v>
      </c>
      <c r="Z509" s="153">
        <v>1.7888313270061046E-2</v>
      </c>
      <c r="AA509" s="155">
        <v>1.5645758349318584E-2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42654</v>
      </c>
      <c r="Y510" s="152">
        <f>_xll.qlInterestRateIndexValueDate(IborIndex,X510,Trigger)</f>
        <v>42656</v>
      </c>
      <c r="Z510" s="153">
        <v>1.7912504135078569E-2</v>
      </c>
      <c r="AA510" s="155">
        <v>1.5696751835125866E-2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42655</v>
      </c>
      <c r="Y511" s="152">
        <f>_xll.qlInterestRateIndexValueDate(IborIndex,X511,Trigger)</f>
        <v>42657</v>
      </c>
      <c r="Z511" s="153">
        <v>1.7985118148826851E-2</v>
      </c>
      <c r="AA511" s="155">
        <v>1.5722590409685822E-2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42656</v>
      </c>
      <c r="Y512" s="152">
        <f>_xll.qlInterestRateIndexValueDate(IborIndex,X512,Trigger)</f>
        <v>42660</v>
      </c>
      <c r="Z512" s="153">
        <v>1.8021118692239331E-2</v>
      </c>
      <c r="AA512" s="155">
        <v>1.5748430106867772E-2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42657</v>
      </c>
      <c r="Y513" s="152">
        <f>_xll.qlInterestRateIndexValueDate(IborIndex,X513,Trigger)</f>
        <v>42661</v>
      </c>
      <c r="Z513" s="153">
        <v>1.8033103657726441E-2</v>
      </c>
      <c r="AA513" s="155">
        <v>1.577427092643191E-2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42660</v>
      </c>
      <c r="Y514" s="152">
        <f>_xll.qlInterestRateIndexValueDate(IborIndex,X514,Trigger)</f>
        <v>42662</v>
      </c>
      <c r="Z514" s="153">
        <v>1.8057151507629488E-2</v>
      </c>
      <c r="AA514" s="155">
        <v>1.5826652041450728E-2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42661</v>
      </c>
      <c r="Y515" s="152">
        <f>_xll.qlInterestRateIndexValueDate(IborIndex,X515,Trigger)</f>
        <v>42663</v>
      </c>
      <c r="Z515" s="153">
        <v>1.8081174974579294E-2</v>
      </c>
      <c r="AA515" s="155">
        <v>1.5877645429629439E-2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42662</v>
      </c>
      <c r="Y516" s="152">
        <f>_xll.qlInterestRateIndexValueDate(IborIndex,X516,Trigger)</f>
        <v>42664</v>
      </c>
      <c r="Z516" s="153">
        <v>1.8105173902244649E-2</v>
      </c>
      <c r="AA516" s="155">
        <v>1.5903491861584129E-2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42663</v>
      </c>
      <c r="Y517" s="152">
        <f>_xll.qlInterestRateIndexValueDate(IborIndex,X517,Trigger)</f>
        <v>42667</v>
      </c>
      <c r="Z517" s="153">
        <v>1.8177021886112973E-2</v>
      </c>
      <c r="AA517" s="155">
        <v>1.5929339416160815E-2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42664</v>
      </c>
      <c r="Y518" s="152">
        <f>_xll.qlInterestRateIndexValueDate(IborIndex,X518,Trigger)</f>
        <v>42668</v>
      </c>
      <c r="Z518" s="153">
        <v>1.8200921093187862E-2</v>
      </c>
      <c r="AA518" s="155">
        <v>1.5955188093199624E-2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42667</v>
      </c>
      <c r="Y519" s="152">
        <f>_xll.qlInterestRateIndexValueDate(IborIndex,X519,Trigger)</f>
        <v>42669</v>
      </c>
      <c r="Z519" s="153">
        <v>1.8224794979219468E-2</v>
      </c>
      <c r="AA519" s="155">
        <v>1.6007600922369747E-2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42668</v>
      </c>
      <c r="Y520" s="152">
        <f>_xll.qlInterestRateIndexValueDate(IborIndex,X520,Trigger)</f>
        <v>42670</v>
      </c>
      <c r="Z520" s="153">
        <v>1.8248643387837049E-2</v>
      </c>
      <c r="AA520" s="155">
        <v>1.6058594026135964E-2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42669</v>
      </c>
      <c r="Y521" s="152">
        <f>_xll.qlInterestRateIndexValueDate(IborIndex,X521,Trigger)</f>
        <v>42671</v>
      </c>
      <c r="Z521" s="153">
        <v>1.8272466162662399E-2</v>
      </c>
      <c r="AA521" s="155">
        <v>1.6084448315645261E-2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42670</v>
      </c>
      <c r="Y522" s="152">
        <f>_xll.qlInterestRateIndexValueDate(IborIndex,X522,Trigger)</f>
        <v>42674</v>
      </c>
      <c r="Z522" s="153">
        <v>1.8307982573985044E-2</v>
      </c>
      <c r="AA522" s="155">
        <v>1.6110303727616682E-2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42671</v>
      </c>
      <c r="Y523" s="152">
        <f>_xll.qlInterestRateIndexValueDate(IborIndex,X523,Trigger)</f>
        <v>42675</v>
      </c>
      <c r="Z523" s="153">
        <v>1.8367497796269592E-2</v>
      </c>
      <c r="AA523" s="155">
        <v>1.6136160262130161E-2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42674</v>
      </c>
      <c r="Y524" s="152">
        <f>_xll.qlInterestRateIndexValueDate(IborIndex,X524,Trigger)</f>
        <v>42676</v>
      </c>
      <c r="Z524" s="153">
        <v>1.8379290160581794E-2</v>
      </c>
      <c r="AA524" s="155">
        <v>1.6188562935184336E-2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42675</v>
      </c>
      <c r="Y525" s="152">
        <f>_xll.qlInterestRateIndexValueDate(IborIndex,X525,Trigger)</f>
        <v>42677</v>
      </c>
      <c r="Z525" s="153">
        <v>1.8402968089824723E-2</v>
      </c>
      <c r="AA525" s="155">
        <v>1.6239424738779817E-2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42676</v>
      </c>
      <c r="Y526" s="152">
        <f>_xll.qlInterestRateIndexValueDate(IborIndex,X526,Trigger)</f>
        <v>42678</v>
      </c>
      <c r="Z526" s="153">
        <v>1.8426619291605419E-2</v>
      </c>
      <c r="AA526" s="155">
        <v>1.62651747433884E-2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42677</v>
      </c>
      <c r="Y527" s="152">
        <f>_xll.qlInterestRateIndexValueDate(IborIndex,X527,Trigger)</f>
        <v>42681</v>
      </c>
      <c r="Z527" s="153">
        <v>1.8509250344356853E-2</v>
      </c>
      <c r="AA527" s="155">
        <v>1.6290897834805307E-2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42678</v>
      </c>
      <c r="Y528" s="152">
        <f>_xll.qlInterestRateIndexValueDate(IborIndex,X528,Trigger)</f>
        <v>42682</v>
      </c>
      <c r="Z528" s="153">
        <v>1.8520955346036944E-2</v>
      </c>
      <c r="AA528" s="155">
        <v>1.6316594013110475E-2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42681</v>
      </c>
      <c r="Y529" s="152">
        <f>_xll.qlInterestRateIndexValueDate(IborIndex,X529,Trigger)</f>
        <v>42683</v>
      </c>
      <c r="Z529" s="153">
        <v>1.8544472140647604E-2</v>
      </c>
      <c r="AA529" s="155">
        <v>1.6368640859063532E-2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42682</v>
      </c>
      <c r="Y530" s="152">
        <f>_xll.qlInterestRateIndexValueDate(IborIndex,X530,Trigger)</f>
        <v>42684</v>
      </c>
      <c r="Z530" s="153">
        <v>1.8567962045755927E-2</v>
      </c>
      <c r="AA530" s="155">
        <v>1.6419109595133818E-2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42683</v>
      </c>
      <c r="Y531" s="152">
        <f>_xll.qlInterestRateIndexValueDate(IborIndex,X531,Trigger)</f>
        <v>42688</v>
      </c>
      <c r="Z531" s="153">
        <v>1.8673405718578531E-2</v>
      </c>
      <c r="AA531" s="155">
        <v>1.6470205907275215E-2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42684</v>
      </c>
      <c r="Y532" s="152">
        <f>_xll.qlInterestRateIndexValueDate(IborIndex,X532,Trigger)</f>
        <v>42688</v>
      </c>
      <c r="Z532" s="153">
        <v>1.8673405718578531E-2</v>
      </c>
      <c r="AA532" s="155">
        <v>1.6470205907275215E-2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42685</v>
      </c>
      <c r="Y533" s="152">
        <f>_xll.qlInterestRateIndexValueDate(IborIndex,X533,Trigger)</f>
        <v>42689</v>
      </c>
      <c r="Z533" s="153">
        <v>1.8685008195523222E-2</v>
      </c>
      <c r="AA533" s="155">
        <v>1.6495713693638336E-2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42688</v>
      </c>
      <c r="Y534" s="152">
        <f>_xll.qlInterestRateIndexValueDate(IborIndex,X534,Trigger)</f>
        <v>42690</v>
      </c>
      <c r="Z534" s="153">
        <v>1.8708336743692242E-2</v>
      </c>
      <c r="AA534" s="155">
        <v>1.654740009807476E-2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42689</v>
      </c>
      <c r="Y535" s="152">
        <f>_xll.qlInterestRateIndexValueDate(IborIndex,X535,Trigger)</f>
        <v>42691</v>
      </c>
      <c r="Z535" s="153">
        <v>1.8731638395728209E-2</v>
      </c>
      <c r="AA535" s="155">
        <v>1.659747570717407E-2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42690</v>
      </c>
      <c r="Y536" s="152">
        <f>_xll.qlInterestRateIndexValueDate(IborIndex,X536,Trigger)</f>
        <v>42692</v>
      </c>
      <c r="Z536" s="153">
        <v>1.8754913150689112E-2</v>
      </c>
      <c r="AA536" s="155">
        <v>1.6622848927578815E-2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42697</v>
      </c>
      <c r="Y537" s="152">
        <f>_xll.qlInterestRateIndexValueDate(IborIndex,X537,Trigger)</f>
        <v>42699</v>
      </c>
      <c r="Z537" s="153">
        <v>1.8917083238323553E-2</v>
      </c>
      <c r="AA537" s="155">
        <v>1.6799707900885252E-2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42704</v>
      </c>
      <c r="Y538" s="152">
        <f>_xll.qlInterestRateIndexValueDate(IborIndex,X538,Trigger)</f>
        <v>42706</v>
      </c>
      <c r="Z538" s="153">
        <v>1.9089467474417268E-2</v>
      </c>
      <c r="AA538" s="155">
        <v>1.6975248125641329E-2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42711</v>
      </c>
      <c r="Y539" s="152">
        <f>_xll.qlInterestRateIndexValueDate(IborIndex,X539,Trigger)</f>
        <v>42713</v>
      </c>
      <c r="Z539" s="153">
        <v>1.9248914810346098E-2</v>
      </c>
      <c r="AA539" s="155">
        <v>1.714946959992858E-2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42718</v>
      </c>
      <c r="Y540" s="152">
        <f>_xll.qlInterestRateIndexValueDate(IborIndex,X540,Trigger)</f>
        <v>42720</v>
      </c>
      <c r="Z540" s="153">
        <v>1.9407043163807064E-2</v>
      </c>
      <c r="AA540" s="155">
        <v>1.7322372321828539E-2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42725</v>
      </c>
      <c r="Y541" s="152">
        <f>_xll.qlInterestRateIndexValueDate(IborIndex,X541,Trigger)</f>
        <v>42727</v>
      </c>
      <c r="Z541" s="153">
        <v>1.9563852219512151E-2</v>
      </c>
      <c r="AA541" s="155">
        <v>1.7542738059885821E-2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42732</v>
      </c>
      <c r="Y542" s="152">
        <f>_xll.qlInterestRateIndexValueDate(IborIndex,X542,Trigger)</f>
        <v>42734</v>
      </c>
      <c r="Z542" s="153">
        <v>1.9719341664787959E-2</v>
      </c>
      <c r="AA542" s="155">
        <v>1.7688437449079331E-2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42739</v>
      </c>
      <c r="Y543" s="152">
        <f>_xll.qlInterestRateIndexValueDate(IborIndex,X543,Trigger)</f>
        <v>42741</v>
      </c>
      <c r="Z543" s="153">
        <v>1.9862407885166262E-2</v>
      </c>
      <c r="AA543" s="155">
        <v>1.7833167954579565E-2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42746</v>
      </c>
      <c r="Y544" s="152">
        <f>_xll.qlInterestRateIndexValueDate(IborIndex,X544,Trigger)</f>
        <v>42748</v>
      </c>
      <c r="Z544" s="153">
        <v>2.0015343097145359E-2</v>
      </c>
      <c r="AA544" s="155">
        <v>1.8000795648305257E-2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42753</v>
      </c>
      <c r="Y545" s="152">
        <f>_xll.qlInterestRateIndexValueDate(IborIndex,X545,Trigger)</f>
        <v>42755</v>
      </c>
      <c r="Z545" s="153">
        <v>2.0166957807063166E-2</v>
      </c>
      <c r="AA545" s="155">
        <v>1.8167104580291138E-2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42760</v>
      </c>
      <c r="Y546" s="152">
        <f>_xll.qlInterestRateIndexValueDate(IborIndex,X546,Trigger)</f>
        <v>42762</v>
      </c>
      <c r="Z546" s="153">
        <v>2.031725171419891E-2</v>
      </c>
      <c r="AA546" s="155">
        <v>1.833209474869868E-2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42767</v>
      </c>
      <c r="Y547" s="152">
        <f>_xll.qlInterestRateIndexValueDate(IborIndex,X547,Trigger)</f>
        <v>42769</v>
      </c>
      <c r="Z547" s="153">
        <v>2.0466224520436588E-2</v>
      </c>
      <c r="AA547" s="155">
        <v>1.8495766151769288E-2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42774</v>
      </c>
      <c r="Y548" s="152">
        <f>_xll.qlInterestRateIndexValueDate(IborIndex,X548,Trigger)</f>
        <v>42776</v>
      </c>
      <c r="Z548" s="153">
        <v>2.0613875930266277E-2</v>
      </c>
      <c r="AA548" s="155">
        <v>1.8658118787664435E-2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42781</v>
      </c>
      <c r="Y549" s="152">
        <f>_xll.qlInterestRateIndexValueDate(IborIndex,X549,Trigger)</f>
        <v>42783</v>
      </c>
      <c r="Z549" s="153">
        <v>2.0760205650784604E-2</v>
      </c>
      <c r="AA549" s="155">
        <v>1.8819152654625526E-2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42788</v>
      </c>
      <c r="Y550" s="152">
        <f>_xll.qlInterestRateIndexValueDate(IborIndex,X550,Trigger)</f>
        <v>42790</v>
      </c>
      <c r="Z550" s="153">
        <v>2.0905213391695154E-2</v>
      </c>
      <c r="AA550" s="155">
        <v>1.8978867750973905E-2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42795</v>
      </c>
      <c r="Y551" s="152">
        <f>_xll.qlInterestRateIndexValueDate(IborIndex,X551,Trigger)</f>
        <v>42797</v>
      </c>
      <c r="Z551" s="153">
        <v>2.1100895518842581E-2</v>
      </c>
      <c r="AA551" s="155">
        <v>1.9137264074711169E-2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42802</v>
      </c>
      <c r="Y552" s="152">
        <f>_xll.qlInterestRateIndexValueDate(IborIndex,X552,Trigger)</f>
        <v>42804</v>
      </c>
      <c r="Z552" s="153">
        <v>2.1232529989086615E-2</v>
      </c>
      <c r="AA552" s="155">
        <v>1.929434162439847E-2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42809</v>
      </c>
      <c r="Y553" s="152">
        <f>_xll.qlInterestRateIndexValueDate(IborIndex,X553,Trigger)</f>
        <v>42811</v>
      </c>
      <c r="Z553" s="153">
        <v>2.1373225072528066E-2</v>
      </c>
      <c r="AA553" s="155">
        <v>1.9450100398117343E-2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42816</v>
      </c>
      <c r="Y554" s="152">
        <f>_xll.qlInterestRateIndexValueDate(IborIndex,X554,Trigger)</f>
        <v>42818</v>
      </c>
      <c r="Z554" s="153">
        <v>2.1512596865852034E-2</v>
      </c>
      <c r="AA554" s="155">
        <v>1.9604540394109193E-2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42823</v>
      </c>
      <c r="Y555" s="152">
        <f>_xll.qlInterestRateIndexValueDate(IborIndex,X555,Trigger)</f>
        <v>42825</v>
      </c>
      <c r="Z555" s="153">
        <v>2.1620482401730378E-2</v>
      </c>
      <c r="AA555" s="155">
        <v>1.9757661610855237E-2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42830</v>
      </c>
      <c r="Y556" s="152">
        <f>_xll.qlInterestRateIndexValueDate(IborIndex,X556,Trigger)</f>
        <v>42832</v>
      </c>
      <c r="Z556" s="153">
        <v>2.1797321530569368E-2</v>
      </c>
      <c r="AA556" s="155">
        <v>1.9909464046596881E-2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42837</v>
      </c>
      <c r="Y557" s="152">
        <f>_xll.qlInterestRateIndexValueDate(IborIndex,X557,Trigger)</f>
        <v>42843</v>
      </c>
      <c r="Z557" s="153">
        <v>2.1979890557114013E-2</v>
      </c>
      <c r="AA557" s="155">
        <v>2.0102700803432683E-2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42844</v>
      </c>
      <c r="Y558" s="152">
        <f>_xll.qlInterestRateIndexValueDate(IborIndex,X558,Trigger)</f>
        <v>42846</v>
      </c>
      <c r="Z558" s="153">
        <v>2.2056845524874771E-2</v>
      </c>
      <c r="AA558" s="155">
        <v>2.0209112568272403E-2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42851</v>
      </c>
      <c r="Y559" s="152">
        <f>_xll.qlInterestRateIndexValueDate(IborIndex,X559,Trigger)</f>
        <v>42853</v>
      </c>
      <c r="Z559" s="153">
        <v>2.2199289263002318E-2</v>
      </c>
      <c r="AA559" s="155">
        <v>2.037797186385859E-2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42858</v>
      </c>
      <c r="Y560" s="152">
        <f>_xll.qlInterestRateIndexValueDate(IborIndex,X560,Trigger)</f>
        <v>42860</v>
      </c>
      <c r="Z560" s="153">
        <v>2.2321022891484125E-2</v>
      </c>
      <c r="AA560" s="155">
        <v>2.0503485946106181E-2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42865</v>
      </c>
      <c r="Y561" s="152">
        <f>_xll.qlInterestRateIndexValueDate(IborIndex,X561,Trigger)</f>
        <v>42867</v>
      </c>
      <c r="Z561" s="153">
        <v>2.2451124975992637E-2</v>
      </c>
      <c r="AA561" s="155">
        <v>2.064869445196571E-2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42872</v>
      </c>
      <c r="Y562" s="152">
        <f>_xll.qlInterestRateIndexValueDate(IborIndex,X562,Trigger)</f>
        <v>42874</v>
      </c>
      <c r="Z562" s="153">
        <v>2.2579908105303113E-2</v>
      </c>
      <c r="AA562" s="155">
        <v>2.079258416706864E-2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42879</v>
      </c>
      <c r="Y563" s="152">
        <f>_xll.qlInterestRateIndexValueDate(IborIndex,X563,Trigger)</f>
        <v>42881</v>
      </c>
      <c r="Z563" s="153">
        <v>2.2707378541038995E-2</v>
      </c>
      <c r="AA563" s="155">
        <v>2.0955414707879427E-2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42886</v>
      </c>
      <c r="Y564" s="152">
        <f>_xll.qlInterestRateIndexValueDate(IborIndex,X564,Trigger)</f>
        <v>42888</v>
      </c>
      <c r="Z564" s="153">
        <v>2.2833542549148472E-2</v>
      </c>
      <c r="AA564" s="155">
        <v>2.1076407218449944E-2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42893</v>
      </c>
      <c r="Y565" s="152">
        <f>_xll.qlInterestRateIndexValueDate(IborIndex,X565,Trigger)</f>
        <v>42895</v>
      </c>
      <c r="Z565" s="153">
        <v>2.295840639986085E-2</v>
      </c>
      <c r="AA565" s="155">
        <v>2.1216340551770685E-2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42900</v>
      </c>
      <c r="Y566" s="152">
        <f>_xll.qlInterestRateIndexValueDate(IborIndex,X566,Trigger)</f>
        <v>42902</v>
      </c>
      <c r="Z566" s="153">
        <v>2.3081976367643784E-2</v>
      </c>
      <c r="AA566" s="155">
        <v>2.1354955087860006E-2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42907</v>
      </c>
      <c r="Y567" s="152">
        <f>_xll.qlInterestRateIndexValueDate(IborIndex,X567,Trigger)</f>
        <v>42909</v>
      </c>
      <c r="Z567" s="153">
        <v>2.3222290303090178E-2</v>
      </c>
      <c r="AA567" s="155">
        <v>2.149225082543893E-2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42914</v>
      </c>
      <c r="Y568" s="152">
        <f>_xll.qlInterestRateIndexValueDate(IborIndex,X568,Trigger)</f>
        <v>42916</v>
      </c>
      <c r="Z568" s="153">
        <v>2.3298401498303076E-2</v>
      </c>
      <c r="AA568" s="155">
        <v>2.1628227763068608E-2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42921</v>
      </c>
      <c r="Y569" s="152">
        <f>_xll.qlInterestRateIndexValueDate(IborIndex,X569,Trigger)</f>
        <v>42923</v>
      </c>
      <c r="Z569" s="153">
        <v>2.3444985780798119E-2</v>
      </c>
      <c r="AA569" s="155">
        <v>2.1762885898910511E-2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42928</v>
      </c>
      <c r="Y570" s="152">
        <f>_xll.qlInterestRateIndexValueDate(IborIndex,X570,Trigger)</f>
        <v>42930</v>
      </c>
      <c r="Z570" s="153">
        <v>2.3572221122491518E-2</v>
      </c>
      <c r="AA570" s="155">
        <v>2.1896225231845534E-2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42935</v>
      </c>
      <c r="Y571" s="152">
        <f>_xll.qlInterestRateIndexValueDate(IborIndex,X571,Trigger)</f>
        <v>42937</v>
      </c>
      <c r="Z571" s="153">
        <v>2.3680637860434756E-2</v>
      </c>
      <c r="AA571" s="155">
        <v>2.202824576019502E-2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42942</v>
      </c>
      <c r="Y572" s="152">
        <f>_xll.qlInterestRateIndexValueDate(IborIndex,X572,Trigger)</f>
        <v>42944</v>
      </c>
      <c r="Z572" s="153">
        <v>2.3796576526567415E-2</v>
      </c>
      <c r="AA572" s="155">
        <v>2.2158947482600055E-2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42949</v>
      </c>
      <c r="Y573" s="152">
        <f>_xll.qlInterestRateIndexValueDate(IborIndex,X573,Trigger)</f>
        <v>42951</v>
      </c>
      <c r="Z573" s="153">
        <v>2.391126534622165E-2</v>
      </c>
      <c r="AA573" s="155">
        <v>2.2288330397621792E-2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42956</v>
      </c>
      <c r="Y574" s="152">
        <f>_xll.qlInterestRateIndexValueDate(IborIndex,X574,Trigger)</f>
        <v>42958</v>
      </c>
      <c r="Z574" s="153">
        <v>2.4024710626275942E-2</v>
      </c>
      <c r="AA574" s="155">
        <v>2.241639450382138E-2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42963</v>
      </c>
      <c r="Y575" s="152">
        <f>_xll.qlInterestRateIndexValueDate(IborIndex,X575,Trigger)</f>
        <v>42965</v>
      </c>
      <c r="Z575" s="153">
        <v>2.4145304400380173E-2</v>
      </c>
      <c r="AA575" s="155">
        <v>2.2543139799680034E-2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42970</v>
      </c>
      <c r="Y576" s="152">
        <f>_xll.qlInterestRateIndexValueDate(IborIndex,X576,Trigger)</f>
        <v>42972</v>
      </c>
      <c r="Z576" s="153">
        <v>2.4247895814393457E-2</v>
      </c>
      <c r="AA576" s="155">
        <v>2.2686376694984745E-2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42977</v>
      </c>
      <c r="Y577" s="152">
        <f>_xll.qlInterestRateIndexValueDate(IborIndex,X577,Trigger)</f>
        <v>42979</v>
      </c>
      <c r="Z577" s="153">
        <v>2.4324653738933645E-2</v>
      </c>
      <c r="AA577" s="155">
        <v>2.2792673955338572E-2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42984</v>
      </c>
      <c r="Y578" s="152">
        <f>_xll.qlInterestRateIndexValueDate(IborIndex,X578,Trigger)</f>
        <v>42986</v>
      </c>
      <c r="Z578" s="153">
        <v>2.4433495053081178E-2</v>
      </c>
      <c r="AA578" s="155">
        <v>2.291546281218082E-2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42991</v>
      </c>
      <c r="Y579" s="152">
        <f>_xll.qlInterestRateIndexValueDate(IborIndex,X579,Trigger)</f>
        <v>42993</v>
      </c>
      <c r="Z579" s="153">
        <v>2.4541123457176538E-2</v>
      </c>
      <c r="AA579" s="155">
        <v>2.3036932853406356E-2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42998</v>
      </c>
      <c r="Y580" s="152">
        <f>_xll.qlInterestRateIndexValueDate(IborIndex,X580,Trigger)</f>
        <v>43000</v>
      </c>
      <c r="Z580" s="153">
        <v>2.4647545426593771E-2</v>
      </c>
      <c r="AA580" s="155">
        <v>2.3157084077576329E-2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43005</v>
      </c>
      <c r="Y581" s="152">
        <f>_xll.qlInterestRateIndexValueDate(IborIndex,X581,Trigger)</f>
        <v>43007</v>
      </c>
      <c r="Z581" s="153">
        <v>2.4752767440291687E-2</v>
      </c>
      <c r="AA581" s="155">
        <v>2.3275916483331827E-2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43012</v>
      </c>
      <c r="Y582" s="152">
        <f>_xll.qlInterestRateIndexValueDate(IborIndex,X582,Trigger)</f>
        <v>43014</v>
      </c>
      <c r="Z582" s="153">
        <v>2.4864673201200962E-2</v>
      </c>
      <c r="AA582" s="155">
        <v>2.3393430069393872E-2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43019</v>
      </c>
      <c r="Y583" s="152">
        <f>_xll.qlInterestRateIndexValueDate(IborIndex,X583,Trigger)</f>
        <v>43021</v>
      </c>
      <c r="Z583" s="153">
        <v>2.4967438838024467E-2</v>
      </c>
      <c r="AA583" s="155">
        <v>2.3509624834563425E-2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43026</v>
      </c>
      <c r="Y584" s="152">
        <f>_xll.qlInterestRateIndexValueDate(IborIndex,X584,Trigger)</f>
        <v>43028</v>
      </c>
      <c r="Z584" s="153">
        <v>2.506902403758092E-2</v>
      </c>
      <c r="AA584" s="155">
        <v>2.3624500777401636E-2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43033</v>
      </c>
      <c r="Y585" s="152">
        <f>_xll.qlInterestRateIndexValueDate(IborIndex,X585,Trigger)</f>
        <v>43035</v>
      </c>
      <c r="Z585" s="153">
        <v>2.5169435255772501E-2</v>
      </c>
      <c r="AA585" s="155">
        <v>2.37380578967894E-2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43040</v>
      </c>
      <c r="Y586" s="152">
        <f>_xll.qlInterestRateIndexValueDate(IborIndex,X586,Trigger)</f>
        <v>43042</v>
      </c>
      <c r="Z586" s="153">
        <v>2.526110518271962E-2</v>
      </c>
      <c r="AA586" s="155">
        <v>2.3850300248042799E-2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43047</v>
      </c>
      <c r="Y587" s="152">
        <f>_xll.qlInterestRateIndexValueDate(IborIndex,X587,Trigger)</f>
        <v>43052</v>
      </c>
      <c r="Z587" s="153">
        <v>2.540844207415572E-2</v>
      </c>
      <c r="AA587" s="155">
        <v>2.3977110690429626E-2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43054</v>
      </c>
      <c r="Y588" s="152">
        <f>_xll.qlInterestRateIndexValueDate(IborIndex,X588,Trigger)</f>
        <v>43056</v>
      </c>
      <c r="Z588" s="153">
        <v>2.54562634279616E-2</v>
      </c>
      <c r="AA588" s="155">
        <v>2.4071234139304565E-2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43061</v>
      </c>
      <c r="Y589" s="152">
        <f>_xll.qlInterestRateIndexValueDate(IborIndex,X589,Trigger)</f>
        <v>43063</v>
      </c>
      <c r="Z589" s="153">
        <v>2.5552104860325487E-2</v>
      </c>
      <c r="AA589" s="155">
        <v>2.4179978413929604E-2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43068</v>
      </c>
      <c r="Y590" s="152">
        <f>_xll.qlInterestRateIndexValueDate(IborIndex,X590,Trigger)</f>
        <v>43070</v>
      </c>
      <c r="Z590" s="153">
        <v>2.5654057423760972E-2</v>
      </c>
      <c r="AA590" s="155">
        <v>2.42875742398585E-2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43075</v>
      </c>
      <c r="Y591" s="152">
        <f>_xll.qlInterestRateIndexValueDate(IborIndex,X591,Trigger)</f>
        <v>43077</v>
      </c>
      <c r="Z591" s="153">
        <v>2.5747505219541555E-2</v>
      </c>
      <c r="AA591" s="155">
        <v>2.4394021616052086E-2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43082</v>
      </c>
      <c r="Y592" s="152">
        <f>_xll.qlInterestRateIndexValueDate(IborIndex,X592,Trigger)</f>
        <v>43084</v>
      </c>
      <c r="Z592" s="153">
        <v>2.5839793967020852E-2</v>
      </c>
      <c r="AA592" s="155">
        <v>2.4499320541551128E-2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43089</v>
      </c>
      <c r="Y593" s="152">
        <f>_xll.qlInterestRateIndexValueDate(IborIndex,X593,Trigger)</f>
        <v>43091</v>
      </c>
      <c r="Z593" s="153">
        <v>2.5930923505651675E-2</v>
      </c>
      <c r="AA593" s="155">
        <v>2.4633017353172804E-2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43096</v>
      </c>
      <c r="Y594" s="152">
        <f>_xll.qlInterestRateIndexValueDate(IborIndex,X594,Trigger)</f>
        <v>43098</v>
      </c>
      <c r="Z594" s="153">
        <v>2.6020893676897545E-2</v>
      </c>
      <c r="AA594" s="155">
        <v>2.4721093859181309E-2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43103</v>
      </c>
      <c r="Y595" s="152">
        <f>_xll.qlInterestRateIndexValueDate(IborIndex,X595,Trigger)</f>
        <v>43105</v>
      </c>
      <c r="Z595" s="153">
        <v>2.6102816084441292E-2</v>
      </c>
      <c r="AA595" s="155">
        <v>2.4808326603169562E-2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43110</v>
      </c>
      <c r="Y596" s="152">
        <f>_xll.qlInterestRateIndexValueDate(IborIndex,X596,Trigger)</f>
        <v>43112</v>
      </c>
      <c r="Z596" s="153">
        <v>2.6190543578006101E-2</v>
      </c>
      <c r="AA596" s="155">
        <v>2.4909031715658614E-2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43117</v>
      </c>
      <c r="Y597" s="152">
        <f>_xll.qlInterestRateIndexValueDate(IborIndex,X597,Trigger)</f>
        <v>43119</v>
      </c>
      <c r="Z597" s="153">
        <v>2.6277111314273419E-2</v>
      </c>
      <c r="AA597" s="155">
        <v>2.5008588372417151E-2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43124</v>
      </c>
      <c r="Y598" s="152">
        <f>_xll.qlInterestRateIndexValueDate(IborIndex,X598,Trigger)</f>
        <v>43126</v>
      </c>
      <c r="Z598" s="153">
        <v>2.6362519143451908E-2</v>
      </c>
      <c r="AA598" s="155">
        <v>2.510699657248594E-2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43131</v>
      </c>
      <c r="Y599" s="152">
        <f>_xll.qlInterestRateIndexValueDate(IborIndex,X599,Trigger)</f>
        <v>43133</v>
      </c>
      <c r="Z599" s="153">
        <v>2.6446766917753925E-2</v>
      </c>
      <c r="AA599" s="155">
        <v>2.5204256315065621E-2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43138</v>
      </c>
      <c r="Y600" s="152">
        <f>_xll.qlInterestRateIndexValueDate(IborIndex,X600,Trigger)</f>
        <v>43140</v>
      </c>
      <c r="Z600" s="153">
        <v>2.6529854491394656E-2</v>
      </c>
      <c r="AA600" s="155">
        <v>2.5300367599117024E-2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43145</v>
      </c>
      <c r="Y601" s="152">
        <f>_xll.qlInterestRateIndexValueDate(IborIndex,X601,Trigger)</f>
        <v>43147</v>
      </c>
      <c r="Z601" s="153">
        <v>2.6611781720593419E-2</v>
      </c>
      <c r="AA601" s="155">
        <v>2.5395330423680917E-2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43152</v>
      </c>
      <c r="Y602" s="152">
        <f>_xll.qlInterestRateIndexValueDate(IborIndex,X602,Trigger)</f>
        <v>43154</v>
      </c>
      <c r="Z602" s="153">
        <v>2.6692548463572358E-2</v>
      </c>
      <c r="AA602" s="155">
        <v>2.5489144787878004E-2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43159</v>
      </c>
      <c r="Y603" s="152">
        <f>_xll.qlInterestRateIndexValueDate(IborIndex,X603,Trigger)</f>
        <v>43161</v>
      </c>
      <c r="Z603" s="153">
        <v>2.6803453529845981E-2</v>
      </c>
      <c r="AA603" s="155">
        <v>2.5581810690828988E-2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43166</v>
      </c>
      <c r="Y604" s="152">
        <f>_xll.qlInterestRateIndexValueDate(IborIndex,X604,Trigger)</f>
        <v>43168</v>
      </c>
      <c r="Z604" s="153">
        <v>2.6875344657857757E-2</v>
      </c>
      <c r="AA604" s="155">
        <v>2.5673328131734507E-2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43173</v>
      </c>
      <c r="Y605" s="152">
        <f>_xll.qlInterestRateIndexValueDate(IborIndex,X605,Trigger)</f>
        <v>43175</v>
      </c>
      <c r="Z605" s="153">
        <v>2.6952320203857308E-2</v>
      </c>
      <c r="AA605" s="155">
        <v>2.5763697109635331E-2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43180</v>
      </c>
      <c r="Y606" s="152">
        <f>_xll.qlInterestRateIndexValueDate(IborIndex,X606,Trigger)</f>
        <v>43182</v>
      </c>
      <c r="Z606" s="153">
        <v>2.7028134398158373E-2</v>
      </c>
      <c r="AA606" s="155">
        <v>2.5852917623572225E-2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43187</v>
      </c>
      <c r="Y607" s="152">
        <f>_xll.qlInterestRateIndexValueDate(IborIndex,X607,Trigger)</f>
        <v>43193</v>
      </c>
      <c r="Z607" s="153">
        <v>2.7133118505188965E-2</v>
      </c>
      <c r="AA607" s="155">
        <v>2.5965942172891943E-2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43194</v>
      </c>
      <c r="Y608" s="152">
        <f>_xll.qlInterestRateIndexValueDate(IborIndex,X608,Trigger)</f>
        <v>43196</v>
      </c>
      <c r="Z608" s="153">
        <v>2.7182137163242557E-2</v>
      </c>
      <c r="AA608" s="155">
        <v>2.6027913256596591E-2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43201</v>
      </c>
      <c r="Y609" s="152">
        <f>_xll.qlInterestRateIndexValueDate(IborIndex,X609,Trigger)</f>
        <v>43203</v>
      </c>
      <c r="Z609" s="153">
        <v>2.7248607539988885E-2</v>
      </c>
      <c r="AA609" s="155">
        <v>2.611368837392547E-2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43208</v>
      </c>
      <c r="Y610" s="152">
        <f>_xll.qlInterestRateIndexValueDate(IborIndex,X610,Trigger)</f>
        <v>43210</v>
      </c>
      <c r="Z610" s="153">
        <v>2.7319775006872403E-2</v>
      </c>
      <c r="AA610" s="155">
        <v>2.6198315024013041E-2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43215</v>
      </c>
      <c r="Y611" s="152">
        <f>_xll.qlInterestRateIndexValueDate(IborIndex,X611,Trigger)</f>
        <v>43217</v>
      </c>
      <c r="Z611" s="153">
        <v>2.7389780472005316E-2</v>
      </c>
      <c r="AA611" s="155">
        <v>2.6281793206139881E-2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43222</v>
      </c>
      <c r="Y612" s="152">
        <f>_xll.qlInterestRateIndexValueDate(IborIndex,X612,Trigger)</f>
        <v>43224</v>
      </c>
      <c r="Z612" s="153">
        <v>2.7458623811534265E-2</v>
      </c>
      <c r="AA612" s="155">
        <v>2.6375790554364897E-2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43229</v>
      </c>
      <c r="Y613" s="152">
        <f>_xll.qlInterestRateIndexValueDate(IborIndex,X613,Trigger)</f>
        <v>43231</v>
      </c>
      <c r="Z613" s="153">
        <v>2.7531782436327548E-2</v>
      </c>
      <c r="AA613" s="155">
        <v>2.6445304162994177E-2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43236</v>
      </c>
      <c r="Y614" s="152">
        <f>_xll.qlInterestRateIndexValueDate(IborIndex,X614,Trigger)</f>
        <v>43238</v>
      </c>
      <c r="Z614" s="153">
        <v>2.7592862816188033E-2</v>
      </c>
      <c r="AA614" s="155">
        <v>2.6525336936282784E-2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43243</v>
      </c>
      <c r="Y615" s="152">
        <f>_xll.qlInterestRateIndexValueDate(IborIndex,X615,Trigger)</f>
        <v>43245</v>
      </c>
      <c r="Z615" s="153">
        <v>2.76583121311464E-2</v>
      </c>
      <c r="AA615" s="155">
        <v>2.6615396671552105E-2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43250</v>
      </c>
      <c r="Y616" s="152">
        <f>_xll.qlInterestRateIndexValueDate(IborIndex,X616,Trigger)</f>
        <v>43252</v>
      </c>
      <c r="Z616" s="153">
        <v>2.7722687029459171E-2</v>
      </c>
      <c r="AA616" s="155">
        <v>2.6681957068586115E-2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43257</v>
      </c>
      <c r="Y617" s="152">
        <f>_xll.qlInterestRateIndexValueDate(IborIndex,X617,Trigger)</f>
        <v>43259</v>
      </c>
      <c r="Z617" s="153">
        <v>2.7786016799393288E-2</v>
      </c>
      <c r="AA617" s="155">
        <v>2.6758544426082054E-2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43264</v>
      </c>
      <c r="Y618" s="152">
        <f>_xll.qlInterestRateIndexValueDate(IborIndex,X618,Trigger)</f>
        <v>43266</v>
      </c>
      <c r="Z618" s="153">
        <v>2.7848330734681601E-2</v>
      </c>
      <c r="AA618" s="155">
        <v>2.6833983310181608E-2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43271</v>
      </c>
      <c r="Y619" s="152">
        <f>_xll.qlInterestRateIndexValueDate(IborIndex,X619,Trigger)</f>
        <v>43273</v>
      </c>
      <c r="Z619" s="153">
        <v>2.7909658134366865E-2</v>
      </c>
      <c r="AA619" s="155">
        <v>2.6908273720325226E-2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43278</v>
      </c>
      <c r="Y620" s="152">
        <f>_xll.qlInterestRateIndexValueDate(IborIndex,X620,Trigger)</f>
        <v>43280</v>
      </c>
      <c r="Z620" s="153">
        <v>2.797002830265485E-2</v>
      </c>
      <c r="AA620" s="155">
        <v>2.6981415655473739E-2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43285</v>
      </c>
      <c r="Y621" s="152">
        <f>_xll.qlInterestRateIndexValueDate(IborIndex,X621,Trigger)</f>
        <v>43287</v>
      </c>
      <c r="Z621" s="153">
        <v>2.8029470548769572E-2</v>
      </c>
      <c r="AA621" s="155">
        <v>2.7053409115147531E-2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43292</v>
      </c>
      <c r="Y622" s="152">
        <f>_xll.qlInterestRateIndexValueDate(IborIndex,X622,Trigger)</f>
        <v>43294</v>
      </c>
      <c r="Z622" s="153">
        <v>2.8088014186810718E-2</v>
      </c>
      <c r="AA622" s="155">
        <v>2.7124254098627176E-2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43299</v>
      </c>
      <c r="Y623" s="152">
        <f>_xll.qlInterestRateIndexValueDate(IborIndex,X623,Trigger)</f>
        <v>43301</v>
      </c>
      <c r="Z623" s="153">
        <v>2.8150596501843879E-2</v>
      </c>
      <c r="AA623" s="155">
        <v>2.7193950605273187E-2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43306</v>
      </c>
      <c r="Y624" s="152">
        <f>_xll.qlInterestRateIndexValueDate(IborIndex,X624,Trigger)</f>
        <v>43308</v>
      </c>
      <c r="Z624" s="153">
        <v>2.8202522918656936E-2</v>
      </c>
      <c r="AA624" s="155">
        <v>2.7262498634286203E-2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43313</v>
      </c>
      <c r="Y625" s="152">
        <f>_xll.qlInterestRateIndexValueDate(IborIndex,X625,Trigger)</f>
        <v>43315</v>
      </c>
      <c r="Z625" s="153">
        <v>2.8258546663851483E-2</v>
      </c>
      <c r="AA625" s="155">
        <v>2.7329898185106671E-2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43320</v>
      </c>
      <c r="Y626" s="152">
        <f>_xll.qlInterestRateIndexValueDate(IborIndex,X626,Trigger)</f>
        <v>43322</v>
      </c>
      <c r="Z626" s="153">
        <v>2.8313789103502091E-2</v>
      </c>
      <c r="AA626" s="155">
        <v>2.7396149257095104E-2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43327</v>
      </c>
      <c r="Y627" s="152">
        <f>_xll.qlInterestRateIndexValueDate(IborIndex,X627,Trigger)</f>
        <v>43329</v>
      </c>
      <c r="Z627" s="153">
        <v>2.8373036991390051E-2</v>
      </c>
      <c r="AA627" s="155">
        <v>2.7461251849612012E-2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43334</v>
      </c>
      <c r="Y628" s="152">
        <f>_xll.qlInterestRateIndexValueDate(IborIndex,X628,Trigger)</f>
        <v>43336</v>
      </c>
      <c r="Z628" s="153">
        <v>2.8422047416457954E-2</v>
      </c>
      <c r="AA628" s="155">
        <v>2.7534248510248105E-2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43341</v>
      </c>
      <c r="Y629" s="152">
        <f>_xll.qlInterestRateIndexValueDate(IborIndex,X629,Trigger)</f>
        <v>43343</v>
      </c>
      <c r="Z629" s="153">
        <v>2.8456326223131989E-2</v>
      </c>
      <c r="AA629" s="155">
        <v>2.7588011593593365E-2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43348</v>
      </c>
      <c r="Y630" s="152">
        <f>_xll.qlInterestRateIndexValueDate(IborIndex,X630,Trigger)</f>
        <v>43350</v>
      </c>
      <c r="Z630" s="153">
        <v>2.8508856776372309E-2</v>
      </c>
      <c r="AA630" s="155">
        <v>2.7649668743938705E-2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43355</v>
      </c>
      <c r="Y631" s="152">
        <f>_xll.qlInterestRateIndexValueDate(IborIndex,X631,Trigger)</f>
        <v>43357</v>
      </c>
      <c r="Z631" s="153">
        <v>2.8560747452966818E-2</v>
      </c>
      <c r="AA631" s="155">
        <v>2.7710177412334502E-2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43362</v>
      </c>
      <c r="Y632" s="152">
        <f>_xll.qlInterestRateIndexValueDate(IborIndex,X632,Trigger)</f>
        <v>43364</v>
      </c>
      <c r="Z632" s="153">
        <v>2.8612028249752793E-2</v>
      </c>
      <c r="AA632" s="155">
        <v>2.7769537598301142E-2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43369</v>
      </c>
      <c r="Y633" s="152">
        <f>_xll.qlInterestRateIndexValueDate(IborIndex,X633,Trigger)</f>
        <v>43371</v>
      </c>
      <c r="Z633" s="153">
        <v>2.866731858978154E-2</v>
      </c>
      <c r="AA633" s="155">
        <v>2.7827749301119198E-2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43376</v>
      </c>
      <c r="Y634" s="152">
        <f>_xll.qlInterestRateIndexValueDate(IborIndex,X634,Trigger)</f>
        <v>43378</v>
      </c>
      <c r="Z634" s="153">
        <v>2.8717443955172242E-2</v>
      </c>
      <c r="AA634" s="155">
        <v>2.7884812520388991E-2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43383</v>
      </c>
      <c r="Y635" s="152">
        <f>_xll.qlInterestRateIndexValueDate(IborIndex,X635,Trigger)</f>
        <v>43385</v>
      </c>
      <c r="Z635" s="153">
        <v>2.8767050147181301E-2</v>
      </c>
      <c r="AA635" s="155">
        <v>2.7940727255471032E-2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43390</v>
      </c>
      <c r="Y636" s="152">
        <f>_xll.qlInterestRateIndexValueDate(IborIndex,X636,Trigger)</f>
        <v>43392</v>
      </c>
      <c r="Z636" s="153">
        <v>2.8834203833324787E-2</v>
      </c>
      <c r="AA636" s="155">
        <v>2.7995493505805769E-2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43397</v>
      </c>
      <c r="Y637" s="152">
        <f>_xll.qlInterestRateIndexValueDate(IborIndex,X637,Trigger)</f>
        <v>43399</v>
      </c>
      <c r="Z637" s="153">
        <v>2.8864824406395113E-2</v>
      </c>
      <c r="AA637" s="155">
        <v>2.8049111270993521E-2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43404</v>
      </c>
      <c r="Y638" s="152">
        <f>_xll.qlInterestRateIndexValueDate(IborIndex,X638,Trigger)</f>
        <v>43406</v>
      </c>
      <c r="Z638" s="153">
        <v>2.890858582352273E-2</v>
      </c>
      <c r="AA638" s="155">
        <v>2.8101598787326765E-2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43411</v>
      </c>
      <c r="Y639" s="152">
        <f>_xll.qlInterestRateIndexValueDate(IborIndex,X639,Trigger)</f>
        <v>43413</v>
      </c>
      <c r="Z639" s="153">
        <v>2.89564367325762E-2</v>
      </c>
      <c r="AA639" s="155">
        <v>2.8153466689859741E-2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43418</v>
      </c>
      <c r="Y640" s="152">
        <f>_xll.qlInterestRateIndexValueDate(IborIndex,X640,Trigger)</f>
        <v>43420</v>
      </c>
      <c r="Z640" s="153">
        <v>2.9003900293244258E-2</v>
      </c>
      <c r="AA640" s="155">
        <v>2.8204952059107669E-2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43425</v>
      </c>
      <c r="Y641" s="152">
        <f>_xll.qlInterestRateIndexValueDate(IborIndex,X641,Trigger)</f>
        <v>43427</v>
      </c>
      <c r="Z641" s="153">
        <v>2.905097687242016E-2</v>
      </c>
      <c r="AA641" s="155">
        <v>2.825605489483074E-2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43432</v>
      </c>
      <c r="Y642" s="152">
        <f>_xll.qlInterestRateIndexValueDate(IborIndex,X642,Trigger)</f>
        <v>43434</v>
      </c>
      <c r="Z642" s="153">
        <v>2.910203733571071E-2</v>
      </c>
      <c r="AA642" s="155">
        <v>2.8306775196869083E-2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43439</v>
      </c>
      <c r="Y643" s="152">
        <f>_xll.qlInterestRateIndexValueDate(IborIndex,X643,Trigger)</f>
        <v>43441</v>
      </c>
      <c r="Z643" s="153">
        <v>2.9148315938196279E-2</v>
      </c>
      <c r="AA643" s="155">
        <v>2.8357112965222697E-2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43446</v>
      </c>
      <c r="Y644" s="152">
        <f>_xll.qlInterestRateIndexValueDate(IborIndex,X644,Trigger)</f>
        <v>43448</v>
      </c>
      <c r="Z644" s="153">
        <v>2.9194207451279118E-2</v>
      </c>
      <c r="AA644" s="155">
        <v>2.8407068199491903E-2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43453</v>
      </c>
      <c r="Y645" s="152">
        <f>_xll.qlInterestRateIndexValueDate(IborIndex,X645,Trigger)</f>
        <v>43455</v>
      </c>
      <c r="Z645" s="153">
        <v>2.9239711848358527E-2</v>
      </c>
      <c r="AA645" s="155">
        <v>2.8470734266869968E-2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43461</v>
      </c>
      <c r="Y646" s="152">
        <f>_xll.qlInterestRateIndexValueDate(IborIndex,X646,Trigger)</f>
        <v>43465</v>
      </c>
      <c r="Z646" s="153">
        <v>2.929124623157672E-2</v>
      </c>
      <c r="AA646" s="155">
        <v>2.8519815137197924E-2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43468</v>
      </c>
      <c r="Y647" s="152">
        <f>_xll.qlInterestRateIndexValueDate(IborIndex,X647,Trigger)</f>
        <v>43472</v>
      </c>
      <c r="Z647" s="153">
        <v>2.9348610698748501E-2</v>
      </c>
      <c r="AA647" s="155">
        <v>2.8561579988455321E-2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43475</v>
      </c>
      <c r="Y648" s="152">
        <f>_xll.qlInterestRateIndexValueDate(IborIndex,X648,Trigger)</f>
        <v>43479</v>
      </c>
      <c r="Z648" s="153">
        <v>2.9392787642098992E-2</v>
      </c>
      <c r="AA648" s="155">
        <v>2.8609950437381571E-2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43482</v>
      </c>
      <c r="Y649" s="152">
        <f>_xll.qlInterestRateIndexValueDate(IborIndex,X649,Trigger)</f>
        <v>43487</v>
      </c>
      <c r="Z649" s="153">
        <v>2.9438612408024142E-2</v>
      </c>
      <c r="AA649" s="155">
        <v>2.8664762540557831E-2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43489</v>
      </c>
      <c r="Y650" s="152">
        <f>_xll.qlInterestRateIndexValueDate(IborIndex,X650,Trigger)</f>
        <v>43493</v>
      </c>
      <c r="Z650" s="153">
        <v>2.9479979810090179E-2</v>
      </c>
      <c r="AA650" s="155">
        <v>2.8705543730902505E-2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43496</v>
      </c>
      <c r="Y651" s="152">
        <f>_xll.qlInterestRateIndexValueDate(IborIndex,X651,Trigger)</f>
        <v>43500</v>
      </c>
      <c r="Z651" s="153">
        <v>2.9522994984188883E-2</v>
      </c>
      <c r="AA651" s="155">
        <v>2.875276657509751E-2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43503</v>
      </c>
      <c r="Y652" s="152">
        <f>_xll.qlInterestRateIndexValueDate(IborIndex,X652,Trigger)</f>
        <v>43507</v>
      </c>
      <c r="Z652" s="153">
        <v>2.9565622851701223E-2</v>
      </c>
      <c r="AA652" s="155">
        <v>2.8799606884089002E-2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43510</v>
      </c>
      <c r="Y653" s="152">
        <f>_xll.qlInterestRateIndexValueDate(IborIndex,X653,Trigger)</f>
        <v>43515</v>
      </c>
      <c r="Z653" s="153">
        <v>2.9609773857943576E-2</v>
      </c>
      <c r="AA653" s="155">
        <v>2.8852670255066215E-2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43517</v>
      </c>
      <c r="Y654" s="152">
        <f>_xll.qlInterestRateIndexValueDate(IborIndex,X654,Trigger)</f>
        <v>43521</v>
      </c>
      <c r="Z654" s="153">
        <v>2.9653785948354355E-2</v>
      </c>
      <c r="AA654" s="155">
        <v>2.8892139895742019E-2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43524</v>
      </c>
      <c r="Y655" s="152">
        <f>_xll.qlInterestRateIndexValueDate(IborIndex,X655,Trigger)</f>
        <v>43528</v>
      </c>
      <c r="Z655" s="153">
        <v>2.9699270454443805E-2</v>
      </c>
      <c r="AA655" s="155">
        <v>2.8937832598003865E-2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43531</v>
      </c>
      <c r="Y656" s="152">
        <f>_xll.qlInterestRateIndexValueDate(IborIndex,X656,Trigger)</f>
        <v>43535</v>
      </c>
      <c r="Z656" s="153">
        <v>2.9740300223349694E-2</v>
      </c>
      <c r="AA656" s="155">
        <v>2.8983142764582581E-2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43538</v>
      </c>
      <c r="Y657" s="152">
        <f>_xll.qlInterestRateIndexValueDate(IborIndex,X657,Trigger)</f>
        <v>43542</v>
      </c>
      <c r="Z657" s="153">
        <v>2.9780942506609839E-2</v>
      </c>
      <c r="AA657" s="155">
        <v>2.9028070395078487E-2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43545</v>
      </c>
      <c r="Y658" s="152">
        <f>_xll.qlInterestRateIndexValueDate(IborIndex,X658,Trigger)</f>
        <v>43549</v>
      </c>
      <c r="Z658" s="153">
        <v>2.9821197280402424E-2</v>
      </c>
      <c r="AA658" s="155">
        <v>2.9072615489571518E-2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43552</v>
      </c>
      <c r="Y659" s="152">
        <f>_xll.qlInterestRateIndexValueDate(IborIndex,X659,Trigger)</f>
        <v>43556</v>
      </c>
      <c r="Z659" s="153">
        <v>2.9857118968428936E-2</v>
      </c>
      <c r="AA659" s="155">
        <v>2.9116778047821867E-2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43559</v>
      </c>
      <c r="Y660" s="152">
        <f>_xll.qlInterestRateIndexValueDate(IborIndex,X660,Trigger)</f>
        <v>43563</v>
      </c>
      <c r="Z660" s="153">
        <v>2.989662308453097E-2</v>
      </c>
      <c r="AA660" s="155">
        <v>2.9160558069589726E-2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43566</v>
      </c>
      <c r="Y661" s="152">
        <f>_xll.qlInterestRateIndexValueDate(IborIndex,X661,Trigger)</f>
        <v>43570</v>
      </c>
      <c r="Z661" s="153">
        <v>2.9935739650401971E-2</v>
      </c>
      <c r="AA661" s="155">
        <v>2.9203955554875094E-2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43573</v>
      </c>
      <c r="Y662" s="152">
        <f>_xll.qlInterestRateIndexValueDate(IborIndex,X662,Trigger)</f>
        <v>43579</v>
      </c>
      <c r="Z662" s="153">
        <v>2.9985462879716911E-2</v>
      </c>
      <c r="AA662" s="155">
        <v>2.9267664887537848E-2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43580</v>
      </c>
      <c r="Y663" s="152">
        <f>_xll.qlInterestRateIndexValueDate(IborIndex,X663,Trigger)</f>
        <v>43584</v>
      </c>
      <c r="Z663" s="153">
        <v>3.0012810040467918E-2</v>
      </c>
      <c r="AA663" s="155">
        <v>2.9289602915198998E-2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43587</v>
      </c>
      <c r="Y664" s="152">
        <f>_xll.qlInterestRateIndexValueDate(IborIndex,X664,Trigger)</f>
        <v>43592</v>
      </c>
      <c r="Z664" s="153">
        <v>3.0059973879711765E-2</v>
      </c>
      <c r="AA664" s="155">
        <v>2.9337857258919797E-2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43594</v>
      </c>
      <c r="Y665" s="152">
        <f>_xll.qlInterestRateIndexValueDate(IborIndex,X665,Trigger)</f>
        <v>43598</v>
      </c>
      <c r="Z665" s="153">
        <v>3.0092132403675965E-2</v>
      </c>
      <c r="AA665" s="155">
        <v>2.9373720127834346E-2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43601</v>
      </c>
      <c r="Y666" s="152">
        <f>_xll.qlInterestRateIndexValueDate(IborIndex,X666,Trigger)</f>
        <v>43605</v>
      </c>
      <c r="Z666" s="153">
        <v>3.0129304400408837E-2</v>
      </c>
      <c r="AA666" s="155">
        <v>2.941520492830918E-2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43608</v>
      </c>
      <c r="Y667" s="152">
        <f>_xll.qlInterestRateIndexValueDate(IborIndex,X667,Trigger)</f>
        <v>43613</v>
      </c>
      <c r="Z667" s="153">
        <v>3.017509643328585E-2</v>
      </c>
      <c r="AA667" s="155">
        <v>2.9462147715806353E-2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43615</v>
      </c>
      <c r="Y668" s="152">
        <f>_xll.qlInterestRateIndexValueDate(IborIndex,X668,Trigger)</f>
        <v>43619</v>
      </c>
      <c r="Z668" s="153">
        <v>3.0198834346860933E-2</v>
      </c>
      <c r="AA668" s="155">
        <v>2.9497026917173486E-2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43622</v>
      </c>
      <c r="Y669" s="152">
        <f>_xll.qlInterestRateIndexValueDate(IborIndex,X669,Trigger)</f>
        <v>43626</v>
      </c>
      <c r="Z669" s="153">
        <v>3.0234970254962808E-2</v>
      </c>
      <c r="AA669" s="155">
        <v>2.9537364105323149E-2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43629</v>
      </c>
      <c r="Y670" s="152">
        <f>_xll.qlInterestRateIndexValueDate(IborIndex,X670,Trigger)</f>
        <v>43633</v>
      </c>
      <c r="Z670" s="153">
        <v>3.0270775718113718E-2</v>
      </c>
      <c r="AA670" s="155">
        <v>2.957731875563141E-2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43636</v>
      </c>
      <c r="Y671" s="152">
        <f>_xll.qlInterestRateIndexValueDate(IborIndex,X671,Trigger)</f>
        <v>43640</v>
      </c>
      <c r="Z671" s="153">
        <v>3.0306261860015404E-2</v>
      </c>
      <c r="AA671" s="155">
        <v>2.9616890868178203E-2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43643</v>
      </c>
      <c r="Y672" s="152">
        <f>_xll.qlInterestRateIndexValueDate(IborIndex,X672,Trigger)</f>
        <v>43647</v>
      </c>
      <c r="Z672" s="153">
        <v>3.0348786321111765E-2</v>
      </c>
      <c r="AA672" s="155">
        <v>2.9656080442643784E-2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43650</v>
      </c>
      <c r="Y673" s="152">
        <f>_xll.qlInterestRateIndexValueDate(IborIndex,X673,Trigger)</f>
        <v>43654</v>
      </c>
      <c r="Z673" s="153">
        <v>3.0379981095112921E-2</v>
      </c>
      <c r="AA673" s="155">
        <v>2.9694887479028154E-2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43657</v>
      </c>
      <c r="Y674" s="152">
        <f>_xll.qlInterestRateIndexValueDate(IborIndex,X674,Trigger)</f>
        <v>43661</v>
      </c>
      <c r="Z674" s="153">
        <v>3.0414563779653746E-2</v>
      </c>
      <c r="AA674" s="155">
        <v>2.9733311977171439E-2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43664</v>
      </c>
      <c r="Y675" s="152">
        <f>_xll.qlInterestRateIndexValueDate(IborIndex,X675,Trigger)</f>
        <v>43668</v>
      </c>
      <c r="Z675" s="153">
        <v>3.044887259539519E-2</v>
      </c>
      <c r="AA675" s="155">
        <v>2.9771353936993705E-2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43671</v>
      </c>
      <c r="Y676" s="152">
        <f>_xll.qlInterestRateIndexValueDate(IborIndex,X676,Trigger)</f>
        <v>43675</v>
      </c>
      <c r="Z676" s="153">
        <v>3.0482918610976305E-2</v>
      </c>
      <c r="AA676" s="155">
        <v>2.9809013358255143E-2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43678</v>
      </c>
      <c r="Y677" s="152">
        <f>_xll.qlInterestRateIndexValueDate(IborIndex,X677,Trigger)</f>
        <v>43682</v>
      </c>
      <c r="Z677" s="153">
        <v>3.0516712895903277E-2</v>
      </c>
      <c r="AA677" s="155">
        <v>2.9846290240955753E-2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43685</v>
      </c>
      <c r="Y678" s="152">
        <f>_xll.qlInterestRateIndexValueDate(IborIndex,X678,Trigger)</f>
        <v>43689</v>
      </c>
      <c r="Z678" s="153">
        <v>3.0550266520536377E-2</v>
      </c>
      <c r="AA678" s="155">
        <v>2.9883184584935663E-2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43692</v>
      </c>
      <c r="Y679" s="152">
        <f>_xll.qlInterestRateIndexValueDate(IborIndex,X679,Trigger)</f>
        <v>43696</v>
      </c>
      <c r="Z679" s="153">
        <v>3.0583590556073049E-2</v>
      </c>
      <c r="AA679" s="155">
        <v>2.9919696390035E-2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43699</v>
      </c>
      <c r="Y680" s="152">
        <f>_xll.qlInterestRateIndexValueDate(IborIndex,X680,Trigger)</f>
        <v>43704</v>
      </c>
      <c r="Z680" s="153">
        <v>3.0621408241825129E-2</v>
      </c>
      <c r="AA680" s="155">
        <v>2.9960955752281748E-2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43706</v>
      </c>
      <c r="Y681" s="152">
        <f>_xll.qlInterestRateIndexValueDate(IborIndex,X681,Trigger)</f>
        <v>43711</v>
      </c>
      <c r="Z681" s="153">
        <v>3.0647107844851959E-2</v>
      </c>
      <c r="AA681" s="155">
        <v>2.9996647830934364E-2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43713</v>
      </c>
      <c r="Y682" s="152">
        <f>_xll.qlInterestRateIndexValueDate(IborIndex,X682,Trigger)</f>
        <v>43717</v>
      </c>
      <c r="Z682" s="153">
        <v>3.0675136918045385E-2</v>
      </c>
      <c r="AA682" s="155">
        <v>3.0026936571250218E-2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43720</v>
      </c>
      <c r="Y683" s="152">
        <f>_xll.qlInterestRateIndexValueDate(IborIndex,X683,Trigger)</f>
        <v>43724</v>
      </c>
      <c r="Z683" s="153">
        <v>3.0707665057675134E-2</v>
      </c>
      <c r="AA683" s="155">
        <v>3.0061918219868033E-2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43727</v>
      </c>
      <c r="Y684" s="152">
        <f>_xll.qlInterestRateIndexValueDate(IborIndex,X684,Trigger)</f>
        <v>43731</v>
      </c>
      <c r="Z684" s="153">
        <v>3.0740018148546103E-2</v>
      </c>
      <c r="AA684" s="155">
        <v>3.009651732912566E-2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43734</v>
      </c>
      <c r="Y685" s="152">
        <f>_xll.qlInterestRateIndexValueDate(IborIndex,X685,Trigger)</f>
        <v>43738</v>
      </c>
      <c r="Z685" s="153">
        <v>3.0775770545059207E-2</v>
      </c>
      <c r="AA685" s="155">
        <v>3.0130733898783291E-2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43741</v>
      </c>
      <c r="Y686" s="152">
        <f>_xll.qlInterestRateIndexValueDate(IborIndex,X686,Trigger)</f>
        <v>43745</v>
      </c>
      <c r="Z686" s="153">
        <v>3.0807802319566358E-2</v>
      </c>
      <c r="AA686" s="155">
        <v>3.0164567928840924E-2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43748</v>
      </c>
      <c r="Y687" s="152">
        <f>_xll.qlInterestRateIndexValueDate(IborIndex,X687,Trigger)</f>
        <v>43753</v>
      </c>
      <c r="Z687" s="153">
        <v>3.0844237784616223E-2</v>
      </c>
      <c r="AA687" s="155">
        <v>3.0202766975806483E-2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43755</v>
      </c>
      <c r="Y688" s="152">
        <f>_xll.qlInterestRateIndexValueDate(IborIndex,X688,Trigger)</f>
        <v>43759</v>
      </c>
      <c r="Z688" s="153">
        <v>3.0871453336099482E-2</v>
      </c>
      <c r="AA688" s="155">
        <v>3.0231088369676584E-2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43762</v>
      </c>
      <c r="Y689" s="152">
        <f>_xll.qlInterestRateIndexValueDate(IborIndex,X689,Trigger)</f>
        <v>43766</v>
      </c>
      <c r="Z689" s="153">
        <v>3.0903094854598141E-2</v>
      </c>
      <c r="AA689" s="155">
        <v>3.0263774780214803E-2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43769</v>
      </c>
      <c r="Y690" s="152">
        <f>_xll.qlInterestRateIndexValueDate(IborIndex,X690,Trigger)</f>
        <v>43773</v>
      </c>
      <c r="Z690" s="153">
        <v>3.0934628565452899E-2</v>
      </c>
      <c r="AA690" s="155">
        <v>3.0296097190243287E-2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43776</v>
      </c>
      <c r="Y691" s="152">
        <f>_xll.qlInterestRateIndexValueDate(IborIndex,X691,Trigger)</f>
        <v>43781</v>
      </c>
      <c r="Z691" s="153">
        <v>3.096701055590239E-2</v>
      </c>
      <c r="AA691" s="155">
        <v>3.0332851922221238E-2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43783</v>
      </c>
      <c r="Y692" s="152">
        <f>_xll.qlInterestRateIndexValueDate(IborIndex,X692,Trigger)</f>
        <v>43787</v>
      </c>
      <c r="Z692" s="153">
        <v>3.0993869845752659E-2</v>
      </c>
      <c r="AA692" s="155">
        <v>3.0360335972856589E-2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43790</v>
      </c>
      <c r="Y693" s="152">
        <f>_xll.qlInterestRateIndexValueDate(IborIndex,X693,Trigger)</f>
        <v>43794</v>
      </c>
      <c r="Z693" s="153">
        <v>3.1028644101422122E-2</v>
      </c>
      <c r="AA693" s="155">
        <v>3.0392311867188937E-2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43797</v>
      </c>
      <c r="Y694" s="152">
        <f>_xll.qlInterestRateIndexValueDate(IborIndex,X694,Trigger)</f>
        <v>43801</v>
      </c>
      <c r="Z694" s="153">
        <v>3.1059789256804488E-2</v>
      </c>
      <c r="AA694" s="155">
        <v>3.0424192096845104E-2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43804</v>
      </c>
      <c r="Y695" s="152">
        <f>_xll.qlInterestRateIndexValueDate(IborIndex,X695,Trigger)</f>
        <v>43808</v>
      </c>
      <c r="Z695" s="153">
        <v>3.1090837726311375E-2</v>
      </c>
      <c r="AA695" s="155">
        <v>3.0455976661745154E-2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43811</v>
      </c>
      <c r="Y696" s="152">
        <f>_xll.qlInterestRateIndexValueDate(IborIndex,X696,Trigger)</f>
        <v>43815</v>
      </c>
      <c r="Z696" s="153">
        <v>3.1121789505420935E-2</v>
      </c>
      <c r="AA696" s="155">
        <v>3.0487665561809152E-2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43818</v>
      </c>
      <c r="Y697" s="152">
        <f>_xll.qlInterestRateIndexValueDate(IborIndex,X697,Trigger)</f>
        <v>43822</v>
      </c>
      <c r="Z697" s="153">
        <v>3.115264458962573E-2</v>
      </c>
      <c r="AA697" s="155">
        <v>3.0535358475693997E-2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43826</v>
      </c>
      <c r="Y698" s="152">
        <f>_xll.qlInterestRateIndexValueDate(IborIndex,X698,Trigger)</f>
        <v>43830</v>
      </c>
      <c r="Z698" s="153">
        <v>3.1184282828080612E-2</v>
      </c>
      <c r="AA698" s="155">
        <v>3.0566820385864446E-2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43833</v>
      </c>
      <c r="Y699" s="152">
        <f>_xll.qlInterestRateIndexValueDate(IborIndex,X699,Trigger)</f>
        <v>43837</v>
      </c>
      <c r="Z699" s="153">
        <v>3.1214934966013519E-2</v>
      </c>
      <c r="AA699" s="155">
        <v>3.0586636450573579E-2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43840</v>
      </c>
      <c r="Y700" s="152">
        <f>_xll.qlInterestRateIndexValueDate(IborIndex,X700,Trigger)</f>
        <v>43844</v>
      </c>
      <c r="Z700" s="153">
        <v>3.1245490401040962E-2</v>
      </c>
      <c r="AA700" s="155">
        <v>3.0617929025025248E-2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43847</v>
      </c>
      <c r="Y701" s="152">
        <f>_xll.qlInterestRateIndexValueDate(IborIndex,X701,Trigger)</f>
        <v>43851</v>
      </c>
      <c r="Z701" s="153">
        <v>3.1275949128736151E-2</v>
      </c>
      <c r="AA701" s="155">
        <v>3.0649125934640864E-2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43854</v>
      </c>
      <c r="Y702" s="152">
        <f>_xll.qlInterestRateIndexValueDate(IborIndex,X702,Trigger)</f>
        <v>43858</v>
      </c>
      <c r="Z702" s="153">
        <v>3.1306311144687238E-2</v>
      </c>
      <c r="AA702" s="155">
        <v>3.0680227179260555E-2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43861</v>
      </c>
      <c r="Y703" s="152">
        <f>_xll.qlInterestRateIndexValueDate(IborIndex,X703,Trigger)</f>
        <v>43865</v>
      </c>
      <c r="Z703" s="153">
        <v>3.1336576444496854E-2</v>
      </c>
      <c r="AA703" s="155">
        <v>3.0711232758964258E-2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43868</v>
      </c>
      <c r="Y704" s="152">
        <f>_xll.qlInterestRateIndexValueDate(IborIndex,X704,Trigger)</f>
        <v>43872</v>
      </c>
      <c r="Z704" s="153">
        <v>3.1366745023779931E-2</v>
      </c>
      <c r="AA704" s="155">
        <v>3.0742142673751971E-2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43875</v>
      </c>
      <c r="Y705" s="152">
        <f>_xll.qlInterestRateIndexValueDate(IborIndex,X705,Trigger)</f>
        <v>43879</v>
      </c>
      <c r="Z705" s="153">
        <v>3.1396816878166353E-2</v>
      </c>
      <c r="AA705" s="155">
        <v>3.0772956923543759E-2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43882</v>
      </c>
      <c r="Y706" s="152">
        <f>_xll.qlInterestRateIndexValueDate(IborIndex,X706,Trigger)</f>
        <v>43886</v>
      </c>
      <c r="Z706" s="153">
        <v>3.142679200330091E-2</v>
      </c>
      <c r="AA706" s="155">
        <v>3.0803675508259687E-2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43889</v>
      </c>
      <c r="Y707" s="152">
        <f>_xll.qlInterestRateIndexValueDate(IborIndex,X707,Trigger)</f>
        <v>43893</v>
      </c>
      <c r="Z707" s="153">
        <v>3.1463605452492133E-2</v>
      </c>
      <c r="AA707" s="155">
        <v>3.0834298428059626E-2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43896</v>
      </c>
      <c r="Y708" s="152">
        <f>_xll.qlInterestRateIndexValueDate(IborIndex,X708,Trigger)</f>
        <v>43900</v>
      </c>
      <c r="Z708" s="153">
        <v>3.1493378449983886E-2</v>
      </c>
      <c r="AA708" s="155">
        <v>3.0864825682703767E-2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43903</v>
      </c>
      <c r="Y709" s="152">
        <f>_xll.qlInterestRateIndexValueDate(IborIndex,X709,Trigger)</f>
        <v>43907</v>
      </c>
      <c r="Z709" s="153">
        <v>3.1523054692664088E-2</v>
      </c>
      <c r="AA709" s="155">
        <v>3.0895257272272048E-2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43910</v>
      </c>
      <c r="Y710" s="152">
        <f>_xll.qlInterestRateIndexValueDate(IborIndex,X710,Trigger)</f>
        <v>43914</v>
      </c>
      <c r="Z710" s="153">
        <v>3.1552634176186645E-2</v>
      </c>
      <c r="AA710" s="155">
        <v>3.0925593196844403E-2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43917</v>
      </c>
      <c r="Y711" s="152">
        <f>_xll.qlInterestRateIndexValueDate(IborIndex,X711,Trigger)</f>
        <v>43921</v>
      </c>
      <c r="Z711" s="153">
        <v>3.1578666826608225E-2</v>
      </c>
      <c r="AA711" s="155">
        <v>3.0955833456181026E-2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43924</v>
      </c>
      <c r="Y712" s="152">
        <f>_xll.qlInterestRateIndexValueDate(IborIndex,X712,Trigger)</f>
        <v>43928</v>
      </c>
      <c r="Z712" s="153">
        <v>3.1608057132516992E-2</v>
      </c>
      <c r="AA712" s="155">
        <v>3.0999908746750293E-2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43935</v>
      </c>
      <c r="Y713" s="152">
        <f>_xll.qlInterestRateIndexValueDate(IborIndex,X713,Trigger)</f>
        <v>43937</v>
      </c>
      <c r="Z713" s="153">
        <v>3.1645702481706832E-2</v>
      </c>
      <c r="AA713" s="155">
        <v>3.1033154844353206E-2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43942</v>
      </c>
      <c r="Y714" s="152">
        <f>_xll.qlInterestRateIndexValueDate(IborIndex,X714,Trigger)</f>
        <v>43944</v>
      </c>
      <c r="Z714" s="153">
        <v>3.1674871602532233E-2</v>
      </c>
      <c r="AA714" s="155">
        <v>3.1063053442350608E-2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43949</v>
      </c>
      <c r="Y715" s="152">
        <f>_xll.qlInterestRateIndexValueDate(IborIndex,X715,Trigger)</f>
        <v>43951</v>
      </c>
      <c r="Z715" s="153">
        <v>3.1703943947893928E-2</v>
      </c>
      <c r="AA715" s="155">
        <v>3.1097106127502272E-2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43956</v>
      </c>
      <c r="Y716" s="152">
        <f>_xll.qlInterestRateIndexValueDate(IborIndex,X716,Trigger)</f>
        <v>43958</v>
      </c>
      <c r="Z716" s="153">
        <v>3.1743199445852008E-2</v>
      </c>
      <c r="AA716" s="155">
        <v>3.1122563642638212E-2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43963</v>
      </c>
      <c r="Y717" s="152">
        <f>_xll.qlInterestRateIndexValueDate(IborIndex,X717,Trigger)</f>
        <v>43965</v>
      </c>
      <c r="Z717" s="153">
        <v>3.1772060499187613E-2</v>
      </c>
      <c r="AA717" s="155">
        <v>3.1152175244848479E-2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43970</v>
      </c>
      <c r="Y718" s="152">
        <f>_xll.qlInterestRateIndexValueDate(IborIndex,X718,Trigger)</f>
        <v>43972</v>
      </c>
      <c r="Z718" s="153">
        <v>3.1800814701299002E-2</v>
      </c>
      <c r="AA718" s="155">
        <v>3.1185899934769168E-2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43977</v>
      </c>
      <c r="Y719" s="152">
        <f>_xll.qlInterestRateIndexValueDate(IborIndex,X719,Trigger)</f>
        <v>43979</v>
      </c>
      <c r="Z719" s="153">
        <v>3.1829456188720337E-2</v>
      </c>
      <c r="AA719" s="155">
        <v>3.1211111453322005E-2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43984</v>
      </c>
      <c r="Y720" s="152">
        <f>_xll.qlInterestRateIndexValueDate(IborIndex,X720,Trigger)</f>
        <v>43986</v>
      </c>
      <c r="Z720" s="153">
        <v>3.1847775790306607E-2</v>
      </c>
      <c r="AA720" s="155">
        <v>3.1240436059505328E-2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43991</v>
      </c>
      <c r="Y721" s="152">
        <f>_xll.qlInterestRateIndexValueDate(IborIndex,X721,Trigger)</f>
        <v>43993</v>
      </c>
      <c r="Z721" s="153">
        <v>3.1876198969744224E-2</v>
      </c>
      <c r="AA721" s="155">
        <v>3.1269665000372981E-2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43998</v>
      </c>
      <c r="Y722" s="152">
        <f>_xll.qlInterestRateIndexValueDate(IborIndex,X722,Trigger)</f>
        <v>44000</v>
      </c>
      <c r="Z722" s="153">
        <v>3.1904493874022166E-2</v>
      </c>
      <c r="AA722" s="155">
        <v>3.1298798275765094E-2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44005</v>
      </c>
      <c r="Y723" s="152">
        <f>_xll.qlInterestRateIndexValueDate(IborIndex,X723,Trigger)</f>
        <v>44007</v>
      </c>
      <c r="Z723" s="153">
        <v>3.1946150285316235E-2</v>
      </c>
      <c r="AA723" s="155">
        <v>3.1327835885841537E-2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44012</v>
      </c>
      <c r="Y724" s="152">
        <f>_xll.qlInterestRateIndexValueDate(IborIndex,X724,Trigger)</f>
        <v>44014</v>
      </c>
      <c r="Z724" s="153">
        <v>3.1970767661810263E-2</v>
      </c>
      <c r="AA724" s="155">
        <v>3.1356777830362503E-2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44019</v>
      </c>
      <c r="Y725" s="152">
        <f>_xll.qlInterestRateIndexValueDate(IborIndex,X725,Trigger)</f>
        <v>44021</v>
      </c>
      <c r="Z725" s="153">
        <v>3.1998609710509066E-2</v>
      </c>
      <c r="AA725" s="155">
        <v>3.1385624109487864E-2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44026</v>
      </c>
      <c r="Y726" s="152">
        <f>_xll.qlInterestRateIndexValueDate(IborIndex,X726,Trigger)</f>
        <v>44028</v>
      </c>
      <c r="Z726" s="153">
        <v>3.2029638001025554E-2</v>
      </c>
      <c r="AA726" s="155">
        <v>3.1414374723057747E-2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44033</v>
      </c>
      <c r="Y727" s="152">
        <f>_xll.qlInterestRateIndexValueDate(IborIndex,X727,Trigger)</f>
        <v>44035</v>
      </c>
      <c r="Z727" s="153">
        <v>3.2053826638652423E-2</v>
      </c>
      <c r="AA727" s="155">
        <v>3.1443029671072154E-2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44040</v>
      </c>
      <c r="Y728" s="152">
        <f>_xll.qlInterestRateIndexValueDate(IborIndex,X728,Trigger)</f>
        <v>44042</v>
      </c>
      <c r="Z728" s="153">
        <v>3.2071235794536579E-2</v>
      </c>
      <c r="AA728" s="155">
        <v>3.1471588953690954E-2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44047</v>
      </c>
      <c r="Y729" s="152">
        <f>_xll.qlInterestRateIndexValueDate(IborIndex,X729,Trigger)</f>
        <v>44049</v>
      </c>
      <c r="Z729" s="153">
        <v>3.2108381566750895E-2</v>
      </c>
      <c r="AA729" s="155">
        <v>3.1500052570674342E-2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44054</v>
      </c>
      <c r="Y730" s="152">
        <f>_xll.qlInterestRateIndexValueDate(IborIndex,X730,Trigger)</f>
        <v>44056</v>
      </c>
      <c r="Z730" s="153">
        <v>3.2138685715349634E-2</v>
      </c>
      <c r="AA730" s="155">
        <v>3.1528420522022316E-2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44061</v>
      </c>
      <c r="Y731" s="152">
        <f>_xll.qlInterestRateIndexValueDate(IborIndex,X731,Trigger)</f>
        <v>44063</v>
      </c>
      <c r="Z731" s="153">
        <v>3.2162227561581137E-2</v>
      </c>
      <c r="AA731" s="155">
        <v>3.1556692807734876E-2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44068</v>
      </c>
      <c r="Y732" s="152">
        <f>_xll.qlInterestRateIndexValueDate(IborIndex,X732,Trigger)</f>
        <v>44070</v>
      </c>
      <c r="Z732" s="153">
        <v>3.2179076647912988E-2</v>
      </c>
      <c r="AA732" s="155">
        <v>3.1588886849887032E-2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44075</v>
      </c>
      <c r="Y733" s="152">
        <f>_xll.qlInterestRateIndexValueDate(IborIndex,X733,Trigger)</f>
        <v>44077</v>
      </c>
      <c r="Z733" s="153">
        <v>3.2199060465735979E-2</v>
      </c>
      <c r="AA733" s="155">
        <v>3.1612950382413629E-2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44082</v>
      </c>
      <c r="Y734" s="152">
        <f>_xll.qlInterestRateIndexValueDate(IborIndex,X734,Trigger)</f>
        <v>44084</v>
      </c>
      <c r="Z734" s="153">
        <v>3.2225380285396718E-2</v>
      </c>
      <c r="AA734" s="155">
        <v>3.164093567121995E-2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44089</v>
      </c>
      <c r="Y735" s="152">
        <f>_xll.qlInterestRateIndexValueDate(IborIndex,X735,Trigger)</f>
        <v>44091</v>
      </c>
      <c r="Z735" s="153">
        <v>3.2251494890670099E-2</v>
      </c>
      <c r="AA735" s="155">
        <v>3.1668825294230984E-2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44096</v>
      </c>
      <c r="Y736" s="152">
        <f>_xll.qlInterestRateIndexValueDate(IborIndex,X736,Trigger)</f>
        <v>44098</v>
      </c>
      <c r="Z736" s="153">
        <v>3.2277398254264747E-2</v>
      </c>
      <c r="AA736" s="155">
        <v>3.1696619251686542E-2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44103</v>
      </c>
      <c r="Y737" s="152">
        <f>_xll.qlInterestRateIndexValueDate(IborIndex,X737,Trigger)</f>
        <v>44105</v>
      </c>
      <c r="Z737" s="153">
        <v>3.2306278618359198E-2</v>
      </c>
      <c r="AA737" s="155">
        <v>3.1724317543346814E-2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44110</v>
      </c>
      <c r="Y738" s="152">
        <f>_xll.qlInterestRateIndexValueDate(IborIndex,X738,Trigger)</f>
        <v>44112</v>
      </c>
      <c r="Z738" s="153">
        <v>3.2331725957628836E-2</v>
      </c>
      <c r="AA738" s="155">
        <v>3.17519201692118E-2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44117</v>
      </c>
      <c r="Y739" s="152">
        <f>_xll.qlInterestRateIndexValueDate(IborIndex,X739,Trigger)</f>
        <v>44119</v>
      </c>
      <c r="Z739" s="153">
        <v>3.2356943825009067E-2</v>
      </c>
      <c r="AA739" s="155">
        <v>3.1779427129281501E-2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44124</v>
      </c>
      <c r="Y740" s="152">
        <f>_xll.qlInterestRateIndexValueDate(IborIndex,X740,Trigger)</f>
        <v>44126</v>
      </c>
      <c r="Z740" s="153">
        <v>3.2381926224762367E-2</v>
      </c>
      <c r="AA740" s="155">
        <v>3.1806838423555917E-2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44131</v>
      </c>
      <c r="Y741" s="152">
        <f>_xll.qlInterestRateIndexValueDate(IborIndex,X741,Trigger)</f>
        <v>44133</v>
      </c>
      <c r="Z741" s="153">
        <v>3.240666716093555E-2</v>
      </c>
      <c r="AA741" s="155">
        <v>3.1834154052035046E-2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44138</v>
      </c>
      <c r="Y742" s="152">
        <f>_xll.qlInterestRateIndexValueDate(IborIndex,X742,Trigger)</f>
        <v>44140</v>
      </c>
      <c r="Z742" s="153">
        <v>3.2428044805350775E-2</v>
      </c>
      <c r="AA742" s="155">
        <v>3.1861326604722962E-2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44145</v>
      </c>
      <c r="Y743" s="152">
        <f>_xll.qlInterestRateIndexValueDate(IborIndex,X743,Trigger)</f>
        <v>44147</v>
      </c>
      <c r="Z743" s="153">
        <v>3.2452302188143156E-2</v>
      </c>
      <c r="AA743" s="155">
        <v>3.1888253967622404E-2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44152</v>
      </c>
      <c r="Y744" s="152">
        <f>_xll.qlInterestRateIndexValueDate(IborIndex,X744,Trigger)</f>
        <v>44154</v>
      </c>
      <c r="Z744" s="153">
        <v>3.2476306982663468E-2</v>
      </c>
      <c r="AA744" s="155">
        <v>3.1914932493970483E-2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44159</v>
      </c>
      <c r="Y745" s="152">
        <f>_xll.qlInterestRateIndexValueDate(IborIndex,X745,Trigger)</f>
        <v>44162</v>
      </c>
      <c r="Z745" s="153">
        <v>3.2503431730235059E-2</v>
      </c>
      <c r="AA745" s="155">
        <v>3.1945117540352896E-2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44166</v>
      </c>
      <c r="Y746" s="152">
        <f>_xll.qlInterestRateIndexValueDate(IborIndex,X746,Trigger)</f>
        <v>44168</v>
      </c>
      <c r="Z746" s="153">
        <v>3.2526610972602961E-2</v>
      </c>
      <c r="AA746" s="155">
        <v>3.1967543036532931E-2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44173</v>
      </c>
      <c r="Y747" s="152">
        <f>_xll.qlInterestRateIndexValueDate(IborIndex,X747,Trigger)</f>
        <v>44175</v>
      </c>
      <c r="Z747" s="153">
        <v>3.2549841986028866E-2</v>
      </c>
      <c r="AA747" s="155">
        <v>3.1993475052667364E-2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44180</v>
      </c>
      <c r="Y748" s="152">
        <f>_xll.qlInterestRateIndexValueDate(IborIndex,X748,Trigger)</f>
        <v>44182</v>
      </c>
      <c r="Z748" s="153">
        <v>3.2572820353922151E-2</v>
      </c>
      <c r="AA748" s="155">
        <v>3.2019158231930689E-2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44187</v>
      </c>
      <c r="Y749" s="152">
        <f>_xll.qlInterestRateIndexValueDate(IborIndex,X749,Trigger)</f>
        <v>44189</v>
      </c>
      <c r="Z749" s="153">
        <v>3.259554606761457E-2</v>
      </c>
      <c r="AA749" s="155">
        <v>3.2051813824560682E-2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44194</v>
      </c>
      <c r="Y750" s="152">
        <f>_xll.qlInterestRateIndexValueDate(IborIndex,X750,Trigger)</f>
        <v>44196</v>
      </c>
      <c r="Z750" s="153">
        <v>3.2615030898404646E-2</v>
      </c>
      <c r="AA750" s="155">
        <v>3.2073355695807493E-2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44201</v>
      </c>
      <c r="Y751" s="152">
        <f>_xll.qlInterestRateIndexValueDate(IborIndex,X751,Trigger)</f>
        <v>44203</v>
      </c>
      <c r="Z751" s="153">
        <v>3.2637267328172653E-2</v>
      </c>
      <c r="AA751" s="155">
        <v>3.2094714748174269E-2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44208</v>
      </c>
      <c r="Y752" s="152">
        <f>_xll.qlInterestRateIndexValueDate(IborIndex,X752,Trigger)</f>
        <v>44210</v>
      </c>
      <c r="Z752" s="153">
        <v>3.2659251100276586E-2</v>
      </c>
      <c r="AA752" s="155">
        <v>3.2119402579473544E-2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44215</v>
      </c>
      <c r="Y753" s="152">
        <f>_xll.qlInterestRateIndexValueDate(IborIndex,X753,Trigger)</f>
        <v>44217</v>
      </c>
      <c r="Z753" s="153">
        <v>3.2680982206468458E-2</v>
      </c>
      <c r="AA753" s="155">
        <v>3.2143841573741838E-2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44222</v>
      </c>
      <c r="Y754" s="152">
        <f>_xll.qlInterestRateIndexValueDate(IborIndex,X754,Trigger)</f>
        <v>44224</v>
      </c>
      <c r="Z754" s="153">
        <v>3.2702460638595235E-2</v>
      </c>
      <c r="AA754" s="155">
        <v>3.2168031730739344E-2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44229</v>
      </c>
      <c r="Y755" s="152">
        <f>_xll.qlInterestRateIndexValueDate(IborIndex,X755,Trigger)</f>
        <v>44231</v>
      </c>
      <c r="Z755" s="153">
        <v>3.2723686388597947E-2</v>
      </c>
      <c r="AA755" s="155">
        <v>3.2191973050625933E-2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44236</v>
      </c>
      <c r="Y756" s="152">
        <f>_xll.qlInterestRateIndexValueDate(IborIndex,X756,Trigger)</f>
        <v>44238</v>
      </c>
      <c r="Z756" s="153">
        <v>3.2744659448514346E-2</v>
      </c>
      <c r="AA756" s="155">
        <v>3.2215665533241733E-2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44243</v>
      </c>
      <c r="Y757" s="152">
        <f>_xll.qlInterestRateIndexValueDate(IborIndex,X757,Trigger)</f>
        <v>44245</v>
      </c>
      <c r="Z757" s="153">
        <v>3.2765379810474039E-2</v>
      </c>
      <c r="AA757" s="155">
        <v>3.2239109178586745E-2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44250</v>
      </c>
      <c r="Y758" s="152">
        <f>_xll.qlInterestRateIndexValueDate(IborIndex,X758,Trigger)</f>
        <v>44252</v>
      </c>
      <c r="Z758" s="153">
        <v>3.2785847466702919E-2</v>
      </c>
      <c r="AA758" s="155">
        <v>3.2262303986501095E-2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44257</v>
      </c>
      <c r="Y759" s="152">
        <f>_xll.qlInterestRateIndexValueDate(IborIndex,X759,Trigger)</f>
        <v>44259</v>
      </c>
      <c r="Z759" s="153">
        <v>3.2823099475735695E-2</v>
      </c>
      <c r="AA759" s="155">
        <v>3.2285249957064721E-2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44264</v>
      </c>
      <c r="Y760" s="152">
        <f>_xll.qlInterestRateIndexValueDate(IborIndex,X760,Trigger)</f>
        <v>44266</v>
      </c>
      <c r="Z760" s="153">
        <v>3.2840144375860081E-2</v>
      </c>
      <c r="AA760" s="155">
        <v>3.230794709011775E-2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44271</v>
      </c>
      <c r="Y761" s="152">
        <f>_xll.qlInterestRateIndexValueDate(IborIndex,X761,Trigger)</f>
        <v>44273</v>
      </c>
      <c r="Z761" s="153">
        <v>3.2859772481556991E-2</v>
      </c>
      <c r="AA761" s="155">
        <v>3.2330395385740118E-2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44278</v>
      </c>
      <c r="Y762" s="152">
        <f>_xll.qlInterestRateIndexValueDate(IborIndex,X762,Trigger)</f>
        <v>44280</v>
      </c>
      <c r="Z762" s="153">
        <v>3.287914773959625E-2</v>
      </c>
      <c r="AA762" s="155">
        <v>3.2352594843692017E-2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44285</v>
      </c>
      <c r="Y763" s="152">
        <f>_xll.qlInterestRateIndexValueDate(IborIndex,X763,Trigger)</f>
        <v>44287</v>
      </c>
      <c r="Z763" s="153">
        <v>3.2889949187746681E-2</v>
      </c>
      <c r="AA763" s="155">
        <v>3.2380771365208005E-2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44292</v>
      </c>
      <c r="Y764" s="152">
        <f>_xll.qlInterestRateIndexValueDate(IborIndex,X764,Trigger)</f>
        <v>44294</v>
      </c>
      <c r="Z764" s="153">
        <v>3.2908867771326837E-2</v>
      </c>
      <c r="AA764" s="155">
        <v>3.2396247246984089E-2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44299</v>
      </c>
      <c r="Y765" s="152">
        <f>_xll.qlInterestRateIndexValueDate(IborIndex,X765,Trigger)</f>
        <v>44301</v>
      </c>
      <c r="Z765" s="153">
        <v>3.2927533552519442E-2</v>
      </c>
      <c r="AA765" s="155">
        <v>3.2417700192084453E-2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44306</v>
      </c>
      <c r="Y766" s="152">
        <f>_xll.qlInterestRateIndexValueDate(IborIndex,X766,Trigger)</f>
        <v>44308</v>
      </c>
      <c r="Z766" s="153">
        <v>3.2945946524243826E-2</v>
      </c>
      <c r="AA766" s="155">
        <v>3.2438904299514348E-2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44313</v>
      </c>
      <c r="Y767" s="152">
        <f>_xll.qlInterestRateIndexValueDate(IborIndex,X767,Trigger)</f>
        <v>44315</v>
      </c>
      <c r="Z767" s="153">
        <v>3.2964106679514105E-2</v>
      </c>
      <c r="AA767" s="155">
        <v>3.2462832865762792E-2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44320</v>
      </c>
      <c r="Y768" s="152">
        <f>_xll.qlInterestRateIndexValueDate(IborIndex,X768,Trigger)</f>
        <v>44322</v>
      </c>
      <c r="Z768" s="153">
        <v>3.2990089450667857E-2</v>
      </c>
      <c r="AA768" s="155">
        <v>3.2480566000883115E-2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44327</v>
      </c>
      <c r="Y769" s="152">
        <f>_xll.qlInterestRateIndexValueDate(IborIndex,X769,Trigger)</f>
        <v>44329</v>
      </c>
      <c r="Z769" s="153">
        <v>3.3007701998706354E-2</v>
      </c>
      <c r="AA769" s="155">
        <v>3.2501023594821987E-2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44334</v>
      </c>
      <c r="Y770" s="152">
        <f>_xll.qlInterestRateIndexValueDate(IborIndex,X770,Trigger)</f>
        <v>44336</v>
      </c>
      <c r="Z770" s="153">
        <v>3.3025080600473031E-2</v>
      </c>
      <c r="AA770" s="155">
        <v>3.2521232350930518E-2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44341</v>
      </c>
      <c r="Y771" s="152">
        <f>_xll.qlInterestRateIndexValueDate(IborIndex,X771,Trigger)</f>
        <v>44343</v>
      </c>
      <c r="Z771" s="153">
        <v>3.3042237314239269E-2</v>
      </c>
      <c r="AA771" s="155">
        <v>3.254402337256046E-2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44348</v>
      </c>
      <c r="Y772" s="152">
        <f>_xll.qlInterestRateIndexValueDate(IborIndex,X772,Trigger)</f>
        <v>44350</v>
      </c>
      <c r="Z772" s="153">
        <v>3.305126025038839E-2</v>
      </c>
      <c r="AA772" s="155">
        <v>3.2560903349097003E-2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44355</v>
      </c>
      <c r="Y773" s="152">
        <f>_xll.qlInterestRateIndexValueDate(IborIndex,X773,Trigger)</f>
        <v>44357</v>
      </c>
      <c r="Z773" s="153">
        <v>3.3068036006817854E-2</v>
      </c>
      <c r="AA773" s="155">
        <v>3.2580365591234894E-2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44362</v>
      </c>
      <c r="Y774" s="152">
        <f>_xll.qlInterestRateIndexValueDate(IborIndex,X774,Trigger)</f>
        <v>44364</v>
      </c>
      <c r="Z774" s="153">
        <v>3.3084621950006346E-2</v>
      </c>
      <c r="AA774" s="155">
        <v>3.25995789952227E-2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44369</v>
      </c>
      <c r="Y775" s="152">
        <f>_xll.qlInterestRateIndexValueDate(IborIndex,X775,Trigger)</f>
        <v>44371</v>
      </c>
      <c r="Z775" s="153">
        <v>3.3114123655628852E-2</v>
      </c>
      <c r="AA775" s="155">
        <v>3.2618543561140356E-2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44376</v>
      </c>
      <c r="Y776" s="152">
        <f>_xll.qlInterestRateIndexValueDate(IborIndex,X776,Trigger)</f>
        <v>44378</v>
      </c>
      <c r="Z776" s="153">
        <v>3.3127728511710378E-2</v>
      </c>
      <c r="AA776" s="155">
        <v>3.2637259288907927E-2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44383</v>
      </c>
      <c r="Y777" s="152">
        <f>_xll.qlInterestRateIndexValueDate(IborIndex,X777,Trigger)</f>
        <v>44385</v>
      </c>
      <c r="Z777" s="153">
        <v>3.314119327329719E-2</v>
      </c>
      <c r="AA777" s="155">
        <v>3.2655726178445477E-2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44390</v>
      </c>
      <c r="Y778" s="152">
        <f>_xll.qlInterestRateIndexValueDate(IborIndex,X778,Trigger)</f>
        <v>44392</v>
      </c>
      <c r="Z778" s="153">
        <v>3.3159742234509931E-2</v>
      </c>
      <c r="AA778" s="155">
        <v>3.2673944229912877E-2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44397</v>
      </c>
      <c r="Y779" s="152">
        <f>_xll.qlInterestRateIndexValueDate(IborIndex,X779,Trigger)</f>
        <v>44399</v>
      </c>
      <c r="Z779" s="153">
        <v>3.3172950207784449E-2</v>
      </c>
      <c r="AA779" s="155">
        <v>3.2691913442910447E-2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44404</v>
      </c>
      <c r="Y780" s="152">
        <f>_xll.qlInterestRateIndexValueDate(IborIndex,X780,Trigger)</f>
        <v>44406</v>
      </c>
      <c r="Z780" s="153">
        <v>3.3188652630029493E-2</v>
      </c>
      <c r="AA780" s="155">
        <v>3.2709633817757933E-2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44411</v>
      </c>
      <c r="Y781" s="152">
        <f>_xll.qlInterestRateIndexValueDate(IborIndex,X781,Trigger)</f>
        <v>44413</v>
      </c>
      <c r="Z781" s="153">
        <v>3.3204253772474511E-2</v>
      </c>
      <c r="AA781" s="155">
        <v>3.2727105354215524E-2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44418</v>
      </c>
      <c r="Y782" s="152">
        <f>_xll.qlInterestRateIndexValueDate(IborIndex,X782,Trigger)</f>
        <v>44420</v>
      </c>
      <c r="Z782" s="153">
        <v>3.3219765698268261E-2</v>
      </c>
      <c r="AA782" s="155">
        <v>3.2744328052363159E-2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44425</v>
      </c>
      <c r="Y783" s="152">
        <f>_xll.qlInterestRateIndexValueDate(IborIndex,X783,Trigger)</f>
        <v>44427</v>
      </c>
      <c r="Z783" s="153">
        <v>3.3237809820900625E-2</v>
      </c>
      <c r="AA783" s="155">
        <v>3.2761301912040963E-2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44432</v>
      </c>
      <c r="Y784" s="152">
        <f>_xll.qlInterestRateIndexValueDate(IborIndex,X784,Trigger)</f>
        <v>44434</v>
      </c>
      <c r="Z784" s="153">
        <v>3.3250570154464004E-2</v>
      </c>
      <c r="AA784" s="155">
        <v>3.2780395908744708E-2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44439</v>
      </c>
      <c r="Y785" s="152">
        <f>_xll.qlInterestRateIndexValueDate(IborIndex,X785,Trigger)</f>
        <v>44441</v>
      </c>
      <c r="Z785" s="153">
        <v>3.3252820055620178E-2</v>
      </c>
      <c r="AA785" s="155">
        <v>3.2794503116146956E-2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44446</v>
      </c>
      <c r="Y786" s="152">
        <f>_xll.qlInterestRateIndexValueDate(IborIndex,X786,Trigger)</f>
        <v>44448</v>
      </c>
      <c r="Z786" s="153">
        <v>3.3268076663539731E-2</v>
      </c>
      <c r="AA786" s="155">
        <v>3.2810730460415272E-2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44453</v>
      </c>
      <c r="Y787" s="152">
        <f>_xll.qlInterestRateIndexValueDate(IborIndex,X787,Trigger)</f>
        <v>44455</v>
      </c>
      <c r="Z787" s="153">
        <v>3.328330172102939E-2</v>
      </c>
      <c r="AA787" s="155">
        <v>3.2826708966133822E-2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44460</v>
      </c>
      <c r="Y788" s="152">
        <f>_xll.qlInterestRateIndexValueDate(IborIndex,X788,Trigger)</f>
        <v>44462</v>
      </c>
      <c r="Z788" s="153">
        <v>3.3298507621095555E-2</v>
      </c>
      <c r="AA788" s="155">
        <v>3.2842438633302606E-2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44467</v>
      </c>
      <c r="Y789" s="152">
        <f>_xll.qlInterestRateIndexValueDate(IborIndex,X789,Trigger)</f>
        <v>44469</v>
      </c>
      <c r="Z789" s="153">
        <v>3.3316336825466357E-2</v>
      </c>
      <c r="AA789" s="155">
        <v>3.2857919461841689E-2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44474</v>
      </c>
      <c r="Y790" s="152">
        <f>_xll.qlInterestRateIndexValueDate(IborIndex,X790,Trigger)</f>
        <v>44476</v>
      </c>
      <c r="Z790" s="153">
        <v>3.3331547123644251E-2</v>
      </c>
      <c r="AA790" s="155">
        <v>3.287315145175107E-2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44481</v>
      </c>
      <c r="Y791" s="152">
        <f>_xll.qlInterestRateIndexValueDate(IborIndex,X791,Trigger)</f>
        <v>44483</v>
      </c>
      <c r="Z791" s="153">
        <v>3.3346775720437073E-2</v>
      </c>
      <c r="AA791" s="155">
        <v>3.2888134602950814E-2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44488</v>
      </c>
      <c r="Y792" s="152">
        <f>_xll.qlInterestRateIndexValueDate(IborIndex,X792,Trigger)</f>
        <v>44490</v>
      </c>
      <c r="Z792" s="153">
        <v>3.3362034943392606E-2</v>
      </c>
      <c r="AA792" s="155">
        <v>3.2902868915520855E-2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44495</v>
      </c>
      <c r="Y793" s="152">
        <f>_xll.qlInterestRateIndexValueDate(IborIndex,X793,Trigger)</f>
        <v>44497</v>
      </c>
      <c r="Z793" s="153">
        <v>3.3377337120432816E-2</v>
      </c>
      <c r="AA793" s="155">
        <v>3.2917354389301323E-2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44502</v>
      </c>
      <c r="Y794" s="152">
        <f>_xll.qlInterestRateIndexValueDate(IborIndex,X794,Trigger)</f>
        <v>44504</v>
      </c>
      <c r="Z794" s="153">
        <v>3.3390034770986954E-2</v>
      </c>
      <c r="AA794" s="155">
        <v>3.2931656426775646E-2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44509</v>
      </c>
      <c r="Y795" s="152">
        <f>_xll.qlInterestRateIndexValueDate(IborIndex,X795,Trigger)</f>
        <v>44512</v>
      </c>
      <c r="Z795" s="153">
        <v>3.3407659453119694E-2</v>
      </c>
      <c r="AA795" s="155">
        <v>3.2948059611985769E-2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44516</v>
      </c>
      <c r="Y796" s="152">
        <f>_xll.qlInterestRateIndexValueDate(IborIndex,X796,Trigger)</f>
        <v>44518</v>
      </c>
      <c r="Z796" s="153">
        <v>3.3420935912442551E-2</v>
      </c>
      <c r="AA796" s="155">
        <v>3.2960418897500787E-2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44523</v>
      </c>
      <c r="Y797" s="152">
        <f>_xll.qlInterestRateIndexValueDate(IborIndex,X797,Trigger)</f>
        <v>44526</v>
      </c>
      <c r="Z797" s="153">
        <v>3.3438715123694077E-2</v>
      </c>
      <c r="AA797" s="155">
        <v>3.2976973807183896E-2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44530</v>
      </c>
      <c r="Y798" s="152">
        <f>_xll.qlInterestRateIndexValueDate(IborIndex,X798,Trigger)</f>
        <v>44532</v>
      </c>
      <c r="Z798" s="153">
        <v>3.3454792325334125E-2</v>
      </c>
      <c r="AA798" s="155">
        <v>3.2989446886073637E-2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44537</v>
      </c>
      <c r="Y799" s="152">
        <f>_xll.qlInterestRateIndexValueDate(IborIndex,X799,Trigger)</f>
        <v>44539</v>
      </c>
      <c r="Z799" s="153">
        <v>3.3470485801002127E-2</v>
      </c>
      <c r="AA799" s="155">
        <v>3.3004060449473016E-2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44544</v>
      </c>
      <c r="Y800" s="152">
        <f>_xll.qlInterestRateIndexValueDate(IborIndex,X800,Trigger)</f>
        <v>44546</v>
      </c>
      <c r="Z800" s="153">
        <v>3.3486246895540188E-2</v>
      </c>
      <c r="AA800" s="155">
        <v>3.3018740392494195E-2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44551</v>
      </c>
      <c r="Y801" s="152">
        <f>_xll.qlInterestRateIndexValueDate(IborIndex,X801,Trigger)</f>
        <v>44553</v>
      </c>
      <c r="Z801" s="153">
        <v>3.3502075610536496E-2</v>
      </c>
      <c r="AA801" s="155">
        <v>3.3037712142025555E-2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44559</v>
      </c>
      <c r="Y802" s="152">
        <f>_xll.qlInterestRateIndexValueDate(IborIndex,X802,Trigger)</f>
        <v>44565</v>
      </c>
      <c r="Z802" s="153">
        <v>3.3529367876192297E-2</v>
      </c>
      <c r="AA802" s="155">
        <v>3.3054668037912904E-2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44566</v>
      </c>
      <c r="Y803" s="152">
        <f>_xll.qlInterestRateIndexValueDate(IborIndex,X803,Trigger)</f>
        <v>44568</v>
      </c>
      <c r="Z803" s="153">
        <v>3.3533504800215323E-2</v>
      </c>
      <c r="AA803" s="155">
        <v>3.3065309500104334E-2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44573</v>
      </c>
      <c r="Y804" s="152">
        <f>_xll.qlInterestRateIndexValueDate(IborIndex,X804,Trigger)</f>
        <v>44575</v>
      </c>
      <c r="Z804" s="153">
        <v>3.3549539734851544E-2</v>
      </c>
      <c r="AA804" s="155">
        <v>3.3080264443787755E-2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44580</v>
      </c>
      <c r="Y805" s="152">
        <f>_xll.qlInterestRateIndexValueDate(IborIndex,X805,Trigger)</f>
        <v>44582</v>
      </c>
      <c r="Z805" s="153">
        <v>3.3565642289524189E-2</v>
      </c>
      <c r="AA805" s="155">
        <v>3.3095285767013038E-2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44587</v>
      </c>
      <c r="Y806" s="152">
        <f>_xll.qlInterestRateIndexValueDate(IborIndex,X806,Trigger)</f>
        <v>44589</v>
      </c>
      <c r="Z806" s="153">
        <v>3.3581812465846989E-2</v>
      </c>
      <c r="AA806" s="155">
        <v>3.3110373469860122E-2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44594</v>
      </c>
      <c r="Y807" s="152">
        <f>_xll.qlInterestRateIndexValueDate(IborIndex,X807,Trigger)</f>
        <v>44596</v>
      </c>
      <c r="Z807" s="153">
        <v>3.3598050265438981E-2</v>
      </c>
      <c r="AA807" s="155">
        <v>3.3125527552089196E-2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44601</v>
      </c>
      <c r="Y808" s="152">
        <f>_xll.qlInterestRateIndexValueDate(IborIndex,X808,Trigger)</f>
        <v>44603</v>
      </c>
      <c r="Z808" s="153">
        <v>3.3614355689928037E-2</v>
      </c>
      <c r="AA808" s="155">
        <v>3.3140748013940069E-2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44608</v>
      </c>
      <c r="Y809" s="152">
        <f>_xll.qlInterestRateIndexValueDate(IborIndex,X809,Trigger)</f>
        <v>44610</v>
      </c>
      <c r="Z809" s="153">
        <v>3.3630728740946005E-2</v>
      </c>
      <c r="AA809" s="155">
        <v>3.3156034855412742E-2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44615</v>
      </c>
      <c r="Y810" s="152">
        <f>_xll.qlInterestRateIndexValueDate(IborIndex,X810,Trigger)</f>
        <v>44617</v>
      </c>
      <c r="Z810" s="153">
        <v>3.3647169420134876E-2</v>
      </c>
      <c r="AA810" s="155">
        <v>3.3171388076347341E-2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44622</v>
      </c>
      <c r="Y811" s="152">
        <f>_xll.qlInterestRateIndexValueDate(IborIndex,X811,Trigger)</f>
        <v>44624</v>
      </c>
      <c r="Z811" s="153">
        <v>3.3677524982707895E-2</v>
      </c>
      <c r="AA811" s="155">
        <v>3.318680767690374E-2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44629</v>
      </c>
      <c r="Y812" s="152">
        <f>_xll.qlInterestRateIndexValueDate(IborIndex,X812,Trigger)</f>
        <v>44631</v>
      </c>
      <c r="Z812" s="153">
        <v>3.3691355395061295E-2</v>
      </c>
      <c r="AA812" s="155">
        <v>3.3202293657002002E-2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44636</v>
      </c>
      <c r="Y813" s="152">
        <f>_xll.qlInterestRateIndexValueDate(IborIndex,X813,Trigger)</f>
        <v>44638</v>
      </c>
      <c r="Z813" s="153">
        <v>3.3708024480429956E-2</v>
      </c>
      <c r="AA813" s="155">
        <v>3.3217846016722063E-2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44643</v>
      </c>
      <c r="Y814" s="152">
        <f>_xll.qlInterestRateIndexValueDate(IborIndex,X814,Trigger)</f>
        <v>44645</v>
      </c>
      <c r="Z814" s="153">
        <v>3.372476122924406E-2</v>
      </c>
      <c r="AA814" s="155">
        <v>3.3233464755983988E-2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44650</v>
      </c>
      <c r="Y815" s="152">
        <f>_xll.qlInterestRateIndexValueDate(IborIndex,X815,Trigger)</f>
        <v>44652</v>
      </c>
      <c r="Z815" s="153">
        <v>3.3741565643217696E-2</v>
      </c>
      <c r="AA815" s="155">
        <v>3.3249149874867712E-2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44657</v>
      </c>
      <c r="Y816" s="152">
        <f>_xll.qlInterestRateIndexValueDate(IborIndex,X816,Trigger)</f>
        <v>44659</v>
      </c>
      <c r="Z816" s="153">
        <v>3.3761240675439896E-2</v>
      </c>
      <c r="AA816" s="155">
        <v>3.3264901373453171E-2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44664</v>
      </c>
      <c r="Y817" s="152">
        <f>_xll.qlInterestRateIndexValueDate(IborIndex,X817,Trigger)</f>
        <v>44670</v>
      </c>
      <c r="Z817" s="153">
        <v>3.377946402345184E-2</v>
      </c>
      <c r="AA817" s="155">
        <v>3.3285250837487013E-2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44671</v>
      </c>
      <c r="Y818" s="152">
        <f>_xll.qlInterestRateIndexValueDate(IborIndex,X818,Trigger)</f>
        <v>44673</v>
      </c>
      <c r="Z818" s="153">
        <v>3.3792384893338197E-2</v>
      </c>
      <c r="AA818" s="155">
        <v>3.3296603509329614E-2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44678</v>
      </c>
      <c r="Y819" s="152">
        <f>_xll.qlInterestRateIndexValueDate(IborIndex,X819,Trigger)</f>
        <v>44680</v>
      </c>
      <c r="Z819" s="153">
        <v>3.3809459985226512E-2</v>
      </c>
      <c r="AA819" s="155">
        <v>3.3314838227944676E-2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44685</v>
      </c>
      <c r="Y820" s="152">
        <f>_xll.qlInterestRateIndexValueDate(IborIndex,X820,Trigger)</f>
        <v>44687</v>
      </c>
      <c r="Z820" s="153">
        <v>3.3826602682932409E-2</v>
      </c>
      <c r="AA820" s="155">
        <v>3.3328571163773191E-2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44692</v>
      </c>
      <c r="Y821" s="152">
        <f>_xll.qlInterestRateIndexValueDate(IborIndex,X821,Trigger)</f>
        <v>44694</v>
      </c>
      <c r="Z821" s="153">
        <v>3.3843810673176392E-2</v>
      </c>
      <c r="AA821" s="155">
        <v>3.3344654560467646E-2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44699</v>
      </c>
      <c r="Y822" s="152">
        <f>_xll.qlInterestRateIndexValueDate(IborIndex,X822,Trigger)</f>
        <v>44701</v>
      </c>
      <c r="Z822" s="153">
        <v>3.3861078934569744E-2</v>
      </c>
      <c r="AA822" s="155">
        <v>3.3360804336863836E-2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44706</v>
      </c>
      <c r="Y823" s="152">
        <f>_xll.qlInterestRateIndexValueDate(IborIndex,X823,Trigger)</f>
        <v>44708</v>
      </c>
      <c r="Z823" s="153">
        <v>3.387840228433156E-2</v>
      </c>
      <c r="AA823" s="155">
        <v>3.3379342505304166E-2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44713</v>
      </c>
      <c r="Y824" s="152">
        <f>_xll.qlInterestRateIndexValueDate(IborIndex,X824,Trigger)</f>
        <v>44715</v>
      </c>
      <c r="Z824" s="153">
        <v>3.3895775539503771E-2</v>
      </c>
      <c r="AA824" s="155">
        <v>3.3393303028601551E-2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44720</v>
      </c>
      <c r="Y825" s="152">
        <f>_xll.qlInterestRateIndexValueDate(IborIndex,X825,Trigger)</f>
        <v>44722</v>
      </c>
      <c r="Z825" s="153">
        <v>3.3913193516950296E-2</v>
      </c>
      <c r="AA825" s="155">
        <v>3.3409651944023011E-2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44727</v>
      </c>
      <c r="Y826" s="152">
        <f>_xll.qlInterestRateIndexValueDate(IborIndex,X826,Trigger)</f>
        <v>44729</v>
      </c>
      <c r="Z826" s="153">
        <v>3.3930651033356608E-2</v>
      </c>
      <c r="AA826" s="155">
        <v>3.3426067239146207E-2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44734</v>
      </c>
      <c r="Y827" s="152">
        <f>_xll.qlInterestRateIndexValueDate(IborIndex,X827,Trigger)</f>
        <v>44736</v>
      </c>
      <c r="Z827" s="153">
        <v>3.3953853118932814E-2</v>
      </c>
      <c r="AA827" s="155">
        <v>3.3442548914051073E-2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44741</v>
      </c>
      <c r="Y828" s="152">
        <f>_xll.qlInterestRateIndexValueDate(IborIndex,X828,Trigger)</f>
        <v>44743</v>
      </c>
      <c r="Z828" s="153">
        <v>3.3968520410776179E-2</v>
      </c>
      <c r="AA828" s="155">
        <v>3.345909696857774E-2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44748</v>
      </c>
      <c r="Y829" s="152">
        <f>_xll.qlInterestRateIndexValueDate(IborIndex,X829,Trigger)</f>
        <v>44750</v>
      </c>
      <c r="Z829" s="153">
        <v>3.3983208980473217E-2</v>
      </c>
      <c r="AA829" s="155">
        <v>3.3475711402886077E-2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44755</v>
      </c>
      <c r="Y830" s="152">
        <f>_xll.qlInterestRateIndexValueDate(IborIndex,X830,Trigger)</f>
        <v>44757</v>
      </c>
      <c r="Z830" s="153">
        <v>3.4003630723689129E-2</v>
      </c>
      <c r="AA830" s="155">
        <v>3.349239221689615E-2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44762</v>
      </c>
      <c r="Y831" s="152">
        <f>_xll.qlInterestRateIndexValueDate(IborIndex,X831,Trigger)</f>
        <v>44764</v>
      </c>
      <c r="Z831" s="153">
        <v>3.4018350271087523E-2</v>
      </c>
      <c r="AA831" s="155">
        <v>3.3509139410607958E-2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44769</v>
      </c>
      <c r="Y832" s="152">
        <f>_xll.qlInterestRateIndexValueDate(IborIndex,X832,Trigger)</f>
        <v>44771</v>
      </c>
      <c r="Z832" s="153">
        <v>3.4038793739337582E-2</v>
      </c>
      <c r="AA832" s="155">
        <v>3.3525952984181373E-2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44776</v>
      </c>
      <c r="Y833" s="152">
        <f>_xll.qlInterestRateIndexValueDate(IborIndex,X833,Trigger)</f>
        <v>44778</v>
      </c>
      <c r="Z833" s="153">
        <v>3.4053525302537677E-2</v>
      </c>
      <c r="AA833" s="155">
        <v>3.3542832937456524E-2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44783</v>
      </c>
      <c r="Y834" s="152">
        <f>_xll.qlInterestRateIndexValueDate(IborIndex,X834,Trigger)</f>
        <v>44785</v>
      </c>
      <c r="Z834" s="153">
        <v>3.4071112509479487E-2</v>
      </c>
      <c r="AA834" s="155">
        <v>3.3559779270513346E-2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44790</v>
      </c>
      <c r="Y835" s="152">
        <f>_xll.qlInterestRateIndexValueDate(IborIndex,X835,Trigger)</f>
        <v>44792</v>
      </c>
      <c r="Z835" s="153">
        <v>3.4091546829997661E-2</v>
      </c>
      <c r="AA835" s="155">
        <v>3.3576791983351839E-2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44797</v>
      </c>
      <c r="Y836" s="152">
        <f>_xll.qlInterestRateIndexValueDate(IborIndex,X836,Trigger)</f>
        <v>44799</v>
      </c>
      <c r="Z836" s="153">
        <v>3.4106260380993937E-2</v>
      </c>
      <c r="AA836" s="155">
        <v>3.3596316365143153E-2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44804</v>
      </c>
      <c r="Y837" s="152">
        <f>_xll.qlInterestRateIndexValueDate(IborIndex,X837,Trigger)</f>
        <v>44806</v>
      </c>
      <c r="Z837" s="153">
        <v>3.4112407987494195E-2</v>
      </c>
      <c r="AA837" s="155">
        <v>3.3611016548453776E-2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44811</v>
      </c>
      <c r="Y838" s="152">
        <f>_xll.qlInterestRateIndexValueDate(IborIndex,X838,Trigger)</f>
        <v>44813</v>
      </c>
      <c r="Z838" s="153">
        <v>3.4129944680815552E-2</v>
      </c>
      <c r="AA838" s="155">
        <v>3.3628228400717219E-2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44818</v>
      </c>
      <c r="Y839" s="152">
        <f>_xll.qlInterestRateIndexValueDate(IborIndex,X839,Trigger)</f>
        <v>44820</v>
      </c>
      <c r="Z839" s="153">
        <v>3.4147454437202469E-2</v>
      </c>
      <c r="AA839" s="155">
        <v>3.3645506632762334E-2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44825</v>
      </c>
      <c r="Y840" s="152">
        <f>_xll.qlInterestRateIndexValueDate(IborIndex,X840,Trigger)</f>
        <v>44827</v>
      </c>
      <c r="Z840" s="153">
        <v>3.4164931958235986E-2</v>
      </c>
      <c r="AA840" s="155">
        <v>3.3662851244669056E-2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44832</v>
      </c>
      <c r="Y841" s="152">
        <f>_xll.qlInterestRateIndexValueDate(IborIndex,X841,Trigger)</f>
        <v>44834</v>
      </c>
      <c r="Z841" s="153">
        <v>3.4185212469216006E-2</v>
      </c>
      <c r="AA841" s="155">
        <v>3.3680262236517322E-2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44839</v>
      </c>
      <c r="Y842" s="152">
        <f>_xll.qlInterestRateIndexValueDate(IborIndex,X842,Trigger)</f>
        <v>44841</v>
      </c>
      <c r="Z842" s="153">
        <v>3.4213955261436044E-2</v>
      </c>
      <c r="AA842" s="155">
        <v>3.3697739608067323E-2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44846</v>
      </c>
      <c r="Y843" s="152">
        <f>_xll.qlInterestRateIndexValueDate(IborIndex,X843,Trigger)</f>
        <v>44848</v>
      </c>
      <c r="Z843" s="153">
        <v>3.4219952490230181E-2</v>
      </c>
      <c r="AA843" s="155">
        <v>3.3715283359558867E-2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44853</v>
      </c>
      <c r="Y844" s="152">
        <f>_xll.qlInterestRateIndexValueDate(IborIndex,X844,Trigger)</f>
        <v>44855</v>
      </c>
      <c r="Z844" s="153">
        <v>3.4237244852251165E-2</v>
      </c>
      <c r="AA844" s="155">
        <v>3.3732893490912019E-2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44860</v>
      </c>
      <c r="Y845" s="152">
        <f>_xll.qlInterestRateIndexValueDate(IborIndex,X845,Trigger)</f>
        <v>44862</v>
      </c>
      <c r="Z845" s="153">
        <v>3.4254478421051747E-2</v>
      </c>
      <c r="AA845" s="155">
        <v>3.3750570002126778E-2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44867</v>
      </c>
      <c r="Y846" s="152">
        <f>_xll.qlInterestRateIndexValueDate(IborIndex,X846,Trigger)</f>
        <v>44869</v>
      </c>
      <c r="Z846" s="153">
        <v>3.4268823407777808E-2</v>
      </c>
      <c r="AA846" s="155">
        <v>3.3768284948756389E-2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44874</v>
      </c>
      <c r="Y847" s="152">
        <f>_xll.qlInterestRateIndexValueDate(IborIndex,X847,Trigger)</f>
        <v>44879</v>
      </c>
      <c r="Z847" s="153">
        <v>3.4296056768453272E-2</v>
      </c>
      <c r="AA847" s="155">
        <v>3.378845691285548E-2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44881</v>
      </c>
      <c r="Y848" s="152">
        <f>_xll.qlInterestRateIndexValueDate(IborIndex,X848,Trigger)</f>
        <v>44883</v>
      </c>
      <c r="Z848" s="153">
        <v>3.4302962848121676E-2</v>
      </c>
      <c r="AA848" s="155">
        <v>3.3803527340161565E-2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44888</v>
      </c>
      <c r="Y849" s="152">
        <f>_xll.qlInterestRateIndexValueDate(IborIndex,X849,Trigger)</f>
        <v>44890</v>
      </c>
      <c r="Z849" s="153">
        <v>3.4319928569951079E-2</v>
      </c>
      <c r="AA849" s="155">
        <v>3.382104608093961E-2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44895</v>
      </c>
      <c r="Y850" s="152">
        <f>_xll.qlInterestRateIndexValueDate(IborIndex,X850,Trigger)</f>
        <v>44897</v>
      </c>
      <c r="Z850" s="153">
        <v>3.433963608805108E-2</v>
      </c>
      <c r="AA850" s="155">
        <v>3.3838496518434624E-2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44902</v>
      </c>
      <c r="Y851" s="152">
        <f>_xll.qlInterestRateIndexValueDate(IborIndex,X851,Trigger)</f>
        <v>44904</v>
      </c>
      <c r="Z851" s="153">
        <v>3.435645977750186E-2</v>
      </c>
      <c r="AA851" s="155">
        <v>3.3855878652646609E-2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44909</v>
      </c>
      <c r="Y852" s="152">
        <f>_xll.qlInterestRateIndexValueDate(IborIndex,X852,Trigger)</f>
        <v>44911</v>
      </c>
      <c r="Z852" s="153">
        <v>3.4373214123007555E-2</v>
      </c>
      <c r="AA852" s="155">
        <v>3.3873192483415693E-2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44916</v>
      </c>
      <c r="Y853" s="152">
        <f>_xll.qlInterestRateIndexValueDate(IborIndex,X853,Trigger)</f>
        <v>44918</v>
      </c>
      <c r="Z853" s="153">
        <v>3.4389899122834154E-2</v>
      </c>
      <c r="AA853" s="155">
        <v>3.3895352759030217E-2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44923</v>
      </c>
      <c r="Y854" s="152">
        <f>_xll.qlInterestRateIndexValueDate(IborIndex,X854,Trigger)</f>
        <v>44925</v>
      </c>
      <c r="Z854" s="153">
        <v>3.4406514775254256E-2</v>
      </c>
      <c r="AA854" s="155">
        <v>3.3910063548416858E-2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44930</v>
      </c>
      <c r="Y855" s="152">
        <f>_xll.qlInterestRateIndexValueDate(IborIndex,X855,Trigger)</f>
        <v>44932</v>
      </c>
      <c r="Z855" s="153">
        <v>3.4420266814553784E-2</v>
      </c>
      <c r="AA855" s="155">
        <v>3.3924724155784958E-2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44937</v>
      </c>
      <c r="Y856" s="152">
        <f>_xll.qlInterestRateIndexValueDate(IborIndex,X856,Trigger)</f>
        <v>44939</v>
      </c>
      <c r="Z856" s="153">
        <v>3.4436747158189854E-2</v>
      </c>
      <c r="AA856" s="155">
        <v>3.3941764773182115E-2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44944</v>
      </c>
      <c r="Y857" s="152">
        <f>_xll.qlInterestRateIndexValueDate(IborIndex,X857,Trigger)</f>
        <v>44946</v>
      </c>
      <c r="Z857" s="153">
        <v>3.4453158155240429E-2</v>
      </c>
      <c r="AA857" s="155">
        <v>3.3958737087216306E-2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44951</v>
      </c>
      <c r="Y858" s="152">
        <f>_xll.qlInterestRateIndexValueDate(IborIndex,X858,Trigger)</f>
        <v>44953</v>
      </c>
      <c r="Z858" s="153">
        <v>3.4469499804016708E-2</v>
      </c>
      <c r="AA858" s="155">
        <v>3.3975641097807596E-2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44958</v>
      </c>
      <c r="Y859" s="152">
        <f>_xll.qlInterestRateIndexValueDate(IborIndex,X859,Trigger)</f>
        <v>44960</v>
      </c>
      <c r="Z859" s="153">
        <v>3.4485772102835162E-2</v>
      </c>
      <c r="AA859" s="155">
        <v>3.3992476805035921E-2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44965</v>
      </c>
      <c r="Y860" s="152">
        <f>_xll.qlInterestRateIndexValueDate(IborIndex,X860,Trigger)</f>
        <v>44967</v>
      </c>
      <c r="Z860" s="153">
        <v>3.4501975050020665E-2</v>
      </c>
      <c r="AA860" s="155">
        <v>3.4009244208901279E-2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44972</v>
      </c>
      <c r="Y861" s="152">
        <f>_xll.qlInterestRateIndexValueDate(IborIndex,X861,Trigger)</f>
        <v>44974</v>
      </c>
      <c r="Z861" s="153">
        <v>3.4518108643905615E-2</v>
      </c>
      <c r="AA861" s="155">
        <v>3.40259433092438E-2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44979</v>
      </c>
      <c r="Y862" s="152">
        <f>_xll.qlInterestRateIndexValueDate(IborIndex,X862,Trigger)</f>
        <v>44981</v>
      </c>
      <c r="Z862" s="153">
        <v>3.4534172882829013E-2</v>
      </c>
      <c r="AA862" s="155">
        <v>3.4042574106303292E-2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44986</v>
      </c>
      <c r="Y863" s="152">
        <f>_xll.qlInterestRateIndexValueDate(IborIndex,X863,Trigger)</f>
        <v>44988</v>
      </c>
      <c r="Z863" s="153">
        <v>3.456400105449263E-2</v>
      </c>
      <c r="AA863" s="155">
        <v>3.4059136599839945E-2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44993</v>
      </c>
      <c r="Y864" s="152">
        <f>_xll.qlInterestRateIndexValueDate(IborIndex,X864,Trigger)</f>
        <v>44995</v>
      </c>
      <c r="Z864" s="153">
        <v>3.4577146469457247E-2</v>
      </c>
      <c r="AA864" s="155">
        <v>3.4075630789853761E-2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45000</v>
      </c>
      <c r="Y865" s="152">
        <f>_xll.qlInterestRateIndexValueDate(IborIndex,X865,Trigger)</f>
        <v>45002</v>
      </c>
      <c r="Z865" s="153">
        <v>3.4592988848779156E-2</v>
      </c>
      <c r="AA865" s="155">
        <v>3.4092056676584548E-2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45007</v>
      </c>
      <c r="Y866" s="152">
        <f>_xll.qlInterestRateIndexValueDate(IborIndex,X866,Trigger)</f>
        <v>45009</v>
      </c>
      <c r="Z866" s="153">
        <v>3.4608761842400422E-2</v>
      </c>
      <c r="AA866" s="155">
        <v>3.4108414259632625E-2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45014</v>
      </c>
      <c r="Y867" s="152">
        <f>_xll.qlInterestRateIndexValueDate(IborIndex,X867,Trigger)</f>
        <v>45016</v>
      </c>
      <c r="Z867" s="153">
        <v>3.4616206869923061E-2</v>
      </c>
      <c r="AA867" s="155">
        <v>3.4124703539397672E-2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45021</v>
      </c>
      <c r="Y868" s="152">
        <f>_xll.qlInterestRateIndexValueDate(IborIndex,X868,Trigger)</f>
        <v>45027</v>
      </c>
      <c r="Z868" s="153">
        <v>3.464350768351708E-2</v>
      </c>
      <c r="AA868" s="155">
        <v>3.4145546534647409E-2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45028</v>
      </c>
      <c r="Y869" s="152">
        <f>_xll.qlInterestRateIndexValueDate(IborIndex,X869,Trigger)</f>
        <v>45030</v>
      </c>
      <c r="Z869" s="153">
        <v>3.4655664492505373E-2</v>
      </c>
      <c r="AA869" s="155">
        <v>3.4157077188279317E-2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45035</v>
      </c>
      <c r="Y870" s="152">
        <f>_xll.qlInterestRateIndexValueDate(IborIndex,X870,Trigger)</f>
        <v>45037</v>
      </c>
      <c r="Z870" s="153">
        <v>3.4671159926803218E-2</v>
      </c>
      <c r="AA870" s="155">
        <v>3.4173161557555787E-2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45042</v>
      </c>
      <c r="Y871" s="152">
        <f>_xll.qlInterestRateIndexValueDate(IborIndex,X871,Trigger)</f>
        <v>45044</v>
      </c>
      <c r="Z871" s="153">
        <v>3.4689324610429791E-2</v>
      </c>
      <c r="AA871" s="155">
        <v>3.4191460056751666E-2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45049</v>
      </c>
      <c r="Y872" s="152">
        <f>_xll.qlInterestRateIndexValueDate(IborIndex,X872,Trigger)</f>
        <v>45051</v>
      </c>
      <c r="Z872" s="153">
        <v>3.4701942611998021E-2</v>
      </c>
      <c r="AA872" s="155">
        <v>3.4205125385460278E-2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45056</v>
      </c>
      <c r="Y873" s="152">
        <f>_xll.qlInterestRateIndexValueDate(IborIndex,X873,Trigger)</f>
        <v>45058</v>
      </c>
      <c r="Z873" s="153">
        <v>3.4717230399591278E-2</v>
      </c>
      <c r="AA873" s="155">
        <v>3.4221004844088299E-2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45063</v>
      </c>
      <c r="Y874" s="152">
        <f>_xll.qlInterestRateIndexValueDate(IborIndex,X874,Trigger)</f>
        <v>45065</v>
      </c>
      <c r="Z874" s="153">
        <v>3.4732452028057061E-2</v>
      </c>
      <c r="AA874" s="155">
        <v>3.4236815999193482E-2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45070</v>
      </c>
      <c r="Y875" s="152">
        <f>_xll.qlInterestRateIndexValueDate(IborIndex,X875,Trigger)</f>
        <v>45072</v>
      </c>
      <c r="Z875" s="153">
        <v>3.4747610735532057E-2</v>
      </c>
      <c r="AA875" s="155">
        <v>3.4254802253759209E-2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45077</v>
      </c>
      <c r="Y876" s="152">
        <f>_xll.qlInterestRateIndexValueDate(IborIndex,X876,Trigger)</f>
        <v>45079</v>
      </c>
      <c r="Z876" s="153">
        <v>3.4762709760256194E-2</v>
      </c>
      <c r="AA876" s="155">
        <v>3.4268233398755399E-2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45084</v>
      </c>
      <c r="Y877" s="152">
        <f>_xll.qlInterestRateIndexValueDate(IborIndex,X877,Trigger)</f>
        <v>45086</v>
      </c>
      <c r="Z877" s="153">
        <v>3.4777752340575722E-2</v>
      </c>
      <c r="AA877" s="155">
        <v>3.4283839643212133E-2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45091</v>
      </c>
      <c r="Y878" s="152">
        <f>_xll.qlInterestRateIndexValueDate(IborIndex,X878,Trigger)</f>
        <v>45093</v>
      </c>
      <c r="Z878" s="153">
        <v>3.4792741714940158E-2</v>
      </c>
      <c r="AA878" s="155">
        <v>3.4299377584146029E-2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45098</v>
      </c>
      <c r="Y879" s="152">
        <f>_xll.qlInterestRateIndexValueDate(IborIndex,X879,Trigger)</f>
        <v>45100</v>
      </c>
      <c r="Z879" s="153">
        <v>3.481312347425098E-2</v>
      </c>
      <c r="AA879" s="155">
        <v>3.4314847221397216E-2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45105</v>
      </c>
      <c r="Y880" s="152">
        <f>_xll.qlInterestRateIndexValueDate(IborIndex,X880,Trigger)</f>
        <v>45107</v>
      </c>
      <c r="Z880" s="153">
        <v>3.481441347306654E-2</v>
      </c>
      <c r="AA880" s="155">
        <v>3.4330248555045628E-2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45112</v>
      </c>
      <c r="Y881" s="152">
        <f>_xll.qlInterestRateIndexValueDate(IborIndex,X881,Trigger)</f>
        <v>45114</v>
      </c>
      <c r="Z881" s="153">
        <v>3.4837422988323187E-2</v>
      </c>
      <c r="AA881" s="155">
        <v>3.4345581585171203E-2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45119</v>
      </c>
      <c r="Y882" s="152">
        <f>_xll.qlInterestRateIndexValueDate(IborIndex,X882,Trigger)</f>
        <v>45121</v>
      </c>
      <c r="Z882" s="153">
        <v>3.485495233476367E-2</v>
      </c>
      <c r="AA882" s="155">
        <v>3.4360846311614068E-2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45126</v>
      </c>
      <c r="Y883" s="152">
        <f>_xll.qlInterestRateIndexValueDate(IborIndex,X883,Trigger)</f>
        <v>45128</v>
      </c>
      <c r="Z883" s="153">
        <v>3.4867003850276412E-2</v>
      </c>
      <c r="AA883" s="155">
        <v>3.4376042734534096E-2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45133</v>
      </c>
      <c r="Y884" s="152">
        <f>_xll.qlInterestRateIndexValueDate(IborIndex,X884,Trigger)</f>
        <v>45135</v>
      </c>
      <c r="Z884" s="153">
        <v>3.4881742002023215E-2</v>
      </c>
      <c r="AA884" s="155">
        <v>3.4391170853691477E-2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45140</v>
      </c>
      <c r="Y885" s="152">
        <f>_xll.qlInterestRateIndexValueDate(IborIndex,X885,Trigger)</f>
        <v>45142</v>
      </c>
      <c r="Z885" s="153">
        <v>3.4896449619784733E-2</v>
      </c>
      <c r="AA885" s="155">
        <v>3.4406230669326021E-2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45147</v>
      </c>
      <c r="Y886" s="152">
        <f>_xll.qlInterestRateIndexValueDate(IborIndex,X886,Trigger)</f>
        <v>45149</v>
      </c>
      <c r="Z886" s="153">
        <v>3.4911129942810697E-2</v>
      </c>
      <c r="AA886" s="155">
        <v>3.4421222181277855E-2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45154</v>
      </c>
      <c r="Y887" s="152">
        <f>_xll.qlInterestRateIndexValueDate(IborIndex,X887,Trigger)</f>
        <v>45156</v>
      </c>
      <c r="Z887" s="153">
        <v>3.4928510936269509E-2</v>
      </c>
      <c r="AA887" s="155">
        <v>3.4436145389626915E-2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45161</v>
      </c>
      <c r="Y888" s="152">
        <f>_xll.qlInterestRateIndexValueDate(IborIndex,X888,Trigger)</f>
        <v>45163</v>
      </c>
      <c r="Z888" s="153">
        <v>3.4940421662134943E-2</v>
      </c>
      <c r="AA888" s="155">
        <v>3.44531168477058E-2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45168</v>
      </c>
      <c r="Y889" s="152">
        <f>_xll.qlInterestRateIndexValueDate(IborIndex,X889,Trigger)</f>
        <v>45170</v>
      </c>
      <c r="Z889" s="153">
        <v>3.4946858022124681E-2</v>
      </c>
      <c r="AA889" s="155">
        <v>3.4465786895276906E-2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45175</v>
      </c>
      <c r="Y890" s="152">
        <f>_xll.qlInterestRateIndexValueDate(IborIndex,X890,Trigger)</f>
        <v>45177</v>
      </c>
      <c r="Z890" s="153">
        <v>3.4961456002094569E-2</v>
      </c>
      <c r="AA890" s="155">
        <v>3.4480505192577837E-2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45182</v>
      </c>
      <c r="Y891" s="152">
        <f>_xll.qlInterestRateIndexValueDate(IborIndex,X891,Trigger)</f>
        <v>45184</v>
      </c>
      <c r="Z891" s="153">
        <v>3.4976042436463933E-2</v>
      </c>
      <c r="AA891" s="155">
        <v>3.4495155186116122E-2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45189</v>
      </c>
      <c r="Y892" s="152">
        <f>_xll.qlInterestRateIndexValueDate(IborIndex,X892,Trigger)</f>
        <v>45191</v>
      </c>
      <c r="Z892" s="153">
        <v>3.4990620617506053E-2</v>
      </c>
      <c r="AA892" s="155">
        <v>3.4509736876051633E-2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45196</v>
      </c>
      <c r="Y893" s="152">
        <f>_xll.qlInterestRateIndexValueDate(IborIndex,X893,Trigger)</f>
        <v>45198</v>
      </c>
      <c r="Z893" s="153">
        <v>3.5002459256812418E-2</v>
      </c>
      <c r="AA893" s="155">
        <v>3.4524250262224498E-2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45203</v>
      </c>
      <c r="Y894" s="152">
        <f>_xll.qlInterestRateIndexValueDate(IborIndex,X894,Trigger)</f>
        <v>45205</v>
      </c>
      <c r="Z894" s="153">
        <v>3.5027978658287773E-2</v>
      </c>
      <c r="AA894" s="155">
        <v>3.453869534479459E-2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45210</v>
      </c>
      <c r="Y895" s="152">
        <f>_xll.qlInterestRateIndexValueDate(IborIndex,X895,Trigger)</f>
        <v>45212</v>
      </c>
      <c r="Z895" s="153">
        <v>3.5042559110813977E-2</v>
      </c>
      <c r="AA895" s="155">
        <v>3.4553072123522099E-2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45217</v>
      </c>
      <c r="Y896" s="152">
        <f>_xll.qlInterestRateIndexValueDate(IborIndex,X896,Trigger)</f>
        <v>45219</v>
      </c>
      <c r="Z896" s="153">
        <v>3.505714466638897E-2</v>
      </c>
      <c r="AA896" s="155">
        <v>3.4567380598566899E-2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45224</v>
      </c>
      <c r="Y897" s="152">
        <f>_xll.qlInterestRateIndexValueDate(IborIndex,X897,Trigger)</f>
        <v>45226</v>
      </c>
      <c r="Z897" s="153">
        <v>3.5071738565316354E-2</v>
      </c>
      <c r="AA897" s="155">
        <v>3.4581620769928989E-2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45231</v>
      </c>
      <c r="Y898" s="152">
        <f>_xll.qlInterestRateIndexValueDate(IborIndex,X898,Trigger)</f>
        <v>45233</v>
      </c>
      <c r="Z898" s="153">
        <v>3.5078100763135896E-2</v>
      </c>
      <c r="AA898" s="155">
        <v>3.4595794640486233E-2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45238</v>
      </c>
      <c r="Y899" s="152">
        <f>_xll.qlInterestRateIndexValueDate(IborIndex,X899,Trigger)</f>
        <v>45243</v>
      </c>
      <c r="Z899" s="153">
        <v>3.509898070154098E-2</v>
      </c>
      <c r="AA899" s="155">
        <v>3.4611982964767307E-2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45245</v>
      </c>
      <c r="Y900" s="152">
        <f>_xll.qlInterestRateIndexValueDate(IborIndex,X900,Trigger)</f>
        <v>45247</v>
      </c>
      <c r="Z900" s="153">
        <v>3.5107341920641799E-2</v>
      </c>
      <c r="AA900" s="155">
        <v>3.4624137769689867E-2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45252</v>
      </c>
      <c r="Y901" s="152">
        <f>_xll.qlInterestRateIndexValueDate(IborIndex,X901,Trigger)</f>
        <v>45254</v>
      </c>
      <c r="Z901" s="153">
        <v>3.5121986788244804E-2</v>
      </c>
      <c r="AA901" s="155">
        <v>3.4638333067187332E-2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45259</v>
      </c>
      <c r="Y902" s="152">
        <f>_xll.qlInterestRateIndexValueDate(IborIndex,X902,Trigger)</f>
        <v>45261</v>
      </c>
      <c r="Z902" s="153">
        <v>3.5144922026095801E-2</v>
      </c>
      <c r="AA902" s="155">
        <v>3.4652544186668521E-2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45266</v>
      </c>
      <c r="Y903" s="152">
        <f>_xll.qlInterestRateIndexValueDate(IborIndex,X903,Trigger)</f>
        <v>45268</v>
      </c>
      <c r="Z903" s="153">
        <v>3.5159607044927883E-2</v>
      </c>
      <c r="AA903" s="155">
        <v>3.4666771128213369E-2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45273</v>
      </c>
      <c r="Y904" s="152">
        <f>_xll.qlInterestRateIndexValueDate(IborIndex,X904,Trigger)</f>
        <v>45275</v>
      </c>
      <c r="Z904" s="153">
        <v>3.5174308278451395E-2</v>
      </c>
      <c r="AA904" s="155">
        <v>3.4681013891582069E-2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45280</v>
      </c>
      <c r="Y905" s="152">
        <f>_xll.qlInterestRateIndexValueDate(IborIndex,X905,Trigger)</f>
        <v>45282</v>
      </c>
      <c r="Z905" s="153">
        <v>3.5189025727024537E-2</v>
      </c>
      <c r="AA905" s="155">
        <v>3.469934926464191E-2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45287</v>
      </c>
      <c r="Y906" s="152">
        <f>_xll.qlInterestRateIndexValueDate(IborIndex,X906,Trigger)</f>
        <v>45289</v>
      </c>
      <c r="Z906" s="153">
        <v>3.519545424484706E-2</v>
      </c>
      <c r="AA906" s="155">
        <v>3.4711587377085351E-2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45294</v>
      </c>
      <c r="Y907" s="152">
        <f>_xll.qlInterestRateIndexValueDate(IborIndex,X907,Trigger)</f>
        <v>45296</v>
      </c>
      <c r="Z907" s="153">
        <v>3.5210196362358413E-2</v>
      </c>
      <c r="AA907" s="155">
        <v>3.4723837113750378E-2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45301</v>
      </c>
      <c r="Y908" s="152">
        <f>_xll.qlInterestRateIndexValueDate(IborIndex,X908,Trigger)</f>
        <v>45303</v>
      </c>
      <c r="Z908" s="153">
        <v>3.5224954689426095E-2</v>
      </c>
      <c r="AA908" s="155">
        <v>3.4738143165133906E-2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45308</v>
      </c>
      <c r="Y909" s="152">
        <f>_xll.qlInterestRateIndexValueDate(IborIndex,X909,Trigger)</f>
        <v>45310</v>
      </c>
      <c r="Z909" s="153">
        <v>3.5239729226406315E-2</v>
      </c>
      <c r="AA909" s="155">
        <v>3.4752465038421221E-2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45315</v>
      </c>
      <c r="Y910" s="152">
        <f>_xll.qlInterestRateIndexValueDate(IborIndex,X910,Trigger)</f>
        <v>45317</v>
      </c>
      <c r="Z910" s="153">
        <v>3.5254519973652629E-2</v>
      </c>
      <c r="AA910" s="155">
        <v>3.4766802733692259E-2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45322</v>
      </c>
      <c r="Y911" s="152">
        <f>_xll.qlInterestRateIndexValueDate(IborIndex,X911,Trigger)</f>
        <v>45324</v>
      </c>
      <c r="Z911" s="153">
        <v>3.5269326931521683E-2</v>
      </c>
      <c r="AA911" s="155">
        <v>3.4781156250947021E-2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45329</v>
      </c>
      <c r="Y912" s="152">
        <f>_xll.qlInterestRateIndexValueDate(IborIndex,X912,Trigger)</f>
        <v>45331</v>
      </c>
      <c r="Z912" s="153">
        <v>3.528415010036922E-2</v>
      </c>
      <c r="AA912" s="155">
        <v>3.4795525590185505E-2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45336</v>
      </c>
      <c r="Y913" s="152">
        <f>_xll.qlInterestRateIndexValueDate(IborIndex,X913,Trigger)</f>
        <v>45338</v>
      </c>
      <c r="Z913" s="153">
        <v>3.5298989480551456E-2</v>
      </c>
      <c r="AA913" s="155">
        <v>3.4809910751487649E-2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45343</v>
      </c>
      <c r="Y914" s="152">
        <f>_xll.qlInterestRateIndexValueDate(IborIndex,X914,Trigger)</f>
        <v>45345</v>
      </c>
      <c r="Z914" s="153">
        <v>3.5313845072426339E-2</v>
      </c>
      <c r="AA914" s="155">
        <v>3.482431173469358E-2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45350</v>
      </c>
      <c r="Y915" s="152">
        <f>_xll.qlInterestRateIndexValueDate(IborIndex,X915,Trigger)</f>
        <v>45352</v>
      </c>
      <c r="Z915" s="153">
        <v>3.5339884727605402E-2</v>
      </c>
      <c r="AA915" s="155">
        <v>3.4838728539883235E-2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45357</v>
      </c>
      <c r="Y916" s="152">
        <f>_xll.qlInterestRateIndexValueDate(IborIndex,X916,Trigger)</f>
        <v>45359</v>
      </c>
      <c r="Z916" s="153">
        <v>3.5351987957840822E-2</v>
      </c>
      <c r="AA916" s="155">
        <v>3.4853161167136548E-2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45364</v>
      </c>
      <c r="Y917" s="152">
        <f>_xll.qlInterestRateIndexValueDate(IborIndex,X917,Trigger)</f>
        <v>45366</v>
      </c>
      <c r="Z917" s="153">
        <v>3.5366900015195372E-2</v>
      </c>
      <c r="AA917" s="155">
        <v>3.4867609616373585E-2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45371</v>
      </c>
      <c r="Y918" s="152">
        <f>_xll.qlInterestRateIndexValueDate(IborIndex,X918,Trigger)</f>
        <v>45373</v>
      </c>
      <c r="Z918" s="153">
        <v>3.5381828292308008E-2</v>
      </c>
      <c r="AA918" s="155">
        <v>3.4882073887514409E-2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45378</v>
      </c>
      <c r="Y919" s="152">
        <f>_xll.qlInterestRateIndexValueDate(IborIndex,X919,Trigger)</f>
        <v>45384</v>
      </c>
      <c r="Z919" s="153">
        <v>3.5399711983807654E-2</v>
      </c>
      <c r="AA919" s="155">
        <v>3.4900694056281267E-2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45385</v>
      </c>
      <c r="Y920" s="152">
        <f>_xll.qlInterestRateIndexValueDate(IborIndex,X920,Trigger)</f>
        <v>45387</v>
      </c>
      <c r="Z920" s="153">
        <v>3.5411733507268388E-2</v>
      </c>
      <c r="AA920" s="155">
        <v>3.4911049895827162E-2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45392</v>
      </c>
      <c r="Y921" s="152">
        <f>_xll.qlInterestRateIndexValueDate(IborIndex,X921,Trigger)</f>
        <v>45394</v>
      </c>
      <c r="Z921" s="153">
        <v>3.5429518735500085E-2</v>
      </c>
      <c r="AA921" s="155">
        <v>3.4925561632999091E-2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45399</v>
      </c>
      <c r="Y922" s="152">
        <f>_xll.qlInterestRateIndexValueDate(IborIndex,X922,Trigger)</f>
        <v>45401</v>
      </c>
      <c r="Z922" s="153">
        <v>3.5441703605647183E-2</v>
      </c>
      <c r="AA922" s="155">
        <v>3.494008919223468E-2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45406</v>
      </c>
      <c r="Y923" s="152">
        <f>_xll.qlInterestRateIndexValueDate(IborIndex,X923,Trigger)</f>
        <v>45408</v>
      </c>
      <c r="Z923" s="153">
        <v>3.5456712987033817E-2</v>
      </c>
      <c r="AA923" s="155">
        <v>3.4954632573374056E-2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45413</v>
      </c>
      <c r="Y924" s="152">
        <f>_xll.qlInterestRateIndexValueDate(IborIndex,X924,Trigger)</f>
        <v>45415</v>
      </c>
      <c r="Z924" s="153">
        <v>3.5471738590374391E-2</v>
      </c>
      <c r="AA924" s="155">
        <v>3.497127295444713E-2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45420</v>
      </c>
      <c r="Y925" s="152">
        <f>_xll.qlInterestRateIndexValueDate(IborIndex,X925,Trigger)</f>
        <v>45422</v>
      </c>
      <c r="Z925" s="153">
        <v>3.54895975822518E-2</v>
      </c>
      <c r="AA925" s="155">
        <v>3.4983766801843785E-2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45427</v>
      </c>
      <c r="Y926" s="152">
        <f>_xll.qlInterestRateIndexValueDate(IborIndex,X926,Trigger)</f>
        <v>45429</v>
      </c>
      <c r="Z926" s="153">
        <v>3.5501829722869971E-2</v>
      </c>
      <c r="AA926" s="155">
        <v>3.4998357649014267E-2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45434</v>
      </c>
      <c r="Y927" s="152">
        <f>_xll.qlInterestRateIndexValueDate(IborIndex,X927,Trigger)</f>
        <v>45436</v>
      </c>
      <c r="Z927" s="153">
        <v>3.5516883232950817E-2</v>
      </c>
      <c r="AA927" s="155">
        <v>3.5015052276934355E-2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45441</v>
      </c>
      <c r="Y928" s="152">
        <f>_xll.qlInterestRateIndexValueDate(IborIndex,X928,Trigger)</f>
        <v>45443</v>
      </c>
      <c r="Z928" s="153">
        <v>3.5523475204441234E-2</v>
      </c>
      <c r="AA928" s="155">
        <v>3.5027586809546207E-2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45448</v>
      </c>
      <c r="Y929" s="152">
        <f>_xll.qlInterestRateIndexValueDate(IborIndex,X929,Trigger)</f>
        <v>45450</v>
      </c>
      <c r="Z929" s="153">
        <v>3.5546973359938075E-2</v>
      </c>
      <c r="AA929" s="155">
        <v>3.5042225122747794E-2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45455</v>
      </c>
      <c r="Y930" s="152">
        <f>_xll.qlInterestRateIndexValueDate(IborIndex,X930,Trigger)</f>
        <v>45457</v>
      </c>
      <c r="Z930" s="153">
        <v>3.5561996863910185E-2</v>
      </c>
      <c r="AA930" s="155">
        <v>3.5056879258092977E-2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45462</v>
      </c>
      <c r="Y931" s="152">
        <f>_xll.qlInterestRateIndexValueDate(IborIndex,X931,Trigger)</f>
        <v>45464</v>
      </c>
      <c r="Z931" s="153">
        <v>3.557699725258235E-2</v>
      </c>
      <c r="AA931" s="155">
        <v>3.5071549215341946E-2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45469</v>
      </c>
      <c r="Y932" s="152">
        <f>_xll.qlInterestRateIndexValueDate(IborIndex,X932,Trigger)</f>
        <v>45471</v>
      </c>
      <c r="Z932" s="153">
        <v>3.5594777820333524E-2</v>
      </c>
      <c r="AA932" s="155">
        <v>3.5086234994654575E-2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45476</v>
      </c>
      <c r="Y933" s="152">
        <f>_xll.qlInterestRateIndexValueDate(IborIndex,X933,Trigger)</f>
        <v>45478</v>
      </c>
      <c r="Z933" s="153">
        <v>3.5606902455976197E-2</v>
      </c>
      <c r="AA933" s="155">
        <v>3.5100936596030863E-2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45483</v>
      </c>
      <c r="Y934" s="152">
        <f>_xll.qlInterestRateIndexValueDate(IborIndex,X934,Trigger)</f>
        <v>45485</v>
      </c>
      <c r="Z934" s="153">
        <v>3.5621794156183433E-2</v>
      </c>
      <c r="AA934" s="155">
        <v>3.5115654019390874E-2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45490</v>
      </c>
      <c r="Y935" s="152">
        <f>_xll.qlInterestRateIndexValueDate(IborIndex,X935,Trigger)</f>
        <v>45492</v>
      </c>
      <c r="Z935" s="153">
        <v>3.56394322778553E-2</v>
      </c>
      <c r="AA935" s="155">
        <v>3.5130387264814544E-2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45497</v>
      </c>
      <c r="Y936" s="152">
        <f>_xll.qlInterestRateIndexValueDate(IborIndex,X936,Trigger)</f>
        <v>45499</v>
      </c>
      <c r="Z936" s="153">
        <v>3.5651422965867631E-2</v>
      </c>
      <c r="AA936" s="155">
        <v>3.5145136332221938E-2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45504</v>
      </c>
      <c r="Y937" s="152">
        <f>_xll.qlInterestRateIndexValueDate(IborIndex,X937,Trigger)</f>
        <v>45506</v>
      </c>
      <c r="Z937" s="153">
        <v>3.5666146959668271E-2</v>
      </c>
      <c r="AA937" s="155">
        <v>3.5159901221613055E-2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45511</v>
      </c>
      <c r="Y938" s="152">
        <f>_xll.qlInterestRateIndexValueDate(IborIndex,X938,Trigger)</f>
        <v>45513</v>
      </c>
      <c r="Z938" s="153">
        <v>3.5680801935338451E-2</v>
      </c>
      <c r="AA938" s="155">
        <v>3.5174681933147767E-2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45518</v>
      </c>
      <c r="Y939" s="152">
        <f>_xll.qlInterestRateIndexValueDate(IborIndex,X939,Trigger)</f>
        <v>45520</v>
      </c>
      <c r="Z939" s="153">
        <v>3.5698150795912591E-2</v>
      </c>
      <c r="AA939" s="155">
        <v>3.5189478466666202E-2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45525</v>
      </c>
      <c r="Y940" s="152">
        <f>_xll.qlInterestRateIndexValueDate(IborIndex,X940,Trigger)</f>
        <v>45527</v>
      </c>
      <c r="Z940" s="153">
        <v>3.5709878598859914E-2</v>
      </c>
      <c r="AA940" s="155">
        <v>3.5206408164629721E-2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45532</v>
      </c>
      <c r="Y941" s="152">
        <f>_xll.qlInterestRateIndexValueDate(IborIndex,X941,Trigger)</f>
        <v>45534</v>
      </c>
      <c r="Z941" s="153">
        <v>3.5716021825887324E-2</v>
      </c>
      <c r="AA941" s="155">
        <v>3.5219118999814114E-2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45539</v>
      </c>
      <c r="Y942" s="152">
        <f>_xll.qlInterestRateIndexValueDate(IborIndex,X942,Trigger)</f>
        <v>45541</v>
      </c>
      <c r="Z942" s="153">
        <v>3.5727612079161065E-2</v>
      </c>
      <c r="AA942" s="155">
        <v>3.5233962999443591E-2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45546</v>
      </c>
      <c r="Y943" s="152">
        <f>_xll.qlInterestRateIndexValueDate(IborIndex,X943,Trigger)</f>
        <v>45548</v>
      </c>
      <c r="Z943" s="153">
        <v>3.5741858298363398E-2</v>
      </c>
      <c r="AA943" s="155">
        <v>3.5248822821056791E-2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45553</v>
      </c>
      <c r="Y944" s="152">
        <f>_xll.qlInterestRateIndexValueDate(IborIndex,X944,Trigger)</f>
        <v>45555</v>
      </c>
      <c r="Z944" s="153">
        <v>3.5755997264113638E-2</v>
      </c>
      <c r="AA944" s="155">
        <v>3.5263698464893523E-2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45560</v>
      </c>
      <c r="Y945" s="152">
        <f>_xll.qlInterestRateIndexValueDate(IborIndex,X945,Trigger)</f>
        <v>45562</v>
      </c>
      <c r="Z945" s="153">
        <v>3.577002227484697E-2</v>
      </c>
      <c r="AA945" s="155">
        <v>3.5278589930713977E-2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45567</v>
      </c>
      <c r="Y946" s="152">
        <f>_xll.qlInterestRateIndexValueDate(IborIndex,X946,Trigger)</f>
        <v>45569</v>
      </c>
      <c r="Z946" s="153">
        <v>3.5786638625869817E-2</v>
      </c>
      <c r="AA946" s="155">
        <v>3.5293497218438219E-2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45574</v>
      </c>
      <c r="Y947" s="152">
        <f>_xll.qlInterestRateIndexValueDate(IborIndex,X947,Trigger)</f>
        <v>45576</v>
      </c>
      <c r="Z947" s="153">
        <v>3.5800406046695168E-2</v>
      </c>
      <c r="AA947" s="155">
        <v>3.5308420328306056E-2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45581</v>
      </c>
      <c r="Y948" s="152">
        <f>_xll.qlInterestRateIndexValueDate(IborIndex,X948,Trigger)</f>
        <v>45583</v>
      </c>
      <c r="Z948" s="153">
        <v>3.5824802407139152E-2</v>
      </c>
      <c r="AA948" s="155">
        <v>3.5323359260237552E-2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45588</v>
      </c>
      <c r="Y949" s="152">
        <f>_xll.qlInterestRateIndexValueDate(IborIndex,X949,Trigger)</f>
        <v>45590</v>
      </c>
      <c r="Z949" s="153">
        <v>3.5827531622791231E-2</v>
      </c>
      <c r="AA949" s="155">
        <v>3.5338314014232708E-2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45595</v>
      </c>
      <c r="Y950" s="152">
        <f>_xll.qlInterestRateIndexValueDate(IborIndex,X950,Trigger)</f>
        <v>45597</v>
      </c>
      <c r="Z950" s="153">
        <v>3.5838203437035331E-2</v>
      </c>
      <c r="AA950" s="155">
        <v>3.5353280538332754E-2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45602</v>
      </c>
      <c r="Y951" s="152">
        <f>_xll.qlInterestRateIndexValueDate(IborIndex,X951,Trigger)</f>
        <v>45604</v>
      </c>
      <c r="Z951" s="153">
        <v>3.5851404184085493E-2</v>
      </c>
      <c r="AA951" s="155">
        <v>3.5368145378171789E-2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45609</v>
      </c>
      <c r="Y952" s="152">
        <f>_xll.qlInterestRateIndexValueDate(IborIndex,X952,Trigger)</f>
        <v>45611</v>
      </c>
      <c r="Z952" s="153">
        <v>3.5864447976979907E-2</v>
      </c>
      <c r="AA952" s="155">
        <v>3.5382855858365758E-2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45616</v>
      </c>
      <c r="Y953" s="152">
        <f>_xll.qlInterestRateIndexValueDate(IborIndex,X953,Trigger)</f>
        <v>45618</v>
      </c>
      <c r="Z953" s="153">
        <v>3.5877334724787109E-2</v>
      </c>
      <c r="AA953" s="155">
        <v>3.5397411979154469E-2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45623</v>
      </c>
      <c r="Y954" s="152">
        <f>_xll.qlInterestRateIndexValueDate(IborIndex,X954,Trigger)</f>
        <v>45625</v>
      </c>
      <c r="Z954" s="153">
        <v>3.5892697678872654E-2</v>
      </c>
      <c r="AA954" s="155">
        <v>3.5411813740298115E-2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45630</v>
      </c>
      <c r="Y955" s="152">
        <f>_xll.qlInterestRateIndexValueDate(IborIndex,X955,Trigger)</f>
        <v>45632</v>
      </c>
      <c r="Z955" s="153">
        <v>3.590526035064584E-2</v>
      </c>
      <c r="AA955" s="155">
        <v>3.542606114187663E-2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45637</v>
      </c>
      <c r="Y956" s="152">
        <f>_xll.qlInterestRateIndexValueDate(IborIndex,X956,Trigger)</f>
        <v>45639</v>
      </c>
      <c r="Z956" s="153">
        <v>3.5917665953139243E-2</v>
      </c>
      <c r="AA956" s="155">
        <v>3.544015418381008E-2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45644</v>
      </c>
      <c r="Y957" s="152">
        <f>_xll.qlInterestRateIndexValueDate(IborIndex,X957,Trigger)</f>
        <v>45646</v>
      </c>
      <c r="Z957" s="153">
        <v>3.5929914483450127E-2</v>
      </c>
      <c r="AA957" s="155">
        <v>3.5459562606119377E-2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45653</v>
      </c>
      <c r="Y958" s="152">
        <f>_xll.qlInterestRateIndexValueDate(IborIndex,X958,Trigger)</f>
        <v>45657</v>
      </c>
      <c r="Z958" s="153">
        <v>3.5946257296459554E-2</v>
      </c>
      <c r="AA958" s="155">
        <v>3.5479179605291122E-2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45660</v>
      </c>
      <c r="Y959" s="152">
        <f>_xll.qlInterestRateIndexValueDate(IborIndex,X959,Trigger)</f>
        <v>45664</v>
      </c>
      <c r="Z959" s="153">
        <v>3.5958111960759487E-2</v>
      </c>
      <c r="AA959" s="155">
        <v>3.5485373075001547E-2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45667</v>
      </c>
      <c r="Y960" s="152">
        <f>_xll.qlInterestRateIndexValueDate(IborIndex,X960,Trigger)</f>
        <v>45671</v>
      </c>
      <c r="Z960" s="153">
        <v>3.5969809558170411E-2</v>
      </c>
      <c r="AA960" s="155">
        <v>3.5498804575633258E-2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45674</v>
      </c>
      <c r="Y961" s="152">
        <f>_xll.qlInterestRateIndexValueDate(IborIndex,X961,Trigger)</f>
        <v>45678</v>
      </c>
      <c r="Z961" s="153">
        <v>3.598135008596922E-2</v>
      </c>
      <c r="AA961" s="155">
        <v>3.5512081716380095E-2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45681</v>
      </c>
      <c r="Y962" s="152">
        <f>_xll.qlInterestRateIndexValueDate(IborIndex,X962,Trigger)</f>
        <v>45685</v>
      </c>
      <c r="Z962" s="153">
        <v>3.5992733541469875E-2</v>
      </c>
      <c r="AA962" s="155">
        <v>3.5525204497481866E-2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45688</v>
      </c>
      <c r="Y963" s="152">
        <f>_xll.qlInterestRateIndexValueDate(IborIndex,X963,Trigger)</f>
        <v>45692</v>
      </c>
      <c r="Z963" s="153">
        <v>3.6003959922022565E-2</v>
      </c>
      <c r="AA963" s="155">
        <v>3.5538172918778699E-2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45695</v>
      </c>
      <c r="Y964" s="152">
        <f>_xll.qlInterestRateIndexValueDate(IborIndex,X964,Trigger)</f>
        <v>45699</v>
      </c>
      <c r="Z964" s="153">
        <v>3.6015029225013692E-2</v>
      </c>
      <c r="AA964" s="155">
        <v>3.5550986980430466E-2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45702</v>
      </c>
      <c r="Y965" s="152">
        <f>_xll.qlInterestRateIndexValueDate(IborIndex,X965,Trigger)</f>
        <v>45706</v>
      </c>
      <c r="Z965" s="153">
        <v>3.6025941447867631E-2</v>
      </c>
      <c r="AA965" s="155">
        <v>3.5563646682277295E-2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45709</v>
      </c>
      <c r="Y966" s="152">
        <f>_xll.qlInterestRateIndexValueDate(IborIndex,X966,Trigger)</f>
        <v>45713</v>
      </c>
      <c r="Z966" s="153">
        <v>3.603920330213161E-2</v>
      </c>
      <c r="AA966" s="155">
        <v>3.5576152024239249E-2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45716</v>
      </c>
      <c r="Y967" s="152">
        <f>_xll.qlInterestRateIndexValueDate(IborIndex,X967,Trigger)</f>
        <v>45720</v>
      </c>
      <c r="Z967" s="153">
        <v>3.6054781842413619E-2</v>
      </c>
      <c r="AA967" s="155">
        <v>3.5588503006476202E-2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45723</v>
      </c>
      <c r="Y968" s="152">
        <f>_xll.qlInterestRateIndexValueDate(IborIndex,X968,Trigger)</f>
        <v>45727</v>
      </c>
      <c r="Z968" s="153">
        <v>3.6065192246435493E-2</v>
      </c>
      <c r="AA968" s="155">
        <v>3.5600699628828281E-2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45730</v>
      </c>
      <c r="Y969" s="152">
        <f>_xll.qlInterestRateIndexValueDate(IborIndex,X969,Trigger)</f>
        <v>45734</v>
      </c>
      <c r="Z969" s="153">
        <v>3.6075445513957902E-2</v>
      </c>
      <c r="AA969" s="155">
        <v>3.5612741891375421E-2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45737</v>
      </c>
      <c r="Y970" s="152">
        <f>_xll.qlInterestRateIndexValueDate(IborIndex,X970,Trigger)</f>
        <v>45741</v>
      </c>
      <c r="Z970" s="153">
        <v>3.6085541642554966E-2</v>
      </c>
      <c r="AA970" s="155">
        <v>3.5624629794117624E-2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45744</v>
      </c>
      <c r="Y971" s="152">
        <f>_xll.qlInterestRateIndexValueDate(IborIndex,X971,Trigger)</f>
        <v>45748</v>
      </c>
      <c r="Z971" s="153">
        <v>3.6093026559948553E-2</v>
      </c>
      <c r="AA971" s="155">
        <v>3.5636363336895016E-2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45751</v>
      </c>
      <c r="Y972" s="152">
        <f>_xll.qlInterestRateIndexValueDate(IborIndex,X972,Trigger)</f>
        <v>45755</v>
      </c>
      <c r="Z972" s="153">
        <v>3.6102818655407404E-2</v>
      </c>
      <c r="AA972" s="155">
        <v>3.564794251986747E-2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45758</v>
      </c>
      <c r="Y973" s="152">
        <f>_xll.qlInterestRateIndexValueDate(IborIndex,X973,Trigger)</f>
        <v>45762</v>
      </c>
      <c r="Z973" s="153">
        <v>3.6112453620403301E-2</v>
      </c>
      <c r="AA973" s="155">
        <v>3.5669666448459481E-2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45769</v>
      </c>
      <c r="Y974" s="152">
        <f>_xll.qlInterestRateIndexValueDate(IborIndex,X974,Trigger)</f>
        <v>45771</v>
      </c>
      <c r="Z974" s="153">
        <v>3.6124610543316456E-2</v>
      </c>
      <c r="AA974" s="155">
        <v>3.5677008766157314E-2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45776</v>
      </c>
      <c r="Y975" s="152">
        <f>_xll.qlInterestRateIndexValueDate(IborIndex,X975,Trigger)</f>
        <v>45778</v>
      </c>
      <c r="Z975" s="153">
        <v>3.614111393036528E-2</v>
      </c>
      <c r="AA975" s="155">
        <v>3.56895994767914E-2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45783</v>
      </c>
      <c r="Y976" s="152">
        <f>_xll.qlInterestRateIndexValueDate(IborIndex,X976,Trigger)</f>
        <v>45785</v>
      </c>
      <c r="Z976" s="153">
        <v>3.6150201632144767E-2</v>
      </c>
      <c r="AA976" s="155">
        <v>3.5698910201222844E-2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45790</v>
      </c>
      <c r="Y977" s="152">
        <f>_xll.qlInterestRateIndexValueDate(IborIndex,X977,Trigger)</f>
        <v>45792</v>
      </c>
      <c r="Z977" s="153">
        <v>3.6159132147314289E-2</v>
      </c>
      <c r="AA977" s="155">
        <v>3.5709629378848362E-2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45797</v>
      </c>
      <c r="Y978" s="152">
        <f>_xll.qlInterestRateIndexValueDate(IborIndex,X978,Trigger)</f>
        <v>45799</v>
      </c>
      <c r="Z978" s="153">
        <v>3.6167905473737057E-2</v>
      </c>
      <c r="AA978" s="155">
        <v>3.5721690855305965E-2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45804</v>
      </c>
      <c r="Y979" s="152">
        <f>_xll.qlInterestRateIndexValueDate(IborIndex,X979,Trigger)</f>
        <v>45806</v>
      </c>
      <c r="Z979" s="153">
        <v>3.6169418150268466E-2</v>
      </c>
      <c r="AA979" s="155">
        <v>3.5730604654125031E-2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45811</v>
      </c>
      <c r="Y980" s="152">
        <f>_xll.qlInterestRateIndexValueDate(IborIndex,X980,Trigger)</f>
        <v>45813</v>
      </c>
      <c r="Z980" s="153">
        <v>3.6177908241497865E-2</v>
      </c>
      <c r="AA980" s="155">
        <v>3.5740860751696246E-2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45818</v>
      </c>
      <c r="Y981" s="152">
        <f>_xll.qlInterestRateIndexValueDate(IborIndex,X981,Trigger)</f>
        <v>45820</v>
      </c>
      <c r="Z981" s="153">
        <v>3.6186241184590573E-2</v>
      </c>
      <c r="AA981" s="155">
        <v>3.5750962489302651E-2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45825</v>
      </c>
      <c r="Y982" s="152">
        <f>_xll.qlInterestRateIndexValueDate(IborIndex,X982,Trigger)</f>
        <v>45827</v>
      </c>
      <c r="Z982" s="153">
        <v>3.6194416977587497E-2</v>
      </c>
      <c r="AA982" s="155">
        <v>3.576090986686431E-2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45832</v>
      </c>
      <c r="Y983" s="152">
        <f>_xll.qlInterestRateIndexValueDate(IborIndex,X983,Trigger)</f>
        <v>45834</v>
      </c>
      <c r="Z983" s="153">
        <v>3.6209414202524985E-2</v>
      </c>
      <c r="AA983" s="155">
        <v>3.5770702884381222E-2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45839</v>
      </c>
      <c r="Y984" s="152">
        <f>_xll.qlInterestRateIndexValueDate(IborIndex,X984,Trigger)</f>
        <v>45841</v>
      </c>
      <c r="Z984" s="153">
        <v>3.6217244353714789E-2</v>
      </c>
      <c r="AA984" s="155">
        <v>3.5780341541853389E-2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45846</v>
      </c>
      <c r="Y985" s="152">
        <f>_xll.qlInterestRateIndexValueDate(IborIndex,X985,Trigger)</f>
        <v>45848</v>
      </c>
      <c r="Z985" s="153">
        <v>3.6224917302257562E-2</v>
      </c>
      <c r="AA985" s="155">
        <v>3.5789825839280809E-2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45853</v>
      </c>
      <c r="Y986" s="152">
        <f>_xll.qlInterestRateIndexValueDate(IborIndex,X986,Trigger)</f>
        <v>45855</v>
      </c>
      <c r="Z986" s="153">
        <v>3.6234726152922107E-2</v>
      </c>
      <c r="AA986" s="155">
        <v>3.5799155776583547E-2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45860</v>
      </c>
      <c r="Y987" s="152">
        <f>_xll.qlInterestRateIndexValueDate(IborIndex,X987,Trigger)</f>
        <v>45862</v>
      </c>
      <c r="Z987" s="153">
        <v>3.6239791584096466E-2</v>
      </c>
      <c r="AA987" s="155">
        <v>3.5808331353761602E-2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45867</v>
      </c>
      <c r="Y988" s="152">
        <f>_xll.qlInterestRateIndexValueDate(IborIndex,X988,Trigger)</f>
        <v>45869</v>
      </c>
      <c r="Z988" s="153">
        <v>3.6240171478356641E-2</v>
      </c>
      <c r="AA988" s="155">
        <v>3.5817352570894911E-2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45874</v>
      </c>
      <c r="Y989" s="152">
        <f>_xll.qlInterestRateIndexValueDate(IborIndex,X989,Trigger)</f>
        <v>45876</v>
      </c>
      <c r="Z989" s="153">
        <v>3.6254037033807925E-2</v>
      </c>
      <c r="AA989" s="155">
        <v>3.5826219427903538E-2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45881</v>
      </c>
      <c r="Y990" s="152">
        <f>_xll.qlInterestRateIndexValueDate(IborIndex,X990,Trigger)</f>
        <v>45883</v>
      </c>
      <c r="Z990" s="153">
        <v>3.6263174968909129E-2</v>
      </c>
      <c r="AA990" s="155">
        <v>3.5834931924707547E-2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45888</v>
      </c>
      <c r="Y991" s="152">
        <f>_xll.qlInterestRateIndexValueDate(IborIndex,X991,Trigger)</f>
        <v>45890</v>
      </c>
      <c r="Z991" s="153">
        <v>3.6267653637761126E-2</v>
      </c>
      <c r="AA991" s="155">
        <v>3.5844700051494982E-2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45895</v>
      </c>
      <c r="Y992" s="152">
        <f>_xll.qlInterestRateIndexValueDate(IborIndex,X992,Trigger)</f>
        <v>45897</v>
      </c>
      <c r="Z992" s="153">
        <v>3.6267531247182232E-2</v>
      </c>
      <c r="AA992" s="155">
        <v>3.5851893837941518E-2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45902</v>
      </c>
      <c r="Y993" s="152">
        <f>_xll.qlInterestRateIndexValueDate(IborIndex,X993,Trigger)</f>
        <v>45904</v>
      </c>
      <c r="Z993" s="153">
        <v>3.6269531859167155E-2</v>
      </c>
      <c r="AA993" s="155">
        <v>3.5860143254371479E-2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45909</v>
      </c>
      <c r="Y994" s="152">
        <f>_xll.qlInterestRateIndexValueDate(IborIndex,X994,Trigger)</f>
        <v>45911</v>
      </c>
      <c r="Z994" s="153">
        <v>3.6275842904408474E-2</v>
      </c>
      <c r="AA994" s="155">
        <v>3.5868238310596823E-2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45916</v>
      </c>
      <c r="Y995" s="152">
        <f>_xll.qlInterestRateIndexValueDate(IborIndex,X995,Trigger)</f>
        <v>45918</v>
      </c>
      <c r="Z995" s="153">
        <v>3.6281996808798303E-2</v>
      </c>
      <c r="AA995" s="155">
        <v>3.5876179006697484E-2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45923</v>
      </c>
      <c r="Y996" s="152">
        <f>_xll.qlInterestRateIndexValueDate(IborIndex,X996,Trigger)</f>
        <v>45925</v>
      </c>
      <c r="Z996" s="153">
        <v>3.6287993570903974E-2</v>
      </c>
      <c r="AA996" s="155">
        <v>3.5883965342433655E-2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45930</v>
      </c>
      <c r="Y997" s="152">
        <f>_xll.qlInterestRateIndexValueDate(IborIndex,X997,Trigger)</f>
        <v>45932</v>
      </c>
      <c r="Z997" s="153">
        <v>3.6296014352621912E-2</v>
      </c>
      <c r="AA997" s="155">
        <v>3.5891597318205015E-2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45937</v>
      </c>
      <c r="Y998" s="152">
        <f>_xll.qlInterestRateIndexValueDate(IborIndex,X998,Trigger)</f>
        <v>45939</v>
      </c>
      <c r="Z998" s="153">
        <v>3.6301686167854334E-2</v>
      </c>
      <c r="AA998" s="155">
        <v>3.5899074933531949E-2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45944</v>
      </c>
      <c r="Y999" s="152">
        <f>_xll.qlInterestRateIndexValueDate(IborIndex,X999,Trigger)</f>
        <v>45946</v>
      </c>
      <c r="Z999" s="153">
        <v>3.6307200821017023E-2</v>
      </c>
      <c r="AA999" s="155">
        <v>3.5906398188734201E-2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45951</v>
      </c>
      <c r="Y1000" s="152">
        <f>_xll.qlInterestRateIndexValueDate(IborIndex,X1000,Trigger)</f>
        <v>45953</v>
      </c>
      <c r="Z1000" s="153">
        <v>3.6312558310819143E-2</v>
      </c>
      <c r="AA1000" s="155">
        <v>3.5913567083731834E-2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45958</v>
      </c>
      <c r="Y1001" s="152">
        <f>_xll.qlInterestRateIndexValueDate(IborIndex,X1001,Trigger)</f>
        <v>45960</v>
      </c>
      <c r="Z1001" s="153">
        <v>3.6317758636007197E-2</v>
      </c>
      <c r="AA1001" s="155">
        <v>3.5920581618524849E-2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45965</v>
      </c>
      <c r="Y1002" s="152">
        <f>_xll.qlInterestRateIndexValueDate(IborIndex,X1002,Trigger)</f>
        <v>45967</v>
      </c>
      <c r="Z1002" s="153">
        <v>3.6320674079965753E-2</v>
      </c>
      <c r="AA1002" s="155">
        <v>3.592744179303331E-2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45972</v>
      </c>
      <c r="Y1003" s="152">
        <f>_xll.qlInterestRateIndexValueDate(IborIndex,X1003,Trigger)</f>
        <v>45974</v>
      </c>
      <c r="Z1003" s="153">
        <v>3.6325570809045873E-2</v>
      </c>
      <c r="AA1003" s="155">
        <v>3.5934147607257216E-2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45979</v>
      </c>
      <c r="Y1004" s="152">
        <f>_xll.qlInterestRateIndexValueDate(IborIndex,X1004,Trigger)</f>
        <v>45981</v>
      </c>
      <c r="Z1004" s="153">
        <v>3.6330310385698346E-2</v>
      </c>
      <c r="AA1004" s="155">
        <v>3.5940699061196568E-2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45986</v>
      </c>
      <c r="Y1005" s="152">
        <f>_xll.qlInterestRateIndexValueDate(IborIndex,X1005,Trigger)</f>
        <v>45989</v>
      </c>
      <c r="Z1005" s="153">
        <v>3.6337628530172826E-2</v>
      </c>
      <c r="AA1005" s="155">
        <v>3.5947997424550238E-2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45993</v>
      </c>
      <c r="Y1006" s="152">
        <f>_xll.qlInterestRateIndexValueDate(IborIndex,X1006,Trigger)</f>
        <v>45995</v>
      </c>
      <c r="Z1006" s="153">
        <v>3.6341402751410345E-2</v>
      </c>
      <c r="AA1006" s="155">
        <v>3.5953338888221609E-2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46000</v>
      </c>
      <c r="Y1007" s="152">
        <f>_xll.qlInterestRateIndexValueDate(IborIndex,X1007,Trigger)</f>
        <v>46002</v>
      </c>
      <c r="Z1007" s="153">
        <v>3.6345660064635375E-2</v>
      </c>
      <c r="AA1007" s="155">
        <v>3.5959427261307297E-2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46007</v>
      </c>
      <c r="Y1008" s="152">
        <f>_xll.qlInterestRateIndexValueDate(IborIndex,X1008,Trigger)</f>
        <v>46009</v>
      </c>
      <c r="Z1008" s="153">
        <v>3.6349760205497371E-2</v>
      </c>
      <c r="AA1008" s="155">
        <v>3.5965361274108432E-2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46014</v>
      </c>
      <c r="Y1009" s="152">
        <f>_xll.qlInterestRateIndexValueDate(IborIndex,X1009,Trigger)</f>
        <v>46020</v>
      </c>
      <c r="Z1009" s="153">
        <v>3.6355885729373198E-2</v>
      </c>
      <c r="AA1009" s="155">
        <v>3.5974964603440185E-2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46021</v>
      </c>
      <c r="Y1010" s="152">
        <f>_xll.qlInterestRateIndexValueDate(IborIndex,X1010,Trigger)</f>
        <v>46024</v>
      </c>
      <c r="Z1010" s="153">
        <v>3.6355977133257493E-2</v>
      </c>
      <c r="AA1010" s="155">
        <v>3.5977557231152701E-2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46028</v>
      </c>
      <c r="Y1011" s="152">
        <f>_xll.qlInterestRateIndexValueDate(IborIndex,X1011,Trigger)</f>
        <v>46030</v>
      </c>
      <c r="Z1011" s="153">
        <v>3.6359087066217932E-2</v>
      </c>
      <c r="AA1011" s="155">
        <v>3.5982237150644636E-2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46035</v>
      </c>
      <c r="Y1012" s="152">
        <f>_xll.qlInterestRateIndexValueDate(IborIndex,X1012,Trigger)</f>
        <v>46037</v>
      </c>
      <c r="Z1012" s="153">
        <v>3.6362569386800984E-2</v>
      </c>
      <c r="AA1012" s="155">
        <v>3.598755372214768E-2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46042</v>
      </c>
      <c r="Y1013" s="152">
        <f>_xll.qlInterestRateIndexValueDate(IborIndex,X1013,Trigger)</f>
        <v>46044</v>
      </c>
      <c r="Z1013" s="153">
        <v>3.6365894546343175E-2</v>
      </c>
      <c r="AA1013" s="155">
        <v>3.5992715933366171E-2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46049</v>
      </c>
      <c r="Y1014" s="152">
        <f>_xll.qlInterestRateIndexValueDate(IborIndex,X1014,Trigger)</f>
        <v>46051</v>
      </c>
      <c r="Z1014" s="153">
        <v>3.6369062544070303E-2</v>
      </c>
      <c r="AA1014" s="155">
        <v>3.599772378422017E-2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46056</v>
      </c>
      <c r="Y1015" s="152">
        <f>_xll.qlInterestRateIndexValueDate(IborIndex,X1015,Trigger)</f>
        <v>46058</v>
      </c>
      <c r="Z1015" s="153">
        <v>3.6372073379245737E-2</v>
      </c>
      <c r="AA1015" s="155">
        <v>3.600257727470968E-2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46063</v>
      </c>
      <c r="Y1016" s="152">
        <f>_xll.qlInterestRateIndexValueDate(IborIndex,X1016,Trigger)</f>
        <v>46065</v>
      </c>
      <c r="Z1016" s="153">
        <v>3.6374927051166822E-2</v>
      </c>
      <c r="AA1016" s="155">
        <v>3.6007276404834698E-2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46070</v>
      </c>
      <c r="Y1017" s="152">
        <f>_xll.qlInterestRateIndexValueDate(IborIndex,X1017,Trigger)</f>
        <v>46072</v>
      </c>
      <c r="Z1017" s="153">
        <v>3.6377623559170666E-2</v>
      </c>
      <c r="AA1017" s="155">
        <v>3.6011821174595227E-2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46077</v>
      </c>
      <c r="Y1018" s="152">
        <f>_xll.qlInterestRateIndexValueDate(IborIndex,X1018,Trigger)</f>
        <v>46079</v>
      </c>
      <c r="Z1018" s="153">
        <v>3.6380162902629271E-2</v>
      </c>
      <c r="AA1018" s="155">
        <v>3.6016211583991264E-2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46084</v>
      </c>
      <c r="Y1019" s="152">
        <f>_xll.qlInterestRateIndexValueDate(IborIndex,X1019,Trigger)</f>
        <v>46086</v>
      </c>
      <c r="Z1019" s="153">
        <v>3.6394189513742237E-2</v>
      </c>
      <c r="AA1019" s="155">
        <v>3.6020447633022812E-2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46091</v>
      </c>
      <c r="Y1020" s="152">
        <f>_xll.qlInterestRateIndexValueDate(IborIndex,X1020,Trigger)</f>
        <v>46093</v>
      </c>
      <c r="Z1020" s="153">
        <v>3.6394421055064671E-2</v>
      </c>
      <c r="AA1020" s="155">
        <v>3.6024529321609933E-2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46098</v>
      </c>
      <c r="Y1021" s="152">
        <f>_xll.qlInterestRateIndexValueDate(IborIndex,X1021,Trigger)</f>
        <v>46100</v>
      </c>
      <c r="Z1021" s="153">
        <v>3.6396433778049936E-2</v>
      </c>
      <c r="AA1021" s="155">
        <v>3.6028456649912499E-2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46105</v>
      </c>
      <c r="Y1022" s="152">
        <f>_xll.qlInterestRateIndexValueDate(IborIndex,X1022,Trigger)</f>
        <v>46107</v>
      </c>
      <c r="Z1022" s="153">
        <v>3.6398289255520959E-2</v>
      </c>
      <c r="AA1022" s="155">
        <v>3.6032229617770639E-2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46112</v>
      </c>
      <c r="Y1023" s="152">
        <f>_xll.qlInterestRateIndexValueDate(IborIndex,X1023,Trigger)</f>
        <v>46114</v>
      </c>
      <c r="Z1023" s="153">
        <v>3.6394299074267167E-2</v>
      </c>
      <c r="AA1023" s="155">
        <v>3.6036853761238774E-2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46119</v>
      </c>
      <c r="Y1024" s="152">
        <f>_xll.qlInterestRateIndexValueDate(IborIndex,X1024,Trigger)</f>
        <v>46121</v>
      </c>
      <c r="Z1024" s="153">
        <v>3.6395873282062105E-2</v>
      </c>
      <c r="AA1024" s="155">
        <v>3.6039312472393448E-2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46126</v>
      </c>
      <c r="Y1025" s="152">
        <f>_xll.qlInterestRateIndexValueDate(IborIndex,X1025,Trigger)</f>
        <v>46128</v>
      </c>
      <c r="Z1025" s="153">
        <v>3.6397290290419319E-2</v>
      </c>
      <c r="AA1025" s="155">
        <v>3.604262235907818E-2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46133</v>
      </c>
      <c r="Y1026" s="152">
        <f>_xll.qlInterestRateIndexValueDate(IborIndex,X1026,Trigger)</f>
        <v>46135</v>
      </c>
      <c r="Z1026" s="153">
        <v>3.6398550099005514E-2</v>
      </c>
      <c r="AA1026" s="155">
        <v>3.6045777885318486E-2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46140</v>
      </c>
      <c r="Y1027" s="152">
        <f>_xll.qlInterestRateIndexValueDate(IborIndex,X1027,Trigger)</f>
        <v>46142</v>
      </c>
      <c r="Z1027" s="153">
        <v>3.6399652707524537E-2</v>
      </c>
      <c r="AA1027" s="155">
        <v>3.6049195188319061E-2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46147</v>
      </c>
      <c r="Y1028" s="152">
        <f>_xll.qlInterestRateIndexValueDate(IborIndex,X1028,Trigger)</f>
        <v>46149</v>
      </c>
      <c r="Z1028" s="153">
        <v>3.6406120340654435E-2</v>
      </c>
      <c r="AA1028" s="155">
        <v>3.6051625856625691E-2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46154</v>
      </c>
      <c r="Y1029" s="152">
        <f>_xll.qlInterestRateIndexValueDate(IborIndex,X1029,Trigger)</f>
        <v>46156</v>
      </c>
      <c r="Z1029" s="153">
        <v>3.6406880197411305E-2</v>
      </c>
      <c r="AA1029" s="155">
        <v>3.6054318301612653E-2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46161</v>
      </c>
      <c r="Y1030" s="152">
        <f>_xll.qlInterestRateIndexValueDate(IborIndex,X1030,Trigger)</f>
        <v>46163</v>
      </c>
      <c r="Z1030" s="153">
        <v>3.6407494048681766E-2</v>
      </c>
      <c r="AA1030" s="155">
        <v>3.605720636891796E-2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46168</v>
      </c>
      <c r="Y1031" s="152">
        <f>_xll.qlInterestRateIndexValueDate(IborIndex,X1031,Trigger)</f>
        <v>46170</v>
      </c>
      <c r="Z1031" s="153">
        <v>3.6407968452470275E-2</v>
      </c>
      <c r="AA1031" s="155">
        <v>3.6059240110413171E-2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46175</v>
      </c>
      <c r="Y1032" s="152">
        <f>_xll.qlInterestRateIndexValueDate(IborIndex,X1032,Trigger)</f>
        <v>46177</v>
      </c>
      <c r="Z1032" s="153">
        <v>3.6402895165272516E-2</v>
      </c>
      <c r="AA1032" s="155">
        <v>3.606146947414679E-2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46182</v>
      </c>
      <c r="Y1033" s="152">
        <f>_xll.qlInterestRateIndexValueDate(IborIndex,X1033,Trigger)</f>
        <v>46184</v>
      </c>
      <c r="Z1033" s="153">
        <v>3.6403131155872258E-2</v>
      </c>
      <c r="AA1033" s="155">
        <v>3.6063544477515919E-2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46189</v>
      </c>
      <c r="Y1034" s="152">
        <f>_xll.qlInterestRateIndexValueDate(IborIndex,X1034,Trigger)</f>
        <v>46191</v>
      </c>
      <c r="Z1034" s="153">
        <v>3.6403245167509111E-2</v>
      </c>
      <c r="AA1034" s="155">
        <v>3.6065465120360685E-2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46196</v>
      </c>
      <c r="Y1035" s="152">
        <f>_xll.qlInterestRateIndexValueDate(IborIndex,X1035,Trigger)</f>
        <v>46198</v>
      </c>
      <c r="Z1035" s="153">
        <v>3.6410388652998317E-2</v>
      </c>
      <c r="AA1035" s="155">
        <v>3.606723140284096E-2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46203</v>
      </c>
      <c r="Y1036" s="152">
        <f>_xll.qlInterestRateIndexValueDate(IborIndex,X1036,Trigger)</f>
        <v>46205</v>
      </c>
      <c r="Z1036" s="153">
        <v>3.640847829163471E-2</v>
      </c>
      <c r="AA1036" s="155">
        <v>3.6068843324796873E-2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46210</v>
      </c>
      <c r="Y1037" s="152">
        <f>_xll.qlInterestRateIndexValueDate(IborIndex,X1037,Trigger)</f>
        <v>46212</v>
      </c>
      <c r="Z1037" s="153">
        <v>3.6408253730363632E-2</v>
      </c>
      <c r="AA1037" s="155">
        <v>3.6070300886388296E-2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46217</v>
      </c>
      <c r="Y1038" s="152">
        <f>_xll.qlInterestRateIndexValueDate(IborIndex,X1038,Trigger)</f>
        <v>46219</v>
      </c>
      <c r="Z1038" s="153">
        <v>3.6409709216571197E-2</v>
      </c>
      <c r="AA1038" s="155">
        <v>3.6071604087455356E-2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46224</v>
      </c>
      <c r="Y1039" s="152">
        <f>_xll.qlInterestRateIndexValueDate(IborIndex,X1039,Trigger)</f>
        <v>46226</v>
      </c>
      <c r="Z1039" s="153">
        <v>3.6407530544013258E-2</v>
      </c>
      <c r="AA1039" s="155">
        <v>3.6072752928157925E-2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46231</v>
      </c>
      <c r="Y1040" s="152">
        <f>_xll.qlInterestRateIndexValueDate(IborIndex,X1040,Trigger)</f>
        <v>46233</v>
      </c>
      <c r="Z1040" s="153">
        <v>3.6401740843582039E-2</v>
      </c>
      <c r="AA1040" s="155">
        <v>3.6073747408416068E-2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46238</v>
      </c>
      <c r="Y1041" s="152">
        <f>_xll.qlInterestRateIndexValueDate(IborIndex,X1041,Trigger)</f>
        <v>46240</v>
      </c>
      <c r="Z1041" s="153">
        <v>3.6406485660509663E-2</v>
      </c>
      <c r="AA1041" s="155">
        <v>3.6074587528149848E-2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46245</v>
      </c>
      <c r="Y1042" s="152">
        <f>_xll.qlInterestRateIndexValueDate(IborIndex,X1042,Trigger)</f>
        <v>46247</v>
      </c>
      <c r="Z1042" s="153">
        <v>3.6407623655376656E-2</v>
      </c>
      <c r="AA1042" s="155">
        <v>3.6075273287519138E-2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46252</v>
      </c>
      <c r="Y1043" s="152">
        <f>_xll.qlInterestRateIndexValueDate(IborIndex,X1043,Trigger)</f>
        <v>46254</v>
      </c>
      <c r="Z1043" s="153">
        <v>3.6405171545408198E-2</v>
      </c>
      <c r="AA1043" s="155">
        <v>3.6075804686364066E-2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46259</v>
      </c>
      <c r="Y1044" s="152">
        <f>_xll.qlInterestRateIndexValueDate(IborIndex,X1044,Trigger)</f>
        <v>46261</v>
      </c>
      <c r="Z1044" s="153">
        <v>3.6399142446791197E-2</v>
      </c>
      <c r="AA1044" s="155">
        <v>3.6076222986558548E-2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46266</v>
      </c>
      <c r="Y1045" s="152">
        <f>_xll.qlInterestRateIndexValueDate(IborIndex,X1045,Trigger)</f>
        <v>46268</v>
      </c>
      <c r="Z1045" s="153">
        <v>3.6394831271316472E-2</v>
      </c>
      <c r="AA1045" s="155">
        <v>3.6076404402720641E-2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46273</v>
      </c>
      <c r="Y1046" s="152">
        <f>_xll.qlInterestRateIndexValueDate(IborIndex,X1046,Trigger)</f>
        <v>46275</v>
      </c>
      <c r="Z1046" s="153">
        <v>3.6394001613149769E-2</v>
      </c>
      <c r="AA1046" s="155">
        <v>3.6076472720312225E-2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46280</v>
      </c>
      <c r="Y1047" s="152">
        <f>_xll.qlInterestRateIndexValueDate(IborIndex,X1047,Trigger)</f>
        <v>46282</v>
      </c>
      <c r="Z1047" s="153">
        <v>3.6393136032563118E-2</v>
      </c>
      <c r="AA1047" s="155">
        <v>3.607638667729951E-2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46287</v>
      </c>
      <c r="Y1048" s="152">
        <f>_xll.qlInterestRateIndexValueDate(IborIndex,X1048,Trigger)</f>
        <v>46289</v>
      </c>
      <c r="Z1048" s="153">
        <v>3.6392241265510182E-2</v>
      </c>
      <c r="AA1048" s="155">
        <v>3.6076146273922305E-2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46294</v>
      </c>
      <c r="Y1049" s="152">
        <f>_xll.qlInterestRateIndexValueDate(IborIndex,X1049,Trigger)</f>
        <v>46296</v>
      </c>
      <c r="Z1049" s="153">
        <v>3.6393086497007468E-2</v>
      </c>
      <c r="AA1049" s="155">
        <v>3.6075751510100673E-2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46301</v>
      </c>
      <c r="Y1050" s="152">
        <f>_xll.qlInterestRateIndexValueDate(IborIndex,X1050,Trigger)</f>
        <v>46303</v>
      </c>
      <c r="Z1050" s="153">
        <v>3.6392154333081642E-2</v>
      </c>
      <c r="AA1050" s="155">
        <v>3.6075202385834615E-2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46308</v>
      </c>
      <c r="Y1051" s="152">
        <f>_xll.qlInterestRateIndexValueDate(IborIndex,X1051,Trigger)</f>
        <v>46310</v>
      </c>
      <c r="Z1051" s="153">
        <v>3.6391213332353747E-2</v>
      </c>
      <c r="AA1051" s="155">
        <v>3.607449890112413E-2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46315</v>
      </c>
      <c r="Y1052" s="152">
        <f>_xll.qlInterestRateIndexValueDate(IborIndex,X1052,Trigger)</f>
        <v>46317</v>
      </c>
      <c r="Z1052" s="153">
        <v>3.6390270194389979E-2</v>
      </c>
      <c r="AA1052" s="155">
        <v>3.6073641055889283E-2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46322</v>
      </c>
      <c r="Y1053" s="152">
        <f>_xll.qlInterestRateIndexValueDate(IborIndex,X1053,Trigger)</f>
        <v>46324</v>
      </c>
      <c r="Z1053" s="153">
        <v>3.6389331618746398E-2</v>
      </c>
      <c r="AA1053" s="155">
        <v>3.6072628850289945E-2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46329</v>
      </c>
      <c r="Y1054" s="152">
        <f>_xll.qlInterestRateIndexValueDate(IborIndex,X1054,Trigger)</f>
        <v>46331</v>
      </c>
      <c r="Z1054" s="153">
        <v>3.6386636956077301E-2</v>
      </c>
      <c r="AA1054" s="155">
        <v>3.6071515230933215E-2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46336</v>
      </c>
      <c r="Y1055" s="152">
        <f>_xll.qlInterestRateIndexValueDate(IborIndex,X1055,Trigger)</f>
        <v>46338</v>
      </c>
      <c r="Z1055" s="153">
        <v>3.6385724816967425E-2</v>
      </c>
      <c r="AA1055" s="155">
        <v>3.6070414237237003E-2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46343</v>
      </c>
      <c r="Y1056" s="152">
        <f>_xll.qlInterestRateIndexValueDate(IborIndex,X1056,Trigger)</f>
        <v>46345</v>
      </c>
      <c r="Z1056" s="153">
        <v>3.6384829680445166E-2</v>
      </c>
      <c r="AA1056" s="155">
        <v>3.6069329942023387E-2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46350</v>
      </c>
      <c r="Y1057" s="152">
        <f>_xll.qlInterestRateIndexValueDate(IborIndex,X1057,Trigger)</f>
        <v>46353</v>
      </c>
      <c r="Z1057" s="153">
        <v>3.6383827486743001E-2</v>
      </c>
      <c r="AA1057" s="155">
        <v>3.6068111194440533E-2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46357</v>
      </c>
      <c r="Y1058" s="152">
        <f>_xll.qlInterestRateIndexValueDate(IborIndex,X1058,Trigger)</f>
        <v>46359</v>
      </c>
      <c r="Z1058" s="153">
        <v>3.638486226383518E-2</v>
      </c>
      <c r="AA1058" s="155">
        <v>3.6067211446644265E-2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46364</v>
      </c>
      <c r="Y1059" s="152">
        <f>_xll.qlInterestRateIndexValueDate(IborIndex,X1059,Trigger)</f>
        <v>46366</v>
      </c>
      <c r="Z1059" s="153">
        <v>3.6384019264983358E-2</v>
      </c>
      <c r="AA1059" s="155">
        <v>3.6066177246638631E-2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46371</v>
      </c>
      <c r="Y1060" s="152">
        <f>_xll.qlInterestRateIndexValueDate(IborIndex,X1060,Trigger)</f>
        <v>46373</v>
      </c>
      <c r="Z1060" s="153">
        <v>3.6383193270335297E-2</v>
      </c>
      <c r="AA1060" s="155">
        <v>3.6065159745035658E-2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46378</v>
      </c>
      <c r="Y1061" s="152">
        <f>_xll.qlInterestRateIndexValueDate(IborIndex,X1061,Trigger)</f>
        <v>46380</v>
      </c>
      <c r="Z1061" s="153">
        <v>3.6382384279869028E-2</v>
      </c>
      <c r="AA1061" s="155">
        <v>3.606387606507333E-2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46385</v>
      </c>
      <c r="Y1062" s="152">
        <f>_xll.qlInterestRateIndexValueDate(IborIndex,X1062,Trigger)</f>
        <v>46387</v>
      </c>
      <c r="Z1062" s="153">
        <v>3.6379815914421382E-2</v>
      </c>
      <c r="AA1062" s="155">
        <v>3.6063035613684846E-2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46392</v>
      </c>
      <c r="Y1063" s="152">
        <f>_xll.qlInterestRateIndexValueDate(IborIndex,X1063,Trigger)</f>
        <v>46394</v>
      </c>
      <c r="Z1063" s="153">
        <v>3.6379039795405695E-2</v>
      </c>
      <c r="AA1063" s="155">
        <v>3.6062207430482829E-2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46399</v>
      </c>
      <c r="Y1064" s="152">
        <f>_xll.qlInterestRateIndexValueDate(IborIndex,X1064,Trigger)</f>
        <v>46401</v>
      </c>
      <c r="Z1064" s="153">
        <v>3.6378280678809813E-2</v>
      </c>
      <c r="AA1064" s="155">
        <v>3.6061256722490498E-2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46406</v>
      </c>
      <c r="Y1065" s="152">
        <f>_xll.qlInterestRateIndexValueDate(IborIndex,X1065,Trigger)</f>
        <v>46408</v>
      </c>
      <c r="Z1065" s="153">
        <v>3.6377538564613864E-2</v>
      </c>
      <c r="AA1065" s="155">
        <v>3.6060322712900827E-2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46413</v>
      </c>
      <c r="Y1066" s="152">
        <f>_xll.qlInterestRateIndexValueDate(IborIndex,X1066,Trigger)</f>
        <v>46415</v>
      </c>
      <c r="Z1066" s="153">
        <v>3.6376813452799729E-2</v>
      </c>
      <c r="AA1066" s="155">
        <v>3.6059405401713818E-2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46420</v>
      </c>
      <c r="Y1067" s="152">
        <f>_xll.qlInterestRateIndexValueDate(IborIndex,X1067,Trigger)</f>
        <v>46422</v>
      </c>
      <c r="Z1067" s="153">
        <v>3.6376105343348876E-2</v>
      </c>
      <c r="AA1067" s="155">
        <v>3.6058504788929469E-2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46427</v>
      </c>
      <c r="Y1068" s="152">
        <f>_xll.qlInterestRateIndexValueDate(IborIndex,X1068,Trigger)</f>
        <v>46429</v>
      </c>
      <c r="Z1068" s="153">
        <v>3.6375414236243631E-2</v>
      </c>
      <c r="AA1068" s="155">
        <v>3.605762087454778E-2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46434</v>
      </c>
      <c r="Y1069" s="152">
        <f>_xll.qlInterestRateIndexValueDate(IborIndex,X1069,Trigger)</f>
        <v>46436</v>
      </c>
      <c r="Z1069" s="153">
        <v>3.6374740131465889E-2</v>
      </c>
      <c r="AA1069" s="155">
        <v>3.6056753658728624E-2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46441</v>
      </c>
      <c r="Y1070" s="152">
        <f>_xll.qlInterestRateIndexValueDate(IborIndex,X1070,Trigger)</f>
        <v>46443</v>
      </c>
      <c r="Z1070" s="153">
        <v>3.6374083028999304E-2</v>
      </c>
      <c r="AA1070" s="155">
        <v>3.6055903141152257E-2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46448</v>
      </c>
      <c r="Y1071" s="152">
        <f>_xll.qlInterestRateIndexValueDate(IborIndex,X1071,Trigger)</f>
        <v>46450</v>
      </c>
      <c r="Z1071" s="153">
        <v>3.6384166409695384E-2</v>
      </c>
      <c r="AA1071" s="155">
        <v>3.605506932197855E-2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46455</v>
      </c>
      <c r="Y1072" s="152">
        <f>_xll.qlInterestRateIndexValueDate(IborIndex,X1072,Trigger)</f>
        <v>46457</v>
      </c>
      <c r="Z1072" s="153">
        <v>3.6381761253425834E-2</v>
      </c>
      <c r="AA1072" s="155">
        <v>3.605425220128744E-2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46462</v>
      </c>
      <c r="Y1073" s="152">
        <f>_xll.qlInterestRateIndexValueDate(IborIndex,X1073,Trigger)</f>
        <v>46464</v>
      </c>
      <c r="Z1073" s="153">
        <v>3.6381160929568543E-2</v>
      </c>
      <c r="AA1073" s="155">
        <v>3.6053451778919055E-2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46469</v>
      </c>
      <c r="Y1074" s="152">
        <f>_xll.qlInterestRateIndexValueDate(IborIndex,X1074,Trigger)</f>
        <v>46471</v>
      </c>
      <c r="Z1074" s="153">
        <v>3.6380577616472225E-2</v>
      </c>
      <c r="AA1074" s="155">
        <v>3.6052447200898285E-2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46476</v>
      </c>
      <c r="Y1075" s="152">
        <f>_xll.qlInterestRateIndexValueDate(IborIndex,X1075,Trigger)</f>
        <v>46478</v>
      </c>
      <c r="Z1075" s="153">
        <v>3.6374635363643666E-2</v>
      </c>
      <c r="AA1075" s="155">
        <v>3.6051901029470201E-2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46483</v>
      </c>
      <c r="Y1076" s="152">
        <f>_xll.qlInterestRateIndexValueDate(IborIndex,X1076,Trigger)</f>
        <v>46485</v>
      </c>
      <c r="Z1076" s="153">
        <v>3.6374082592923108E-2</v>
      </c>
      <c r="AA1076" s="155">
        <v>3.605115070246967E-2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46490</v>
      </c>
      <c r="Y1077" s="152">
        <f>_xll.qlInterestRateIndexValueDate(IborIndex,X1077,Trigger)</f>
        <v>46492</v>
      </c>
      <c r="Z1077" s="153">
        <v>3.6373546827810833E-2</v>
      </c>
      <c r="AA1077" s="155">
        <v>3.6050417073791863E-2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46497</v>
      </c>
      <c r="Y1078" s="152">
        <f>_xll.qlInterestRateIndexValueDate(IborIndex,X1078,Trigger)</f>
        <v>46499</v>
      </c>
      <c r="Z1078" s="153">
        <v>3.6373028068294178E-2</v>
      </c>
      <c r="AA1078" s="155">
        <v>3.6049700143516716E-2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46504</v>
      </c>
      <c r="Y1079" s="152">
        <f>_xll.qlInterestRateIndexValueDate(IborIndex,X1079,Trigger)</f>
        <v>46506</v>
      </c>
      <c r="Z1079" s="153">
        <v>3.6372526314358729E-2</v>
      </c>
      <c r="AA1079" s="155">
        <v>3.6048901241692022E-2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46511</v>
      </c>
      <c r="Y1080" s="152">
        <f>_xll.qlInterestRateIndexValueDate(IborIndex,X1080,Trigger)</f>
        <v>46513</v>
      </c>
      <c r="Z1080" s="153">
        <v>3.6377434963051722E-2</v>
      </c>
      <c r="AA1080" s="155">
        <v>3.6048316378254341E-2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46518</v>
      </c>
      <c r="Y1081" s="152">
        <f>_xll.qlInterestRateIndexValueDate(IborIndex,X1081,Trigger)</f>
        <v>46520</v>
      </c>
      <c r="Z1081" s="153">
        <v>3.6376970724881663E-2</v>
      </c>
      <c r="AA1081" s="155">
        <v>3.6047649543187177E-2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46525</v>
      </c>
      <c r="Y1082" s="152">
        <f>_xll.qlInterestRateIndexValueDate(IborIndex,X1082,Trigger)</f>
        <v>46527</v>
      </c>
      <c r="Z1082" s="153">
        <v>3.6376523497363415E-2</v>
      </c>
      <c r="AA1082" s="155">
        <v>3.6046999406522673E-2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46532</v>
      </c>
      <c r="Y1083" s="152">
        <f>_xll.qlInterestRateIndexValueDate(IborIndex,X1083,Trigger)</f>
        <v>46534</v>
      </c>
      <c r="Z1083" s="153">
        <v>3.6376093280486244E-2</v>
      </c>
      <c r="AA1083" s="155">
        <v>3.6046276840275837E-2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46539</v>
      </c>
      <c r="Y1084" s="152">
        <f>_xll.qlInterestRateIndexValueDate(IborIndex,X1084,Trigger)</f>
        <v>46541</v>
      </c>
      <c r="Z1084" s="153">
        <v>3.6370272627979788E-2</v>
      </c>
      <c r="AA1084" s="155">
        <v>3.6045749228481583E-2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46546</v>
      </c>
      <c r="Y1085" s="152">
        <f>_xll.qlInterestRateIndexValueDate(IborIndex,X1085,Trigger)</f>
        <v>46548</v>
      </c>
      <c r="Z1085" s="153">
        <v>3.6369872907282594E-2</v>
      </c>
      <c r="AA1085" s="155">
        <v>3.6045149187104997E-2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46553</v>
      </c>
      <c r="Y1086" s="152">
        <f>_xll.qlInterestRateIndexValueDate(IborIndex,X1086,Trigger)</f>
        <v>46555</v>
      </c>
      <c r="Z1086" s="153">
        <v>3.6369490192087538E-2</v>
      </c>
      <c r="AA1086" s="155">
        <v>3.6044565844131071E-2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46560</v>
      </c>
      <c r="Y1087" s="152">
        <f>_xll.qlInterestRateIndexValueDate(IborIndex,X1087,Trigger)</f>
        <v>46562</v>
      </c>
      <c r="Z1087" s="153">
        <v>3.6378155712622255E-2</v>
      </c>
      <c r="AA1087" s="155">
        <v>3.604399919947987E-2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46567</v>
      </c>
      <c r="Y1088" s="152">
        <f>_xll.qlInterestRateIndexValueDate(IborIndex,X1088,Trigger)</f>
        <v>46569</v>
      </c>
      <c r="Z1088" s="153">
        <v>3.6376005015748412E-2</v>
      </c>
      <c r="AA1088" s="155">
        <v>3.6043449253391202E-2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46574</v>
      </c>
      <c r="Y1089" s="152">
        <f>_xll.qlInterestRateIndexValueDate(IborIndex,X1089,Trigger)</f>
        <v>46576</v>
      </c>
      <c r="Z1089" s="153">
        <v>3.6373869202081355E-2</v>
      </c>
      <c r="AA1089" s="155">
        <v>3.6042916005545322E-2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46581</v>
      </c>
      <c r="Y1090" s="152">
        <f>_xll.qlInterestRateIndexValueDate(IborIndex,X1090,Trigger)</f>
        <v>46583</v>
      </c>
      <c r="Z1090" s="153">
        <v>3.6375368086142029E-2</v>
      </c>
      <c r="AA1090" s="155">
        <v>3.6042399456182039E-2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46588</v>
      </c>
      <c r="Y1091" s="152">
        <f>_xll.qlInterestRateIndexValueDate(IborIndex,X1091,Trigger)</f>
        <v>46590</v>
      </c>
      <c r="Z1091" s="153">
        <v>3.637326392728462E-2</v>
      </c>
      <c r="AA1091" s="155">
        <v>3.6041899605221417E-2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46595</v>
      </c>
      <c r="Y1092" s="152">
        <f>_xll.qlInterestRateIndexValueDate(IborIndex,X1092,Trigger)</f>
        <v>46597</v>
      </c>
      <c r="Z1092" s="153">
        <v>3.6372986805724511E-2</v>
      </c>
      <c r="AA1092" s="155">
        <v>3.6041416452663455E-2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46602</v>
      </c>
      <c r="Y1093" s="152">
        <f>_xll.qlInterestRateIndexValueDate(IborIndex,X1093,Trigger)</f>
        <v>46604</v>
      </c>
      <c r="Z1093" s="153">
        <v>3.6372726694713503E-2</v>
      </c>
      <c r="AA1093" s="155">
        <v>3.604094999858809E-2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46609</v>
      </c>
      <c r="Y1094" s="152">
        <f>_xll.qlInterestRateIndexValueDate(IborIndex,X1094,Trigger)</f>
        <v>46611</v>
      </c>
      <c r="Z1094" s="153">
        <v>3.6372483594244713E-2</v>
      </c>
      <c r="AA1094" s="155">
        <v>3.6040500242835449E-2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46616</v>
      </c>
      <c r="Y1095" s="152">
        <f>_xll.qlInterestRateIndexValueDate(IborIndex,X1095,Trigger)</f>
        <v>46618</v>
      </c>
      <c r="Z1095" s="153">
        <v>3.6374073476662307E-2</v>
      </c>
      <c r="AA1095" s="155">
        <v>3.6040067185485469E-2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46623</v>
      </c>
      <c r="Y1096" s="152">
        <f>_xll.qlInterestRateIndexValueDate(IborIndex,X1096,Trigger)</f>
        <v>46625</v>
      </c>
      <c r="Z1096" s="153">
        <v>3.6372048424909313E-2</v>
      </c>
      <c r="AA1096" s="155">
        <v>3.6039592709826707E-2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46630</v>
      </c>
      <c r="Y1097" s="152">
        <f>_xll.qlInterestRateIndexValueDate(IborIndex,X1097,Trigger)</f>
        <v>46632</v>
      </c>
      <c r="Z1097" s="153">
        <v>3.6364585267612874E-2</v>
      </c>
      <c r="AA1097" s="155">
        <v>3.6039251166073427E-2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46637</v>
      </c>
      <c r="Y1098" s="152">
        <f>_xll.qlInterestRateIndexValueDate(IborIndex,X1098,Trigger)</f>
        <v>46639</v>
      </c>
      <c r="Z1098" s="153">
        <v>3.636440542113055E-2</v>
      </c>
      <c r="AA1098" s="155">
        <v>3.6038868203931429E-2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46644</v>
      </c>
      <c r="Y1099" s="152">
        <f>_xll.qlInterestRateIndexValueDate(IborIndex,X1099,Trigger)</f>
        <v>46646</v>
      </c>
      <c r="Z1099" s="153">
        <v>3.6364242578354362E-2</v>
      </c>
      <c r="AA1099" s="155">
        <v>3.6038501940272027E-2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46651</v>
      </c>
      <c r="Y1100" s="152">
        <f>_xll.qlInterestRateIndexValueDate(IborIndex,X1100,Trigger)</f>
        <v>46653</v>
      </c>
      <c r="Z1100" s="153">
        <v>3.6364096739281239E-2</v>
      </c>
      <c r="AA1100" s="155">
        <v>3.6038152375015287E-2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46658</v>
      </c>
      <c r="Y1101" s="152">
        <f>_xll.qlInterestRateIndexValueDate(IborIndex,X1101,Trigger)</f>
        <v>46660</v>
      </c>
      <c r="Z1101" s="153">
        <v>3.6365790118742115E-2</v>
      </c>
      <c r="AA1101" s="155">
        <v>3.603781950808127E-2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46665</v>
      </c>
      <c r="Y1102" s="152">
        <f>_xll.qlInterestRateIndexValueDate(IborIndex,X1102,Trigger)</f>
        <v>46667</v>
      </c>
      <c r="Z1102" s="153">
        <v>3.6365679490540433E-2</v>
      </c>
      <c r="AA1102" s="155">
        <v>3.6037503339629851E-2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46672</v>
      </c>
      <c r="Y1103" s="152">
        <f>_xll.qlInterestRateIndexValueDate(IborIndex,X1103,Trigger)</f>
        <v>46674</v>
      </c>
      <c r="Z1103" s="153">
        <v>3.6372886737397588E-2</v>
      </c>
      <c r="AA1103" s="155">
        <v>3.6037203869501155E-2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46679</v>
      </c>
      <c r="Y1104" s="152">
        <f>_xll.qlInterestRateIndexValueDate(IborIndex,X1104,Trigger)</f>
        <v>46681</v>
      </c>
      <c r="Z1104" s="153">
        <v>3.6365509250317646E-2</v>
      </c>
      <c r="AA1104" s="155">
        <v>3.6036921097855057E-2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46686</v>
      </c>
      <c r="Y1105" s="152">
        <f>_xll.qlInterestRateIndexValueDate(IborIndex,X1105,Trigger)</f>
        <v>46688</v>
      </c>
      <c r="Z1105" s="153">
        <v>3.6365449638293475E-2</v>
      </c>
      <c r="AA1105" s="155">
        <v>3.6036655024691555E-2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46693</v>
      </c>
      <c r="Y1106" s="152">
        <f>_xll.qlInterestRateIndexValueDate(IborIndex,X1106,Trigger)</f>
        <v>46695</v>
      </c>
      <c r="Z1106" s="153">
        <v>3.6363578782420101E-2</v>
      </c>
      <c r="AA1106" s="155">
        <v>3.6036405649770842E-2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46700</v>
      </c>
      <c r="Y1107" s="152">
        <f>_xll.qlInterestRateIndexValueDate(IborIndex,X1107,Trigger)</f>
        <v>46703</v>
      </c>
      <c r="Z1107" s="153">
        <v>3.636354952677999E-2</v>
      </c>
      <c r="AA1107" s="155">
        <v>3.6036141096991159E-2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46707</v>
      </c>
      <c r="Y1108" s="152">
        <f>_xll.qlInterestRateIndexValueDate(IborIndex,X1108,Trigger)</f>
        <v>46709</v>
      </c>
      <c r="Z1108" s="153">
        <v>3.6363542159636615E-2</v>
      </c>
      <c r="AA1108" s="155">
        <v>3.6035956995377205E-2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46714</v>
      </c>
      <c r="Y1109" s="152">
        <f>_xll.qlInterestRateIndexValueDate(IborIndex,X1109,Trigger)</f>
        <v>46717</v>
      </c>
      <c r="Z1109" s="153">
        <v>3.6363551769562213E-2</v>
      </c>
      <c r="AA1109" s="155">
        <v>3.6035730610306516E-2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46721</v>
      </c>
      <c r="Y1110" s="152">
        <f>_xll.qlInterestRateIndexValueDate(IborIndex,X1110,Trigger)</f>
        <v>46723</v>
      </c>
      <c r="Z1110" s="153">
        <v>3.6365406658989421E-2</v>
      </c>
      <c r="AA1110" s="155">
        <v>3.6035575134514275E-2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46728</v>
      </c>
      <c r="Y1111" s="152">
        <f>_xll.qlInterestRateIndexValueDate(IborIndex,X1111,Trigger)</f>
        <v>46730</v>
      </c>
      <c r="Z1111" s="153">
        <v>3.6365449079290575E-2</v>
      </c>
      <c r="AA1111" s="155">
        <v>3.6035409251606865E-2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46735</v>
      </c>
      <c r="Y1112" s="152">
        <f>_xll.qlInterestRateIndexValueDate(IborIndex,X1112,Trigger)</f>
        <v>46737</v>
      </c>
      <c r="Z1112" s="153">
        <v>3.6365508504981173E-2</v>
      </c>
      <c r="AA1112" s="155">
        <v>3.6035260067341923E-2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46742</v>
      </c>
      <c r="Y1113" s="152">
        <f>_xll.qlInterestRateIndexValueDate(IborIndex,X1113,Trigger)</f>
        <v>46744</v>
      </c>
      <c r="Z1113" s="153">
        <v>3.6365584936061651E-2</v>
      </c>
      <c r="AA1113" s="155">
        <v>3.6035092795145829E-2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46750</v>
      </c>
      <c r="Y1114" s="152">
        <f>_xll.qlInterestRateIndexValueDate(IborIndex,X1114,Trigger)</f>
        <v>46756</v>
      </c>
      <c r="Z1114" s="153">
        <v>3.6365755524338274E-2</v>
      </c>
      <c r="AA1114" s="155">
        <v>3.6034967282185804E-2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46757</v>
      </c>
      <c r="Y1115" s="152">
        <f>_xll.qlInterestRateIndexValueDate(IborIndex,X1115,Trigger)</f>
        <v>46759</v>
      </c>
      <c r="Z1115" s="153">
        <v>3.6363966586389698E-2</v>
      </c>
      <c r="AA1115" s="155">
        <v>3.6034899911996376E-2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46764</v>
      </c>
      <c r="Y1116" s="152">
        <f>_xll.qlInterestRateIndexValueDate(IborIndex,X1116,Trigger)</f>
        <v>46766</v>
      </c>
      <c r="Z1116" s="153">
        <v>3.6364095235448139E-2</v>
      </c>
      <c r="AA1116" s="155">
        <v>3.6034819906713977E-2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46771</v>
      </c>
      <c r="Y1117" s="152">
        <f>_xll.qlInterestRateIndexValueDate(IborIndex,X1117,Trigger)</f>
        <v>46773</v>
      </c>
      <c r="Z1117" s="153">
        <v>3.6364240888205245E-2</v>
      </c>
      <c r="AA1117" s="155">
        <v>3.6034756599834239E-2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46778</v>
      </c>
      <c r="Y1118" s="152">
        <f>_xll.qlInterestRateIndexValueDate(IborIndex,X1118,Trigger)</f>
        <v>46780</v>
      </c>
      <c r="Z1118" s="153">
        <v>3.6364403544665413E-2</v>
      </c>
      <c r="AA1118" s="155">
        <v>3.6034709991357161E-2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46785</v>
      </c>
      <c r="Y1119" s="152">
        <f>_xll.qlInterestRateIndexValueDate(IborIndex,X1119,Trigger)</f>
        <v>46787</v>
      </c>
      <c r="Z1119" s="153">
        <v>3.6364583204832157E-2</v>
      </c>
      <c r="AA1119" s="155">
        <v>3.603468008136268E-2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46792</v>
      </c>
      <c r="Y1120" s="152">
        <f>_xll.qlInterestRateIndexValueDate(IborIndex,X1120,Trigger)</f>
        <v>46794</v>
      </c>
      <c r="Z1120" s="153">
        <v>3.6364779868710305E-2</v>
      </c>
      <c r="AA1120" s="155">
        <v>3.6034666869690923E-2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46799</v>
      </c>
      <c r="Y1121" s="152">
        <f>_xll.qlInterestRateIndexValueDate(IborIndex,X1121,Trigger)</f>
        <v>46801</v>
      </c>
      <c r="Z1121" s="153">
        <v>3.6364993536304256E-2</v>
      </c>
      <c r="AA1121" s="155">
        <v>3.6034670356421827E-2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46806</v>
      </c>
      <c r="Y1122" s="152">
        <f>_xll.qlInterestRateIndexValueDate(IborIndex,X1122,Trigger)</f>
        <v>46808</v>
      </c>
      <c r="Z1122" s="153">
        <v>3.6365224207619708E-2</v>
      </c>
      <c r="AA1122" s="155">
        <v>3.6034690541555392E-2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46813</v>
      </c>
      <c r="Y1123" s="152">
        <f>_xll.qlInterestRateIndexValueDate(IborIndex,X1123,Trigger)</f>
        <v>46815</v>
      </c>
      <c r="Z1123" s="153">
        <v>3.6372870384229275E-2</v>
      </c>
      <c r="AA1123" s="155">
        <v>3.6034727425091617E-2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46820</v>
      </c>
      <c r="Y1124" s="152">
        <f>_xll.qlInterestRateIndexValueDate(IborIndex,X1124,Trigger)</f>
        <v>46822</v>
      </c>
      <c r="Z1124" s="153">
        <v>3.6371288798110045E-2</v>
      </c>
      <c r="AA1124" s="155">
        <v>3.6034781007110439E-2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46827</v>
      </c>
      <c r="Y1125" s="152">
        <f>_xll.qlInterestRateIndexValueDate(IborIndex,X1125,Trigger)</f>
        <v>46829</v>
      </c>
      <c r="Z1125" s="153">
        <v>3.6371574209984936E-2</v>
      </c>
      <c r="AA1125" s="155">
        <v>3.6034851287451986E-2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46834</v>
      </c>
      <c r="Y1126" s="152">
        <f>_xll.qlInterestRateIndexValueDate(IborIndex,X1126,Trigger)</f>
        <v>46836</v>
      </c>
      <c r="Z1126" s="153">
        <v>3.6371876630716851E-2</v>
      </c>
      <c r="AA1126" s="155">
        <v>3.6034938266196193E-2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46841</v>
      </c>
      <c r="Y1127" s="152">
        <f>_xll.qlInterestRateIndexValueDate(IborIndex,X1127,Trigger)</f>
        <v>46843</v>
      </c>
      <c r="Z1127" s="153">
        <v>3.6366632620242284E-2</v>
      </c>
      <c r="AA1127" s="155">
        <v>3.603504194334306E-2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46848</v>
      </c>
      <c r="Y1128" s="152">
        <f>_xll.qlInterestRateIndexValueDate(IborIndex,X1128,Trigger)</f>
        <v>46850</v>
      </c>
      <c r="Z1128" s="153">
        <v>3.6374388714501965E-2</v>
      </c>
      <c r="AA1128" s="155">
        <v>3.6035162318972525E-2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46855</v>
      </c>
      <c r="Y1129" s="152">
        <f>_xll.qlInterestRateIndexValueDate(IborIndex,X1129,Trigger)</f>
        <v>46861</v>
      </c>
      <c r="Z1129" s="153">
        <v>3.6369379922223478E-2</v>
      </c>
      <c r="AA1129" s="155">
        <v>3.6035341624023332E-2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46862</v>
      </c>
      <c r="Y1130" s="152">
        <f>_xll.qlInterestRateIndexValueDate(IborIndex,X1130,Trigger)</f>
        <v>46864</v>
      </c>
      <c r="Z1130" s="153">
        <v>3.6373256402375945E-2</v>
      </c>
      <c r="AA1130" s="155">
        <v>3.6035453165439435E-2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46869</v>
      </c>
      <c r="Y1131" s="152">
        <f>_xll.qlInterestRateIndexValueDate(IborIndex,X1131,Trigger)</f>
        <v>46871</v>
      </c>
      <c r="Z1131" s="153">
        <v>3.6375503839626677E-2</v>
      </c>
      <c r="AA1131" s="155">
        <v>3.6035649352346155E-2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46876</v>
      </c>
      <c r="Y1132" s="152">
        <f>_xll.qlInterestRateIndexValueDate(IborIndex,X1132,Trigger)</f>
        <v>46878</v>
      </c>
      <c r="Z1132" s="153">
        <v>3.6374048341570382E-2</v>
      </c>
      <c r="AA1132" s="155">
        <v>3.6035810805437052E-2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46883</v>
      </c>
      <c r="Y1133" s="152">
        <f>_xll.qlInterestRateIndexValueDate(IborIndex,X1133,Trigger)</f>
        <v>46885</v>
      </c>
      <c r="Z1133" s="153">
        <v>3.6374469824543447E-2</v>
      </c>
      <c r="AA1133" s="155">
        <v>3.6036014673079819E-2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46890</v>
      </c>
      <c r="Y1134" s="152">
        <f>_xll.qlInterestRateIndexValueDate(IborIndex,X1134,Trigger)</f>
        <v>46892</v>
      </c>
      <c r="Z1134" s="153">
        <v>3.6374908316447851E-2</v>
      </c>
      <c r="AA1134" s="155">
        <v>3.6036235239125247E-2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46897</v>
      </c>
      <c r="Y1135" s="152">
        <f>_xll.qlInterestRateIndexValueDate(IborIndex,X1135,Trigger)</f>
        <v>46899</v>
      </c>
      <c r="Z1135" s="153">
        <v>3.6375363817295274E-2</v>
      </c>
      <c r="AA1135" s="155">
        <v>3.6036507761609826E-2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46904</v>
      </c>
      <c r="Y1136" s="152">
        <f>_xll.qlInterestRateIndexValueDate(IborIndex,X1136,Trigger)</f>
        <v>46906</v>
      </c>
      <c r="Z1136" s="153">
        <v>3.6375836327097365E-2</v>
      </c>
      <c r="AA1136" s="155">
        <v>3.6036726466344149E-2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46911</v>
      </c>
      <c r="Y1137" s="152">
        <f>_xll.qlInterestRateIndexValueDate(IborIndex,X1137,Trigger)</f>
        <v>46913</v>
      </c>
      <c r="Z1137" s="153">
        <v>3.6376325845865809E-2</v>
      </c>
      <c r="AA1137" s="155">
        <v>3.6036997127597559E-2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46918</v>
      </c>
      <c r="Y1138" s="152">
        <f>_xll.qlInterestRateIndexValueDate(IborIndex,X1138,Trigger)</f>
        <v>46920</v>
      </c>
      <c r="Z1138" s="153">
        <v>3.6376832373613555E-2</v>
      </c>
      <c r="AA1138" s="155">
        <v>3.6037284487333565E-2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46925</v>
      </c>
      <c r="Y1139" s="152">
        <f>_xll.qlInterestRateIndexValueDate(IborIndex,X1139,Trigger)</f>
        <v>46927</v>
      </c>
      <c r="Z1139" s="153">
        <v>3.6381096285143369E-2</v>
      </c>
      <c r="AA1139" s="155">
        <v>3.6037588545392296E-2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46932</v>
      </c>
      <c r="Y1140" s="152">
        <f>_xll.qlInterestRateIndexValueDate(IborIndex,X1140,Trigger)</f>
        <v>46934</v>
      </c>
      <c r="Z1140" s="153">
        <v>3.6372283936445857E-2</v>
      </c>
      <c r="AA1140" s="155">
        <v>3.6037909301853688E-2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46939</v>
      </c>
      <c r="Y1141" s="152">
        <f>_xll.qlInterestRateIndexValueDate(IborIndex,X1141,Trigger)</f>
        <v>46941</v>
      </c>
      <c r="Z1141" s="153">
        <v>3.6378454010865278E-2</v>
      </c>
      <c r="AA1141" s="155">
        <v>3.603824675671774E-2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46946</v>
      </c>
      <c r="Y1142" s="152">
        <f>_xll.qlInterestRateIndexValueDate(IborIndex,X1142,Trigger)</f>
        <v>46948</v>
      </c>
      <c r="Z1142" s="153">
        <v>3.638090245142514E-2</v>
      </c>
      <c r="AA1142" s="155">
        <v>3.6038600910064389E-2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46953</v>
      </c>
      <c r="Y1143" s="152">
        <f>_xll.qlInterestRateIndexValueDate(IborIndex,X1143,Trigger)</f>
        <v>46955</v>
      </c>
      <c r="Z1143" s="153">
        <v>3.6379620147513711E-2</v>
      </c>
      <c r="AA1143" s="155">
        <v>3.6038971761733762E-2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46960</v>
      </c>
      <c r="Y1144" s="152">
        <f>_xll.qlInterestRateIndexValueDate(IborIndex,X1144,Trigger)</f>
        <v>46962</v>
      </c>
      <c r="Z1144" s="153">
        <v>3.638022872942593E-2</v>
      </c>
      <c r="AA1144" s="155">
        <v>3.6039359311885732E-2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46967</v>
      </c>
      <c r="Y1145" s="152">
        <f>_xll.qlInterestRateIndexValueDate(IborIndex,X1145,Trigger)</f>
        <v>46969</v>
      </c>
      <c r="Z1145" s="153">
        <v>3.6380854320418557E-2</v>
      </c>
      <c r="AA1145" s="155">
        <v>3.6039763560360427E-2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46974</v>
      </c>
      <c r="Y1146" s="152">
        <f>_xll.qlInterestRateIndexValueDate(IborIndex,X1146,Trigger)</f>
        <v>46976</v>
      </c>
      <c r="Z1146" s="153">
        <v>3.6381496920506295E-2</v>
      </c>
      <c r="AA1146" s="155">
        <v>3.6040184507317718E-2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46981</v>
      </c>
      <c r="Y1147" s="152">
        <f>_xll.qlInterestRateIndexValueDate(IborIndex,X1147,Trigger)</f>
        <v>46983</v>
      </c>
      <c r="Z1147" s="153">
        <v>3.6384036794958677E-2</v>
      </c>
      <c r="AA1147" s="155">
        <v>3.6040622152597734E-2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46988</v>
      </c>
      <c r="Y1148" s="152">
        <f>_xll.qlInterestRateIndexValueDate(IborIndex,X1148,Trigger)</f>
        <v>46990</v>
      </c>
      <c r="Z1148" s="153">
        <v>3.6382833148037079E-2</v>
      </c>
      <c r="AA1148" s="155">
        <v>3.6041142765750322E-2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46995</v>
      </c>
      <c r="Y1149" s="152">
        <f>_xll.qlInterestRateIndexValueDate(IborIndex,X1149,Trigger)</f>
        <v>46997</v>
      </c>
      <c r="Z1149" s="153">
        <v>3.6375997934574848E-2</v>
      </c>
      <c r="AA1149" s="155">
        <v>3.6041547538445684E-2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47002</v>
      </c>
      <c r="Y1150" s="152">
        <f>_xll.qlInterestRateIndexValueDate(IborIndex,X1150,Trigger)</f>
        <v>47004</v>
      </c>
      <c r="Z1150" s="153">
        <v>3.6376703428817318E-2</v>
      </c>
      <c r="AA1150" s="155">
        <v>3.6042035279093554E-2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47009</v>
      </c>
      <c r="Y1151" s="152">
        <f>_xll.qlInterestRateIndexValueDate(IborIndex,X1151,Trigger)</f>
        <v>47011</v>
      </c>
      <c r="Z1151" s="153">
        <v>3.6377425925419975E-2</v>
      </c>
      <c r="AA1151" s="155">
        <v>3.6042539717984212E-2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47016</v>
      </c>
      <c r="Y1152" s="152">
        <f>_xll.qlInterestRateIndexValueDate(IborIndex,X1152,Trigger)</f>
        <v>47018</v>
      </c>
      <c r="Z1152" s="153">
        <v>3.6378165424401809E-2</v>
      </c>
      <c r="AA1152" s="155">
        <v>3.6043060855357467E-2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47023</v>
      </c>
      <c r="Y1153" s="152">
        <f>_xll.qlInterestRateIndexValueDate(IborIndex,X1153,Trigger)</f>
        <v>47025</v>
      </c>
      <c r="Z1153" s="153">
        <v>3.6378921925780912E-2</v>
      </c>
      <c r="AA1153" s="155">
        <v>3.6043598691133383E-2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47030</v>
      </c>
      <c r="Y1154" s="152">
        <f>_xll.qlInterestRateIndexValueDate(IborIndex,X1154,Trigger)</f>
        <v>47032</v>
      </c>
      <c r="Z1154" s="153">
        <v>3.638158370966374E-2</v>
      </c>
      <c r="AA1154" s="155">
        <v>3.6044153225311959E-2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47037</v>
      </c>
      <c r="Y1155" s="152">
        <f>_xll.qlInterestRateIndexValueDate(IborIndex,X1155,Trigger)</f>
        <v>47039</v>
      </c>
      <c r="Z1155" s="153">
        <v>3.6382375509647118E-2</v>
      </c>
      <c r="AA1155" s="155">
        <v>3.6044724457893196E-2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47044</v>
      </c>
      <c r="Y1156" s="152">
        <f>_xll.qlInterestRateIndexValueDate(IborIndex,X1156,Trigger)</f>
        <v>47046</v>
      </c>
      <c r="Z1156" s="153">
        <v>3.6383184313791658E-2</v>
      </c>
      <c r="AA1156" s="155">
        <v>3.6045312388957029E-2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47051</v>
      </c>
      <c r="Y1157" s="152">
        <f>_xll.qlInterestRateIndexValueDate(IborIndex,X1157,Trigger)</f>
        <v>47053</v>
      </c>
      <c r="Z1157" s="153">
        <v>3.6384010122118872E-2</v>
      </c>
      <c r="AA1157" s="155">
        <v>3.6045917018263651E-2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47058</v>
      </c>
      <c r="Y1158" s="152">
        <f>_xll.qlInterestRateIndexValueDate(IborIndex,X1158,Trigger)</f>
        <v>47060</v>
      </c>
      <c r="Z1158" s="153">
        <v>3.6382959469317987E-2</v>
      </c>
      <c r="AA1158" s="155">
        <v>3.6046538346212742E-2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47065</v>
      </c>
      <c r="Y1159" s="152">
        <f>_xll.qlInterestRateIndexValueDate(IborIndex,X1159,Trigger)</f>
        <v>47070</v>
      </c>
      <c r="Z1159" s="153">
        <v>3.6386086449678869E-2</v>
      </c>
      <c r="AA1159" s="155">
        <v>3.6047268882084538E-2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47072</v>
      </c>
      <c r="Y1160" s="152">
        <f>_xll.qlInterestRateIndexValueDate(IborIndex,X1160,Trigger)</f>
        <v>47074</v>
      </c>
      <c r="Z1160" s="153">
        <v>3.6384693504213771E-2</v>
      </c>
      <c r="AA1160" s="155">
        <v>3.6047831096999161E-2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47079</v>
      </c>
      <c r="Y1161" s="152">
        <f>_xll.qlInterestRateIndexValueDate(IborIndex,X1161,Trigger)</f>
        <v>47081</v>
      </c>
      <c r="Z1161" s="153">
        <v>3.6385586025493195E-2</v>
      </c>
      <c r="AA1161" s="155">
        <v>3.6048502519996362E-2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47086</v>
      </c>
      <c r="Y1162" s="152">
        <f>_xll.qlInterestRateIndexValueDate(IborIndex,X1162,Trigger)</f>
        <v>47088</v>
      </c>
      <c r="Z1162" s="153">
        <v>3.6388394227235173E-2</v>
      </c>
      <c r="AA1162" s="155">
        <v>3.6049190641476159E-2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47093</v>
      </c>
      <c r="Y1163" s="152">
        <f>_xll.qlInterestRateIndexValueDate(IborIndex,X1163,Trigger)</f>
        <v>47095</v>
      </c>
      <c r="Z1163" s="153">
        <v>3.6389322061109959E-2</v>
      </c>
      <c r="AA1163" s="155">
        <v>3.6049895461358616E-2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47100</v>
      </c>
      <c r="Y1164" s="152">
        <f>_xll.qlInterestRateIndexValueDate(IborIndex,X1164,Trigger)</f>
        <v>47102</v>
      </c>
      <c r="Z1164" s="153">
        <v>3.6390266899322461E-2</v>
      </c>
      <c r="AA1164" s="155">
        <v>3.6050616979643735E-2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47107</v>
      </c>
      <c r="Y1165" s="152">
        <f>_xll.qlInterestRateIndexValueDate(IborIndex,X1165,Trigger)</f>
        <v>47109</v>
      </c>
      <c r="Z1165" s="153">
        <v>3.639122874189684E-2</v>
      </c>
      <c r="AA1165" s="155">
        <v>3.605156918236041E-2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47114</v>
      </c>
      <c r="Y1166" s="152">
        <f>_xll.qlInterestRateIndexValueDate(IborIndex,X1166,Trigger)</f>
        <v>47116</v>
      </c>
      <c r="Z1166" s="153">
        <v>3.639220758885725E-2</v>
      </c>
      <c r="AA1166" s="155">
        <v>3.6052219319584466E-2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47121</v>
      </c>
      <c r="Y1167" s="152">
        <f>_xll.qlInterestRateIndexValueDate(IborIndex,X1167,Trigger)</f>
        <v>47123</v>
      </c>
      <c r="Z1167" s="153">
        <v>3.6391298208256678E-2</v>
      </c>
      <c r="AA1167" s="155">
        <v>3.6052881724915053E-2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47128</v>
      </c>
      <c r="Y1168" s="152">
        <f>_xll.qlInterestRateIndexValueDate(IborIndex,X1168,Trigger)</f>
        <v>47130</v>
      </c>
      <c r="Z1168" s="153">
        <v>3.6392309748122027E-2</v>
      </c>
      <c r="AA1168" s="155">
        <v>3.6053670036810814E-2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47135</v>
      </c>
      <c r="Y1169" s="152">
        <f>_xll.qlInterestRateIndexValueDate(IborIndex,X1169,Trigger)</f>
        <v>47137</v>
      </c>
      <c r="Z1169" s="153">
        <v>3.6393338290740616E-2</v>
      </c>
      <c r="AA1169" s="155">
        <v>3.6054475047189172E-2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47142</v>
      </c>
      <c r="Y1170" s="152">
        <f>_xll.qlInterestRateIndexValueDate(IborIndex,X1170,Trigger)</f>
        <v>47144</v>
      </c>
      <c r="Z1170" s="153">
        <v>3.6394383836138501E-2</v>
      </c>
      <c r="AA1170" s="155">
        <v>3.6055296755810318E-2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47149</v>
      </c>
      <c r="Y1171" s="152">
        <f>_xll.qlInterestRateIndexValueDate(IborIndex,X1171,Trigger)</f>
        <v>47151</v>
      </c>
      <c r="Z1171" s="153">
        <v>3.6395446384342618E-2</v>
      </c>
      <c r="AA1171" s="155">
        <v>3.6056135162993996E-2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47156</v>
      </c>
      <c r="Y1172" s="152">
        <f>_xll.qlInterestRateIndexValueDate(IborIndex,X1172,Trigger)</f>
        <v>47158</v>
      </c>
      <c r="Z1172" s="153">
        <v>3.639652593537903E-2</v>
      </c>
      <c r="AA1172" s="155">
        <v>3.60569902685004E-2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47163</v>
      </c>
      <c r="Y1173" s="152">
        <f>_xll.qlInterestRateIndexValueDate(IborIndex,X1173,Trigger)</f>
        <v>47165</v>
      </c>
      <c r="Z1173" s="153">
        <v>3.6397622489275999E-2</v>
      </c>
      <c r="AA1173" s="155">
        <v>3.6057862072489399E-2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47170</v>
      </c>
      <c r="Y1174" s="152">
        <f>_xll.qlInterestRateIndexValueDate(IborIndex,X1174,Trigger)</f>
        <v>47172</v>
      </c>
      <c r="Z1174" s="153">
        <v>3.6398736046059137E-2</v>
      </c>
      <c r="AA1174" s="155">
        <v>3.6058750574801124E-2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47177</v>
      </c>
      <c r="Y1175" s="152">
        <f>_xll.qlInterestRateIndexValueDate(IborIndex,X1175,Trigger)</f>
        <v>47179</v>
      </c>
      <c r="Z1175" s="153">
        <v>3.6409448197222388E-2</v>
      </c>
      <c r="AA1175" s="155">
        <v>3.6059655775595445E-2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47184</v>
      </c>
      <c r="Y1176" s="152">
        <f>_xll.qlInterestRateIndexValueDate(IborIndex,X1176,Trigger)</f>
        <v>47186</v>
      </c>
      <c r="Z1176" s="153">
        <v>3.6408684250509145E-2</v>
      </c>
      <c r="AA1176" s="155">
        <v>3.6060577674792427E-2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47191</v>
      </c>
      <c r="Y1177" s="152">
        <f>_xll.qlInterestRateIndexValueDate(IborIndex,X1177,Trigger)</f>
        <v>47193</v>
      </c>
      <c r="Z1177" s="153">
        <v>3.6409854142944613E-2</v>
      </c>
      <c r="AA1177" s="155">
        <v>3.6061516272392069E-2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47198</v>
      </c>
      <c r="Y1178" s="152">
        <f>_xll.qlInterestRateIndexValueDate(IborIndex,X1178,Trigger)</f>
        <v>47200</v>
      </c>
      <c r="Z1178" s="153">
        <v>3.6411041045222262E-2</v>
      </c>
      <c r="AA1178" s="155">
        <v>3.6062471568394372E-2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47205</v>
      </c>
      <c r="Y1179" s="152">
        <f>_xll.qlInterestRateIndexValueDate(IborIndex,X1179,Trigger)</f>
        <v>47211</v>
      </c>
      <c r="Z1179" s="153">
        <v>3.6409095462042081E-2</v>
      </c>
      <c r="AA1179" s="155">
        <v>3.606372434251881E-2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47212</v>
      </c>
      <c r="Y1180" s="152">
        <f>_xll.qlInterestRateIndexValueDate(IborIndex,X1180,Trigger)</f>
        <v>47214</v>
      </c>
      <c r="Z1180" s="153">
        <v>3.6415389379042019E-2</v>
      </c>
      <c r="AA1180" s="155">
        <v>3.6064432255686896E-2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47219</v>
      </c>
      <c r="Y1181" s="152">
        <f>_xll.qlInterestRateIndexValueDate(IborIndex,X1181,Trigger)</f>
        <v>47221</v>
      </c>
      <c r="Z1181" s="153">
        <v>3.641470381141769E-2</v>
      </c>
      <c r="AA1181" s="155">
        <v>3.606543764689718E-2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47226</v>
      </c>
      <c r="Y1182" s="152">
        <f>_xll.qlInterestRateIndexValueDate(IborIndex,X1182,Trigger)</f>
        <v>47228</v>
      </c>
      <c r="Z1182" s="153">
        <v>3.6415958753374313E-2</v>
      </c>
      <c r="AA1182" s="155">
        <v>3.6066459736510126E-2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47233</v>
      </c>
      <c r="Y1183" s="152">
        <f>_xll.qlInterestRateIndexValueDate(IborIndex,X1183,Trigger)</f>
        <v>47235</v>
      </c>
      <c r="Z1183" s="153">
        <v>3.641723070533083E-2</v>
      </c>
      <c r="AA1183" s="155">
        <v>3.6067498524605668E-2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47240</v>
      </c>
      <c r="Y1184" s="152">
        <f>_xll.qlInterestRateIndexValueDate(IborIndex,X1184,Trigger)</f>
        <v>47242</v>
      </c>
      <c r="Z1184" s="153">
        <v>3.6418519667319647E-2</v>
      </c>
      <c r="AA1184" s="155">
        <v>3.6068706157958985E-2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47247</v>
      </c>
      <c r="Y1185" s="152">
        <f>_xll.qlInterestRateIndexValueDate(IborIndex,X1185,Trigger)</f>
        <v>47249</v>
      </c>
      <c r="Z1185" s="153">
        <v>3.64217553892539E-2</v>
      </c>
      <c r="AA1185" s="155">
        <v>3.6069626196004734E-2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47254</v>
      </c>
      <c r="Y1186" s="152">
        <f>_xll.qlInterestRateIndexValueDate(IborIndex,X1186,Trigger)</f>
        <v>47256</v>
      </c>
      <c r="Z1186" s="153">
        <v>3.6421146128100407E-2</v>
      </c>
      <c r="AA1186" s="155">
        <v>3.6070715079308258E-2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47261</v>
      </c>
      <c r="Y1187" s="152">
        <f>_xll.qlInterestRateIndexValueDate(IborIndex,X1187,Trigger)</f>
        <v>47263</v>
      </c>
      <c r="Z1187" s="153">
        <v>3.6422480198493153E-2</v>
      </c>
      <c r="AA1187" s="155">
        <v>3.6071979964305001E-2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47268</v>
      </c>
      <c r="Y1188" s="152">
        <f>_xll.qlInterestRateIndexValueDate(IborIndex,X1188,Trigger)</f>
        <v>47270</v>
      </c>
      <c r="Z1188" s="153">
        <v>3.6423825668827223E-2</v>
      </c>
      <c r="AA1188" s="155">
        <v>3.6072942941043351E-2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47275</v>
      </c>
      <c r="Y1189" s="152">
        <f>_xll.qlInterestRateIndexValueDate(IborIndex,X1189,Trigger)</f>
        <v>47277</v>
      </c>
      <c r="Z1189" s="153">
        <v>3.6425180669054272E-2</v>
      </c>
      <c r="AA1189" s="155">
        <v>3.6074081919634793E-2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47282</v>
      </c>
      <c r="Y1190" s="152">
        <f>_xll.qlInterestRateIndexValueDate(IborIndex,X1190,Trigger)</f>
        <v>47284</v>
      </c>
      <c r="Z1190" s="153">
        <v>3.6426543329117329E-2</v>
      </c>
      <c r="AA1190" s="155">
        <v>3.6075237596548959E-2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47289</v>
      </c>
      <c r="Y1191" s="152">
        <f>_xll.qlInterestRateIndexValueDate(IborIndex,X1191,Trigger)</f>
        <v>47291</v>
      </c>
      <c r="Z1191" s="153">
        <v>3.6427911778955963E-2</v>
      </c>
      <c r="AA1191" s="155">
        <v>3.6076409971945722E-2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47296</v>
      </c>
      <c r="Y1192" s="152">
        <f>_xll.qlInterestRateIndexValueDate(IborIndex,X1192,Trigger)</f>
        <v>47298</v>
      </c>
      <c r="Z1192" s="153">
        <v>3.6429284148504992E-2</v>
      </c>
      <c r="AA1192" s="155">
        <v>3.607759904566521E-2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47303</v>
      </c>
      <c r="Y1193" s="152">
        <f>_xll.qlInterestRateIndexValueDate(IborIndex,X1193,Trigger)</f>
        <v>47305</v>
      </c>
      <c r="Z1193" s="153">
        <v>3.6430658567694042E-2</v>
      </c>
      <c r="AA1193" s="155">
        <v>3.6078804817867294E-2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47310</v>
      </c>
      <c r="Y1194" s="152">
        <f>_xll.qlInterestRateIndexValueDate(IborIndex,X1194,Trigger)</f>
        <v>47312</v>
      </c>
      <c r="Z1194" s="153">
        <v>3.6432033166446276E-2</v>
      </c>
      <c r="AA1194" s="155">
        <v>3.6080027288392102E-2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47317</v>
      </c>
      <c r="Y1195" s="152">
        <f>_xll.qlInterestRateIndexValueDate(IborIndex,X1195,Trigger)</f>
        <v>47319</v>
      </c>
      <c r="Z1195" s="153">
        <v>3.6435335743603775E-2</v>
      </c>
      <c r="AA1195" s="155">
        <v>3.6081266457479444E-2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47324</v>
      </c>
      <c r="Y1196" s="152">
        <f>_xll.qlInterestRateIndexValueDate(IborIndex,X1196,Trigger)</f>
        <v>47326</v>
      </c>
      <c r="Z1196" s="153">
        <v>3.6434775422313416E-2</v>
      </c>
      <c r="AA1196" s="155">
        <v>3.608252232488951E-2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47331</v>
      </c>
      <c r="Y1197" s="152">
        <f>_xll.qlInterestRateIndexValueDate(IborIndex,X1197,Trigger)</f>
        <v>47333</v>
      </c>
      <c r="Z1197" s="153">
        <v>3.6436139339249995E-2</v>
      </c>
      <c r="AA1197" s="155">
        <v>3.6083794890702237E-2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47338</v>
      </c>
      <c r="Y1198" s="152">
        <f>_xll.qlInterestRateIndexValueDate(IborIndex,X1198,Trigger)</f>
        <v>47340</v>
      </c>
      <c r="Z1198" s="153">
        <v>3.6437495955394819E-2</v>
      </c>
      <c r="AA1198" s="155">
        <v>3.608508415499756E-2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47345</v>
      </c>
      <c r="Y1199" s="152">
        <f>_xll.qlInterestRateIndexValueDate(IborIndex,X1199,Trigger)</f>
        <v>47347</v>
      </c>
      <c r="Z1199" s="153">
        <v>3.6440768006197076E-2</v>
      </c>
      <c r="AA1199" s="155">
        <v>3.6086390117695544E-2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47352</v>
      </c>
      <c r="Y1200" s="152">
        <f>_xll.qlInterestRateIndexValueDate(IborIndex,X1200,Trigger)</f>
        <v>47354</v>
      </c>
      <c r="Z1200" s="153">
        <v>3.6440179804899837E-2</v>
      </c>
      <c r="AA1200" s="155">
        <v>3.6087903093360296E-2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47359</v>
      </c>
      <c r="Y1201" s="152">
        <f>_xll.qlInterestRateIndexValueDate(IborIndex,X1201,Trigger)</f>
        <v>47361</v>
      </c>
      <c r="Z1201" s="153">
        <v>3.6433817300342099E-2</v>
      </c>
      <c r="AA1201" s="155">
        <v>3.6089052138219557E-2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47366</v>
      </c>
      <c r="Y1202" s="152">
        <f>_xll.qlInterestRateIndexValueDate(IborIndex,X1202,Trigger)</f>
        <v>47368</v>
      </c>
      <c r="Z1202" s="153">
        <v>3.6435133096277071E-2</v>
      </c>
      <c r="AA1202" s="155">
        <v>3.6090408196045587E-2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47373</v>
      </c>
      <c r="Y1203" s="152">
        <f>_xll.qlInterestRateIndexValueDate(IborIndex,X1203,Trigger)</f>
        <v>47375</v>
      </c>
      <c r="Z1203" s="153">
        <v>3.6436432595733183E-2</v>
      </c>
      <c r="AA1203" s="155">
        <v>3.6091780952354213E-2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47380</v>
      </c>
      <c r="Y1204" s="152">
        <f>_xll.qlInterestRateIndexValueDate(IborIndex,X1204,Trigger)</f>
        <v>47382</v>
      </c>
      <c r="Z1204" s="153">
        <v>3.6437713888025774E-2</v>
      </c>
      <c r="AA1204" s="155">
        <v>3.6093170407145436E-2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47387</v>
      </c>
      <c r="Y1205" s="152">
        <f>_xll.qlInterestRateIndexValueDate(IborIndex,X1205,Trigger)</f>
        <v>47389</v>
      </c>
      <c r="Z1205" s="153">
        <v>3.644088910381138E-2</v>
      </c>
      <c r="AA1205" s="155">
        <v>3.6094576560259384E-2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47394</v>
      </c>
      <c r="Y1206" s="152">
        <f>_xll.qlInterestRateIndexValueDate(IborIndex,X1206,Trigger)</f>
        <v>47396</v>
      </c>
      <c r="Z1206" s="153">
        <v>3.6442126187383669E-2</v>
      </c>
      <c r="AA1206" s="155">
        <v>3.6095999411855928E-2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47401</v>
      </c>
      <c r="Y1207" s="152">
        <f>_xll.qlInterestRateIndexValueDate(IborIndex,X1207,Trigger)</f>
        <v>47403</v>
      </c>
      <c r="Z1207" s="153">
        <v>3.6443339282813493E-2</v>
      </c>
      <c r="AA1207" s="155">
        <v>3.6097438961855133E-2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47408</v>
      </c>
      <c r="Y1208" s="152">
        <f>_xll.qlInterestRateIndexValueDate(IborIndex,X1208,Trigger)</f>
        <v>47410</v>
      </c>
      <c r="Z1208" s="153">
        <v>3.6452156536333651E-2</v>
      </c>
      <c r="AA1208" s="155">
        <v>3.6098895210256998E-2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47415</v>
      </c>
      <c r="Y1209" s="152">
        <f>_xll.qlInterestRateIndexValueDate(IborIndex,X1209,Trigger)</f>
        <v>47417</v>
      </c>
      <c r="Z1209" s="153">
        <v>3.6445685907667481E-2</v>
      </c>
      <c r="AA1209" s="155">
        <v>3.6100368156981588E-2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47422</v>
      </c>
      <c r="Y1210" s="152">
        <f>_xll.qlInterestRateIndexValueDate(IborIndex,X1210,Trigger)</f>
        <v>47424</v>
      </c>
      <c r="Z1210" s="153">
        <v>3.6444912292445057E-2</v>
      </c>
      <c r="AA1210" s="155">
        <v>3.6101856647032804E-2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47429</v>
      </c>
      <c r="Y1211" s="152">
        <f>_xll.qlInterestRateIndexValueDate(IborIndex,X1211,Trigger)</f>
        <v>47431</v>
      </c>
      <c r="Z1211" s="153">
        <v>3.6446012694483276E-2</v>
      </c>
      <c r="AA1211" s="155">
        <v>3.6103328333485507E-2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47436</v>
      </c>
      <c r="Y1212" s="152">
        <f>_xll.qlInterestRateIndexValueDate(IborIndex,X1212,Trigger)</f>
        <v>47438</v>
      </c>
      <c r="Z1212" s="153">
        <v>3.6447080720610481E-2</v>
      </c>
      <c r="AA1212" s="155">
        <v>3.6104768198113035E-2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47443</v>
      </c>
      <c r="Y1213" s="152">
        <f>_xll.qlInterestRateIndexValueDate(IborIndex,X1213,Trigger)</f>
        <v>47445</v>
      </c>
      <c r="Z1213" s="153">
        <v>3.6448116345709089E-2</v>
      </c>
      <c r="AA1213" s="155">
        <v>3.6106176241235133E-2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47450</v>
      </c>
      <c r="Y1214" s="152">
        <f>_xll.qlInterestRateIndexValueDate(IborIndex,X1214,Trigger)</f>
        <v>47452</v>
      </c>
      <c r="Z1214" s="153">
        <v>3.6451014077445831E-2</v>
      </c>
      <c r="AA1214" s="155">
        <v>3.6107552462611991E-2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47457</v>
      </c>
      <c r="Y1215" s="152">
        <f>_xll.qlInterestRateIndexValueDate(IborIndex,X1215,Trigger)</f>
        <v>47459</v>
      </c>
      <c r="Z1215" s="153">
        <v>3.6451982683144341E-2</v>
      </c>
      <c r="AA1215" s="155">
        <v>3.6108896862243611E-2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47464</v>
      </c>
      <c r="Y1216" s="152">
        <f>_xll.qlInterestRateIndexValueDate(IborIndex,X1216,Trigger)</f>
        <v>47466</v>
      </c>
      <c r="Z1216" s="153">
        <v>3.6452918884417769E-2</v>
      </c>
      <c r="AA1216" s="155">
        <v>3.6110209440129992E-2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47471</v>
      </c>
      <c r="Y1217" s="152">
        <f>_xll.qlInterestRateIndexValueDate(IborIndex,X1217,Trigger)</f>
        <v>47473</v>
      </c>
      <c r="Z1217" s="153">
        <v>3.6453822681221756E-2</v>
      </c>
      <c r="AA1217" s="155">
        <v>3.6111850282072311E-2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47479</v>
      </c>
      <c r="Y1218" s="152">
        <f>_xll.qlInterestRateIndexValueDate(IborIndex,X1218,Trigger)</f>
        <v>47483</v>
      </c>
      <c r="Z1218" s="153">
        <v>3.6449403353291637E-2</v>
      </c>
      <c r="AA1218" s="155">
        <v>3.6113090124700875E-2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47486</v>
      </c>
      <c r="Y1219" s="152">
        <f>_xll.qlInterestRateIndexValueDate(IborIndex,X1219,Trigger)</f>
        <v>47490</v>
      </c>
      <c r="Z1219" s="153">
        <v>3.6455882707645486E-2</v>
      </c>
      <c r="AA1219" s="155">
        <v>3.611412751951093E-2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47493</v>
      </c>
      <c r="Y1220" s="152">
        <f>_xll.qlInterestRateIndexValueDate(IborIndex,X1220,Trigger)</f>
        <v>47497</v>
      </c>
      <c r="Z1220" s="153">
        <v>3.6456675403087523E-2</v>
      </c>
      <c r="AA1220" s="155">
        <v>3.6115308264692558E-2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47500</v>
      </c>
      <c r="Y1221" s="152">
        <f>_xll.qlInterestRateIndexValueDate(IborIndex,X1221,Trigger)</f>
        <v>47505</v>
      </c>
      <c r="Z1221" s="153">
        <v>3.6455664022086463E-2</v>
      </c>
      <c r="AA1221" s="155">
        <v>3.6116618722434879E-2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47507</v>
      </c>
      <c r="Y1222" s="152">
        <f>_xll.qlInterestRateIndexValueDate(IborIndex,X1222,Trigger)</f>
        <v>47511</v>
      </c>
      <c r="Z1222" s="153">
        <v>3.6458163579980885E-2</v>
      </c>
      <c r="AA1222" s="155">
        <v>3.611757428997997E-2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47514</v>
      </c>
      <c r="Y1223" s="152">
        <f>_xll.qlInterestRateIndexValueDate(IborIndex,X1223,Trigger)</f>
        <v>47518</v>
      </c>
      <c r="Z1223" s="153">
        <v>3.6458859061360184E-2</v>
      </c>
      <c r="AA1223" s="155">
        <v>3.611865957016569E-2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47521</v>
      </c>
      <c r="Y1224" s="152">
        <f>_xll.qlInterestRateIndexValueDate(IborIndex,X1224,Trigger)</f>
        <v>47525</v>
      </c>
      <c r="Z1224" s="153">
        <v>3.645952213798237E-2</v>
      </c>
      <c r="AA1224" s="155">
        <v>3.6119713028526235E-2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47528</v>
      </c>
      <c r="Y1225" s="152">
        <f>_xll.qlInterestRateIndexValueDate(IborIndex,X1225,Trigger)</f>
        <v>47533</v>
      </c>
      <c r="Z1225" s="153">
        <v>3.6458371607809827E-2</v>
      </c>
      <c r="AA1225" s="155">
        <v>3.6120878015672986E-2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47535</v>
      </c>
      <c r="Y1226" s="152">
        <f>_xll.qlInterestRateIndexValueDate(IborIndex,X1226,Trigger)</f>
        <v>47539</v>
      </c>
      <c r="Z1226" s="153">
        <v>3.6462617705868082E-2</v>
      </c>
      <c r="AA1226" s="155">
        <v>3.6121724480251416E-2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47542</v>
      </c>
      <c r="Y1227" s="152">
        <f>_xll.qlInterestRateIndexValueDate(IborIndex,X1227,Trigger)</f>
        <v>47546</v>
      </c>
      <c r="Z1227" s="153">
        <v>3.6465045589260406E-2</v>
      </c>
      <c r="AA1227" s="155">
        <v>3.6122682473616052E-2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47549</v>
      </c>
      <c r="Y1228" s="152">
        <f>_xll.qlInterestRateIndexValueDate(IborIndex,X1228,Trigger)</f>
        <v>47553</v>
      </c>
      <c r="Z1228" s="153">
        <v>3.6465574523433388E-2</v>
      </c>
      <c r="AA1228" s="155">
        <v>3.6123608645315386E-2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47556</v>
      </c>
      <c r="Y1229" s="152">
        <f>_xll.qlInterestRateIndexValueDate(IborIndex,X1229,Trigger)</f>
        <v>47560</v>
      </c>
      <c r="Z1229" s="153">
        <v>3.6466071046198902E-2</v>
      </c>
      <c r="AA1229" s="155">
        <v>3.6124502995189545E-2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47563</v>
      </c>
      <c r="Y1230" s="152">
        <f>_xll.qlInterestRateIndexValueDate(IborIndex,X1230,Trigger)</f>
        <v>47567</v>
      </c>
      <c r="Z1230" s="153">
        <v>3.6466535157532176E-2</v>
      </c>
      <c r="AA1230" s="155">
        <v>3.6125365523478337E-2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47570</v>
      </c>
      <c r="Y1231" s="152">
        <f>_xll.qlInterestRateIndexValueDate(IborIndex,X1231,Trigger)</f>
        <v>47574</v>
      </c>
      <c r="Z1231" s="153">
        <v>3.6465111644784443E-2</v>
      </c>
      <c r="AA1231" s="155">
        <v>3.612619623002189E-2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47577</v>
      </c>
      <c r="Y1232" s="152">
        <f>_xll.qlInterestRateIndexValueDate(IborIndex,X1232,Trigger)</f>
        <v>47581</v>
      </c>
      <c r="Z1232" s="153">
        <v>3.6465513207990741E-2</v>
      </c>
      <c r="AA1232" s="155">
        <v>3.6126995114820204E-2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47584</v>
      </c>
      <c r="Y1233" s="152">
        <f>_xll.qlInterestRateIndexValueDate(IborIndex,X1233,Trigger)</f>
        <v>47588</v>
      </c>
      <c r="Z1233" s="153">
        <v>3.6465882362954387E-2</v>
      </c>
      <c r="AA1233" s="155">
        <v>3.6127762178033151E-2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47591</v>
      </c>
      <c r="Y1234" s="152">
        <f>_xll.qlInterestRateIndexValueDate(IborIndex,X1234,Trigger)</f>
        <v>47597</v>
      </c>
      <c r="Z1234" s="153">
        <v>3.6466309370463079E-2</v>
      </c>
      <c r="AA1234" s="155">
        <v>3.6132428493020896E-2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47598</v>
      </c>
      <c r="Y1235" s="152">
        <f>_xll.qlInterestRateIndexValueDate(IborIndex,X1235,Trigger)</f>
        <v>47602</v>
      </c>
      <c r="Z1235" s="153">
        <v>3.6466523448086471E-2</v>
      </c>
      <c r="AA1235" s="155">
        <v>3.612920083922333E-2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47605</v>
      </c>
      <c r="Y1236" s="152">
        <f>_xll.qlInterestRateIndexValueDate(IborIndex,X1236,Trigger)</f>
        <v>47610</v>
      </c>
      <c r="Z1236" s="153">
        <v>3.6468675058788806E-2</v>
      </c>
      <c r="AA1236" s="155">
        <v>3.6129965782132345E-2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47612</v>
      </c>
      <c r="Y1237" s="152">
        <f>_xll.qlInterestRateIndexValueDate(IborIndex,X1237,Trigger)</f>
        <v>47616</v>
      </c>
      <c r="Z1237" s="153">
        <v>3.64688764150609E-2</v>
      </c>
      <c r="AA1237" s="155">
        <v>3.6130512213592425E-2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47619</v>
      </c>
      <c r="Y1238" s="152">
        <f>_xll.qlInterestRateIndexValueDate(IborIndex,X1238,Trigger)</f>
        <v>47623</v>
      </c>
      <c r="Z1238" s="153">
        <v>3.6469081234254241E-2</v>
      </c>
      <c r="AA1238" s="155">
        <v>3.613112016823905E-2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47626</v>
      </c>
      <c r="Y1239" s="152">
        <f>_xll.qlInterestRateIndexValueDate(IborIndex,X1239,Trigger)</f>
        <v>47631</v>
      </c>
      <c r="Z1239" s="153">
        <v>3.6471112122978447E-2</v>
      </c>
      <c r="AA1239" s="155">
        <v>3.6131776008181404E-2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47633</v>
      </c>
      <c r="Y1240" s="152">
        <f>_xll.qlInterestRateIndexValueDate(IborIndex,X1240,Trigger)</f>
        <v>47637</v>
      </c>
      <c r="Z1240" s="153">
        <v>3.646755901562726E-2</v>
      </c>
      <c r="AA1240" s="155">
        <v>3.6132240612376521E-2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47640</v>
      </c>
      <c r="Y1241" s="152">
        <f>_xll.qlInterestRateIndexValueDate(IborIndex,X1241,Trigger)</f>
        <v>47644</v>
      </c>
      <c r="Z1241" s="153">
        <v>3.6467668904145219E-2</v>
      </c>
      <c r="AA1241" s="155">
        <v>3.6132753101947301E-2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47647</v>
      </c>
      <c r="Y1242" s="152">
        <f>_xll.qlInterestRateIndexValueDate(IborIndex,X1242,Trigger)</f>
        <v>47651</v>
      </c>
      <c r="Z1242" s="153">
        <v>3.6467746384315693E-2</v>
      </c>
      <c r="AA1242" s="155">
        <v>3.6133233769772843E-2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47654</v>
      </c>
      <c r="Y1243" s="152">
        <f>_xll.qlInterestRateIndexValueDate(IborIndex,X1243,Trigger)</f>
        <v>47658</v>
      </c>
      <c r="Z1243" s="153">
        <v>3.6467791456137377E-2</v>
      </c>
      <c r="AA1243" s="155">
        <v>3.6133682615933083E-2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47661</v>
      </c>
      <c r="Y1244" s="152">
        <f>_xll.qlInterestRateIndexValueDate(IborIndex,X1244,Trigger)</f>
        <v>47665</v>
      </c>
      <c r="Z1244" s="153">
        <v>3.6471454792862269E-2</v>
      </c>
      <c r="AA1244" s="155">
        <v>3.6134099640348083E-2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47668</v>
      </c>
      <c r="Y1245" s="152">
        <f>_xll.qlInterestRateIndexValueDate(IborIndex,X1245,Trigger)</f>
        <v>47672</v>
      </c>
      <c r="Z1245" s="153">
        <v>3.6469607444038682E-2</v>
      </c>
      <c r="AA1245" s="155">
        <v>3.6134484843177717E-2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47675</v>
      </c>
      <c r="Y1246" s="152">
        <f>_xll.qlInterestRateIndexValueDate(IborIndex,X1246,Trigger)</f>
        <v>47679</v>
      </c>
      <c r="Z1246" s="153">
        <v>3.6469552970453907E-2</v>
      </c>
      <c r="AA1246" s="155">
        <v>3.6134838224182175E-2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47682</v>
      </c>
      <c r="Y1247" s="152">
        <f>_xll.qlInterestRateIndexValueDate(IborIndex,X1247,Trigger)</f>
        <v>47686</v>
      </c>
      <c r="Z1247" s="153">
        <v>3.6469466085266168E-2</v>
      </c>
      <c r="AA1247" s="155">
        <v>3.6135159783521331E-2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47689</v>
      </c>
      <c r="Y1248" s="152">
        <f>_xll.qlInterestRateIndexValueDate(IborIndex,X1248,Trigger)</f>
        <v>47693</v>
      </c>
      <c r="Z1248" s="153">
        <v>3.6469346788481544E-2</v>
      </c>
      <c r="AA1248" s="155">
        <v>3.6135449521195184E-2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47696</v>
      </c>
      <c r="Y1249" s="152">
        <f>_xll.qlInterestRateIndexValueDate(IborIndex,X1249,Trigger)</f>
        <v>47700</v>
      </c>
      <c r="Z1249" s="153">
        <v>3.6469195080104377E-2</v>
      </c>
      <c r="AA1249" s="155">
        <v>3.6135707437043862E-2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47703</v>
      </c>
      <c r="Y1250" s="152">
        <f>_xll.qlInterestRateIndexValueDate(IborIndex,X1250,Trigger)</f>
        <v>47707</v>
      </c>
      <c r="Z1250" s="153">
        <v>3.6469010960143364E-2</v>
      </c>
      <c r="AA1250" s="155">
        <v>3.6135933531307174E-2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47710</v>
      </c>
      <c r="Y1251" s="152">
        <f>_xll.qlInterestRateIndexValueDate(IborIndex,X1251,Trigger)</f>
        <v>47714</v>
      </c>
      <c r="Z1251" s="153">
        <v>3.6468794428606316E-2</v>
      </c>
      <c r="AA1251" s="155">
        <v>3.6136127803905183E-2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47717</v>
      </c>
      <c r="Y1252" s="152">
        <f>_xll.qlInterestRateIndexValueDate(IborIndex,X1252,Trigger)</f>
        <v>47722</v>
      </c>
      <c r="Z1252" s="153">
        <v>3.646850727636259E-2</v>
      </c>
      <c r="AA1252" s="155">
        <v>3.6136310864192112E-2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47724</v>
      </c>
      <c r="Y1253" s="152">
        <f>_xll.qlInterestRateIndexValueDate(IborIndex,X1253,Trigger)</f>
        <v>47729</v>
      </c>
      <c r="Z1253" s="153">
        <v>3.6462808738838837E-2</v>
      </c>
      <c r="AA1253" s="155">
        <v>3.6136436947415973E-2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47731</v>
      </c>
      <c r="Y1254" s="152">
        <f>_xll.qlInterestRateIndexValueDate(IborIndex,X1254,Trigger)</f>
        <v>47735</v>
      </c>
      <c r="Z1254" s="153">
        <v>3.6464346122297667E-2</v>
      </c>
      <c r="AA1254" s="155">
        <v>3.6136519691147839E-2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47738</v>
      </c>
      <c r="Y1255" s="152">
        <f>_xll.qlInterestRateIndexValueDate(IborIndex,X1255,Trigger)</f>
        <v>47742</v>
      </c>
      <c r="Z1255" s="153">
        <v>3.646400464334662E-2</v>
      </c>
      <c r="AA1255" s="155">
        <v>3.6136586676924765E-2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47745</v>
      </c>
      <c r="Y1256" s="152">
        <f>_xll.qlInterestRateIndexValueDate(IborIndex,X1256,Trigger)</f>
        <v>47749</v>
      </c>
      <c r="Z1256" s="153">
        <v>3.6463630759390298E-2</v>
      </c>
      <c r="AA1256" s="155">
        <v>3.6136621840956451E-2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47752</v>
      </c>
      <c r="Y1257" s="152">
        <f>_xll.qlInterestRateIndexValueDate(IborIndex,X1257,Trigger)</f>
        <v>47756</v>
      </c>
      <c r="Z1257" s="153">
        <v>3.6463224470447149E-2</v>
      </c>
      <c r="AA1257" s="155">
        <v>3.6136625183322835E-2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47759</v>
      </c>
      <c r="Y1258" s="152">
        <f>_xll.qlInterestRateIndexValueDate(IborIndex,X1258,Trigger)</f>
        <v>47763</v>
      </c>
      <c r="Z1258" s="153">
        <v>3.6462785776536062E-2</v>
      </c>
      <c r="AA1258" s="155">
        <v>3.6136596703943979E-2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47766</v>
      </c>
      <c r="Y1259" s="152">
        <f>_xll.qlInterestRateIndexValueDate(IborIndex,X1259,Trigger)</f>
        <v>47771</v>
      </c>
      <c r="Z1259" s="153">
        <v>3.6462244732542282E-2</v>
      </c>
      <c r="AA1259" s="155">
        <v>3.6136525190668678E-2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47773</v>
      </c>
      <c r="Y1260" s="152">
        <f>_xll.qlInterestRateIndexValueDate(IborIndex,X1260,Trigger)</f>
        <v>47777</v>
      </c>
      <c r="Z1260" s="153">
        <v>3.6461811173899225E-2</v>
      </c>
      <c r="AA1260" s="155">
        <v>3.6136444280110425E-2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47780</v>
      </c>
      <c r="Y1261" s="152">
        <f>_xll.qlInterestRateIndexValueDate(IborIndex,X1261,Trigger)</f>
        <v>47784</v>
      </c>
      <c r="Z1261" s="153">
        <v>3.6461275265219154E-2</v>
      </c>
      <c r="AA1261" s="155">
        <v>3.6136320335575789E-2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47787</v>
      </c>
      <c r="Y1262" s="152">
        <f>_xll.qlInterestRateIndexValueDate(IborIndex,X1262,Trigger)</f>
        <v>47791</v>
      </c>
      <c r="Z1262" s="153">
        <v>3.6462490240728437E-2</v>
      </c>
      <c r="AA1262" s="155">
        <v>3.6136164569455786E-2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47794</v>
      </c>
      <c r="Y1263" s="152">
        <f>_xll.qlInterestRateIndexValueDate(IborIndex,X1263,Trigger)</f>
        <v>47799</v>
      </c>
      <c r="Z1263" s="153">
        <v>3.6458237088315054E-2</v>
      </c>
      <c r="AA1263" s="155">
        <v>3.6135947585504979E-2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47801</v>
      </c>
      <c r="Y1264" s="152">
        <f>_xll.qlInterestRateIndexValueDate(IborIndex,X1264,Trigger)</f>
        <v>47805</v>
      </c>
      <c r="Z1264" s="153">
        <v>3.6459473110051641E-2</v>
      </c>
      <c r="AA1264" s="155">
        <v>3.6135757571980065E-2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47808</v>
      </c>
      <c r="Y1265" s="152">
        <f>_xll.qlInterestRateIndexValueDate(IborIndex,X1265,Trigger)</f>
        <v>47812</v>
      </c>
      <c r="Z1265" s="153">
        <v>3.6460583735918671E-2</v>
      </c>
      <c r="AA1265" s="155">
        <v>3.6135506340624346E-2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47815</v>
      </c>
      <c r="Y1266" s="152">
        <f>_xll.qlInterestRateIndexValueDate(IborIndex,X1266,Trigger)</f>
        <v>47819</v>
      </c>
      <c r="Z1266" s="153">
        <v>3.6458109649293718E-2</v>
      </c>
      <c r="AA1266" s="155">
        <v>3.6135223287603324E-2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47822</v>
      </c>
      <c r="Y1267" s="152">
        <f>_xll.qlInterestRateIndexValueDate(IborIndex,X1267,Trigger)</f>
        <v>47826</v>
      </c>
      <c r="Z1267" s="153">
        <v>3.6457379311816633E-2</v>
      </c>
      <c r="AA1267" s="155">
        <v>3.6134908412917E-2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47829</v>
      </c>
      <c r="Y1268" s="152">
        <f>_xll.qlInterestRateIndexValueDate(IborIndex,X1268,Trigger)</f>
        <v>47833</v>
      </c>
      <c r="Z1268" s="153">
        <v>3.6456616569654453E-2</v>
      </c>
      <c r="AA1268" s="155">
        <v>3.6134561716565372E-2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47836</v>
      </c>
      <c r="Y1269" s="152">
        <f>_xll.qlInterestRateIndexValueDate(IborIndex,X1269,Trigger)</f>
        <v>47840</v>
      </c>
      <c r="Z1269" s="153">
        <v>3.6455821422843641E-2</v>
      </c>
      <c r="AA1269" s="155">
        <v>3.6137637992013083E-2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47844</v>
      </c>
      <c r="Y1270" s="152">
        <f>_xll.qlInterestRateIndexValueDate(IborIndex,X1270,Trigger)</f>
        <v>47848</v>
      </c>
      <c r="Z1270" s="153">
        <v>3.645310903871507E-2</v>
      </c>
      <c r="AA1270" s="155">
        <v>3.6137213929228196E-2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47851</v>
      </c>
      <c r="Y1271" s="152">
        <f>_xll.qlInterestRateIndexValueDate(IborIndex,X1271,Trigger)</f>
        <v>47855</v>
      </c>
      <c r="Z1271" s="153">
        <v>3.6452246854625205E-2</v>
      </c>
      <c r="AA1271" s="155">
        <v>3.6133264933484455E-2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47858</v>
      </c>
      <c r="Y1272" s="152">
        <f>_xll.qlInterestRateIndexValueDate(IborIndex,X1272,Trigger)</f>
        <v>47862</v>
      </c>
      <c r="Z1272" s="153">
        <v>3.645135226925942E-2</v>
      </c>
      <c r="AA1272" s="155">
        <v>3.6132786404348138E-2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47865</v>
      </c>
      <c r="Y1273" s="152">
        <f>_xll.qlInterestRateIndexValueDate(IborIndex,X1273,Trigger)</f>
        <v>47869</v>
      </c>
      <c r="Z1273" s="153">
        <v>3.6450425282659231E-2</v>
      </c>
      <c r="AA1273" s="155">
        <v>3.6132276053466583E-2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47872</v>
      </c>
      <c r="Y1274" s="152">
        <f>_xll.qlInterestRateIndexValueDate(IborIndex,X1274,Trigger)</f>
        <v>47876</v>
      </c>
      <c r="Z1274" s="153">
        <v>3.6449465894870574E-2</v>
      </c>
      <c r="AA1274" s="155">
        <v>3.6131733880919725E-2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47879</v>
      </c>
      <c r="Y1275" s="152">
        <f>_xll.qlInterestRateIndexValueDate(IborIndex,X1275,Trigger)</f>
        <v>47883</v>
      </c>
      <c r="Z1275" s="153">
        <v>3.6448474105938045E-2</v>
      </c>
      <c r="AA1275" s="155">
        <v>3.6131159886707565E-2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47886</v>
      </c>
      <c r="Y1276" s="152">
        <f>_xll.qlInterestRateIndexValueDate(IborIndex,X1276,Trigger)</f>
        <v>47890</v>
      </c>
      <c r="Z1276" s="153">
        <v>3.6447449915909785E-2</v>
      </c>
      <c r="AA1276" s="155">
        <v>3.6130554070750165E-2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47893</v>
      </c>
      <c r="Y1277" s="152">
        <f>_xll.qlInterestRateIndexValueDate(IborIndex,X1277,Trigger)</f>
        <v>47897</v>
      </c>
      <c r="Z1277" s="153">
        <v>3.6446393324835707E-2</v>
      </c>
      <c r="AA1277" s="155">
        <v>3.6129916433047526E-2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47900</v>
      </c>
      <c r="Y1278" s="152">
        <f>_xll.qlInterestRateIndexValueDate(IborIndex,X1278,Trigger)</f>
        <v>47904</v>
      </c>
      <c r="Z1278" s="153">
        <v>3.6447048998721136E-2</v>
      </c>
      <c r="AA1278" s="155">
        <v>3.6129246973759521E-2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47907</v>
      </c>
      <c r="Y1279" s="152">
        <f>_xll.qlInterestRateIndexValueDate(IborIndex,X1279,Trigger)</f>
        <v>47911</v>
      </c>
      <c r="Z1279" s="153">
        <v>3.6449409308410299E-2</v>
      </c>
      <c r="AA1279" s="155">
        <v>3.6128545692646341E-2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47914</v>
      </c>
      <c r="Y1280" s="152">
        <f>_xll.qlInterestRateIndexValueDate(IborIndex,X1280,Trigger)</f>
        <v>47918</v>
      </c>
      <c r="Z1280" s="153">
        <v>3.6448248222112761E-2</v>
      </c>
      <c r="AA1280" s="155">
        <v>3.6127812589867858E-2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47921</v>
      </c>
      <c r="Y1281" s="152">
        <f>_xll.qlInterestRateIndexValueDate(IborIndex,X1281,Trigger)</f>
        <v>47925</v>
      </c>
      <c r="Z1281" s="153">
        <v>3.6447054725251851E-2</v>
      </c>
      <c r="AA1281" s="155">
        <v>3.6127047665424072E-2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47928</v>
      </c>
      <c r="Y1282" s="152">
        <f>_xll.qlInterestRateIndexValueDate(IborIndex,X1282,Trigger)</f>
        <v>47932</v>
      </c>
      <c r="Z1282" s="153">
        <v>3.6445828817887972E-2</v>
      </c>
      <c r="AA1282" s="155">
        <v>3.6126250919314984E-2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47935</v>
      </c>
      <c r="Y1283" s="152">
        <f>_xll.qlInterestRateIndexValueDate(IborIndex,X1283,Trigger)</f>
        <v>47939</v>
      </c>
      <c r="Z1283" s="153">
        <v>3.6442838237750935E-2</v>
      </c>
      <c r="AA1283" s="155">
        <v>3.6125422351460657E-2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47942</v>
      </c>
      <c r="Y1284" s="152">
        <f>_xll.qlInterestRateIndexValueDate(IborIndex,X1284,Trigger)</f>
        <v>47946</v>
      </c>
      <c r="Z1284" s="153">
        <v>3.6441549953801909E-2</v>
      </c>
      <c r="AA1284" s="155">
        <v>3.6131560179290645E-2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47953</v>
      </c>
      <c r="Y1285" s="152">
        <f>_xll.qlInterestRateIndexValueDate(IborIndex,X1285,Trigger)</f>
        <v>47955</v>
      </c>
      <c r="Z1285" s="153">
        <v>3.6439845970167493E-2</v>
      </c>
      <c r="AA1285" s="155">
        <v>3.6123145628330633E-2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47960</v>
      </c>
      <c r="Y1286" s="152">
        <f>_xll.qlInterestRateIndexValueDate(IborIndex,X1286,Trigger)</f>
        <v>47962</v>
      </c>
      <c r="Z1286" s="153">
        <v>3.643848361298873E-2</v>
      </c>
      <c r="AA1286" s="155">
        <v>3.6122203411546039E-2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47967</v>
      </c>
      <c r="Y1287" s="152">
        <f>_xll.qlInterestRateIndexValueDate(IborIndex,X1287,Trigger)</f>
        <v>47969</v>
      </c>
      <c r="Z1287" s="153">
        <v>3.6442253781261348E-2</v>
      </c>
      <c r="AA1287" s="155">
        <v>3.6121087627041248E-2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47974</v>
      </c>
      <c r="Y1288" s="152">
        <f>_xll.qlInterestRateIndexValueDate(IborIndex,X1288,Trigger)</f>
        <v>47976</v>
      </c>
      <c r="Z1288" s="153">
        <v>3.6440819234466015E-2</v>
      </c>
      <c r="AA1288" s="155">
        <v>3.6120223512901006E-2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47981</v>
      </c>
      <c r="Y1289" s="152">
        <f>_xll.qlInterestRateIndexValueDate(IborIndex,X1289,Trigger)</f>
        <v>47983</v>
      </c>
      <c r="Z1289" s="153">
        <v>3.6439352271159922E-2</v>
      </c>
      <c r="AA1289" s="155">
        <v>3.6119185831040568E-2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47988</v>
      </c>
      <c r="Y1290" s="152">
        <f>_xll.qlInterestRateIndexValueDate(IborIndex,X1290,Trigger)</f>
        <v>47990</v>
      </c>
      <c r="Z1290" s="153">
        <v>3.6437852891413533E-2</v>
      </c>
      <c r="AA1290" s="155">
        <v>3.611796094348918E-2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47995</v>
      </c>
      <c r="Y1291" s="152">
        <f>_xll.qlInterestRateIndexValueDate(IborIndex,X1291,Trigger)</f>
        <v>47997</v>
      </c>
      <c r="Z1291" s="153">
        <v>3.6431185724520768E-2</v>
      </c>
      <c r="AA1291" s="155">
        <v>3.611701500216391E-2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48002</v>
      </c>
      <c r="Y1292" s="152">
        <f>_xll.qlInterestRateIndexValueDate(IborIndex,X1292,Trigger)</f>
        <v>48004</v>
      </c>
      <c r="Z1292" s="153">
        <v>3.6429628926808386E-2</v>
      </c>
      <c r="AA1292" s="155">
        <v>3.6115881855147691E-2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48009</v>
      </c>
      <c r="Y1293" s="152">
        <f>_xll.qlInterestRateIndexValueDate(IborIndex,X1293,Trigger)</f>
        <v>48011</v>
      </c>
      <c r="Z1293" s="153">
        <v>3.642803972259491E-2</v>
      </c>
      <c r="AA1293" s="155">
        <v>3.6114716886546105E-2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48016</v>
      </c>
      <c r="Y1294" s="152">
        <f>_xll.qlInterestRateIndexValueDate(IborIndex,X1294,Trigger)</f>
        <v>48018</v>
      </c>
      <c r="Z1294" s="153">
        <v>3.6426418111958542E-2</v>
      </c>
      <c r="AA1294" s="155">
        <v>3.6113520096199281E-2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48023</v>
      </c>
      <c r="Y1295" s="152">
        <f>_xll.qlInterestRateIndexValueDate(IborIndex,X1295,Trigger)</f>
        <v>48025</v>
      </c>
      <c r="Z1295" s="153">
        <v>3.6429869748741454E-2</v>
      </c>
      <c r="AA1295" s="155">
        <v>3.6112291484107217E-2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48030</v>
      </c>
      <c r="Y1296" s="152">
        <f>_xll.qlInterestRateIndexValueDate(IborIndex,X1296,Trigger)</f>
        <v>48032</v>
      </c>
      <c r="Z1296" s="153">
        <v>3.6428175871969275E-2</v>
      </c>
      <c r="AA1296" s="155">
        <v>3.6111031050349851E-2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48037</v>
      </c>
      <c r="Y1297" s="152">
        <f>_xll.qlInterestRateIndexValueDate(IborIndex,X1297,Trigger)</f>
        <v>48039</v>
      </c>
      <c r="Z1297" s="153">
        <v>3.6426449579308628E-2</v>
      </c>
      <c r="AA1297" s="155">
        <v>3.6109738794927182E-2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48044</v>
      </c>
      <c r="Y1298" s="152">
        <f>_xll.qlInterestRateIndexValueDate(IborIndex,X1298,Trigger)</f>
        <v>48046</v>
      </c>
      <c r="Z1298" s="153">
        <v>3.642638504144062E-2</v>
      </c>
      <c r="AA1298" s="155">
        <v>3.6108414717919146E-2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48051</v>
      </c>
      <c r="Y1299" s="152">
        <f>_xll.qlInterestRateIndexValueDate(IborIndex,X1299,Trigger)</f>
        <v>48053</v>
      </c>
      <c r="Z1299" s="153">
        <v>3.6422899746667459E-2</v>
      </c>
      <c r="AA1299" s="155">
        <v>3.6107058818926063E-2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48058</v>
      </c>
      <c r="Y1300" s="152">
        <f>_xll.qlInterestRateIndexValueDate(IborIndex,X1300,Trigger)</f>
        <v>48060</v>
      </c>
      <c r="Z1300" s="153">
        <v>3.6416007917762901E-2</v>
      </c>
      <c r="AA1300" s="155">
        <v>3.6105671098507486E-2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48065</v>
      </c>
      <c r="Y1301" s="152">
        <f>_xll.qlInterestRateIndexValueDate(IborIndex,X1301,Trigger)</f>
        <v>48067</v>
      </c>
      <c r="Z1301" s="153">
        <v>3.641922025151631E-2</v>
      </c>
      <c r="AA1301" s="155">
        <v>3.6104251556263733E-2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48072</v>
      </c>
      <c r="Y1302" s="152">
        <f>_xll.qlInterestRateIndexValueDate(IborIndex,X1302,Trigger)</f>
        <v>48074</v>
      </c>
      <c r="Z1302" s="153">
        <v>3.6419016051226868E-2</v>
      </c>
      <c r="AA1302" s="155">
        <v>3.6102800192274742E-2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48079</v>
      </c>
      <c r="Y1303" s="152">
        <f>_xll.qlInterestRateIndexValueDate(IborIndex,X1303,Trigger)</f>
        <v>48081</v>
      </c>
      <c r="Z1303" s="153">
        <v>3.641541109458149E-2</v>
      </c>
      <c r="AA1303" s="155">
        <v>3.6101102525387674E-2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48086</v>
      </c>
      <c r="Y1304" s="152">
        <f>_xll.qlInterestRateIndexValueDate(IborIndex,X1304,Trigger)</f>
        <v>48088</v>
      </c>
      <c r="Z1304" s="153">
        <v>3.6408419670393863E-2</v>
      </c>
      <c r="AA1304" s="155">
        <v>3.6099801999380787E-2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48093</v>
      </c>
      <c r="Y1305" s="152">
        <f>_xll.qlInterestRateIndexValueDate(IborIndex,X1305,Trigger)</f>
        <v>48095</v>
      </c>
      <c r="Z1305" s="153">
        <v>3.6404764443355858E-2</v>
      </c>
      <c r="AA1305" s="155">
        <v>3.6098255170475824E-2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48100</v>
      </c>
      <c r="Y1306" s="152">
        <f>_xll.qlInterestRateIndexValueDate(IborIndex,X1306,Trigger)</f>
        <v>48102</v>
      </c>
      <c r="Z1306" s="153">
        <v>3.6402756478094545E-2</v>
      </c>
      <c r="AA1306" s="155">
        <v>3.6096676519665749E-2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48107</v>
      </c>
      <c r="Y1307" s="152">
        <f>_xll.qlInterestRateIndexValueDate(IborIndex,X1307,Trigger)</f>
        <v>48109</v>
      </c>
      <c r="Z1307" s="153">
        <v>3.640071611078427E-2</v>
      </c>
      <c r="AA1307" s="155">
        <v>3.609506604743018E-2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48114</v>
      </c>
      <c r="Y1308" s="152">
        <f>_xll.qlInterestRateIndexValueDate(IborIndex,X1308,Trigger)</f>
        <v>48116</v>
      </c>
      <c r="Z1308" s="153">
        <v>3.6398643341522548E-2</v>
      </c>
      <c r="AA1308" s="155">
        <v>3.60934237532895E-2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48121</v>
      </c>
      <c r="Y1309" s="152">
        <f>_xll.qlInterestRateIndexValueDate(IborIndex,X1309,Trigger)</f>
        <v>48123</v>
      </c>
      <c r="Z1309" s="153">
        <v>3.6398205238849339E-2</v>
      </c>
      <c r="AA1309" s="155">
        <v>3.6091749637563453E-2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48128</v>
      </c>
      <c r="Y1310" s="152">
        <f>_xll.qlInterestRateIndexValueDate(IborIndex,X1310,Trigger)</f>
        <v>48130</v>
      </c>
      <c r="Z1310" s="153">
        <v>3.6396065137208958E-2</v>
      </c>
      <c r="AA1310" s="155">
        <v>3.6090043700092167E-2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48135</v>
      </c>
      <c r="Y1311" s="152">
        <f>_xll.qlInterestRateIndexValueDate(IborIndex,X1311,Trigger)</f>
        <v>48137</v>
      </c>
      <c r="Z1311" s="153">
        <v>3.6393892630696346E-2</v>
      </c>
      <c r="AA1311" s="155">
        <v>3.6088305941035514E-2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48142</v>
      </c>
      <c r="Y1312" s="152">
        <f>_xll.qlInterestRateIndexValueDate(IborIndex,X1312,Trigger)</f>
        <v>48144</v>
      </c>
      <c r="Z1312" s="153">
        <v>3.6391687719417649E-2</v>
      </c>
      <c r="AA1312" s="155">
        <v>3.6086536360153687E-2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48149</v>
      </c>
      <c r="Y1313" s="152">
        <f>_xll.qlInterestRateIndexValueDate(IborIndex,X1313,Trigger)</f>
        <v>48151</v>
      </c>
      <c r="Z1313" s="153">
        <v>3.6389450403479018E-2</v>
      </c>
      <c r="AA1313" s="155">
        <v>3.6084734957606557E-2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48156</v>
      </c>
      <c r="Y1314" s="152">
        <f>_xll.qlInterestRateIndexValueDate(IborIndex,X1314,Trigger)</f>
        <v>48158</v>
      </c>
      <c r="Z1314" s="153">
        <v>3.6385526290696808E-2</v>
      </c>
      <c r="AA1314" s="155">
        <v>3.6082901733394124E-2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48163</v>
      </c>
      <c r="Y1315" s="152">
        <f>_xll.qlInterestRateIndexValueDate(IborIndex,X1315,Trigger)</f>
        <v>48165</v>
      </c>
      <c r="Z1315" s="153">
        <v>3.6383226710667557E-2</v>
      </c>
      <c r="AA1315" s="155">
        <v>3.6081036687596324E-2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48170</v>
      </c>
      <c r="Y1316" s="152">
        <f>_xll.qlInterestRateIndexValueDate(IborIndex,X1316,Trigger)</f>
        <v>48172</v>
      </c>
      <c r="Z1316" s="153">
        <v>3.6380894729531009E-2</v>
      </c>
      <c r="AA1316" s="155">
        <v>3.6079139820133221E-2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48177</v>
      </c>
      <c r="Y1317" s="152">
        <f>_xll.qlInterestRateIndexValueDate(IborIndex,X1317,Trigger)</f>
        <v>48180</v>
      </c>
      <c r="Z1317" s="153">
        <v>3.6378189933552608E-2</v>
      </c>
      <c r="AA1317" s="155">
        <v>3.607693300596182E-2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48184</v>
      </c>
      <c r="Y1318" s="152">
        <f>_xll.qlInterestRateIndexValueDate(IborIndex,X1318,Trigger)</f>
        <v>48186</v>
      </c>
      <c r="Z1318" s="153">
        <v>3.637777775774903E-2</v>
      </c>
      <c r="AA1318" s="155">
        <v>3.6075250619811428E-2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48191</v>
      </c>
      <c r="Y1319" s="152">
        <f>_xll.qlInterestRateIndexValueDate(IborIndex,X1319,Trigger)</f>
        <v>48193</v>
      </c>
      <c r="Z1319" s="153">
        <v>3.6375346016188567E-2</v>
      </c>
      <c r="AA1319" s="155">
        <v>3.6073258287192544E-2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48198</v>
      </c>
      <c r="Y1320" s="152">
        <f>_xll.qlInterestRateIndexValueDate(IborIndex,X1320,Trigger)</f>
        <v>48200</v>
      </c>
      <c r="Z1320" s="153">
        <v>3.6372881870760973E-2</v>
      </c>
      <c r="AA1320" s="155">
        <v>3.6071234132748486E-2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48205</v>
      </c>
      <c r="Y1321" s="152">
        <f>_xll.qlInterestRateIndexValueDate(IborIndex,X1321,Trigger)</f>
        <v>48211</v>
      </c>
      <c r="Z1321" s="153">
        <v>3.6368944173484526E-2</v>
      </c>
      <c r="AA1321" s="155">
        <v>3.6070242936743213E-2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48212</v>
      </c>
      <c r="Y1322" s="152">
        <f>_xll.qlInterestRateIndexValueDate(IborIndex,X1322,Trigger)</f>
        <v>48215</v>
      </c>
      <c r="Z1322" s="153">
        <v>3.6365858868761369E-2</v>
      </c>
      <c r="AA1322" s="155">
        <v>3.6066789504642927E-2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48219</v>
      </c>
      <c r="Y1323" s="152">
        <f>_xll.qlInterestRateIndexValueDate(IborIndex,X1323,Trigger)</f>
        <v>48221</v>
      </c>
      <c r="Z1323" s="153">
        <v>3.6363663640233627E-2</v>
      </c>
      <c r="AA1323" s="155">
        <v>3.6064970739824176E-2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48226</v>
      </c>
      <c r="Y1324" s="152">
        <f>_xll.qlInterestRateIndexValueDate(IborIndex,X1324,Trigger)</f>
        <v>48228</v>
      </c>
      <c r="Z1324" s="153">
        <v>3.6361072454424409E-2</v>
      </c>
      <c r="AA1324" s="155">
        <v>3.6062819298798843E-2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48233</v>
      </c>
      <c r="Y1325" s="152">
        <f>_xll.qlInterestRateIndexValueDate(IborIndex,X1325,Trigger)</f>
        <v>48235</v>
      </c>
      <c r="Z1325" s="153">
        <v>3.6358448868577815E-2</v>
      </c>
      <c r="AA1325" s="155">
        <v>3.6060636036028271E-2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48240</v>
      </c>
      <c r="Y1326" s="152">
        <f>_xll.qlInterestRateIndexValueDate(IborIndex,X1326,Trigger)</f>
        <v>48242</v>
      </c>
      <c r="Z1326" s="153">
        <v>3.6355792882819017E-2</v>
      </c>
      <c r="AA1326" s="155">
        <v>3.6058420951592396E-2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48247</v>
      </c>
      <c r="Y1327" s="152">
        <f>_xll.qlInterestRateIndexValueDate(IborIndex,X1327,Trigger)</f>
        <v>48249</v>
      </c>
      <c r="Z1327" s="153">
        <v>3.6353104497277577E-2</v>
      </c>
      <c r="AA1327" s="155">
        <v>3.6056174045491218E-2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48254</v>
      </c>
      <c r="Y1328" s="152">
        <f>_xll.qlInterestRateIndexValueDate(IborIndex,X1328,Trigger)</f>
        <v>48256</v>
      </c>
      <c r="Z1328" s="153">
        <v>3.6350383712083073E-2</v>
      </c>
      <c r="AA1328" s="155">
        <v>3.6053895317724738E-2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48261</v>
      </c>
      <c r="Y1329" s="152">
        <f>_xll.qlInterestRateIndexValueDate(IborIndex,X1329,Trigger)</f>
        <v>48263</v>
      </c>
      <c r="Z1329" s="153">
        <v>3.6347630527366823E-2</v>
      </c>
      <c r="AA1329" s="155">
        <v>3.6051584768213019E-2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48268</v>
      </c>
      <c r="Y1330" s="152">
        <f>_xll.qlInterestRateIndexValueDate(IborIndex,X1330,Trigger)</f>
        <v>48270</v>
      </c>
      <c r="Z1330" s="153">
        <v>3.6344844943261463E-2</v>
      </c>
      <c r="AA1330" s="155">
        <v>3.6049242397115933E-2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48275</v>
      </c>
      <c r="Y1331" s="152">
        <f>_xll.qlInterestRateIndexValueDate(IborIndex,X1331,Trigger)</f>
        <v>48277</v>
      </c>
      <c r="Z1331" s="153">
        <v>3.6350079003661724E-2</v>
      </c>
      <c r="AA1331" s="155">
        <v>3.6046868204273608E-2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48282</v>
      </c>
      <c r="Y1332" s="152">
        <f>_xll.qlInterestRateIndexValueDate(IborIndex,X1332,Trigger)</f>
        <v>48284</v>
      </c>
      <c r="Z1332" s="153">
        <v>3.6345608093881474E-2</v>
      </c>
      <c r="AA1332" s="155">
        <v>3.604446218976598E-2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48289</v>
      </c>
      <c r="Y1333" s="152">
        <f>_xll.qlInterestRateIndexValueDate(IborIndex,X1333,Trigger)</f>
        <v>48291</v>
      </c>
      <c r="Z1333" s="153">
        <v>3.6342714898376795E-2</v>
      </c>
      <c r="AA1333" s="155">
        <v>3.6042024353672986E-2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48296</v>
      </c>
      <c r="Y1334" s="152">
        <f>_xll.qlInterestRateIndexValueDate(IborIndex,X1334,Trigger)</f>
        <v>48298</v>
      </c>
      <c r="Z1334" s="153">
        <v>3.6339789291198778E-2</v>
      </c>
      <c r="AA1334" s="155">
        <v>3.6038843234544871E-2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48303</v>
      </c>
      <c r="Y1335" s="152">
        <f>_xll.qlInterestRateIndexValueDate(IborIndex,X1335,Trigger)</f>
        <v>48305</v>
      </c>
      <c r="Z1335" s="153">
        <v>3.6332031310409726E-2</v>
      </c>
      <c r="AA1335" s="155">
        <v>3.6037053216331216E-2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48310</v>
      </c>
      <c r="Y1336" s="152">
        <f>_xll.qlInterestRateIndexValueDate(IborIndex,X1336,Trigger)</f>
        <v>48312</v>
      </c>
      <c r="Z1336" s="153">
        <v>3.6329048720446303E-2</v>
      </c>
      <c r="AA1336" s="155">
        <v>3.6034519915162377E-2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48317</v>
      </c>
      <c r="Y1337" s="152">
        <f>_xll.qlInterestRateIndexValueDate(IborIndex,X1337,Trigger)</f>
        <v>48319</v>
      </c>
      <c r="Z1337" s="153">
        <v>3.6326033728864442E-2</v>
      </c>
      <c r="AA1337" s="155">
        <v>3.60319547922483E-2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48324</v>
      </c>
      <c r="Y1338" s="152">
        <f>_xll.qlInterestRateIndexValueDate(IborIndex,X1338,Trigger)</f>
        <v>48326</v>
      </c>
      <c r="Z1338" s="153">
        <v>3.6322986335807855E-2</v>
      </c>
      <c r="AA1338" s="155">
        <v>3.6029357847588983E-2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48331</v>
      </c>
      <c r="Y1339" s="152">
        <f>_xll.qlInterestRateIndexValueDate(IborIndex,X1339,Trigger)</f>
        <v>48333</v>
      </c>
      <c r="Z1339" s="153">
        <v>3.6319906541425494E-2</v>
      </c>
      <c r="AA1339" s="155">
        <v>3.6026350945821406E-2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48338</v>
      </c>
      <c r="Y1340" s="152">
        <f>_xll.qlInterestRateIndexValueDate(IborIndex,X1340,Trigger)</f>
        <v>48340</v>
      </c>
      <c r="Z1340" s="153">
        <v>3.6321555011182546E-2</v>
      </c>
      <c r="AA1340" s="155">
        <v>3.6024068493594186E-2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48345</v>
      </c>
      <c r="Y1341" s="152">
        <f>_xll.qlInterestRateIndexValueDate(IborIndex,X1341,Trigger)</f>
        <v>48347</v>
      </c>
      <c r="Z1341" s="153">
        <v>3.6318402526421566E-2</v>
      </c>
      <c r="AA1341" s="155">
        <v>3.6021376084018897E-2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48352</v>
      </c>
      <c r="Y1342" s="152">
        <f>_xll.qlInterestRateIndexValueDate(IborIndex,X1342,Trigger)</f>
        <v>48354</v>
      </c>
      <c r="Z1342" s="153">
        <v>3.6315217631185427E-2</v>
      </c>
      <c r="AA1342" s="155">
        <v>3.6018651852778305E-2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48359</v>
      </c>
      <c r="Y1343" s="152">
        <f>_xll.qlInterestRateIndexValueDate(IborIndex,X1343,Trigger)</f>
        <v>48361</v>
      </c>
      <c r="Z1343" s="153">
        <v>3.6312000325632698E-2</v>
      </c>
      <c r="AA1343" s="155">
        <v>3.6015499480415158E-2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48366</v>
      </c>
      <c r="Y1344" s="152">
        <f>_xll.qlInterestRateIndexValueDate(IborIndex,X1344,Trigger)</f>
        <v>48368</v>
      </c>
      <c r="Z1344" s="153">
        <v>3.6304021554907633E-2</v>
      </c>
      <c r="AA1344" s="155">
        <v>3.6013107925301213E-2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48373</v>
      </c>
      <c r="Y1345" s="152">
        <f>_xll.qlInterestRateIndexValueDate(IborIndex,X1345,Trigger)</f>
        <v>48375</v>
      </c>
      <c r="Z1345" s="153">
        <v>3.6300747355761942E-2</v>
      </c>
      <c r="AA1345" s="155">
        <v>3.6010288229144649E-2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48380</v>
      </c>
      <c r="Y1346" s="152">
        <f>_xll.qlInterestRateIndexValueDate(IborIndex,X1346,Trigger)</f>
        <v>48382</v>
      </c>
      <c r="Z1346" s="153">
        <v>3.6297440756368961E-2</v>
      </c>
      <c r="AA1346" s="155">
        <v>3.600743671116291E-2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48387</v>
      </c>
      <c r="Y1347" s="152">
        <f>_xll.qlInterestRateIndexValueDate(IborIndex,X1347,Trigger)</f>
        <v>48389</v>
      </c>
      <c r="Z1347" s="153">
        <v>3.6301943088499586E-2</v>
      </c>
      <c r="AA1347" s="155">
        <v>3.6004553371595804E-2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48394</v>
      </c>
      <c r="Y1348" s="152">
        <f>_xll.qlInterestRateIndexValueDate(IborIndex,X1348,Trigger)</f>
        <v>48396</v>
      </c>
      <c r="Z1348" s="153">
        <v>3.6296993113129943E-2</v>
      </c>
      <c r="AA1348" s="155">
        <v>3.600163821028346E-2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48401</v>
      </c>
      <c r="Y1349" s="152">
        <f>_xll.qlInterestRateIndexValueDate(IborIndex,X1349,Trigger)</f>
        <v>48403</v>
      </c>
      <c r="Z1349" s="153">
        <v>3.6292015884649351E-2</v>
      </c>
      <c r="AA1349" s="155">
        <v>3.5998691227385748E-2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48408</v>
      </c>
      <c r="Y1350" s="152">
        <f>_xll.qlInterestRateIndexValueDate(IborIndex,X1350,Trigger)</f>
        <v>48410</v>
      </c>
      <c r="Z1350" s="153">
        <v>3.6290131860728631E-2</v>
      </c>
      <c r="AA1350" s="155">
        <v>3.599571242290267E-2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48415</v>
      </c>
      <c r="Y1351" s="152">
        <f>_xll.qlInterestRateIndexValueDate(IborIndex,X1351,Trigger)</f>
        <v>48417</v>
      </c>
      <c r="Z1351" s="153">
        <v>3.6285095129163239E-2</v>
      </c>
      <c r="AA1351" s="155">
        <v>3.5992701796594417E-2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48422</v>
      </c>
      <c r="Y1352" s="152">
        <f>_xll.qlInterestRateIndexValueDate(IborIndex,X1352,Trigger)</f>
        <v>48424</v>
      </c>
      <c r="Z1352" s="153">
        <v>3.6281586138087039E-2</v>
      </c>
      <c r="AA1352" s="155">
        <v>3.5989659348700798E-2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48429</v>
      </c>
      <c r="Y1353" s="152">
        <f>_xll.qlInterestRateIndexValueDate(IborIndex,X1353,Trigger)</f>
        <v>48431</v>
      </c>
      <c r="Z1353" s="153">
        <v>3.6278044738351854E-2</v>
      </c>
      <c r="AA1353" s="155">
        <v>3.5986585079061939E-2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48436</v>
      </c>
      <c r="Y1354" s="152">
        <f>_xll.qlInterestRateIndexValueDate(IborIndex,X1354,Trigger)</f>
        <v>48438</v>
      </c>
      <c r="Z1354" s="153">
        <v>3.6274470930133036E-2</v>
      </c>
      <c r="AA1354" s="155">
        <v>3.598347898791765E-2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48443</v>
      </c>
      <c r="Y1355" s="152">
        <f>_xll.qlInterestRateIndexValueDate(IborIndex,X1355,Trigger)</f>
        <v>48445</v>
      </c>
      <c r="Z1355" s="153">
        <v>3.627241151936153E-2</v>
      </c>
      <c r="AA1355" s="155">
        <v>3.5980341074948186E-2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48450</v>
      </c>
      <c r="Y1356" s="152">
        <f>_xll.qlInterestRateIndexValueDate(IborIndex,X1356,Trigger)</f>
        <v>48452</v>
      </c>
      <c r="Z1356" s="153">
        <v>3.6267226088949285E-2</v>
      </c>
      <c r="AA1356" s="155">
        <v>3.5976715923489166E-2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48457</v>
      </c>
      <c r="Y1357" s="152">
        <f>_xll.qlInterestRateIndexValueDate(IborIndex,X1357,Trigger)</f>
        <v>48459</v>
      </c>
      <c r="Z1357" s="153">
        <v>3.6255845515575889E-2</v>
      </c>
      <c r="AA1357" s="155">
        <v>3.5973969784253157E-2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48464</v>
      </c>
      <c r="Y1358" s="152">
        <f>_xll.qlInterestRateIndexValueDate(IborIndex,X1358,Trigger)</f>
        <v>48466</v>
      </c>
      <c r="Z1358" s="153">
        <v>3.6252155491045532E-2</v>
      </c>
      <c r="AA1358" s="155">
        <v>3.597073640636772E-2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48471</v>
      </c>
      <c r="Y1359" s="152">
        <f>_xll.qlInterestRateIndexValueDate(IborIndex,X1359,Trigger)</f>
        <v>48473</v>
      </c>
      <c r="Z1359" s="153">
        <v>3.6248433074840866E-2</v>
      </c>
      <c r="AA1359" s="155">
        <v>3.5967471206816981E-2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48478</v>
      </c>
      <c r="Y1360" s="152">
        <f>_xll.qlInterestRateIndexValueDate(IborIndex,X1360,Trigger)</f>
        <v>48480</v>
      </c>
      <c r="Z1360" s="153">
        <v>3.6244678267141624E-2</v>
      </c>
      <c r="AA1360" s="155">
        <v>3.5964174185600939E-2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48485</v>
      </c>
      <c r="Y1361" s="152">
        <f>_xll.qlInterestRateIndexValueDate(IborIndex,X1361,Trigger)</f>
        <v>48487</v>
      </c>
      <c r="Z1361" s="153">
        <v>3.6242422536327742E-2</v>
      </c>
      <c r="AA1361" s="155">
        <v>3.596084534279953E-2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48492</v>
      </c>
      <c r="Y1362" s="152">
        <f>_xll.qlInterestRateIndexValueDate(IborIndex,X1362,Trigger)</f>
        <v>48494</v>
      </c>
      <c r="Z1362" s="153">
        <v>3.6238600251271805E-2</v>
      </c>
      <c r="AA1362" s="155">
        <v>3.5957484678252882E-2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48499</v>
      </c>
      <c r="Y1363" s="152">
        <f>_xll.qlInterestRateIndexValueDate(IborIndex,X1363,Trigger)</f>
        <v>48501</v>
      </c>
      <c r="Z1363" s="153">
        <v>3.6234745572088924E-2</v>
      </c>
      <c r="AA1363" s="155">
        <v>3.5954092192120868E-2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48506</v>
      </c>
      <c r="Y1364" s="152">
        <f>_xll.qlInterestRateIndexValueDate(IborIndex,X1364,Trigger)</f>
        <v>48508</v>
      </c>
      <c r="Z1364" s="153">
        <v>3.6230858498963132E-2</v>
      </c>
      <c r="AA1364" s="155">
        <v>3.5950667884403487E-2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48513</v>
      </c>
      <c r="Y1365" s="152">
        <f>_xll.qlInterestRateIndexValueDate(IborIndex,X1365,Trigger)</f>
        <v>48515</v>
      </c>
      <c r="Z1365" s="153">
        <v>3.6226939032083287E-2</v>
      </c>
      <c r="AA1365" s="155">
        <v>3.5947211754940867E-2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48520</v>
      </c>
      <c r="Y1366" s="152">
        <f>_xll.qlInterestRateIndexValueDate(IborIndex,X1366,Trigger)</f>
        <v>48522</v>
      </c>
      <c r="Z1366" s="153">
        <v>3.6221469209739059E-2</v>
      </c>
      <c r="AA1366" s="155">
        <v>3.5943723803812944E-2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48527</v>
      </c>
      <c r="Y1367" s="152">
        <f>_xll.qlInterestRateIndexValueDate(IborIndex,X1367,Trigger)</f>
        <v>48530</v>
      </c>
      <c r="Z1367" s="153">
        <v>3.621691623075473E-2</v>
      </c>
      <c r="AA1367" s="155">
        <v>3.5939698608595805E-2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48534</v>
      </c>
      <c r="Y1368" s="152">
        <f>_xll.qlInterestRateIndexValueDate(IborIndex,X1368,Trigger)</f>
        <v>48536</v>
      </c>
      <c r="Z1368" s="153">
        <v>3.6213473733658505E-2</v>
      </c>
      <c r="AA1368" s="155">
        <v>3.5936652436561189E-2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48541</v>
      </c>
      <c r="Y1369" s="152">
        <f>_xll.qlInterestRateIndexValueDate(IborIndex,X1369,Trigger)</f>
        <v>48544</v>
      </c>
      <c r="Z1369" s="153">
        <v>3.6208846720616625E-2</v>
      </c>
      <c r="AA1369" s="155">
        <v>3.5932554506326042E-2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48548</v>
      </c>
      <c r="Y1370" s="152">
        <f>_xll.qlInterestRateIndexValueDate(IborIndex,X1370,Trigger)</f>
        <v>48550</v>
      </c>
      <c r="Z1370" s="153">
        <v>3.6206855798045293E-2</v>
      </c>
      <c r="AA1370" s="155">
        <v>3.5929453782888032E-2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48555</v>
      </c>
      <c r="Y1371" s="152">
        <f>_xll.qlInterestRateIndexValueDate(IborIndex,X1371,Trigger)</f>
        <v>48557</v>
      </c>
      <c r="Z1371" s="153">
        <v>3.6202741972665604E-2</v>
      </c>
      <c r="AA1371" s="155">
        <v>3.5925806723513531E-2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48562</v>
      </c>
      <c r="Y1372" s="152">
        <f>_xll.qlInterestRateIndexValueDate(IborIndex,X1372,Trigger)</f>
        <v>48564</v>
      </c>
      <c r="Z1372" s="153">
        <v>3.6198595754889019E-2</v>
      </c>
      <c r="AA1372" s="155">
        <v>3.5922127842553664E-2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48569</v>
      </c>
      <c r="Y1373" s="152">
        <f>_xll.qlInterestRateIndexValueDate(IborIndex,X1373,Trigger)</f>
        <v>48571</v>
      </c>
      <c r="Z1373" s="153">
        <v>3.6194417144914504E-2</v>
      </c>
      <c r="AA1373" s="155">
        <v>3.5917351094356675E-2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48577</v>
      </c>
      <c r="Y1374" s="152">
        <f>_xll.qlInterestRateIndexValueDate(IborIndex,X1374,Trigger)</f>
        <v>48583</v>
      </c>
      <c r="Z1374" s="153">
        <v>3.6187178452673718E-2</v>
      </c>
      <c r="AA1374" s="155">
        <v>3.5913060935328645E-2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48584</v>
      </c>
      <c r="Y1375" s="152">
        <f>_xll.qlInterestRateIndexValueDate(IborIndex,X1375,Trigger)</f>
        <v>48586</v>
      </c>
      <c r="Z1375" s="153">
        <v>3.6183860846234095E-2</v>
      </c>
      <c r="AA1375" s="155">
        <v>3.5910358479709359E-2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48591</v>
      </c>
      <c r="Y1376" s="152">
        <f>_xll.qlInterestRateIndexValueDate(IborIndex,X1376,Trigger)</f>
        <v>48593</v>
      </c>
      <c r="Z1376" s="153">
        <v>3.6179583173269518E-2</v>
      </c>
      <c r="AA1376" s="155">
        <v>3.5906547766124675E-2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48598</v>
      </c>
      <c r="Y1377" s="152">
        <f>_xll.qlInterestRateIndexValueDate(IborIndex,X1377,Trigger)</f>
        <v>48600</v>
      </c>
      <c r="Z1377" s="153">
        <v>3.6175273112113361E-2</v>
      </c>
      <c r="AA1377" s="155">
        <v>3.590270523103456E-2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48605</v>
      </c>
      <c r="Y1378" s="152">
        <f>_xll.qlInterestRateIndexValueDate(IborIndex,X1378,Trigger)</f>
        <v>48607</v>
      </c>
      <c r="Z1378" s="153">
        <v>3.6170930662972764E-2</v>
      </c>
      <c r="AA1378" s="155">
        <v>3.5898830874199206E-2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48612</v>
      </c>
      <c r="Y1379" s="152">
        <f>_xll.qlInterestRateIndexValueDate(IborIndex,X1379,Trigger)</f>
        <v>48614</v>
      </c>
      <c r="Z1379" s="153">
        <v>3.6166555826056164E-2</v>
      </c>
      <c r="AA1379" s="155">
        <v>3.5894924695778485E-2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48619</v>
      </c>
      <c r="Y1380" s="152">
        <f>_xll.qlInterestRateIndexValueDate(IborIndex,X1380,Trigger)</f>
        <v>48621</v>
      </c>
      <c r="Z1380" s="153">
        <v>3.6162148601573345E-2</v>
      </c>
      <c r="AA1380" s="155">
        <v>3.5890986695612526E-2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48626</v>
      </c>
      <c r="Y1381" s="152">
        <f>_xll.qlInterestRateIndexValueDate(IborIndex,X1381,Trigger)</f>
        <v>48628</v>
      </c>
      <c r="Z1381" s="153">
        <v>3.6157708989735408E-2</v>
      </c>
      <c r="AA1381" s="155">
        <v>3.5887016874021072E-2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48633</v>
      </c>
      <c r="Y1382" s="152">
        <f>_xll.qlInterestRateIndexValueDate(IborIndex,X1382,Trigger)</f>
        <v>48635</v>
      </c>
      <c r="Z1382" s="153">
        <v>3.61532369907561E-2</v>
      </c>
      <c r="AA1382" s="155">
        <v>3.5883015230684379E-2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48640</v>
      </c>
      <c r="Y1383" s="152">
        <f>_xll.qlInterestRateIndexValueDate(IborIndex,X1383,Trigger)</f>
        <v>48642</v>
      </c>
      <c r="Z1383" s="153">
        <v>3.6156086202757495E-2</v>
      </c>
      <c r="AA1383" s="155">
        <v>3.5878981765682383E-2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48647</v>
      </c>
      <c r="Y1384" s="152">
        <f>_xll.qlInterestRateIndexValueDate(IborIndex,X1384,Trigger)</f>
        <v>48649</v>
      </c>
      <c r="Z1384" s="153">
        <v>3.6150067981470982E-2</v>
      </c>
      <c r="AA1384" s="155">
        <v>3.5874916479015084E-2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48654</v>
      </c>
      <c r="Y1385" s="152">
        <f>_xll.qlInterestRateIndexValueDate(IborIndex,X1385,Trigger)</f>
        <v>48656</v>
      </c>
      <c r="Z1385" s="153">
        <v>3.6145487746833585E-2</v>
      </c>
      <c r="AA1385" s="155">
        <v>3.5870819370762419E-2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48661</v>
      </c>
      <c r="Y1386" s="152">
        <f>_xll.qlInterestRateIndexValueDate(IborIndex,X1386,Trigger)</f>
        <v>48663</v>
      </c>
      <c r="Z1386" s="153">
        <v>3.6140875113326434E-2</v>
      </c>
      <c r="AA1386" s="155">
        <v>3.5866690440924387E-2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48668</v>
      </c>
      <c r="Y1387" s="152">
        <f>_xll.qlInterestRateIndexValueDate(IborIndex,X1387,Trigger)</f>
        <v>48670</v>
      </c>
      <c r="Z1387" s="153">
        <v>3.6136230081175516E-2</v>
      </c>
      <c r="AA1387" s="155">
        <v>3.5862529689421052E-2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48675</v>
      </c>
      <c r="Y1388" s="152">
        <f>_xll.qlInterestRateIndexValueDate(IborIndex,X1388,Trigger)</f>
        <v>48677</v>
      </c>
      <c r="Z1388" s="153">
        <v>3.6133009170004379E-2</v>
      </c>
      <c r="AA1388" s="155">
        <v>3.5858337116252414E-2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48682</v>
      </c>
      <c r="Y1389" s="152">
        <f>_xll.qlInterestRateIndexValueDate(IborIndex,X1389,Trigger)</f>
        <v>48688</v>
      </c>
      <c r="Z1389" s="153">
        <v>3.6121232144127199E-2</v>
      </c>
      <c r="AA1389" s="155">
        <v>3.5852899906769764E-2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48689</v>
      </c>
      <c r="Y1390" s="152">
        <f>_xll.qlInterestRateIndexValueDate(IborIndex,X1390,Trigger)</f>
        <v>48691</v>
      </c>
      <c r="Z1390" s="153">
        <v>3.6122100595147186E-2</v>
      </c>
      <c r="AA1390" s="155">
        <v>3.5849856504999167E-2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48696</v>
      </c>
      <c r="Y1391" s="152">
        <f>_xll.qlInterestRateIndexValueDate(IborIndex,X1391,Trigger)</f>
        <v>48698</v>
      </c>
      <c r="Z1391" s="153">
        <v>3.6117325970715576E-2</v>
      </c>
      <c r="AA1391" s="155">
        <v>3.584495329252313E-2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48703</v>
      </c>
      <c r="Y1392" s="152">
        <f>_xll.qlInterestRateIndexValueDate(IborIndex,X1392,Trigger)</f>
        <v>48705</v>
      </c>
      <c r="Z1392" s="153">
        <v>3.6112518948795171E-2</v>
      </c>
      <c r="AA1392" s="155">
        <v>3.5841248607484388E-2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48710</v>
      </c>
      <c r="Y1393" s="152">
        <f>_xll.qlInterestRateIndexValueDate(IborIndex,X1393,Trigger)</f>
        <v>48712</v>
      </c>
      <c r="Z1393" s="153">
        <v>3.6107679529621885E-2</v>
      </c>
      <c r="AA1393" s="155">
        <v>3.5836896926149109E-2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48717</v>
      </c>
      <c r="Y1394" s="152">
        <f>_xll.qlInterestRateIndexValueDate(IborIndex,X1394,Trigger)</f>
        <v>48719</v>
      </c>
      <c r="Z1394" s="153">
        <v>3.6102807713432931E-2</v>
      </c>
      <c r="AA1394" s="155">
        <v>3.5832513423308399E-2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48724</v>
      </c>
      <c r="Y1395" s="152">
        <f>_xll.qlInterestRateIndexValueDate(IborIndex,X1395,Trigger)</f>
        <v>48726</v>
      </c>
      <c r="Z1395" s="153">
        <v>3.6097903500467689E-2</v>
      </c>
      <c r="AA1395" s="155">
        <v>3.58274647404766E-2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48731</v>
      </c>
      <c r="Y1396" s="152">
        <f>_xll.qlInterestRateIndexValueDate(IborIndex,X1396,Trigger)</f>
        <v>48733</v>
      </c>
      <c r="Z1396" s="153">
        <v>3.6092966890966395E-2</v>
      </c>
      <c r="AA1396" s="155">
        <v>3.582365095263107E-2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48738</v>
      </c>
      <c r="Y1397" s="152">
        <f>_xll.qlInterestRateIndexValueDate(IborIndex,X1397,Trigger)</f>
        <v>48740</v>
      </c>
      <c r="Z1397" s="153">
        <v>3.6087997885171454E-2</v>
      </c>
      <c r="AA1397" s="155">
        <v>3.5819171984954323E-2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48745</v>
      </c>
      <c r="Y1398" s="152">
        <f>_xll.qlInterestRateIndexValueDate(IborIndex,X1398,Trigger)</f>
        <v>48747</v>
      </c>
      <c r="Z1398" s="153">
        <v>3.6082996483325705E-2</v>
      </c>
      <c r="AA1398" s="155">
        <v>3.5814661195452402E-2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48752</v>
      </c>
      <c r="Y1399" s="152">
        <f>_xll.qlInterestRateIndexValueDate(IborIndex,X1399,Trigger)</f>
        <v>48754</v>
      </c>
      <c r="Z1399" s="153">
        <v>3.6080813984473638E-2</v>
      </c>
      <c r="AA1399" s="155">
        <v>3.5810118584524986E-2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48759</v>
      </c>
      <c r="Y1400" s="152">
        <f>_xll.qlInterestRateIndexValueDate(IborIndex,X1400,Trigger)</f>
        <v>48761</v>
      </c>
      <c r="Z1400" s="153">
        <v>3.6074319412150765E-2</v>
      </c>
      <c r="AA1400" s="155">
        <v>3.5805544151852331E-2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48766</v>
      </c>
      <c r="Y1401" s="152">
        <f>_xll.qlInterestRateIndexValueDate(IborIndex,X1401,Trigger)</f>
        <v>48768</v>
      </c>
      <c r="Z1401" s="153">
        <v>3.6067797903948179E-2</v>
      </c>
      <c r="AA1401" s="155">
        <v>3.5800937897674245E-2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48773</v>
      </c>
      <c r="Y1402" s="152">
        <f>_xll.qlInterestRateIndexValueDate(IborIndex,X1402,Trigger)</f>
        <v>48775</v>
      </c>
      <c r="Z1402" s="153">
        <v>3.6064084196243691E-2</v>
      </c>
      <c r="AA1402" s="155">
        <v>3.5796299821910793E-2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48780</v>
      </c>
      <c r="Y1403" s="152">
        <f>_xll.qlInterestRateIndexValueDate(IborIndex,X1403,Trigger)</f>
        <v>48782</v>
      </c>
      <c r="Z1403" s="153">
        <v>3.6057503541985093E-2</v>
      </c>
      <c r="AA1403" s="155">
        <v>3.5791629924402102E-2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48787</v>
      </c>
      <c r="Y1404" s="152">
        <f>_xll.qlInterestRateIndexValueDate(IborIndex,X1404,Trigger)</f>
        <v>48789</v>
      </c>
      <c r="Z1404" s="153">
        <v>3.6053719388606582E-2</v>
      </c>
      <c r="AA1404" s="155">
        <v>3.5786928205467916E-2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48794</v>
      </c>
      <c r="Y1405" s="152">
        <f>_xll.qlInterestRateIndexValueDate(IborIndex,X1405,Trigger)</f>
        <v>48796</v>
      </c>
      <c r="Z1405" s="153">
        <v>3.604707960180574E-2</v>
      </c>
      <c r="AA1405" s="155">
        <v>3.5782194664708555E-2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48801</v>
      </c>
      <c r="Y1406" s="152">
        <f>_xll.qlInterestRateIndexValueDate(IborIndex,X1406,Trigger)</f>
        <v>48803</v>
      </c>
      <c r="Z1406" s="153">
        <v>3.6041819040523157E-2</v>
      </c>
      <c r="AA1406" s="155">
        <v>3.57774293025237E-2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48808</v>
      </c>
      <c r="Y1407" s="152">
        <f>_xll.qlInterestRateIndexValueDate(IborIndex,X1407,Trigger)</f>
        <v>48810</v>
      </c>
      <c r="Z1407" s="153">
        <v>3.6037929197136095E-2</v>
      </c>
      <c r="AA1407" s="155">
        <v>3.5772632118593606E-2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48815</v>
      </c>
      <c r="Y1408" s="152">
        <f>_xll.qlInterestRateIndexValueDate(IborIndex,X1408,Trigger)</f>
        <v>48817</v>
      </c>
      <c r="Z1408" s="153">
        <v>3.6031200736860225E-2</v>
      </c>
      <c r="AA1408" s="155">
        <v>3.5767110657465295E-2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48822</v>
      </c>
      <c r="Y1409" s="152">
        <f>_xll.qlInterestRateIndexValueDate(IborIndex,X1409,Trigger)</f>
        <v>48824</v>
      </c>
      <c r="Z1409" s="153">
        <v>3.6020251499823852E-2</v>
      </c>
      <c r="AA1409" s="155">
        <v>3.5762942286057253E-2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48829</v>
      </c>
      <c r="Y1410" s="152">
        <f>_xll.qlInterestRateIndexValueDate(IborIndex,X1410,Trigger)</f>
        <v>48831</v>
      </c>
      <c r="Z1410" s="153">
        <v>3.6014872753684098E-2</v>
      </c>
      <c r="AA1410" s="155">
        <v>3.5758049637371059E-2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48836</v>
      </c>
      <c r="Y1411" s="152">
        <f>_xll.qlInterestRateIndexValueDate(IborIndex,X1411,Trigger)</f>
        <v>48838</v>
      </c>
      <c r="Z1411" s="153">
        <v>3.6009461627256718E-2</v>
      </c>
      <c r="AA1411" s="155">
        <v>3.5753125167099498E-2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48843</v>
      </c>
      <c r="Y1412" s="152">
        <f>_xll.qlInterestRateIndexValueDate(IborIndex,X1412,Trigger)</f>
        <v>48845</v>
      </c>
      <c r="Z1412" s="153">
        <v>3.6004018120800958E-2</v>
      </c>
      <c r="AA1412" s="155">
        <v>3.5748168875162634E-2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48850</v>
      </c>
      <c r="Y1413" s="152">
        <f>_xll.qlInterestRateIndexValueDate(IborIndex,X1413,Trigger)</f>
        <v>48852</v>
      </c>
      <c r="Z1413" s="153">
        <v>3.5999928973616535E-2</v>
      </c>
      <c r="AA1413" s="155">
        <v>3.5743180761720339E-2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48857</v>
      </c>
      <c r="Y1414" s="152">
        <f>_xll.qlInterestRateIndexValueDate(IborIndex,X1414,Trigger)</f>
        <v>48859</v>
      </c>
      <c r="Z1414" s="153">
        <v>3.5999951546923939E-2</v>
      </c>
      <c r="AA1414" s="155">
        <v>3.5738160826532805E-2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48864</v>
      </c>
      <c r="Y1415" s="152">
        <f>_xll.qlInterestRateIndexValueDate(IborIndex,X1415,Trigger)</f>
        <v>48866</v>
      </c>
      <c r="Z1415" s="153">
        <v>3.5988874342075379E-2</v>
      </c>
      <c r="AA1415" s="155">
        <v>3.5733109069919777E-2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48871</v>
      </c>
      <c r="Y1416" s="152">
        <f>_xll.qlInterestRateIndexValueDate(IborIndex,X1416,Trigger)</f>
        <v>48873</v>
      </c>
      <c r="Z1416" s="153">
        <v>3.5983298453053668E-2</v>
      </c>
      <c r="AA1416" s="155">
        <v>3.572802549156151E-2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48878</v>
      </c>
      <c r="Y1417" s="152">
        <f>_xll.qlInterestRateIndexValueDate(IborIndex,X1417,Trigger)</f>
        <v>48880</v>
      </c>
      <c r="Z1417" s="153">
        <v>3.5977690182223514E-2</v>
      </c>
      <c r="AA1417" s="155">
        <v>3.5722910091857685E-2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48885</v>
      </c>
      <c r="Y1418" s="152">
        <f>_xll.qlInterestRateIndexValueDate(IborIndex,X1418,Trigger)</f>
        <v>48887</v>
      </c>
      <c r="Z1418" s="153">
        <v>3.5970677116224099E-2</v>
      </c>
      <c r="AA1418" s="155">
        <v>3.5717762870328684E-2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48892</v>
      </c>
      <c r="Y1419" s="152">
        <f>_xll.qlInterestRateIndexValueDate(IborIndex,X1419,Trigger)</f>
        <v>48897</v>
      </c>
      <c r="Z1419" s="153">
        <v>3.5963935283526552E-2</v>
      </c>
      <c r="AA1419" s="155">
        <v>3.5711841366321551E-2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48899</v>
      </c>
      <c r="Y1420" s="152">
        <f>_xll.qlInterestRateIndexValueDate(IborIndex,X1420,Trigger)</f>
        <v>48901</v>
      </c>
      <c r="Z1420" s="153">
        <v>3.5959304419832402E-2</v>
      </c>
      <c r="AA1420" s="155">
        <v>3.5707372962594519E-2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48906</v>
      </c>
      <c r="Y1421" s="152">
        <f>_xll.qlInterestRateIndexValueDate(IborIndex,X1421,Trigger)</f>
        <v>48908</v>
      </c>
      <c r="Z1421" s="153">
        <v>3.5953569505068332E-2</v>
      </c>
      <c r="AA1421" s="155">
        <v>3.570213027646929E-2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48913</v>
      </c>
      <c r="Y1422" s="152">
        <f>_xll.qlInterestRateIndexValueDate(IborIndex,X1422,Trigger)</f>
        <v>48915</v>
      </c>
      <c r="Z1422" s="153">
        <v>3.594916311046463E-2</v>
      </c>
      <c r="AA1422" s="155">
        <v>3.5696855768598823E-2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48920</v>
      </c>
      <c r="Y1423" s="152">
        <f>_xll.qlInterestRateIndexValueDate(IborIndex,X1423,Trigger)</f>
        <v>48922</v>
      </c>
      <c r="Z1423" s="153">
        <v>3.5943360554517689E-2</v>
      </c>
      <c r="AA1423" s="155">
        <v>3.5691549439142989E-2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48927</v>
      </c>
      <c r="Y1424" s="152">
        <f>_xll.qlInterestRateIndexValueDate(IborIndex,X1424,Trigger)</f>
        <v>48929</v>
      </c>
      <c r="Z1424" s="153">
        <v>3.5937525618689112E-2</v>
      </c>
      <c r="AA1424" s="155">
        <v>3.568621128826166E-2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48934</v>
      </c>
      <c r="Y1425" s="152">
        <f>_xll.qlInterestRateIndexValueDate(IborIndex,X1425,Trigger)</f>
        <v>48936</v>
      </c>
      <c r="Z1425" s="153">
        <v>3.5931658303260436E-2</v>
      </c>
      <c r="AA1425" s="155">
        <v>3.5679301193045632E-2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48941</v>
      </c>
      <c r="Y1426" s="152">
        <f>_xll.qlInterestRateIndexValueDate(IborIndex,X1426,Trigger)</f>
        <v>48943</v>
      </c>
      <c r="Z1426" s="153">
        <v>3.5925758608514075E-2</v>
      </c>
      <c r="AA1426" s="155">
        <v>3.5674665238945025E-2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48948</v>
      </c>
      <c r="Y1427" s="152">
        <f>_xll.qlInterestRateIndexValueDate(IborIndex,X1427,Trigger)</f>
        <v>48950</v>
      </c>
      <c r="Z1427" s="153">
        <v>3.5918480101963635E-2</v>
      </c>
      <c r="AA1427" s="155">
        <v>3.5670005905785729E-2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48955</v>
      </c>
      <c r="Y1428" s="152">
        <f>_xll.qlInterestRateIndexValueDate(IborIndex,X1428,Trigger)</f>
        <v>48957</v>
      </c>
      <c r="Z1428" s="153">
        <v>3.5912518551645928E-2</v>
      </c>
      <c r="AA1428" s="155">
        <v>3.5664540468482997E-2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48962</v>
      </c>
      <c r="Y1429" s="152">
        <f>_xll.qlInterestRateIndexValueDate(IborIndex,X1429,Trigger)</f>
        <v>48964</v>
      </c>
      <c r="Z1429" s="153">
        <v>3.5906524625951584E-2</v>
      </c>
      <c r="AA1429" s="155">
        <v>3.5659043209594898E-2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48969</v>
      </c>
      <c r="Y1430" s="152">
        <f>_xll.qlInterestRateIndexValueDate(IborIndex,X1430,Trigger)</f>
        <v>48971</v>
      </c>
      <c r="Z1430" s="153">
        <v>3.5900498325168992E-2</v>
      </c>
      <c r="AA1430" s="155">
        <v>3.5653514129121433E-2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48976</v>
      </c>
      <c r="Y1431" s="152">
        <f>_xll.qlInterestRateIndexValueDate(IborIndex,X1431,Trigger)</f>
        <v>48978</v>
      </c>
      <c r="Z1431" s="153">
        <v>3.5894439649587426E-2</v>
      </c>
      <c r="AA1431" s="155">
        <v>3.5647953227222473E-2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48983</v>
      </c>
      <c r="Y1432" s="152">
        <f>_xll.qlInterestRateIndexValueDate(IborIndex,X1432,Trigger)</f>
        <v>48985</v>
      </c>
      <c r="Z1432" s="153">
        <v>3.5888348599497487E-2</v>
      </c>
      <c r="AA1432" s="155">
        <v>3.5642360503498338E-2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48990</v>
      </c>
      <c r="Y1433" s="152">
        <f>_xll.qlInterestRateIndexValueDate(IborIndex,X1433,Trigger)</f>
        <v>48992</v>
      </c>
      <c r="Z1433" s="153">
        <v>3.5882225175191532E-2</v>
      </c>
      <c r="AA1433" s="155">
        <v>3.5636735958428645E-2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48997</v>
      </c>
      <c r="Y1434" s="152">
        <f>_xll.qlInterestRateIndexValueDate(IborIndex,X1434,Trigger)</f>
        <v>48999</v>
      </c>
      <c r="Z1434" s="153">
        <v>3.5876069376962805E-2</v>
      </c>
      <c r="AA1434" s="155">
        <v>3.5631079591613712E-2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49004</v>
      </c>
      <c r="Y1435" s="152">
        <f>_xll.qlInterestRateIndexValueDate(IborIndex,X1435,Trigger)</f>
        <v>49006</v>
      </c>
      <c r="Z1435" s="153">
        <v>3.5876494921900724E-2</v>
      </c>
      <c r="AA1435" s="155">
        <v>3.5625391403373285E-2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49011</v>
      </c>
      <c r="Y1436" s="152">
        <f>_xll.qlInterestRateIndexValueDate(IborIndex,X1436,Trigger)</f>
        <v>49013</v>
      </c>
      <c r="Z1436" s="153">
        <v>3.5868940308745947E-2</v>
      </c>
      <c r="AA1436" s="155">
        <v>3.5619671393467556E-2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49018</v>
      </c>
      <c r="Y1437" s="152">
        <f>_xll.qlInterestRateIndexValueDate(IborIndex,X1437,Trigger)</f>
        <v>49020</v>
      </c>
      <c r="Z1437" s="153">
        <v>3.5862675667971383E-2</v>
      </c>
      <c r="AA1437" s="155">
        <v>3.5613919561976459E-2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49025</v>
      </c>
      <c r="Y1438" s="152">
        <f>_xll.qlInterestRateIndexValueDate(IborIndex,X1438,Trigger)</f>
        <v>49027</v>
      </c>
      <c r="Z1438" s="153">
        <v>3.5856378642197921E-2</v>
      </c>
      <c r="AA1438" s="155">
        <v>3.5608135908979932E-2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49032</v>
      </c>
      <c r="Y1439" s="152">
        <f>_xll.qlInterestRateIndexValueDate(IborIndex,X1439,Trigger)</f>
        <v>49034</v>
      </c>
      <c r="Z1439" s="153">
        <v>3.5846116190585808E-2</v>
      </c>
      <c r="AA1439" s="155">
        <v>3.5602320434477974E-2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49039</v>
      </c>
      <c r="Y1440" s="152">
        <f>_xll.qlInterestRateIndexValueDate(IborIndex,X1440,Trigger)</f>
        <v>49045</v>
      </c>
      <c r="Z1440" s="153">
        <v>3.5837424996906508E-2</v>
      </c>
      <c r="AA1440" s="155">
        <v>3.5594796637452575E-2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49046</v>
      </c>
      <c r="Y1441" s="152">
        <f>_xll.qlInterestRateIndexValueDate(IborIndex,X1441,Trigger)</f>
        <v>49048</v>
      </c>
      <c r="Z1441" s="153">
        <v>3.5837293257978305E-2</v>
      </c>
      <c r="AA1441" s="155">
        <v>3.5590594020717958E-2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49053</v>
      </c>
      <c r="Y1442" s="152">
        <f>_xll.qlInterestRateIndexValueDate(IborIndex,X1442,Trigger)</f>
        <v>49055</v>
      </c>
      <c r="Z1442" s="153">
        <v>3.5830866695312061E-2</v>
      </c>
      <c r="AA1442" s="155">
        <v>3.5584683081379964E-2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49060</v>
      </c>
      <c r="Y1443" s="152">
        <f>_xll.qlInterestRateIndexValueDate(IborIndex,X1443,Trigger)</f>
        <v>49062</v>
      </c>
      <c r="Z1443" s="153">
        <v>3.5825706590498302E-2</v>
      </c>
      <c r="AA1443" s="155">
        <v>3.5577888757076792E-2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49067</v>
      </c>
      <c r="Y1444" s="152">
        <f>_xll.qlInterestRateIndexValueDate(IborIndex,X1444,Trigger)</f>
        <v>49069</v>
      </c>
      <c r="Z1444" s="153">
        <v>3.5817916419978661E-2</v>
      </c>
      <c r="AA1444" s="155">
        <v>3.5572765738347556E-2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49074</v>
      </c>
      <c r="Y1445" s="152">
        <f>_xll.qlInterestRateIndexValueDate(IborIndex,X1445,Trigger)</f>
        <v>49076</v>
      </c>
      <c r="Z1445" s="153">
        <v>3.5811393016165857E-2</v>
      </c>
      <c r="AA1445" s="155">
        <v>3.5566759334333398E-2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49081</v>
      </c>
      <c r="Y1446" s="152">
        <f>_xll.qlInterestRateIndexValueDate(IborIndex,X1446,Trigger)</f>
        <v>49083</v>
      </c>
      <c r="Z1446" s="153">
        <v>3.5804839079176198E-2</v>
      </c>
      <c r="AA1446" s="155">
        <v>3.5560721108893745E-2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49088</v>
      </c>
      <c r="Y1447" s="152">
        <f>_xll.qlInterestRateIndexValueDate(IborIndex,X1447,Trigger)</f>
        <v>49090</v>
      </c>
      <c r="Z1447" s="153">
        <v>3.5798256458613835E-2</v>
      </c>
      <c r="AA1447" s="155">
        <v>3.5553781314714428E-2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49095</v>
      </c>
      <c r="Y1448" s="152">
        <f>_xll.qlInterestRateIndexValueDate(IborIndex,X1448,Trigger)</f>
        <v>49097</v>
      </c>
      <c r="Z1448" s="153">
        <v>3.5791647004063037E-2</v>
      </c>
      <c r="AA1448" s="155">
        <v>3.5548549193258339E-2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49102</v>
      </c>
      <c r="Y1449" s="152">
        <f>_xll.qlInterestRateIndexValueDate(IborIndex,X1449,Trigger)</f>
        <v>49104</v>
      </c>
      <c r="Z1449" s="153">
        <v>3.5785012565081278E-2</v>
      </c>
      <c r="AA1449" s="155">
        <v>3.5542415503142522E-2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49109</v>
      </c>
      <c r="Y1450" s="152">
        <f>_xll.qlInterestRateIndexValueDate(IborIndex,X1450,Trigger)</f>
        <v>49111</v>
      </c>
      <c r="Z1450" s="153">
        <v>3.5778354991204873E-2</v>
      </c>
      <c r="AA1450" s="155">
        <v>3.5536249991521274E-2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49116</v>
      </c>
      <c r="Y1451" s="152">
        <f>_xll.qlInterestRateIndexValueDate(IborIndex,X1451,Trigger)</f>
        <v>49118</v>
      </c>
      <c r="Z1451" s="153">
        <v>3.5774238418413179E-2</v>
      </c>
      <c r="AA1451" s="155">
        <v>3.5530052658394595E-2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49123</v>
      </c>
      <c r="Y1452" s="152">
        <f>_xll.qlInterestRateIndexValueDate(IborIndex,X1452,Trigger)</f>
        <v>49125</v>
      </c>
      <c r="Z1452" s="153">
        <v>3.576113831175852E-2</v>
      </c>
      <c r="AA1452" s="155">
        <v>3.552382350368255E-2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49130</v>
      </c>
      <c r="Y1453" s="152">
        <f>_xll.qlInterestRateIndexValueDate(IborIndex,X1453,Trigger)</f>
        <v>49132</v>
      </c>
      <c r="Z1453" s="153">
        <v>3.5758261955194923E-2</v>
      </c>
      <c r="AA1453" s="155">
        <v>3.551756252754501E-2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49137</v>
      </c>
      <c r="Y1454" s="152">
        <f>_xll.qlInterestRateIndexValueDate(IborIndex,X1454,Trigger)</f>
        <v>49139</v>
      </c>
      <c r="Z1454" s="153">
        <v>3.5752808224614761E-2</v>
      </c>
      <c r="AA1454" s="155">
        <v>3.5511269729582295E-2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49144</v>
      </c>
      <c r="Y1455" s="152">
        <f>_xll.qlInterestRateIndexValueDate(IborIndex,X1455,Trigger)</f>
        <v>49146</v>
      </c>
      <c r="Z1455" s="153">
        <v>3.5744784830435174E-2</v>
      </c>
      <c r="AA1455" s="155">
        <v>3.5504945110274022E-2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49151</v>
      </c>
      <c r="Y1456" s="152">
        <f>_xll.qlInterestRateIndexValueDate(IborIndex,X1456,Trigger)</f>
        <v>49153</v>
      </c>
      <c r="Z1456" s="153">
        <v>3.5738027286068501E-2</v>
      </c>
      <c r="AA1456" s="155">
        <v>3.5498588669460318E-2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49158</v>
      </c>
      <c r="Y1457" s="152">
        <f>_xll.qlInterestRateIndexValueDate(IborIndex,X1457,Trigger)</f>
        <v>49160</v>
      </c>
      <c r="Z1457" s="153">
        <v>3.5731259552870431E-2</v>
      </c>
      <c r="AA1457" s="155">
        <v>3.5492200407061247E-2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49165</v>
      </c>
      <c r="Y1458" s="152">
        <f>_xll.qlInterestRateIndexValueDate(IborIndex,X1458,Trigger)</f>
        <v>49167</v>
      </c>
      <c r="Z1458" s="153">
        <v>3.5724483480179807E-2</v>
      </c>
      <c r="AA1458" s="155">
        <v>3.548578032307681E-2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49172</v>
      </c>
      <c r="Y1459" s="152">
        <f>_xll.qlInterestRateIndexValueDate(IborIndex,X1459,Trigger)</f>
        <v>49174</v>
      </c>
      <c r="Z1459" s="153">
        <v>3.5718976494351892E-2</v>
      </c>
      <c r="AA1459" s="155">
        <v>3.5479328417666878E-2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49179</v>
      </c>
      <c r="Y1460" s="152">
        <f>_xll.qlInterestRateIndexValueDate(IborIndex,X1460,Trigger)</f>
        <v>49181</v>
      </c>
      <c r="Z1460" s="153">
        <v>3.5710913713546635E-2</v>
      </c>
      <c r="AA1460" s="155">
        <v>3.5471915846310154E-2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49186</v>
      </c>
      <c r="Y1461" s="152">
        <f>_xll.qlInterestRateIndexValueDate(IborIndex,X1461,Trigger)</f>
        <v>49188</v>
      </c>
      <c r="Z1461" s="153">
        <v>3.5699022832320661E-2</v>
      </c>
      <c r="AA1461" s="155">
        <v>3.5466329142170849E-2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49193</v>
      </c>
      <c r="Y1462" s="152">
        <f>_xll.qlInterestRateIndexValueDate(IborIndex,X1462,Trigger)</f>
        <v>49195</v>
      </c>
      <c r="Z1462" s="153">
        <v>3.5692231483092703E-2</v>
      </c>
      <c r="AA1462" s="155">
        <v>3.5459781772164689E-2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49200</v>
      </c>
      <c r="Y1463" s="152">
        <f>_xll.qlInterestRateIndexValueDate(IborIndex,X1463,Trigger)</f>
        <v>49202</v>
      </c>
      <c r="Z1463" s="153">
        <v>3.5685440695537002E-2</v>
      </c>
      <c r="AA1463" s="155">
        <v>3.5453202580493226E-2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49207</v>
      </c>
      <c r="Y1464" s="152">
        <f>_xll.qlInterestRateIndexValueDate(IborIndex,X1464,Trigger)</f>
        <v>49209</v>
      </c>
      <c r="Z1464" s="153">
        <v>3.5678652358969221E-2</v>
      </c>
      <c r="AA1464" s="155">
        <v>3.5446591567476204E-2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49214</v>
      </c>
      <c r="Y1465" s="152">
        <f>_xll.qlInterestRateIndexValueDate(IborIndex,X1465,Trigger)</f>
        <v>49216</v>
      </c>
      <c r="Z1465" s="153">
        <v>3.5673144278355023E-2</v>
      </c>
      <c r="AA1465" s="155">
        <v>3.5439948732873816E-2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49221</v>
      </c>
      <c r="Y1466" s="152">
        <f>_xll.qlInterestRateIndexValueDate(IborIndex,X1466,Trigger)</f>
        <v>49223</v>
      </c>
      <c r="Z1466" s="153">
        <v>3.5666366897135274E-2</v>
      </c>
      <c r="AA1466" s="155">
        <v>3.5433274076686061E-2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49228</v>
      </c>
      <c r="Y1467" s="152">
        <f>_xll.qlInterestRateIndexValueDate(IborIndex,X1467,Trigger)</f>
        <v>49230</v>
      </c>
      <c r="Z1467" s="153">
        <v>3.5659597681590688E-2</v>
      </c>
      <c r="AA1467" s="155">
        <v>3.5426567599152747E-2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49235</v>
      </c>
      <c r="Y1468" s="152">
        <f>_xll.qlInterestRateIndexValueDate(IborIndex,X1468,Trigger)</f>
        <v>49237</v>
      </c>
      <c r="Z1468" s="153">
        <v>3.5652838510736459E-2</v>
      </c>
      <c r="AA1468" s="155">
        <v>3.5419829299954131E-2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49242</v>
      </c>
      <c r="Y1469" s="152">
        <f>_xll.qlInterestRateIndexValueDate(IborIndex,X1469,Trigger)</f>
        <v>49244</v>
      </c>
      <c r="Z1469" s="153">
        <v>3.5646091263565813E-2</v>
      </c>
      <c r="AA1469" s="155">
        <v>3.5413059179250084E-2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49249</v>
      </c>
      <c r="Y1470" s="152">
        <f>_xll.qlInterestRateIndexValueDate(IborIndex,X1470,Trigger)</f>
        <v>49251</v>
      </c>
      <c r="Z1470" s="153">
        <v>3.5638079608819595E-2</v>
      </c>
      <c r="AA1470" s="155">
        <v>3.540625837996636E-2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49256</v>
      </c>
      <c r="Y1471" s="152">
        <f>_xll.qlInterestRateIndexValueDate(IborIndex,X1471,Trigger)</f>
        <v>49261</v>
      </c>
      <c r="Z1471" s="153">
        <v>3.5629765967790807E-2</v>
      </c>
      <c r="AA1471" s="155">
        <v>3.5398488865334699E-2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49263</v>
      </c>
      <c r="Y1472" s="152">
        <f>_xll.qlInterestRateIndexValueDate(IborIndex,X1472,Trigger)</f>
        <v>49265</v>
      </c>
      <c r="Z1472" s="153">
        <v>3.5624659389697534E-2</v>
      </c>
      <c r="AA1472" s="155">
        <v>3.5392675593470813E-2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49270</v>
      </c>
      <c r="Y1473" s="152">
        <f>_xll.qlInterestRateIndexValueDate(IborIndex,X1473,Trigger)</f>
        <v>49272</v>
      </c>
      <c r="Z1473" s="153">
        <v>3.5617973995117062E-2</v>
      </c>
      <c r="AA1473" s="155">
        <v>3.538590846229539E-2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49277</v>
      </c>
      <c r="Y1474" s="152">
        <f>_xll.qlInterestRateIndexValueDate(IborIndex,X1474,Trigger)</f>
        <v>49279</v>
      </c>
      <c r="Z1474" s="153">
        <v>3.5612585379492849E-2</v>
      </c>
      <c r="AA1474" s="155">
        <v>3.5379157506021386E-2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49284</v>
      </c>
      <c r="Y1475" s="152">
        <f>_xll.qlInterestRateIndexValueDate(IborIndex,X1475,Trigger)</f>
        <v>49286</v>
      </c>
      <c r="Z1475" s="153">
        <v>3.5605933479504658E-2</v>
      </c>
      <c r="AA1475" s="155">
        <v>3.5372422724408992E-2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49291</v>
      </c>
      <c r="Y1476" s="152">
        <f>_xll.qlInterestRateIndexValueDate(IborIndex,X1476,Trigger)</f>
        <v>49293</v>
      </c>
      <c r="Z1476" s="153">
        <v>3.5599298065614224E-2</v>
      </c>
      <c r="AA1476" s="155">
        <v>3.5365704117698016E-2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49298</v>
      </c>
      <c r="Y1477" s="152">
        <f>_xll.qlInterestRateIndexValueDate(IborIndex,X1477,Trigger)</f>
        <v>49300</v>
      </c>
      <c r="Z1477" s="153">
        <v>3.5592679137659927E-2</v>
      </c>
      <c r="AA1477" s="155">
        <v>3.535708967597806E-2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49305</v>
      </c>
      <c r="Y1478" s="152">
        <f>_xll.qlInterestRateIndexValueDate(IborIndex,X1478,Trigger)</f>
        <v>49307</v>
      </c>
      <c r="Z1478" s="153">
        <v>3.5586076695478371E-2</v>
      </c>
      <c r="AA1478" s="155">
        <v>3.5351361569269102E-2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49312</v>
      </c>
      <c r="Y1479" s="152">
        <f>_xll.qlInterestRateIndexValueDate(IborIndex,X1479,Trigger)</f>
        <v>49314</v>
      </c>
      <c r="Z1479" s="153">
        <v>3.5578207800618877E-2</v>
      </c>
      <c r="AA1479" s="155">
        <v>3.5345645346014365E-2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49319</v>
      </c>
      <c r="Y1480" s="152">
        <f>_xll.qlInterestRateIndexValueDate(IborIndex,X1480,Trigger)</f>
        <v>49321</v>
      </c>
      <c r="Z1480" s="153">
        <v>3.5571637795523775E-2</v>
      </c>
      <c r="AA1480" s="155">
        <v>3.5338991438269574E-2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49326</v>
      </c>
      <c r="Y1481" s="152">
        <f>_xll.qlInterestRateIndexValueDate(IborIndex,X1481,Trigger)</f>
        <v>49328</v>
      </c>
      <c r="Z1481" s="153">
        <v>3.5565084273995892E-2</v>
      </c>
      <c r="AA1481" s="155">
        <v>3.5332353705186392E-2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49333</v>
      </c>
      <c r="Y1482" s="152">
        <f>_xll.qlInterestRateIndexValueDate(IborIndex,X1482,Trigger)</f>
        <v>49335</v>
      </c>
      <c r="Z1482" s="153">
        <v>3.5558547235875357E-2</v>
      </c>
      <c r="AA1482" s="155">
        <v>3.5325732147084565E-2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49340</v>
      </c>
      <c r="Y1483" s="152">
        <f>_xll.qlInterestRateIndexValueDate(IborIndex,X1483,Trigger)</f>
        <v>49342</v>
      </c>
      <c r="Z1483" s="153">
        <v>3.5552026681004059E-2</v>
      </c>
      <c r="AA1483" s="155">
        <v>3.5319126763564412E-2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49347</v>
      </c>
      <c r="Y1484" s="152">
        <f>_xll.qlInterestRateIndexValueDate(IborIndex,X1484,Trigger)</f>
        <v>49349</v>
      </c>
      <c r="Z1484" s="153">
        <v>3.5545522609220365E-2</v>
      </c>
      <c r="AA1484" s="155">
        <v>3.5312537554865742E-2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49354</v>
      </c>
      <c r="Y1485" s="152">
        <f>_xll.qlInterestRateIndexValueDate(IborIndex,X1485,Trigger)</f>
        <v>49356</v>
      </c>
      <c r="Z1485" s="153">
        <v>3.5539035020367933E-2</v>
      </c>
      <c r="AA1485" s="155">
        <v>3.5305964520988553E-2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49361</v>
      </c>
      <c r="Y1486" s="152">
        <f>_xll.qlInterestRateIndexValueDate(IborIndex,X1486,Trigger)</f>
        <v>49363</v>
      </c>
      <c r="Z1486" s="153">
        <v>3.5532563914286448E-2</v>
      </c>
      <c r="AA1486" s="155">
        <v>3.5299407661772975E-2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49368</v>
      </c>
      <c r="Y1487" s="152">
        <f>_xll.qlInterestRateIndexValueDate(IborIndex,X1487,Trigger)</f>
        <v>49370</v>
      </c>
      <c r="Z1487" s="153">
        <v>3.5532546950444915E-2</v>
      </c>
      <c r="AA1487" s="155">
        <v>3.5292866977378878E-2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49375</v>
      </c>
      <c r="Y1488" s="152">
        <f>_xll.qlInterestRateIndexValueDate(IborIndex,X1488,Trigger)</f>
        <v>49377</v>
      </c>
      <c r="Z1488" s="153">
        <v>3.5524823195684382E-2</v>
      </c>
      <c r="AA1488" s="155">
        <v>3.5286342467726328E-2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49382</v>
      </c>
      <c r="Y1489" s="152">
        <f>_xll.qlInterestRateIndexValueDate(IborIndex,X1489,Trigger)</f>
        <v>49384</v>
      </c>
      <c r="Z1489" s="153">
        <v>3.5518403735784514E-2</v>
      </c>
      <c r="AA1489" s="155">
        <v>3.527983413289526E-2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49389</v>
      </c>
      <c r="Y1490" s="152">
        <f>_xll.qlInterestRateIndexValueDate(IborIndex,X1490,Trigger)</f>
        <v>49395</v>
      </c>
      <c r="Z1490" s="153">
        <v>3.5507059692778772E-2</v>
      </c>
      <c r="AA1490" s="155">
        <v>3.5271490040598152E-2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49396</v>
      </c>
      <c r="Y1491" s="152">
        <f>_xll.qlInterestRateIndexValueDate(IborIndex,X1491,Trigger)</f>
        <v>49398</v>
      </c>
      <c r="Z1491" s="153">
        <v>3.5501745079282186E-2</v>
      </c>
      <c r="AA1491" s="155">
        <v>3.5266865987297891E-2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49403</v>
      </c>
      <c r="Y1492" s="152">
        <f>_xll.qlInterestRateIndexValueDate(IborIndex,X1492,Trigger)</f>
        <v>49405</v>
      </c>
      <c r="Z1492" s="153">
        <v>3.5500534854488071E-2</v>
      </c>
      <c r="AA1492" s="155">
        <v>3.5260406176611525E-2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49410</v>
      </c>
      <c r="Y1493" s="152">
        <f>_xll.qlInterestRateIndexValueDate(IborIndex,X1493,Trigger)</f>
        <v>49412</v>
      </c>
      <c r="Z1493" s="153">
        <v>3.5492890784526714E-2</v>
      </c>
      <c r="AA1493" s="155">
        <v>3.5253962540666706E-2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49417</v>
      </c>
      <c r="Y1494" s="152">
        <f>_xll.qlInterestRateIndexValueDate(IborIndex,X1494,Trigger)</f>
        <v>49419</v>
      </c>
      <c r="Z1494" s="153">
        <v>3.5486553768003512E-2</v>
      </c>
      <c r="AA1494" s="155">
        <v>3.5247535079543368E-2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49424</v>
      </c>
      <c r="Y1495" s="152">
        <f>_xll.qlInterestRateIndexValueDate(IborIndex,X1495,Trigger)</f>
        <v>49426</v>
      </c>
      <c r="Z1495" s="153">
        <v>3.548023323967836E-2</v>
      </c>
      <c r="AA1495" s="155">
        <v>3.5241123793081641E-2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49431</v>
      </c>
      <c r="Y1496" s="152">
        <f>_xll.qlInterestRateIndexValueDate(IborIndex,X1496,Trigger)</f>
        <v>49433</v>
      </c>
      <c r="Z1496" s="153">
        <v>3.5473929199395703E-2</v>
      </c>
      <c r="AA1496" s="155">
        <v>3.523381641445944E-2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49438</v>
      </c>
      <c r="Y1497" s="152">
        <f>_xll.qlInterestRateIndexValueDate(IborIndex,X1497,Trigger)</f>
        <v>49440</v>
      </c>
      <c r="Z1497" s="153">
        <v>3.5468935014209856E-2</v>
      </c>
      <c r="AA1497" s="155">
        <v>3.5228349744622633E-2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49445</v>
      </c>
      <c r="Y1498" s="152">
        <f>_xll.qlInterestRateIndexValueDate(IborIndex,X1498,Trigger)</f>
        <v>49447</v>
      </c>
      <c r="Z1498" s="153">
        <v>3.5461370582327047E-2</v>
      </c>
      <c r="AA1498" s="155">
        <v>3.5221986982385545E-2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49452</v>
      </c>
      <c r="Y1499" s="152">
        <f>_xll.qlInterestRateIndexValueDate(IborIndex,X1499,Trigger)</f>
        <v>49454</v>
      </c>
      <c r="Z1499" s="153">
        <v>3.5455116005227348E-2</v>
      </c>
      <c r="AA1499" s="155">
        <v>3.5214735059962976E-2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49459</v>
      </c>
      <c r="Y1500" s="152">
        <f>_xll.qlInterestRateIndexValueDate(IborIndex,X1500,Trigger)</f>
        <v>49461</v>
      </c>
      <c r="Z1500" s="153">
        <v>3.5448877915543617E-2</v>
      </c>
      <c r="AA1500" s="155">
        <v>3.5209309982295878E-2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49466</v>
      </c>
      <c r="Y1501" s="152">
        <f>_xll.qlInterestRateIndexValueDate(IborIndex,X1501,Trigger)</f>
        <v>49468</v>
      </c>
      <c r="Z1501" s="153">
        <v>3.544265631311902E-2</v>
      </c>
      <c r="AA1501" s="155">
        <v>3.5202995744363363E-2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49473</v>
      </c>
      <c r="Y1502" s="152">
        <f>_xll.qlInterestRateIndexValueDate(IborIndex,X1502,Trigger)</f>
        <v>49475</v>
      </c>
      <c r="Z1502" s="153">
        <v>3.5436451197799285E-2</v>
      </c>
      <c r="AA1502" s="155">
        <v>3.5196697681252331E-2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49480</v>
      </c>
      <c r="Y1503" s="152">
        <f>_xll.qlInterestRateIndexValueDate(IborIndex,X1503,Trigger)</f>
        <v>49482</v>
      </c>
      <c r="Z1503" s="153">
        <v>3.5430262569428446E-2</v>
      </c>
      <c r="AA1503" s="155">
        <v>3.5190415792722973E-2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49487</v>
      </c>
      <c r="Y1504" s="152">
        <f>_xll.qlInterestRateIndexValueDate(IborIndex,X1504,Trigger)</f>
        <v>49489</v>
      </c>
      <c r="Z1504" s="153">
        <v>3.5424090427853959E-2</v>
      </c>
      <c r="AA1504" s="155">
        <v>3.5184150079015097E-2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49494</v>
      </c>
      <c r="Y1505" s="152">
        <f>_xll.qlInterestRateIndexValueDate(IborIndex,X1505,Trigger)</f>
        <v>49496</v>
      </c>
      <c r="Z1505" s="153">
        <v>3.5417934772920288E-2</v>
      </c>
      <c r="AA1505" s="155">
        <v>3.5177900540048768E-2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49501</v>
      </c>
      <c r="Y1506" s="152">
        <f>_xll.qlInterestRateIndexValueDate(IborIndex,X1506,Trigger)</f>
        <v>49503</v>
      </c>
      <c r="Z1506" s="153">
        <v>3.5411795604474029E-2</v>
      </c>
      <c r="AA1506" s="155">
        <v>3.5171667175823984E-2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49508</v>
      </c>
      <c r="Y1507" s="152">
        <f>_xll.qlInterestRateIndexValueDate(IborIndex,X1507,Trigger)</f>
        <v>49510</v>
      </c>
      <c r="Z1507" s="153">
        <v>3.5406972021705604E-2</v>
      </c>
      <c r="AA1507" s="155">
        <v>3.5165449986340747E-2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49515</v>
      </c>
      <c r="Y1508" s="152">
        <f>_xll.qlInterestRateIndexValueDate(IborIndex,X1508,Trigger)</f>
        <v>49517</v>
      </c>
      <c r="Z1508" s="153">
        <v>3.5399566726434101E-2</v>
      </c>
      <c r="AA1508" s="155">
        <v>3.5159248971599055E-2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49522</v>
      </c>
      <c r="Y1509" s="152">
        <f>_xll.qlInterestRateIndexValueDate(IborIndex,X1509,Trigger)</f>
        <v>49524</v>
      </c>
      <c r="Z1509" s="153">
        <v>3.5393477016534509E-2</v>
      </c>
      <c r="AA1509" s="155">
        <v>3.5153064131678846E-2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49529</v>
      </c>
      <c r="Y1510" s="152">
        <f>_xll.qlInterestRateIndexValueDate(IborIndex,X1510,Trigger)</f>
        <v>49531</v>
      </c>
      <c r="Z1510" s="153">
        <v>3.5387403792512234E-2</v>
      </c>
      <c r="AA1510" s="155">
        <v>3.5146895466340311E-2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49536</v>
      </c>
      <c r="Y1511" s="152">
        <f>_xll.qlInterestRateIndexValueDate(IborIndex,X1511,Trigger)</f>
        <v>49538</v>
      </c>
      <c r="Z1511" s="153">
        <v>3.5382648494000933E-2</v>
      </c>
      <c r="AA1511" s="155">
        <v>3.5140742975823258E-2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49543</v>
      </c>
      <c r="Y1512" s="152">
        <f>_xll.qlInterestRateIndexValueDate(IborIndex,X1512,Trigger)</f>
        <v>49545</v>
      </c>
      <c r="Z1512" s="153">
        <v>3.537530680149685E-2</v>
      </c>
      <c r="AA1512" s="155">
        <v>3.5133731363732323E-2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49550</v>
      </c>
      <c r="Y1513" s="152">
        <f>_xll.qlInterestRateIndexValueDate(IborIndex,X1513,Trigger)</f>
        <v>49552</v>
      </c>
      <c r="Z1513" s="153">
        <v>3.5365376023866794E-2</v>
      </c>
      <c r="AA1513" s="155">
        <v>3.5128486518933855E-2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49557</v>
      </c>
      <c r="Y1514" s="152">
        <f>_xll.qlInterestRateIndexValueDate(IborIndex,X1514,Trigger)</f>
        <v>49559</v>
      </c>
      <c r="Z1514" s="153">
        <v>3.5359366964748368E-2</v>
      </c>
      <c r="AA1514" s="155">
        <v>3.5122382552561504E-2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49564</v>
      </c>
      <c r="Y1515" s="152">
        <f>_xll.qlInterestRateIndexValueDate(IborIndex,X1515,Trigger)</f>
        <v>49566</v>
      </c>
      <c r="Z1515" s="153">
        <v>3.535337438567672E-2</v>
      </c>
      <c r="AA1515" s="155">
        <v>3.51162947609307E-2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49571</v>
      </c>
      <c r="Y1516" s="152">
        <f>_xll.qlInterestRateIndexValueDate(IborIndex,X1516,Trigger)</f>
        <v>49573</v>
      </c>
      <c r="Z1516" s="153">
        <v>3.5347398286506029E-2</v>
      </c>
      <c r="AA1516" s="155">
        <v>3.5110223144121377E-2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49578</v>
      </c>
      <c r="Y1517" s="152">
        <f>_xll.qlInterestRateIndexValueDate(IborIndex,X1517,Trigger)</f>
        <v>49580</v>
      </c>
      <c r="Z1517" s="153">
        <v>3.5345352816265191E-2</v>
      </c>
      <c r="AA1517" s="155">
        <v>3.5104167701973665E-2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49585</v>
      </c>
      <c r="Y1518" s="152">
        <f>_xll.qlInterestRateIndexValueDate(IborIndex,X1518,Trigger)</f>
        <v>49587</v>
      </c>
      <c r="Z1518" s="153">
        <v>3.5339411473846491E-2</v>
      </c>
      <c r="AA1518" s="155">
        <v>3.5098128434567499E-2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49592</v>
      </c>
      <c r="Y1519" s="152">
        <f>_xll.qlInterestRateIndexValueDate(IborIndex,X1519,Trigger)</f>
        <v>49594</v>
      </c>
      <c r="Z1519" s="153">
        <v>3.5334792817923122E-2</v>
      </c>
      <c r="AA1519" s="155">
        <v>3.5092105341822943E-2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49599</v>
      </c>
      <c r="Y1520" s="152">
        <f>_xll.qlInterestRateIndexValueDate(IborIndex,X1520,Trigger)</f>
        <v>49601</v>
      </c>
      <c r="Z1520" s="153">
        <v>3.5327578242448927E-2</v>
      </c>
      <c r="AA1520" s="155">
        <v>3.508609842389987E-2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49606</v>
      </c>
      <c r="Y1521" s="152">
        <f>_xll.qlInterestRateIndexValueDate(IborIndex,X1521,Trigger)</f>
        <v>49608</v>
      </c>
      <c r="Z1521" s="153">
        <v>3.5321686353175383E-2</v>
      </c>
      <c r="AA1521" s="155">
        <v>3.5080107680638406E-2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49613</v>
      </c>
      <c r="Y1522" s="152">
        <f>_xll.qlInterestRateIndexValueDate(IborIndex,X1522,Trigger)</f>
        <v>49615</v>
      </c>
      <c r="Z1522" s="153">
        <v>3.5311887761211691E-2</v>
      </c>
      <c r="AA1522" s="155">
        <v>3.5074133112118488E-2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49620</v>
      </c>
      <c r="Y1523" s="152">
        <f>_xll.qlInterestRateIndexValueDate(IborIndex,X1523,Trigger)</f>
        <v>49622</v>
      </c>
      <c r="Z1523" s="153">
        <v>3.5306027017262202E-2</v>
      </c>
      <c r="AA1523" s="155">
        <v>3.5068174718420053E-2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49627</v>
      </c>
      <c r="Y1524" s="152">
        <f>_xll.qlInterestRateIndexValueDate(IborIndex,X1524,Trigger)</f>
        <v>49629</v>
      </c>
      <c r="Z1524" s="153">
        <v>3.5300182752051087E-2</v>
      </c>
      <c r="AA1524" s="155">
        <v>3.5062232499303292E-2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49634</v>
      </c>
      <c r="Y1525" s="152">
        <f>_xll.qlInterestRateIndexValueDate(IborIndex,X1525,Trigger)</f>
        <v>49636</v>
      </c>
      <c r="Z1525" s="153">
        <v>3.5294354965436044E-2</v>
      </c>
      <c r="AA1525" s="155">
        <v>3.5056306455008013E-2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49641</v>
      </c>
      <c r="Y1526" s="152">
        <f>_xll.qlInterestRateIndexValueDate(IborIndex,X1526,Trigger)</f>
        <v>49643</v>
      </c>
      <c r="Z1526" s="153">
        <v>3.5288543657272568E-2</v>
      </c>
      <c r="AA1526" s="155">
        <v>3.5050396585374344E-2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49648</v>
      </c>
      <c r="Y1527" s="152">
        <f>_xll.qlInterestRateIndexValueDate(IborIndex,X1527,Trigger)</f>
        <v>49650</v>
      </c>
      <c r="Z1527" s="153">
        <v>3.5286681178247584E-2</v>
      </c>
      <c r="AA1527" s="155">
        <v>3.5044502890562157E-2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49655</v>
      </c>
      <c r="Y1528" s="152">
        <f>_xll.qlInterestRateIndexValueDate(IborIndex,X1528,Trigger)</f>
        <v>49657</v>
      </c>
      <c r="Z1528" s="153">
        <v>3.5280904674520774E-2</v>
      </c>
      <c r="AA1528" s="155">
        <v>3.5038625370331644E-2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49662</v>
      </c>
      <c r="Y1529" s="152">
        <f>_xll.qlInterestRateIndexValueDate(IborIndex,X1529,Trigger)</f>
        <v>49664</v>
      </c>
      <c r="Z1529" s="153">
        <v>3.5275144653863146E-2</v>
      </c>
      <c r="AA1529" s="155">
        <v>3.5031092325663593E-2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49670</v>
      </c>
      <c r="Y1530" s="152">
        <f>_xll.qlInterestRateIndexValueDate(IborIndex,X1530,Trigger)</f>
        <v>49674</v>
      </c>
      <c r="Z1530" s="153">
        <v>3.5263005938040076E-2</v>
      </c>
      <c r="AA1530" s="155">
        <v>3.5025251776339417E-2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49677</v>
      </c>
      <c r="Y1531" s="152">
        <f>_xll.qlInterestRateIndexValueDate(IborIndex,X1531,Trigger)</f>
        <v>49681</v>
      </c>
      <c r="Z1531" s="153">
        <v>3.5257284081855612E-2</v>
      </c>
      <c r="AA1531" s="155">
        <v>3.5020258464815157E-2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49684</v>
      </c>
      <c r="Y1532" s="152">
        <f>_xll.qlInterestRateIndexValueDate(IborIndex,X1532,Trigger)</f>
        <v>49688</v>
      </c>
      <c r="Z1532" s="153">
        <v>3.5251578703214E-2</v>
      </c>
      <c r="AA1532" s="155">
        <v>3.5014447954262451E-2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49691</v>
      </c>
      <c r="Y1533" s="152">
        <f>_xll.qlInterestRateIndexValueDate(IborIndex,X1533,Trigger)</f>
        <v>49696</v>
      </c>
      <c r="Z1533" s="153">
        <v>3.5245078446883432E-2</v>
      </c>
      <c r="AA1533" s="155">
        <v>3.5007827176416484E-2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49698</v>
      </c>
      <c r="Y1534" s="152">
        <f>_xll.qlInterestRateIndexValueDate(IborIndex,X1534,Trigger)</f>
        <v>49702</v>
      </c>
      <c r="Z1534" s="153">
        <v>3.5240217377998873E-2</v>
      </c>
      <c r="AA1534" s="155">
        <v>3.5002875457141869E-2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49705</v>
      </c>
      <c r="Y1535" s="152">
        <f>_xll.qlInterestRateIndexValueDate(IborIndex,X1535,Trigger)</f>
        <v>49709</v>
      </c>
      <c r="Z1535" s="153">
        <v>3.5234561431146907E-2</v>
      </c>
      <c r="AA1535" s="155">
        <v>3.4997113470653929E-2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49712</v>
      </c>
      <c r="Y1536" s="152">
        <f>_xll.qlInterestRateIndexValueDate(IborIndex,X1536,Trigger)</f>
        <v>49716</v>
      </c>
      <c r="Z1536" s="153">
        <v>3.5228921961280871E-2</v>
      </c>
      <c r="AA1536" s="155">
        <v>3.4991367658987471E-2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49719</v>
      </c>
      <c r="Y1537" s="152">
        <f>_xll.qlInterestRateIndexValueDate(IborIndex,X1537,Trigger)</f>
        <v>49724</v>
      </c>
      <c r="Z1537" s="153">
        <v>3.5222497028584668E-2</v>
      </c>
      <c r="AA1537" s="155">
        <v>3.4984820822794305E-2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49726</v>
      </c>
      <c r="Y1538" s="152">
        <f>_xll.qlInterestRateIndexValueDate(IborIndex,X1538,Trigger)</f>
        <v>49730</v>
      </c>
      <c r="Z1538" s="153">
        <v>3.5219010229052973E-2</v>
      </c>
      <c r="AA1538" s="155">
        <v>3.4979924559639386E-2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49733</v>
      </c>
      <c r="Y1539" s="152">
        <f>_xll.qlInterestRateIndexValueDate(IborIndex,X1539,Trigger)</f>
        <v>49737</v>
      </c>
      <c r="Z1539" s="153">
        <v>3.5214739382934526E-2</v>
      </c>
      <c r="AA1539" s="155">
        <v>3.4974227272037695E-2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49740</v>
      </c>
      <c r="Y1540" s="152">
        <f>_xll.qlInterestRateIndexValueDate(IborIndex,X1540,Trigger)</f>
        <v>49744</v>
      </c>
      <c r="Z1540" s="153">
        <v>3.5209167093101928E-2</v>
      </c>
      <c r="AA1540" s="155">
        <v>3.4968546159097613E-2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49747</v>
      </c>
      <c r="Y1541" s="152">
        <f>_xll.qlInterestRateIndexValueDate(IborIndex,X1541,Trigger)</f>
        <v>49751</v>
      </c>
      <c r="Z1541" s="153">
        <v>3.5203611282910025E-2</v>
      </c>
      <c r="AA1541" s="155">
        <v>3.4962881220899078E-2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49754</v>
      </c>
      <c r="Y1542" s="152">
        <f>_xll.qlInterestRateIndexValueDate(IborIndex,X1542,Trigger)</f>
        <v>49758</v>
      </c>
      <c r="Z1542" s="153">
        <v>3.5198071952222403E-2</v>
      </c>
      <c r="AA1542" s="155">
        <v>3.4957232457442089E-2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49761</v>
      </c>
      <c r="Y1543" s="152">
        <f>_xll.qlInterestRateIndexValueDate(IborIndex,X1543,Trigger)</f>
        <v>49765</v>
      </c>
      <c r="Z1543" s="153">
        <v>3.5191227984901402E-2</v>
      </c>
      <c r="AA1543" s="155">
        <v>3.495159986864671E-2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49768</v>
      </c>
      <c r="Y1544" s="152">
        <f>_xll.qlInterestRateIndexValueDate(IborIndex,X1544,Trigger)</f>
        <v>49772</v>
      </c>
      <c r="Z1544" s="153">
        <v>3.5185720969295467E-2</v>
      </c>
      <c r="AA1544" s="155">
        <v>3.4945983454672813E-2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49775</v>
      </c>
      <c r="Y1545" s="152">
        <f>_xll.qlInterestRateIndexValueDate(IborIndex,X1545,Trigger)</f>
        <v>49781</v>
      </c>
      <c r="Z1545" s="153">
        <v>3.5178664732364757E-2</v>
      </c>
      <c r="AA1545" s="155">
        <v>3.4941379014483687E-2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49782</v>
      </c>
      <c r="Y1546" s="152">
        <f>_xll.qlInterestRateIndexValueDate(IborIndex,X1546,Trigger)</f>
        <v>49786</v>
      </c>
      <c r="Z1546" s="153">
        <v>3.5174756370218482E-2</v>
      </c>
      <c r="AA1546" s="155">
        <v>3.493479915070985E-2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49789</v>
      </c>
      <c r="Y1547" s="152">
        <f>_xll.qlInterestRateIndexValueDate(IborIndex,X1547,Trigger)</f>
        <v>49793</v>
      </c>
      <c r="Z1547" s="153">
        <v>3.5169298786477489E-2</v>
      </c>
      <c r="AA1547" s="155">
        <v>3.4929231260640847E-2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49796</v>
      </c>
      <c r="Y1548" s="152">
        <f>_xll.qlInterestRateIndexValueDate(IborIndex,X1548,Trigger)</f>
        <v>49801</v>
      </c>
      <c r="Z1548" s="153">
        <v>3.5164406167118821E-2</v>
      </c>
      <c r="AA1548" s="155">
        <v>3.4922887763793042E-2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49803</v>
      </c>
      <c r="Y1549" s="152">
        <f>_xll.qlInterestRateIndexValueDate(IborIndex,X1549,Trigger)</f>
        <v>49807</v>
      </c>
      <c r="Z1549" s="153">
        <v>3.5159758052017751E-2</v>
      </c>
      <c r="AA1549" s="155">
        <v>3.4918144004967289E-2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49810</v>
      </c>
      <c r="Y1550" s="152">
        <f>_xll.qlInterestRateIndexValueDate(IborIndex,X1550,Trigger)</f>
        <v>49814</v>
      </c>
      <c r="Z1550" s="153">
        <v>3.5154350552446152E-2</v>
      </c>
      <c r="AA1550" s="155">
        <v>3.4912624639202861E-2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49817</v>
      </c>
      <c r="Y1551" s="152">
        <f>_xll.qlInterestRateIndexValueDate(IborIndex,X1551,Trigger)</f>
        <v>49822</v>
      </c>
      <c r="Z1551" s="153">
        <v>3.5149517283836397E-2</v>
      </c>
      <c r="AA1551" s="155">
        <v>3.4906336598234944E-2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49824</v>
      </c>
      <c r="Y1552" s="152">
        <f>_xll.qlInterestRateIndexValueDate(IborIndex,X1552,Trigger)</f>
        <v>49828</v>
      </c>
      <c r="Z1552" s="153">
        <v>3.514225802036685E-2</v>
      </c>
      <c r="AA1552" s="155">
        <v>3.4901634431658835E-2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49831</v>
      </c>
      <c r="Y1553" s="152">
        <f>_xll.qlInterestRateIndexValueDate(IborIndex,X1553,Trigger)</f>
        <v>49835</v>
      </c>
      <c r="Z1553" s="153">
        <v>3.5136899296730223E-2</v>
      </c>
      <c r="AA1553" s="155">
        <v>3.4896163589959173E-2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49838</v>
      </c>
      <c r="Y1554" s="152">
        <f>_xll.qlInterestRateIndexValueDate(IborIndex,X1554,Trigger)</f>
        <v>49842</v>
      </c>
      <c r="Z1554" s="153">
        <v>3.5131557049312451E-2</v>
      </c>
      <c r="AA1554" s="155">
        <v>3.4890708922921121E-2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49845</v>
      </c>
      <c r="Y1555" s="152">
        <f>_xll.qlInterestRateIndexValueDate(IborIndex,X1555,Trigger)</f>
        <v>49849</v>
      </c>
      <c r="Z1555" s="153">
        <v>3.5126231277982055E-2</v>
      </c>
      <c r="AA1555" s="155">
        <v>3.4885270430544679E-2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49852</v>
      </c>
      <c r="Y1556" s="152">
        <f>_xll.qlInterestRateIndexValueDate(IborIndex,X1556,Trigger)</f>
        <v>49856</v>
      </c>
      <c r="Z1556" s="153">
        <v>3.512225159426817E-2</v>
      </c>
      <c r="AA1556" s="155">
        <v>3.487984811298972E-2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49859</v>
      </c>
      <c r="Y1557" s="152">
        <f>_xll.qlInterestRateIndexValueDate(IborIndex,X1557,Trigger)</f>
        <v>49863</v>
      </c>
      <c r="Z1557" s="153">
        <v>3.5116959439874758E-2</v>
      </c>
      <c r="AA1557" s="155">
        <v>3.4874441970176306E-2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49866</v>
      </c>
      <c r="Y1558" s="152">
        <f>_xll.qlInterestRateIndexValueDate(IborIndex,X1558,Trigger)</f>
        <v>49870</v>
      </c>
      <c r="Z1558" s="153">
        <v>3.5111683762835182E-2</v>
      </c>
      <c r="AA1558" s="155">
        <v>3.4869052001944567E-2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49873</v>
      </c>
      <c r="Y1559" s="152">
        <f>_xll.qlInterestRateIndexValueDate(IborIndex,X1559,Trigger)</f>
        <v>49877</v>
      </c>
      <c r="Z1559" s="153">
        <v>3.5106424563019538E-2</v>
      </c>
      <c r="AA1559" s="155">
        <v>3.4863678208374438E-2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49880</v>
      </c>
      <c r="Y1560" s="152">
        <f>_xll.qlInterestRateIndexValueDate(IborIndex,X1560,Trigger)</f>
        <v>49884</v>
      </c>
      <c r="Z1560" s="153">
        <v>3.5101181840296196E-2</v>
      </c>
      <c r="AA1560" s="155">
        <v>3.4858320589705727E-2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49887</v>
      </c>
      <c r="Y1561" s="152">
        <f>_xll.qlInterestRateIndexValueDate(IborIndex,X1561,Trigger)</f>
        <v>49891</v>
      </c>
      <c r="Z1561" s="153">
        <v>3.5095955594535252E-2</v>
      </c>
      <c r="AA1561" s="155">
        <v>3.4852979145538754E-2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49894</v>
      </c>
      <c r="Y1562" s="152">
        <f>_xll.qlInterestRateIndexValueDate(IborIndex,X1562,Trigger)</f>
        <v>49898</v>
      </c>
      <c r="Z1562" s="153">
        <v>3.5090745825608123E-2</v>
      </c>
      <c r="AA1562" s="155">
        <v>3.4847653876113327E-2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49901</v>
      </c>
      <c r="Y1563" s="152">
        <f>_xll.qlInterestRateIndexValueDate(IborIndex,X1563,Trigger)</f>
        <v>49905</v>
      </c>
      <c r="Z1563" s="153">
        <v>3.5085552533384905E-2</v>
      </c>
      <c r="AA1563" s="155">
        <v>3.484234478134951E-2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49908</v>
      </c>
      <c r="Y1564" s="152">
        <f>_xll.qlInterestRateIndexValueDate(IborIndex,X1564,Trigger)</f>
        <v>49913</v>
      </c>
      <c r="Z1564" s="153">
        <v>3.5079637517662902E-2</v>
      </c>
      <c r="AA1564" s="155">
        <v>3.4836297050233611E-2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49915</v>
      </c>
      <c r="Y1565" s="152">
        <f>_xll.qlInterestRateIndexValueDate(IborIndex,X1565,Trigger)</f>
        <v>49920</v>
      </c>
      <c r="Z1565" s="153">
        <v>3.5070472722210845E-2</v>
      </c>
      <c r="AA1565" s="155">
        <v>3.4831022615584573E-2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49922</v>
      </c>
      <c r="Y1566" s="152">
        <f>_xll.qlInterestRateIndexValueDate(IborIndex,X1566,Trigger)</f>
        <v>49926</v>
      </c>
      <c r="Z1566" s="153">
        <v>3.5067398991628682E-2</v>
      </c>
      <c r="AA1566" s="155">
        <v>3.4826514545427401E-2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49929</v>
      </c>
      <c r="Y1567" s="152">
        <f>_xll.qlInterestRateIndexValueDate(IborIndex,X1567,Trigger)</f>
        <v>49933</v>
      </c>
      <c r="Z1567" s="153">
        <v>3.5062270241677351E-2</v>
      </c>
      <c r="AA1567" s="155">
        <v>3.482127014938996E-2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49936</v>
      </c>
      <c r="Y1568" s="152">
        <f>_xll.qlInterestRateIndexValueDate(IborIndex,X1568,Trigger)</f>
        <v>49940</v>
      </c>
      <c r="Z1568" s="153">
        <v>3.5057157964483256E-2</v>
      </c>
      <c r="AA1568" s="155">
        <v>3.4816041928094066E-2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49943</v>
      </c>
      <c r="Y1569" s="152">
        <f>_xll.qlInterestRateIndexValueDate(IborIndex,X1569,Trigger)</f>
        <v>49947</v>
      </c>
      <c r="Z1569" s="153">
        <v>3.5052062159922077E-2</v>
      </c>
      <c r="AA1569" s="155">
        <v>3.4810829881539718E-2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49950</v>
      </c>
      <c r="Y1570" s="152">
        <f>_xll.qlInterestRateIndexValueDate(IborIndex,X1570,Trigger)</f>
        <v>49954</v>
      </c>
      <c r="Z1570" s="153">
        <v>3.5048321750111619E-2</v>
      </c>
      <c r="AA1570" s="155">
        <v>3.4805634009726916E-2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49957</v>
      </c>
      <c r="Y1571" s="152">
        <f>_xll.qlInterestRateIndexValueDate(IborIndex,X1571,Trigger)</f>
        <v>49962</v>
      </c>
      <c r="Z1571" s="153">
        <v>3.5041198047206255E-2</v>
      </c>
      <c r="AA1571" s="155">
        <v>3.4799715676063769E-2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49964</v>
      </c>
      <c r="Y1572" s="152">
        <f>_xll.qlInterestRateIndexValueDate(IborIndex,X1572,Trigger)</f>
        <v>49968</v>
      </c>
      <c r="Z1572" s="153">
        <v>3.5036873580783938E-2</v>
      </c>
      <c r="AA1572" s="155">
        <v>3.4795290790006206E-2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49971</v>
      </c>
      <c r="Y1573" s="152">
        <f>_xll.qlInterestRateIndexValueDate(IborIndex,X1573,Trigger)</f>
        <v>49975</v>
      </c>
      <c r="Z1573" s="153">
        <v>3.5031843665505803E-2</v>
      </c>
      <c r="AA1573" s="155">
        <v>3.4790143442178234E-2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49978</v>
      </c>
      <c r="Y1574" s="152">
        <f>_xll.qlInterestRateIndexValueDate(IborIndex,X1574,Trigger)</f>
        <v>49982</v>
      </c>
      <c r="Z1574" s="153">
        <v>3.5028171906955854E-2</v>
      </c>
      <c r="AA1574" s="155">
        <v>3.4785012269011872E-2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49985</v>
      </c>
      <c r="Y1575" s="152">
        <f>_xll.qlInterestRateIndexValueDate(IborIndex,X1575,Trigger)</f>
        <v>49989</v>
      </c>
      <c r="Z1575" s="153">
        <v>3.5021833250861341E-2</v>
      </c>
      <c r="AA1575" s="155">
        <v>3.4779897270587057E-2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49992</v>
      </c>
      <c r="Y1576" s="152">
        <f>_xll.qlInterestRateIndexValueDate(IborIndex,X1576,Trigger)</f>
        <v>49996</v>
      </c>
      <c r="Z1576" s="153">
        <v>3.5016852751248176E-2</v>
      </c>
      <c r="AA1576" s="155">
        <v>3.4774798446823851E-2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49999</v>
      </c>
      <c r="Y1577" s="152">
        <f>_xll.qlInterestRateIndexValueDate(IborIndex,X1577,Trigger)</f>
        <v>50003</v>
      </c>
      <c r="Z1577" s="153">
        <v>3.5013232497160054E-2</v>
      </c>
      <c r="AA1577" s="155">
        <v>3.4769715797802192E-2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50006</v>
      </c>
      <c r="Y1578" s="152">
        <f>_xll.qlInterestRateIndexValueDate(IborIndex,X1578,Trigger)</f>
        <v>50010</v>
      </c>
      <c r="Z1578" s="153">
        <v>3.5006941166832103E-2</v>
      </c>
      <c r="AA1578" s="155">
        <v>3.4764649323442143E-2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50013</v>
      </c>
      <c r="Y1579" s="152">
        <f>_xll.qlInterestRateIndexValueDate(IborIndex,X1579,Trigger)</f>
        <v>50017</v>
      </c>
      <c r="Z1579" s="153">
        <v>3.5002010081785002E-2</v>
      </c>
      <c r="AA1579" s="155">
        <v>3.4759599023743704E-2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50020</v>
      </c>
      <c r="Y1580" s="152">
        <f>_xll.qlInterestRateIndexValueDate(IborIndex,X1580,Trigger)</f>
        <v>50024</v>
      </c>
      <c r="Z1580" s="153">
        <v>3.4997095468017624E-2</v>
      </c>
      <c r="AA1580" s="155">
        <v>3.4754564898706874E-2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50027</v>
      </c>
      <c r="Y1581" s="152">
        <f>_xll.qlInterestRateIndexValueDate(IborIndex,X1581,Trigger)</f>
        <v>50031</v>
      </c>
      <c r="Z1581" s="153">
        <v>3.4992197325408314E-2</v>
      </c>
      <c r="AA1581" s="155">
        <v>3.475482515006334E-2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50038</v>
      </c>
      <c r="Y1582" s="152">
        <f>_xll.qlInterestRateIndexValueDate(IborIndex,X1582,Trigger)</f>
        <v>50040</v>
      </c>
      <c r="Z1582" s="153">
        <v>3.4984576579681056E-2</v>
      </c>
      <c r="AA1582" s="155">
        <v>3.4740982378718144E-2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50045</v>
      </c>
      <c r="Y1583" s="152">
        <f>_xll.qlInterestRateIndexValueDate(IborIndex,X1583,Trigger)</f>
        <v>50047</v>
      </c>
      <c r="Z1583" s="153">
        <v>3.4979715376801702E-2</v>
      </c>
      <c r="AA1583" s="155">
        <v>3.4740779968496227E-2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50052</v>
      </c>
      <c r="Y1584" s="152">
        <f>_xll.qlInterestRateIndexValueDate(IborIndex,X1584,Trigger)</f>
        <v>50054</v>
      </c>
      <c r="Z1584" s="153">
        <v>3.497487064304499E-2</v>
      </c>
      <c r="AA1584" s="155">
        <v>3.4735816516526796E-2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50059</v>
      </c>
      <c r="Y1585" s="152">
        <f>_xll.qlInterestRateIndexValueDate(IborIndex,X1585,Trigger)</f>
        <v>50061</v>
      </c>
      <c r="Z1585" s="153">
        <v>3.4970042378293889E-2</v>
      </c>
      <c r="AA1585" s="155">
        <v>3.4730869242496354E-2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50066</v>
      </c>
      <c r="Y1586" s="152">
        <f>_xll.qlInterestRateIndexValueDate(IborIndex,X1586,Trigger)</f>
        <v>50068</v>
      </c>
      <c r="Z1586" s="153">
        <v>3.4965230582429146E-2</v>
      </c>
      <c r="AA1586" s="155">
        <v>3.4725938146431545E-2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50073</v>
      </c>
      <c r="Y1587" s="152">
        <f>_xll.qlInterestRateIndexValueDate(IborIndex,X1587,Trigger)</f>
        <v>50075</v>
      </c>
      <c r="Z1587" s="153">
        <v>3.4960435255334626E-2</v>
      </c>
      <c r="AA1587" s="155">
        <v>3.4721023228305725E-2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50080</v>
      </c>
      <c r="Y1588" s="152">
        <f>_xll.qlInterestRateIndexValueDate(IborIndex,X1588,Trigger)</f>
        <v>50082</v>
      </c>
      <c r="Z1588" s="153">
        <v>3.495565639689284E-2</v>
      </c>
      <c r="AA1588" s="155">
        <v>3.4716124488065603E-2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50087</v>
      </c>
      <c r="Y1589" s="152">
        <f>_xll.qlInterestRateIndexValueDate(IborIndex,X1589,Trigger)</f>
        <v>50089</v>
      </c>
      <c r="Z1589" s="153">
        <v>3.4950894006986762E-2</v>
      </c>
      <c r="AA1589" s="155">
        <v>3.4711241925791114E-2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50094</v>
      </c>
      <c r="Y1590" s="152">
        <f>_xll.qlInterestRateIndexValueDate(IborIndex,X1590,Trigger)</f>
        <v>50096</v>
      </c>
      <c r="Z1590" s="153">
        <v>3.4946148085501123E-2</v>
      </c>
      <c r="AA1590" s="155">
        <v>3.4706375541428969E-2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50101</v>
      </c>
      <c r="Y1591" s="152">
        <f>_xll.qlInterestRateIndexValueDate(IborIndex,X1591,Trigger)</f>
        <v>50103</v>
      </c>
      <c r="Z1591" s="153">
        <v>3.4945480408127526E-2</v>
      </c>
      <c r="AA1591" s="155">
        <v>3.4701525334979166E-2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50108</v>
      </c>
      <c r="Y1592" s="152">
        <f>_xll.qlInterestRateIndexValueDate(IborIndex,X1592,Trigger)</f>
        <v>50110</v>
      </c>
      <c r="Z1592" s="153">
        <v>3.4940769592528613E-2</v>
      </c>
      <c r="AA1592" s="155">
        <v>3.4696691306494998E-2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50115</v>
      </c>
      <c r="Y1593" s="152">
        <f>_xll.qlInterestRateIndexValueDate(IborIndex,X1593,Trigger)</f>
        <v>50117</v>
      </c>
      <c r="Z1593" s="153">
        <v>3.4936075249913552E-2</v>
      </c>
      <c r="AA1593" s="155">
        <v>3.4691873455869882E-2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50122</v>
      </c>
      <c r="Y1594" s="152">
        <f>_xll.qlInterestRateIndexValueDate(IborIndex,X1594,Trigger)</f>
        <v>50124</v>
      </c>
      <c r="Z1594" s="153">
        <v>3.4931397380165471E-2</v>
      </c>
      <c r="AA1594" s="155">
        <v>3.4687071783210399E-2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50129</v>
      </c>
      <c r="Y1595" s="152">
        <f>_xll.qlInterestRateIndexValueDate(IborIndex,X1595,Trigger)</f>
        <v>50131</v>
      </c>
      <c r="Z1595" s="153">
        <v>3.4925378998357258E-2</v>
      </c>
      <c r="AA1595" s="155">
        <v>3.4676899854551024E-2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50137</v>
      </c>
      <c r="Y1596" s="152">
        <f>_xll.qlInterestRateIndexValueDate(IborIndex,X1596,Trigger)</f>
        <v>50139</v>
      </c>
      <c r="Z1596" s="153">
        <v>3.4920071023806433E-2</v>
      </c>
      <c r="AA1596" s="155">
        <v>3.4672817607530604E-2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50144</v>
      </c>
      <c r="Y1597" s="152">
        <f>_xll.qlInterestRateIndexValueDate(IborIndex,X1597,Trigger)</f>
        <v>50146</v>
      </c>
      <c r="Z1597" s="153">
        <v>3.4915444193440601E-2</v>
      </c>
      <c r="AA1597" s="155">
        <v>3.4668070005299256E-2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50151</v>
      </c>
      <c r="Y1598" s="152">
        <f>_xll.qlInterestRateIndexValueDate(IborIndex,X1598,Trigger)</f>
        <v>50153</v>
      </c>
      <c r="Z1598" s="153">
        <v>3.4910833833830451E-2</v>
      </c>
      <c r="AA1598" s="155">
        <v>3.4663338577809455E-2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50158</v>
      </c>
      <c r="Y1599" s="152">
        <f>_xll.qlInterestRateIndexValueDate(IborIndex,X1599,Trigger)</f>
        <v>50160</v>
      </c>
      <c r="Z1599" s="153">
        <v>3.490623994486243E-2</v>
      </c>
      <c r="AA1599" s="155">
        <v>3.4657951037875279E-2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50165</v>
      </c>
      <c r="Y1600" s="152">
        <f>_xll.qlInterestRateIndexValueDate(IborIndex,X1600,Trigger)</f>
        <v>50167</v>
      </c>
      <c r="Z1600" s="153">
        <v>3.4905745268552515E-2</v>
      </c>
      <c r="AA1600" s="155">
        <v>3.4653924246814682E-2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50172</v>
      </c>
      <c r="Y1601" s="152">
        <f>_xll.qlInterestRateIndexValueDate(IborIndex,X1601,Trigger)</f>
        <v>50174</v>
      </c>
      <c r="Z1601" s="153">
        <v>3.4901186535894052E-2</v>
      </c>
      <c r="AA1601" s="155">
        <v>3.4649241343389647E-2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50179</v>
      </c>
      <c r="Y1602" s="152">
        <f>_xll.qlInterestRateIndexValueDate(IborIndex,X1602,Trigger)</f>
        <v>50181</v>
      </c>
      <c r="Z1602" s="153">
        <v>3.4896644278432712E-2</v>
      </c>
      <c r="AA1602" s="155">
        <v>3.4643909259415295E-2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50186</v>
      </c>
      <c r="Y1603" s="152">
        <f>_xll.qlInterestRateIndexValueDate(IborIndex,X1603,Trigger)</f>
        <v>50188</v>
      </c>
      <c r="Z1603" s="153">
        <v>3.489211849605417E-2</v>
      </c>
      <c r="AA1603" s="155">
        <v>3.4639924060364535E-2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50193</v>
      </c>
      <c r="Y1604" s="152">
        <f>_xll.qlInterestRateIndexValueDate(IborIndex,X1604,Trigger)</f>
        <v>50195</v>
      </c>
      <c r="Z1604" s="153">
        <v>3.4883517555699628E-2</v>
      </c>
      <c r="AA1604" s="155">
        <v>3.4635289680844394E-2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50200</v>
      </c>
      <c r="Y1605" s="152">
        <f>_xll.qlInterestRateIndexValueDate(IborIndex,X1605,Trigger)</f>
        <v>50202</v>
      </c>
      <c r="Z1605" s="153">
        <v>3.4879022488218114E-2</v>
      </c>
      <c r="AA1605" s="155">
        <v>3.46306714760658E-2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50207</v>
      </c>
      <c r="Y1606" s="152">
        <f>_xll.qlInterestRateIndexValueDate(IborIndex,X1606,Trigger)</f>
        <v>50209</v>
      </c>
      <c r="Z1606" s="153">
        <v>3.4874543890593329E-2</v>
      </c>
      <c r="AA1606" s="155">
        <v>3.4626069445948815E-2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50214</v>
      </c>
      <c r="Y1607" s="152">
        <f>_xll.qlInterestRateIndexValueDate(IborIndex,X1607,Trigger)</f>
        <v>50216</v>
      </c>
      <c r="Z1607" s="153">
        <v>3.487554655179264E-2</v>
      </c>
      <c r="AA1607" s="155">
        <v>3.4621483590413504E-2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50221</v>
      </c>
      <c r="Y1608" s="152">
        <f>_xll.qlInterestRateIndexValueDate(IborIndex,X1608,Trigger)</f>
        <v>50223</v>
      </c>
      <c r="Z1608" s="153">
        <v>3.4869736706453137E-2</v>
      </c>
      <c r="AA1608" s="155">
        <v>3.4616913909699676E-2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50228</v>
      </c>
      <c r="Y1609" s="152">
        <f>_xll.qlInterestRateIndexValueDate(IborIndex,X1609,Trigger)</f>
        <v>50230</v>
      </c>
      <c r="Z1609" s="153">
        <v>3.4865309772205567E-2</v>
      </c>
      <c r="AA1609" s="155">
        <v>3.4612360403407649E-2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50235</v>
      </c>
      <c r="Y1610" s="152">
        <f>_xll.qlInterestRateIndexValueDate(IborIndex,X1610,Trigger)</f>
        <v>50237</v>
      </c>
      <c r="Z1610" s="153">
        <v>3.4862268004555046E-2</v>
      </c>
      <c r="AA1610" s="155">
        <v>3.4607823072017041E-2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50242</v>
      </c>
      <c r="Y1611" s="152">
        <f>_xll.qlInterestRateIndexValueDate(IborIndex,X1611,Trigger)</f>
        <v>50244</v>
      </c>
      <c r="Z1611" s="153">
        <v>3.4856505326491573E-2</v>
      </c>
      <c r="AA1611" s="155">
        <v>3.4603301915048235E-2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50249</v>
      </c>
      <c r="Y1612" s="152">
        <f>_xll.qlInterestRateIndexValueDate(IborIndex,X1612,Trigger)</f>
        <v>50251</v>
      </c>
      <c r="Z1612" s="153">
        <v>3.4848018165687139E-2</v>
      </c>
      <c r="AA1612" s="155">
        <v>3.459879693290091E-2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50256</v>
      </c>
      <c r="Y1613" s="152">
        <f>_xll.qlInterestRateIndexValueDate(IborIndex,X1613,Trigger)</f>
        <v>50258</v>
      </c>
      <c r="Z1613" s="153">
        <v>3.4847766777084906E-2</v>
      </c>
      <c r="AA1613" s="155">
        <v>3.4594308125415196E-2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50263</v>
      </c>
      <c r="Y1614" s="152">
        <f>_xll.qlInterestRateIndexValueDate(IborIndex,X1614,Trigger)</f>
        <v>50265</v>
      </c>
      <c r="Z1614" s="153">
        <v>3.4844793935777003E-2</v>
      </c>
      <c r="AA1614" s="155">
        <v>3.4589835492591092E-2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50270</v>
      </c>
      <c r="Y1615" s="152">
        <f>_xll.qlInterestRateIndexValueDate(IborIndex,X1615,Trigger)</f>
        <v>50272</v>
      </c>
      <c r="Z1615" s="153">
        <v>3.4839094123109288E-2</v>
      </c>
      <c r="AA1615" s="155">
        <v>3.4585379034428598E-2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50277</v>
      </c>
      <c r="Y1616" s="152">
        <f>_xll.qlInterestRateIndexValueDate(IborIndex,X1616,Trigger)</f>
        <v>50279</v>
      </c>
      <c r="Z1616" s="153">
        <v>3.4830663732386878E-2</v>
      </c>
      <c r="AA1616" s="155">
        <v>3.4580305744960071E-2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50284</v>
      </c>
      <c r="Y1617" s="152">
        <f>_xll.qlInterestRateIndexValueDate(IborIndex,X1617,Trigger)</f>
        <v>50286</v>
      </c>
      <c r="Z1617" s="153">
        <v>3.4823619724853649E-2</v>
      </c>
      <c r="AA1617" s="155">
        <v>3.4576514642008505E-2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50291</v>
      </c>
      <c r="Y1618" s="152">
        <f>_xll.qlInterestRateIndexValueDate(IborIndex,X1618,Trigger)</f>
        <v>50293</v>
      </c>
      <c r="Z1618" s="153">
        <v>3.4819337225761957E-2</v>
      </c>
      <c r="AA1618" s="155">
        <v>3.4572106707830841E-2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50298</v>
      </c>
      <c r="Y1619" s="152">
        <f>_xll.qlInterestRateIndexValueDate(IborIndex,X1619,Trigger)</f>
        <v>50300</v>
      </c>
      <c r="Z1619" s="153">
        <v>3.4815071191880445E-2</v>
      </c>
      <c r="AA1619" s="155">
        <v>3.4567714948154915E-2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50305</v>
      </c>
      <c r="Y1620" s="152">
        <f>_xll.qlInterestRateIndexValueDate(IborIndex,X1620,Trigger)</f>
        <v>50307</v>
      </c>
      <c r="Z1620" s="153">
        <v>3.48108216231049E-2</v>
      </c>
      <c r="AA1620" s="155">
        <v>3.4563339363300472E-2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50312</v>
      </c>
      <c r="Y1621" s="152">
        <f>_xll.qlInterestRateIndexValueDate(IborIndex,X1621,Trigger)</f>
        <v>50314</v>
      </c>
      <c r="Z1621" s="153">
        <v>3.4807964796031099E-2</v>
      </c>
      <c r="AA1621" s="155">
        <v>3.4558979953027702E-2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50319</v>
      </c>
      <c r="Y1622" s="152">
        <f>_xll.qlInterestRateIndexValueDate(IborIndex,X1622,Trigger)</f>
        <v>50321</v>
      </c>
      <c r="Z1622" s="153">
        <v>3.4803748929168016E-2</v>
      </c>
      <c r="AA1622" s="155">
        <v>3.4554636717496479E-2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50326</v>
      </c>
      <c r="Y1623" s="152">
        <f>_xll.qlInterestRateIndexValueDate(IborIndex,X1623,Trigger)</f>
        <v>50328</v>
      </c>
      <c r="Z1623" s="153">
        <v>3.4799549528719977E-2</v>
      </c>
      <c r="AA1623" s="155">
        <v>3.4550309656546929E-2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50333</v>
      </c>
      <c r="Y1624" s="152">
        <f>_xll.qlInterestRateIndexValueDate(IborIndex,X1624,Trigger)</f>
        <v>50335</v>
      </c>
      <c r="Z1624" s="153">
        <v>3.4795366594584647E-2</v>
      </c>
      <c r="AA1624" s="155">
        <v>3.454599877025899E-2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50340</v>
      </c>
      <c r="Y1625" s="152">
        <f>_xll.qlInterestRateIndexValueDate(IborIndex,X1625,Trigger)</f>
        <v>50342</v>
      </c>
      <c r="Z1625" s="153">
        <v>3.4791200126658373E-2</v>
      </c>
      <c r="AA1625" s="155">
        <v>3.4541704058712597E-2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50347</v>
      </c>
      <c r="Y1626" s="152">
        <f>_xll.qlInterestRateIndexValueDate(IborIndex,X1626,Trigger)</f>
        <v>50349</v>
      </c>
      <c r="Z1626" s="153">
        <v>3.4785669971898941E-2</v>
      </c>
      <c r="AA1626" s="155">
        <v>3.4537425521747878E-2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50354</v>
      </c>
      <c r="Y1627" s="152">
        <f>_xll.qlInterestRateIndexValueDate(IborIndex,X1627,Trigger)</f>
        <v>50356</v>
      </c>
      <c r="Z1627" s="153">
        <v>3.4781535655984352E-2</v>
      </c>
      <c r="AA1627" s="155">
        <v>3.4533163159364832E-2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50361</v>
      </c>
      <c r="Y1628" s="152">
        <f>_xll.qlInterestRateIndexValueDate(IborIndex,X1628,Trigger)</f>
        <v>50363</v>
      </c>
      <c r="Z1628" s="153">
        <v>3.4777417804357821E-2</v>
      </c>
      <c r="AA1628" s="155">
        <v>3.4528916971723334E-2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50368</v>
      </c>
      <c r="Y1629" s="152">
        <f>_xll.qlInterestRateIndexValueDate(IborIndex,X1629,Trigger)</f>
        <v>50371</v>
      </c>
      <c r="Z1629" s="153">
        <v>3.4772731848436184E-2</v>
      </c>
      <c r="AA1629" s="155">
        <v>3.4524083991547272E-2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50375</v>
      </c>
      <c r="Y1630" s="152">
        <f>_xll.qlInterestRateIndexValueDate(IborIndex,X1630,Trigger)</f>
        <v>50377</v>
      </c>
      <c r="Z1630" s="153">
        <v>3.4770614776606118E-2</v>
      </c>
      <c r="AA1630" s="155">
        <v>3.452047312034523E-2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50382</v>
      </c>
      <c r="Y1631" s="152">
        <f>_xll.qlInterestRateIndexValueDate(IborIndex,X1631,Trigger)</f>
        <v>50384</v>
      </c>
      <c r="Z1631" s="153">
        <v>3.4766547103805334E-2</v>
      </c>
      <c r="AA1631" s="155">
        <v>3.4516275456608625E-2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50389</v>
      </c>
      <c r="Y1632" s="152">
        <f>_xll.qlInterestRateIndexValueDate(IborIndex,X1632,Trigger)</f>
        <v>50391</v>
      </c>
      <c r="Z1632" s="153">
        <v>3.4762495896506033E-2</v>
      </c>
      <c r="AA1632" s="155">
        <v>3.451209396753363E-2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50396</v>
      </c>
      <c r="Y1633" s="152">
        <f>_xll.qlInterestRateIndexValueDate(IborIndex,X1633,Trigger)</f>
        <v>50398</v>
      </c>
      <c r="Z1633" s="153">
        <v>3.4758461154609843E-2</v>
      </c>
      <c r="AA1633" s="155">
        <v>3.4506741534157115E-2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50403</v>
      </c>
      <c r="Y1634" s="152">
        <f>_xll.qlInterestRateIndexValueDate(IborIndex,X1634,Trigger)</f>
        <v>50405</v>
      </c>
      <c r="Z1634" s="153">
        <v>3.4753056439041634E-2</v>
      </c>
      <c r="AA1634" s="155">
        <v>3.45031880994906E-2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50410</v>
      </c>
      <c r="Y1635" s="152">
        <f>_xll.qlInterestRateIndexValueDate(IborIndex,X1635,Trigger)</f>
        <v>50412</v>
      </c>
      <c r="Z1635" s="153">
        <v>3.4749053834638575E-2</v>
      </c>
      <c r="AA1635" s="155">
        <v>3.4499646548278307E-2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50417</v>
      </c>
      <c r="Y1636" s="152">
        <f>_xll.qlInterestRateIndexValueDate(IborIndex,X1636,Trigger)</f>
        <v>50419</v>
      </c>
      <c r="Z1636" s="153">
        <v>3.474506769373039E-2</v>
      </c>
      <c r="AA1636" s="155">
        <v>3.4495529757849752E-2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50424</v>
      </c>
      <c r="Y1637" s="152">
        <f>_xll.qlInterestRateIndexValueDate(IborIndex,X1637,Trigger)</f>
        <v>50426</v>
      </c>
      <c r="Z1637" s="153">
        <v>3.474109801622037E-2</v>
      </c>
      <c r="AA1637" s="155">
        <v>3.4491429142002872E-2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50431</v>
      </c>
      <c r="Y1638" s="152">
        <f>_xll.qlInterestRateIndexValueDate(IborIndex,X1638,Trigger)</f>
        <v>50433</v>
      </c>
      <c r="Z1638" s="153">
        <v>3.4737144802011788E-2</v>
      </c>
      <c r="AA1638" s="155">
        <v>3.4487344700817602E-2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50438</v>
      </c>
      <c r="Y1639" s="152">
        <f>_xll.qlInterestRateIndexValueDate(IborIndex,X1639,Trigger)</f>
        <v>50440</v>
      </c>
      <c r="Z1639" s="153">
        <v>3.4733208051007929E-2</v>
      </c>
      <c r="AA1639" s="155">
        <v>3.4483276434293941E-2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50445</v>
      </c>
      <c r="Y1640" s="152">
        <f>_xll.qlInterestRateIndexValueDate(IborIndex,X1640,Trigger)</f>
        <v>50447</v>
      </c>
      <c r="Z1640" s="153">
        <v>3.4729287763112515E-2</v>
      </c>
      <c r="AA1640" s="155">
        <v>3.4479224342431891E-2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50452</v>
      </c>
      <c r="Y1641" s="152">
        <f>_xll.qlInterestRateIndexValueDate(IborIndex,X1641,Trigger)</f>
        <v>50454</v>
      </c>
      <c r="Z1641" s="153">
        <v>3.4725383938230152E-2</v>
      </c>
      <c r="AA1641" s="155">
        <v>3.4475188425231451E-2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50459</v>
      </c>
      <c r="Y1642" s="152">
        <f>_xll.qlInterestRateIndexValueDate(IborIndex,X1642,Trigger)</f>
        <v>50461</v>
      </c>
      <c r="Z1642" s="153">
        <v>3.4721496576265894E-2</v>
      </c>
      <c r="AA1642" s="155">
        <v>3.4471168682612685E-2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50466</v>
      </c>
      <c r="Y1643" s="152">
        <f>_xll.qlInterestRateIndexValueDate(IborIndex,X1643,Trigger)</f>
        <v>50468</v>
      </c>
      <c r="Z1643" s="153">
        <v>3.4725989979382879E-2</v>
      </c>
      <c r="AA1643" s="155">
        <v>3.4467165114655529E-2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50473</v>
      </c>
      <c r="Y1644" s="152">
        <f>_xll.qlInterestRateIndexValueDate(IborIndex,X1644,Trigger)</f>
        <v>50475</v>
      </c>
      <c r="Z1644" s="153">
        <v>3.4720745115710404E-2</v>
      </c>
      <c r="AA1644" s="155">
        <v>3.4463177721439919E-2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50480</v>
      </c>
      <c r="Y1645" s="152">
        <f>_xll.qlInterestRateIndexValueDate(IborIndex,X1645,Trigger)</f>
        <v>50482</v>
      </c>
      <c r="Z1645" s="153">
        <v>3.4716911189453935E-2</v>
      </c>
      <c r="AA1645" s="155">
        <v>3.4459206502726047E-2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50487</v>
      </c>
      <c r="Y1646" s="152">
        <f>_xll.qlInterestRateIndexValueDate(IborIndex,X1646,Trigger)</f>
        <v>50489</v>
      </c>
      <c r="Z1646" s="153">
        <v>3.4713093733774195E-2</v>
      </c>
      <c r="AA1646" s="155">
        <v>3.4455251458673786E-2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50494</v>
      </c>
      <c r="Y1647" s="152">
        <f>_xll.qlInterestRateIndexValueDate(IborIndex,X1647,Trigger)</f>
        <v>50496</v>
      </c>
      <c r="Z1647" s="153">
        <v>3.4705100621723425E-2</v>
      </c>
      <c r="AA1647" s="155">
        <v>3.445131258936307E-2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50501</v>
      </c>
      <c r="Y1648" s="152">
        <f>_xll.qlInterestRateIndexValueDate(IborIndex,X1648,Trigger)</f>
        <v>50503</v>
      </c>
      <c r="Z1648" s="153">
        <v>3.4701313663351184E-2</v>
      </c>
      <c r="AA1648" s="155">
        <v>3.4447389894634028E-2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50508</v>
      </c>
      <c r="Y1649" s="152">
        <f>_xll.qlInterestRateIndexValueDate(IborIndex,X1649,Trigger)</f>
        <v>50510</v>
      </c>
      <c r="Z1649" s="153">
        <v>3.4697543170452295E-2</v>
      </c>
      <c r="AA1649" s="155">
        <v>3.4443483374566597E-2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50515</v>
      </c>
      <c r="Y1650" s="152">
        <f>_xll.qlInterestRateIndexValueDate(IborIndex,X1650,Trigger)</f>
        <v>50517</v>
      </c>
      <c r="Z1650" s="153">
        <v>3.469378914293373E-2</v>
      </c>
      <c r="AA1650" s="155">
        <v>3.4438484472714137E-2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50522</v>
      </c>
      <c r="Y1651" s="152">
        <f>_xll.qlInterestRateIndexValueDate(IborIndex,X1651,Trigger)</f>
        <v>50524</v>
      </c>
      <c r="Z1651" s="153">
        <v>3.4690051580703304E-2</v>
      </c>
      <c r="AA1651" s="155">
        <v>3.4435166725756972E-2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50529</v>
      </c>
      <c r="Y1652" s="152">
        <f>_xll.qlInterestRateIndexValueDate(IborIndex,X1652,Trigger)</f>
        <v>50531</v>
      </c>
      <c r="Z1652" s="153">
        <v>3.469053487647631E-2</v>
      </c>
      <c r="AA1652" s="155">
        <v>3.4431860862094155E-2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50536</v>
      </c>
      <c r="Y1653" s="152">
        <f>_xll.qlInterestRateIndexValueDate(IborIndex,X1653,Trigger)</f>
        <v>50538</v>
      </c>
      <c r="Z1653" s="153">
        <v>3.4686832712177318E-2</v>
      </c>
      <c r="AA1653" s="155">
        <v>3.4428019040673163E-2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50543</v>
      </c>
      <c r="Y1654" s="152">
        <f>_xll.qlInterestRateIndexValueDate(IborIndex,X1654,Trigger)</f>
        <v>50545</v>
      </c>
      <c r="Z1654" s="153">
        <v>3.4683147017700387E-2</v>
      </c>
      <c r="AA1654" s="155">
        <v>3.4424193393673974E-2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50550</v>
      </c>
      <c r="Y1655" s="152">
        <f>_xll.qlInterestRateIndexValueDate(IborIndex,X1655,Trigger)</f>
        <v>50552</v>
      </c>
      <c r="Z1655" s="153">
        <v>3.467947779295398E-2</v>
      </c>
      <c r="AA1655" s="155">
        <v>3.4419841031523291E-2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50557</v>
      </c>
      <c r="Y1656" s="152">
        <f>_xll.qlInterestRateIndexValueDate(IborIndex,X1656,Trigger)</f>
        <v>50559</v>
      </c>
      <c r="Z1656" s="153">
        <v>3.4671610745655911E-2</v>
      </c>
      <c r="AA1656" s="155">
        <v>3.4416590623820298E-2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50564</v>
      </c>
      <c r="Y1657" s="152">
        <f>_xll.qlInterestRateIndexValueDate(IborIndex,X1657,Trigger)</f>
        <v>50566</v>
      </c>
      <c r="Z1657" s="153">
        <v>3.4667971973229801E-2</v>
      </c>
      <c r="AA1657" s="155">
        <v>3.4412813500885875E-2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50571</v>
      </c>
      <c r="Y1658" s="152">
        <f>_xll.qlInterestRateIndexValueDate(IborIndex,X1658,Trigger)</f>
        <v>50573</v>
      </c>
      <c r="Z1658" s="153">
        <v>3.4664349665455854E-2</v>
      </c>
      <c r="AA1658" s="155">
        <v>3.4409052552533126E-2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50578</v>
      </c>
      <c r="Y1659" s="152">
        <f>_xll.qlInterestRateIndexValueDate(IborIndex,X1659,Trigger)</f>
        <v>50580</v>
      </c>
      <c r="Z1659" s="153">
        <v>3.4667780949438731E-2</v>
      </c>
      <c r="AA1659" s="155">
        <v>3.4405307778841987E-2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50585</v>
      </c>
      <c r="Y1660" s="152">
        <f>_xll.qlInterestRateIndexValueDate(IborIndex,X1660,Trigger)</f>
        <v>50587</v>
      </c>
      <c r="Z1660" s="153">
        <v>3.4662787141244593E-2</v>
      </c>
      <c r="AA1660" s="155">
        <v>3.4401579179732522E-2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50592</v>
      </c>
      <c r="Y1661" s="152">
        <f>_xll.qlInterestRateIndexValueDate(IborIndex,X1661,Trigger)</f>
        <v>50594</v>
      </c>
      <c r="Z1661" s="153">
        <v>3.4657808303686935E-2</v>
      </c>
      <c r="AA1661" s="155">
        <v>3.4397866755284667E-2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50599</v>
      </c>
      <c r="Y1662" s="152">
        <f>_xll.qlInterestRateIndexValueDate(IborIndex,X1662,Trigger)</f>
        <v>50601</v>
      </c>
      <c r="Z1662" s="153">
        <v>3.4655664466875138E-2</v>
      </c>
      <c r="AA1662" s="155">
        <v>3.4394170505578359E-2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50606</v>
      </c>
      <c r="Y1663" s="152">
        <f>_xll.qlInterestRateIndexValueDate(IborIndex,X1663,Trigger)</f>
        <v>50608</v>
      </c>
      <c r="Z1663" s="153">
        <v>3.4650716894317111E-2</v>
      </c>
      <c r="AA1663" s="155">
        <v>3.4390490430373788E-2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50613</v>
      </c>
      <c r="Y1664" s="152">
        <f>_xll.qlInterestRateIndexValueDate(IborIndex,X1664,Trigger)</f>
        <v>50615</v>
      </c>
      <c r="Z1664" s="153">
        <v>3.4647195893052367E-2</v>
      </c>
      <c r="AA1664" s="155">
        <v>3.4386826529910763E-2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50620</v>
      </c>
      <c r="Y1665" s="152">
        <f>_xll.qlInterestRateIndexValueDate(IborIndex,X1665,Trigger)</f>
        <v>50622</v>
      </c>
      <c r="Z1665" s="153">
        <v>3.4643691360616499E-2</v>
      </c>
      <c r="AA1665" s="155">
        <v>3.4383178803949477E-2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50627</v>
      </c>
      <c r="Y1666" s="152">
        <f>_xll.qlInterestRateIndexValueDate(IborIndex,X1666,Trigger)</f>
        <v>50629</v>
      </c>
      <c r="Z1666" s="153">
        <v>3.464020329692185E-2</v>
      </c>
      <c r="AA1666" s="155">
        <v>3.43795472526498E-2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50634</v>
      </c>
      <c r="Y1667" s="152">
        <f>_xll.qlInterestRateIndexValueDate(IborIndex,X1667,Trigger)</f>
        <v>50636</v>
      </c>
      <c r="Z1667" s="153">
        <v>3.4638146014989428E-2</v>
      </c>
      <c r="AA1667" s="155">
        <v>3.4375931876011734E-2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50641</v>
      </c>
      <c r="Y1668" s="152">
        <f>_xll.qlInterestRateIndexValueDate(IborIndex,X1668,Trigger)</f>
        <v>50643</v>
      </c>
      <c r="Z1668" s="153">
        <v>3.4633276575405485E-2</v>
      </c>
      <c r="AA1668" s="155">
        <v>3.4371819822673899E-2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50648</v>
      </c>
      <c r="Y1669" s="152">
        <f>_xll.qlInterestRateIndexValueDate(IborIndex,X1669,Trigger)</f>
        <v>50650</v>
      </c>
      <c r="Z1669" s="153">
        <v>3.4622760449105651E-2</v>
      </c>
      <c r="AA1669" s="155">
        <v>3.4368749646640495E-2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50655</v>
      </c>
      <c r="Y1670" s="152">
        <f>_xll.qlInterestRateIndexValueDate(IborIndex,X1670,Trigger)</f>
        <v>50657</v>
      </c>
      <c r="Z1670" s="153">
        <v>3.4619334011798952E-2</v>
      </c>
      <c r="AA1670" s="155">
        <v>3.4365182793827387E-2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50662</v>
      </c>
      <c r="Y1671" s="152">
        <f>_xll.qlInterestRateIndexValueDate(IborIndex,X1671,Trigger)</f>
        <v>50664</v>
      </c>
      <c r="Z1671" s="153">
        <v>3.4615924034822804E-2</v>
      </c>
      <c r="AA1671" s="155">
        <v>3.4361632115835761E-2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50669</v>
      </c>
      <c r="Y1672" s="152">
        <f>_xll.qlInterestRateIndexValueDate(IborIndex,X1672,Trigger)</f>
        <v>50671</v>
      </c>
      <c r="Z1672" s="153">
        <v>3.46125305180933E-2</v>
      </c>
      <c r="AA1672" s="155">
        <v>3.4358097612265937E-2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50676</v>
      </c>
      <c r="Y1673" s="152">
        <f>_xll.qlInterestRateIndexValueDate(IborIndex,X1673,Trigger)</f>
        <v>50678</v>
      </c>
      <c r="Z1673" s="153">
        <v>3.4610572018176536E-2</v>
      </c>
      <c r="AA1673" s="155">
        <v>3.4354579283517594E-2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50683</v>
      </c>
      <c r="Y1674" s="152">
        <f>_xll.qlInterestRateIndexValueDate(IborIndex,X1674,Trigger)</f>
        <v>50685</v>
      </c>
      <c r="Z1674" s="153">
        <v>3.4607212277219884E-2</v>
      </c>
      <c r="AA1674" s="155">
        <v>3.4351077129191054E-2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50690</v>
      </c>
      <c r="Y1675" s="152">
        <f>_xll.qlInterestRateIndexValueDate(IborIndex,X1675,Trigger)</f>
        <v>50692</v>
      </c>
      <c r="Z1675" s="153">
        <v>3.4603868997855759E-2</v>
      </c>
      <c r="AA1675" s="155">
        <v>3.434759114960606E-2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50697</v>
      </c>
      <c r="Y1676" s="152">
        <f>_xll.qlInterestRateIndexValueDate(IborIndex,X1676,Trigger)</f>
        <v>50699</v>
      </c>
      <c r="Z1676" s="153">
        <v>3.4600542180003795E-2</v>
      </c>
      <c r="AA1676" s="155">
        <v>3.4344121344682677E-2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50704</v>
      </c>
      <c r="Y1677" s="152">
        <f>_xll.qlInterestRateIndexValueDate(IborIndex,X1677,Trigger)</f>
        <v>50706</v>
      </c>
      <c r="Z1677" s="153">
        <v>3.4597231823581404E-2</v>
      </c>
      <c r="AA1677" s="155">
        <v>3.4340667714261031E-2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50711</v>
      </c>
      <c r="Y1678" s="152">
        <f>_xll.qlInterestRateIndexValueDate(IborIndex,X1678,Trigger)</f>
        <v>50713</v>
      </c>
      <c r="Z1678" s="153">
        <v>3.4592515078301536E-2</v>
      </c>
      <c r="AA1678" s="155">
        <v>3.4337230258580931E-2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50718</v>
      </c>
      <c r="Y1679" s="152">
        <f>_xll.qlInterestRateIndexValueDate(IborIndex,X1679,Trigger)</f>
        <v>50721</v>
      </c>
      <c r="Z1679" s="153">
        <v>3.4588769796463949E-2</v>
      </c>
      <c r="AA1679" s="155">
        <v>3.4333321543469353E-2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50725</v>
      </c>
      <c r="Y1680" s="152">
        <f>_xll.qlInterestRateIndexValueDate(IborIndex,X1680,Trigger)</f>
        <v>50727</v>
      </c>
      <c r="Z1680" s="153">
        <v>3.4585974943308409E-2</v>
      </c>
      <c r="AA1680" s="155">
        <v>3.4330403871045689E-2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50732</v>
      </c>
      <c r="Y1681" s="152">
        <f>_xll.qlInterestRateIndexValueDate(IborIndex,X1681,Trigger)</f>
        <v>50735</v>
      </c>
      <c r="Z1681" s="153">
        <v>3.4582267283301327E-2</v>
      </c>
      <c r="AA1681" s="155">
        <v>3.4326532126440767E-2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50739</v>
      </c>
      <c r="Y1682" s="152">
        <f>_xll.qlInterestRateIndexValueDate(IborIndex,X1682,Trigger)</f>
        <v>50741</v>
      </c>
      <c r="Z1682" s="153">
        <v>3.4580926960092156E-2</v>
      </c>
      <c r="AA1682" s="155">
        <v>3.4323642182076952E-2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50746</v>
      </c>
      <c r="Y1683" s="152">
        <f>_xll.qlInterestRateIndexValueDate(IborIndex,X1683,Trigger)</f>
        <v>50748</v>
      </c>
      <c r="Z1683" s="153">
        <v>3.4577715370558502E-2</v>
      </c>
      <c r="AA1683" s="155">
        <v>3.4320285599385159E-2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50753</v>
      </c>
      <c r="Y1684" s="152">
        <f>_xll.qlInterestRateIndexValueDate(IborIndex,X1684,Trigger)</f>
        <v>50755</v>
      </c>
      <c r="Z1684" s="153">
        <v>3.4574520241894877E-2</v>
      </c>
      <c r="AA1684" s="155">
        <v>3.4316945191354975E-2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50760</v>
      </c>
      <c r="Y1685" s="152">
        <f>_xll.qlInterestRateIndexValueDate(IborIndex,X1685,Trigger)</f>
        <v>50762</v>
      </c>
      <c r="Z1685" s="153">
        <v>3.4571341574023098E-2</v>
      </c>
      <c r="AA1685" s="155">
        <v>3.4312674147916056E-2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50768</v>
      </c>
      <c r="Y1686" s="152">
        <f>_xll.qlInterestRateIndexValueDate(IborIndex,X1686,Trigger)</f>
        <v>50774</v>
      </c>
      <c r="Z1686" s="153">
        <v>3.4565930725410421E-2</v>
      </c>
      <c r="AA1686" s="155">
        <v>3.4308900111312823E-2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50775</v>
      </c>
      <c r="Y1687" s="152">
        <f>_xll.qlInterestRateIndexValueDate(IborIndex,X1687,Trigger)</f>
        <v>50777</v>
      </c>
      <c r="Z1687" s="153">
        <v>3.4563154767534174E-2</v>
      </c>
      <c r="AA1687" s="155">
        <v>3.4306552066514229E-2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50782</v>
      </c>
      <c r="Y1688" s="152">
        <f>_xll.qlInterestRateIndexValueDate(IborIndex,X1688,Trigger)</f>
        <v>50784</v>
      </c>
      <c r="Z1688" s="153">
        <v>3.4560026955048694E-2</v>
      </c>
      <c r="AA1688" s="155">
        <v>3.4303278667682235E-2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50789</v>
      </c>
      <c r="Y1689" s="152">
        <f>_xll.qlInterestRateIndexValueDate(IborIndex,X1689,Trigger)</f>
        <v>50791</v>
      </c>
      <c r="Z1689" s="153">
        <v>3.4556915601446095E-2</v>
      </c>
      <c r="AA1689" s="155">
        <v>3.4300021443431916E-2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50796</v>
      </c>
      <c r="Y1690" s="152">
        <f>_xll.qlInterestRateIndexValueDate(IborIndex,X1690,Trigger)</f>
        <v>50798</v>
      </c>
      <c r="Z1690" s="153">
        <v>3.4553820706651729E-2</v>
      </c>
      <c r="AA1690" s="155">
        <v>3.4296780393923143E-2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50803</v>
      </c>
      <c r="Y1691" s="152">
        <f>_xll.qlInterestRateIndexValueDate(IborIndex,X1691,Trigger)</f>
        <v>50805</v>
      </c>
      <c r="Z1691" s="153">
        <v>3.4550742270589199E-2</v>
      </c>
      <c r="AA1691" s="155">
        <v>3.4293555518916108E-2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50810</v>
      </c>
      <c r="Y1692" s="152">
        <f>_xll.qlInterestRateIndexValueDate(IborIndex,X1692,Trigger)</f>
        <v>50812</v>
      </c>
      <c r="Z1692" s="153">
        <v>3.454768029318387E-2</v>
      </c>
      <c r="AA1692" s="155">
        <v>3.4290346818570683E-2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50817</v>
      </c>
      <c r="Y1693" s="152">
        <f>_xll.qlInterestRateIndexValueDate(IborIndex,X1693,Trigger)</f>
        <v>50819</v>
      </c>
      <c r="Z1693" s="153">
        <v>3.4544634774360219E-2</v>
      </c>
      <c r="AA1693" s="155">
        <v>3.4287154292886868E-2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50824</v>
      </c>
      <c r="Y1694" s="152">
        <f>_xll.qlInterestRateIndexValueDate(IborIndex,X1694,Trigger)</f>
        <v>50826</v>
      </c>
      <c r="Z1694" s="153">
        <v>3.4541605714045381E-2</v>
      </c>
      <c r="AA1694" s="155">
        <v>3.4283977941864663E-2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50831</v>
      </c>
      <c r="Y1695" s="152">
        <f>_xll.qlInterestRateIndexValueDate(IborIndex,X1695,Trigger)</f>
        <v>50833</v>
      </c>
      <c r="Z1695" s="153">
        <v>3.4545784243831826E-2</v>
      </c>
      <c r="AA1695" s="155">
        <v>3.4280817765344196E-2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50838</v>
      </c>
      <c r="Y1696" s="152">
        <f>_xll.qlInterestRateIndexValueDate(IborIndex,X1696,Trigger)</f>
        <v>50840</v>
      </c>
      <c r="Z1696" s="153">
        <v>3.4541353084428156E-2</v>
      </c>
      <c r="AA1696" s="155">
        <v>3.4277673763485339E-2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50845</v>
      </c>
      <c r="Y1697" s="152">
        <f>_xll.qlInterestRateIndexValueDate(IborIndex,X1697,Trigger)</f>
        <v>50847</v>
      </c>
      <c r="Z1697" s="153">
        <v>3.4538376969590341E-2</v>
      </c>
      <c r="AA1697" s="155">
        <v>3.4274545936288092E-2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50852</v>
      </c>
      <c r="Y1698" s="152">
        <f>_xll.qlInterestRateIndexValueDate(IborIndex,X1698,Trigger)</f>
        <v>50854</v>
      </c>
      <c r="Z1698" s="153">
        <v>3.4535417319304623E-2</v>
      </c>
      <c r="AA1698" s="155">
        <v>3.4271434283672519E-2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50859</v>
      </c>
      <c r="Y1699" s="152">
        <f>_xll.qlInterestRateIndexValueDate(IborIndex,X1699,Trigger)</f>
        <v>50861</v>
      </c>
      <c r="Z1699" s="153">
        <v>3.4532474133497124E-2</v>
      </c>
      <c r="AA1699" s="155">
        <v>3.4268338805638621E-2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50866</v>
      </c>
      <c r="Y1700" s="152">
        <f>_xll.qlInterestRateIndexValueDate(IborIndex,X1700,Trigger)</f>
        <v>50872</v>
      </c>
      <c r="Z1700" s="153">
        <v>3.4524995791595632E-2</v>
      </c>
      <c r="AA1700" s="155">
        <v>3.4264382672057891E-2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50873</v>
      </c>
      <c r="Y1701" s="152">
        <f>_xll.qlInterestRateIndexValueDate(IborIndex,X1701,Trigger)</f>
        <v>50875</v>
      </c>
      <c r="Z1701" s="153">
        <v>3.4526637155025103E-2</v>
      </c>
      <c r="AA1701" s="155">
        <v>3.4262196373475717E-2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50880</v>
      </c>
      <c r="Y1702" s="152">
        <f>_xll.qlInterestRateIndexValueDate(IborIndex,X1702,Trigger)</f>
        <v>50882</v>
      </c>
      <c r="Z1702" s="153">
        <v>3.4523743362214102E-2</v>
      </c>
      <c r="AA1702" s="155">
        <v>3.4259149419346713E-2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50887</v>
      </c>
      <c r="Y1703" s="152">
        <f>_xll.qlInterestRateIndexValueDate(IborIndex,X1703,Trigger)</f>
        <v>50889</v>
      </c>
      <c r="Z1703" s="153">
        <v>3.4520866033590523E-2</v>
      </c>
      <c r="AA1703" s="155">
        <v>3.4255686991642165E-2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50894</v>
      </c>
      <c r="Y1704" s="152">
        <f>_xll.qlInterestRateIndexValueDate(IborIndex,X1704,Trigger)</f>
        <v>50896</v>
      </c>
      <c r="Z1704" s="153">
        <v>3.4518005156165835E-2</v>
      </c>
      <c r="AA1704" s="155">
        <v>3.4253104034833726E-2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50901</v>
      </c>
      <c r="Y1705" s="152">
        <f>_xll.qlInterestRateIndexValueDate(IborIndex,X1705,Trigger)</f>
        <v>50903</v>
      </c>
      <c r="Z1705" s="153">
        <v>3.4515160290230364E-2</v>
      </c>
      <c r="AA1705" s="155">
        <v>3.4250105604529679E-2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50908</v>
      </c>
      <c r="Y1706" s="152">
        <f>_xll.qlInterestRateIndexValueDate(IborIndex,X1706,Trigger)</f>
        <v>50910</v>
      </c>
      <c r="Z1706" s="153">
        <v>3.4512330481808177E-2</v>
      </c>
      <c r="AA1706" s="155">
        <v>3.4247123348887243E-2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50915</v>
      </c>
      <c r="Y1707" s="152">
        <f>_xll.qlInterestRateIndexValueDate(IborIndex,X1707,Trigger)</f>
        <v>50917</v>
      </c>
      <c r="Z1707" s="153">
        <v>3.4509514746315195E-2</v>
      </c>
      <c r="AA1707" s="155">
        <v>3.4243734862275943E-2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50922</v>
      </c>
      <c r="Y1708" s="152">
        <f>_xll.qlInterestRateIndexValueDate(IborIndex,X1708,Trigger)</f>
        <v>50924</v>
      </c>
      <c r="Z1708" s="153">
        <v>3.4506712099170778E-2</v>
      </c>
      <c r="AA1708" s="155">
        <v>3.4241207361347392E-2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50929</v>
      </c>
      <c r="Y1709" s="152">
        <f>_xll.qlInterestRateIndexValueDate(IborIndex,X1709,Trigger)</f>
        <v>50931</v>
      </c>
      <c r="Z1709" s="153">
        <v>3.4503921555802071E-2</v>
      </c>
      <c r="AA1709" s="155">
        <v>3.4238273629529914E-2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50936</v>
      </c>
      <c r="Y1710" s="152">
        <f>_xll.qlInterestRateIndexValueDate(IborIndex,X1710,Trigger)</f>
        <v>50938</v>
      </c>
      <c r="Z1710" s="153">
        <v>3.4501142131640544E-2</v>
      </c>
      <c r="AA1710" s="155">
        <v>3.4235356072214174E-2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50943</v>
      </c>
      <c r="Y1711" s="152">
        <f>_xll.qlInterestRateIndexValueDate(IborIndex,X1711,Trigger)</f>
        <v>50945</v>
      </c>
      <c r="Z1711" s="153">
        <v>3.4501271818338015E-2</v>
      </c>
      <c r="AA1711" s="155">
        <v>3.4232454689560043E-2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50950</v>
      </c>
      <c r="Y1712" s="152">
        <f>_xll.qlInterestRateIndexValueDate(IborIndex,X1712,Trigger)</f>
        <v>50952</v>
      </c>
      <c r="Z1712" s="153">
        <v>3.4497062118540561E-2</v>
      </c>
      <c r="AA1712" s="155">
        <v>3.4229569481567523E-2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50957</v>
      </c>
      <c r="Y1713" s="152">
        <f>_xll.qlInterestRateIndexValueDate(IborIndex,X1713,Trigger)</f>
        <v>50959</v>
      </c>
      <c r="Z1713" s="153">
        <v>3.4492860728807001E-2</v>
      </c>
      <c r="AA1713" s="155">
        <v>3.4226700448156677E-2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50964</v>
      </c>
      <c r="Y1714" s="152">
        <f>_xll.qlInterestRateIndexValueDate(IborIndex,X1714,Trigger)</f>
        <v>50966</v>
      </c>
      <c r="Z1714" s="153">
        <v>3.4491564996048732E-2</v>
      </c>
      <c r="AA1714" s="155">
        <v>3.4223847589487377E-2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50971</v>
      </c>
      <c r="Y1715" s="152">
        <f>_xll.qlInterestRateIndexValueDate(IborIndex,X1715,Trigger)</f>
        <v>50973</v>
      </c>
      <c r="Z1715" s="153">
        <v>3.4487377339463984E-2</v>
      </c>
      <c r="AA1715" s="155">
        <v>3.4221010905239879E-2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50978</v>
      </c>
      <c r="Y1716" s="152">
        <f>_xll.qlInterestRateIndexValueDate(IborIndex,X1716,Trigger)</f>
        <v>50980</v>
      </c>
      <c r="Z1716" s="153">
        <v>3.4486092323017851E-2</v>
      </c>
      <c r="AA1716" s="155">
        <v>3.4218190395733927E-2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50985</v>
      </c>
      <c r="Y1717" s="152">
        <f>_xll.qlInterestRateIndexValueDate(IborIndex,X1717,Trigger)</f>
        <v>50987</v>
      </c>
      <c r="Z1717" s="153">
        <v>3.4481914797800876E-2</v>
      </c>
      <c r="AA1717" s="155">
        <v>3.4215386060649777E-2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50992</v>
      </c>
      <c r="Y1718" s="152">
        <f>_xll.qlInterestRateIndexValueDate(IborIndex,X1718,Trigger)</f>
        <v>50994</v>
      </c>
      <c r="Z1718" s="153">
        <v>3.4479188883529487E-2</v>
      </c>
      <c r="AA1718" s="155">
        <v>3.4212597900307173E-2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50999</v>
      </c>
      <c r="Y1719" s="152">
        <f>_xll.qlInterestRateIndexValueDate(IborIndex,X1719,Trigger)</f>
        <v>51001</v>
      </c>
      <c r="Z1719" s="153">
        <v>3.4477912017938941E-2</v>
      </c>
      <c r="AA1719" s="155">
        <v>3.4209825914546244E-2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51006</v>
      </c>
      <c r="Y1720" s="152">
        <f>_xll.qlInterestRateIndexValueDate(IborIndex,X1720,Trigger)</f>
        <v>51008</v>
      </c>
      <c r="Z1720" s="153">
        <v>3.4473742845519739E-2</v>
      </c>
      <c r="AA1720" s="155">
        <v>3.4206677736507984E-2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51013</v>
      </c>
      <c r="Y1721" s="152">
        <f>_xll.qlInterestRateIndexValueDate(IborIndex,X1721,Trigger)</f>
        <v>51015</v>
      </c>
      <c r="Z1721" s="153">
        <v>3.446668448838093E-2</v>
      </c>
      <c r="AA1721" s="155">
        <v>3.4204330467009214E-2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51020</v>
      </c>
      <c r="Y1722" s="152">
        <f>_xll.qlInterestRateIndexValueDate(IborIndex,X1722,Trigger)</f>
        <v>51022</v>
      </c>
      <c r="Z1722" s="153">
        <v>3.4463963935931673E-2</v>
      </c>
      <c r="AA1722" s="155">
        <v>3.4201607004993306E-2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51027</v>
      </c>
      <c r="Y1723" s="152">
        <f>_xll.qlInterestRateIndexValueDate(IborIndex,X1723,Trigger)</f>
        <v>51029</v>
      </c>
      <c r="Z1723" s="153">
        <v>3.4461241834013737E-2</v>
      </c>
      <c r="AA1723" s="155">
        <v>3.4198899717798881E-2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51034</v>
      </c>
      <c r="Y1724" s="152">
        <f>_xll.qlInterestRateIndexValueDate(IborIndex,X1724,Trigger)</f>
        <v>51036</v>
      </c>
      <c r="Z1724" s="153">
        <v>3.445851718219177E-2</v>
      </c>
      <c r="AA1724" s="155">
        <v>3.4196208604946321E-2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51041</v>
      </c>
      <c r="Y1725" s="152">
        <f>_xll.qlInterestRateIndexValueDate(IborIndex,X1725,Trigger)</f>
        <v>51043</v>
      </c>
      <c r="Z1725" s="153">
        <v>3.4454346783705916E-2</v>
      </c>
      <c r="AA1725" s="155">
        <v>3.4193533666995179E-2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51048</v>
      </c>
      <c r="Y1726" s="152">
        <f>_xll.qlInterestRateIndexValueDate(IborIndex,X1726,Trigger)</f>
        <v>51050</v>
      </c>
      <c r="Z1726" s="153">
        <v>3.4457380171532964E-2</v>
      </c>
      <c r="AA1726" s="155">
        <v>3.4190874903385904E-2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51055</v>
      </c>
      <c r="Y1727" s="152">
        <f>_xll.qlInterestRateIndexValueDate(IborIndex,X1727,Trigger)</f>
        <v>51057</v>
      </c>
      <c r="Z1727" s="153">
        <v>3.4454639140402456E-2</v>
      </c>
      <c r="AA1727" s="155">
        <v>3.418823231459811E-2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51062</v>
      </c>
      <c r="Y1728" s="152">
        <f>_xll.qlInterestRateIndexValueDate(IborIndex,X1728,Trigger)</f>
        <v>51064</v>
      </c>
      <c r="Z1728" s="153">
        <v>3.4451891507203444E-2</v>
      </c>
      <c r="AA1728" s="155">
        <v>3.4185605900312055E-2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51069</v>
      </c>
      <c r="Y1729" s="152">
        <f>_xll.qlInterestRateIndexValueDate(IborIndex,X1729,Trigger)</f>
        <v>51071</v>
      </c>
      <c r="Z1729" s="153">
        <v>3.444913628747151E-2</v>
      </c>
      <c r="AA1729" s="155">
        <v>3.418299566068761E-2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51076</v>
      </c>
      <c r="Y1730" s="152">
        <f>_xll.qlInterestRateIndexValueDate(IborIndex,X1730,Trigger)</f>
        <v>51078</v>
      </c>
      <c r="Z1730" s="153">
        <v>3.4442059699611088E-2</v>
      </c>
      <c r="AA1730" s="155">
        <v>3.4180396290528492E-2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51083</v>
      </c>
      <c r="Y1731" s="152">
        <f>_xll.qlInterestRateIndexValueDate(IborIndex,X1731,Trigger)</f>
        <v>51088</v>
      </c>
      <c r="Z1731" s="153">
        <v>3.4438099137968491E-2</v>
      </c>
      <c r="AA1731" s="155">
        <v>3.417741596758006E-2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51090</v>
      </c>
      <c r="Y1732" s="152">
        <f>_xll.qlInterestRateIndexValueDate(IborIndex,X1732,Trigger)</f>
        <v>51092</v>
      </c>
      <c r="Z1732" s="153">
        <v>3.4436509454596739E-2</v>
      </c>
      <c r="AA1732" s="155">
        <v>3.4175172673469589E-2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51097</v>
      </c>
      <c r="Y1733" s="152">
        <f>_xll.qlInterestRateIndexValueDate(IborIndex,X1733,Trigger)</f>
        <v>51099</v>
      </c>
      <c r="Z1733" s="153">
        <v>3.4433720002995605E-2</v>
      </c>
      <c r="AA1733" s="155">
        <v>3.4172546773971746E-2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51104</v>
      </c>
      <c r="Y1734" s="152">
        <f>_xll.qlInterestRateIndexValueDate(IborIndex,X1734,Trigger)</f>
        <v>51106</v>
      </c>
      <c r="Z1734" s="153">
        <v>3.4435222436166237E-2</v>
      </c>
      <c r="AA1734" s="155">
        <v>3.4169911480628201E-2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51111</v>
      </c>
      <c r="Y1735" s="152">
        <f>_xll.qlInterestRateIndexValueDate(IborIndex,X1735,Trigger)</f>
        <v>51113</v>
      </c>
      <c r="Z1735" s="153">
        <v>3.4432411032715868E-2</v>
      </c>
      <c r="AA1735" s="155">
        <v>3.4167266793279083E-2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51118</v>
      </c>
      <c r="Y1736" s="152">
        <f>_xll.qlInterestRateIndexValueDate(IborIndex,X1736,Trigger)</f>
        <v>51120</v>
      </c>
      <c r="Z1736" s="153">
        <v>3.4429590074025011E-2</v>
      </c>
      <c r="AA1736" s="155">
        <v>3.4164612712084264E-2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51125</v>
      </c>
      <c r="Y1737" s="152">
        <f>_xll.qlInterestRateIndexValueDate(IborIndex,X1737,Trigger)</f>
        <v>51127</v>
      </c>
      <c r="Z1737" s="153">
        <v>3.4426759560133413E-2</v>
      </c>
      <c r="AA1737" s="155">
        <v>3.4161186518675279E-2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51132</v>
      </c>
      <c r="Y1738" s="152">
        <f>_xll.qlInterestRateIndexValueDate(IborIndex,X1738,Trigger)</f>
        <v>51134</v>
      </c>
      <c r="Z1738" s="153">
        <v>3.4419629455637687E-2</v>
      </c>
      <c r="AA1738" s="155">
        <v>3.4158893762770148E-2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51139</v>
      </c>
      <c r="Y1739" s="152">
        <f>_xll.qlInterestRateIndexValueDate(IborIndex,X1739,Trigger)</f>
        <v>51141</v>
      </c>
      <c r="Z1739" s="153">
        <v>3.4416782688577362E-2</v>
      </c>
      <c r="AA1739" s="155">
        <v>3.4156594105105853E-2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51146</v>
      </c>
      <c r="Y1740" s="152">
        <f>_xll.qlInterestRateIndexValueDate(IborIndex,X1740,Trigger)</f>
        <v>51148</v>
      </c>
      <c r="Z1740" s="153">
        <v>3.4413926369081277E-2</v>
      </c>
      <c r="AA1740" s="155">
        <v>3.415390244828842E-2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51153</v>
      </c>
      <c r="Y1741" s="152">
        <f>_xll.qlInterestRateIndexValueDate(IborIndex,X1741,Trigger)</f>
        <v>51155</v>
      </c>
      <c r="Z1741" s="153">
        <v>3.4411060497190268E-2</v>
      </c>
      <c r="AA1741" s="155">
        <v>3.415120139754535E-2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51160</v>
      </c>
      <c r="Y1742" s="152">
        <f>_xll.qlInterestRateIndexValueDate(IborIndex,X1742,Trigger)</f>
        <v>51162</v>
      </c>
      <c r="Z1742" s="153">
        <v>3.4408185072945185E-2</v>
      </c>
      <c r="AA1742" s="155">
        <v>3.4148490952796706E-2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51167</v>
      </c>
      <c r="Y1743" s="152">
        <f>_xll.qlInterestRateIndexValueDate(IborIndex,X1743,Trigger)</f>
        <v>51169</v>
      </c>
      <c r="Z1743" s="153">
        <v>3.4405300096387752E-2</v>
      </c>
      <c r="AA1743" s="155">
        <v>3.4145771114282297E-2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51174</v>
      </c>
      <c r="Y1744" s="152">
        <f>_xll.qlInterestRateIndexValueDate(IborIndex,X1744,Trigger)</f>
        <v>51176</v>
      </c>
      <c r="Z1744" s="153">
        <v>3.4402405567558386E-2</v>
      </c>
      <c r="AA1744" s="155">
        <v>3.4143041881762315E-2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51181</v>
      </c>
      <c r="Y1745" s="152">
        <f>_xll.qlInterestRateIndexValueDate(IborIndex,X1745,Trigger)</f>
        <v>51183</v>
      </c>
      <c r="Z1745" s="153">
        <v>3.4399501486498361E-2</v>
      </c>
      <c r="AA1745" s="155">
        <v>3.4140303255396631E-2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51188</v>
      </c>
      <c r="Y1746" s="152">
        <f>_xll.qlInterestRateIndexValueDate(IborIndex,X1746,Trigger)</f>
        <v>51190</v>
      </c>
      <c r="Z1746" s="153">
        <v>3.4396587853248964E-2</v>
      </c>
      <c r="AA1746" s="155">
        <v>3.4137555235025374E-2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51195</v>
      </c>
      <c r="Y1747" s="152">
        <f>_xll.qlInterestRateIndexValueDate(IborIndex,X1747,Trigger)</f>
        <v>51197</v>
      </c>
      <c r="Z1747" s="153">
        <v>3.4399350299327544E-2</v>
      </c>
      <c r="AA1747" s="155">
        <v>3.4134797820888352E-2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51202</v>
      </c>
      <c r="Y1748" s="152">
        <f>_xll.qlInterestRateIndexValueDate(IborIndex,X1748,Trigger)</f>
        <v>51204</v>
      </c>
      <c r="Z1748" s="153">
        <v>3.4394993275968129E-2</v>
      </c>
      <c r="AA1748" s="155">
        <v>3.4132031012745756E-2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51209</v>
      </c>
      <c r="Y1749" s="152">
        <f>_xll.qlInterestRateIndexValueDate(IborIndex,X1749,Trigger)</f>
        <v>51211</v>
      </c>
      <c r="Z1749" s="153">
        <v>3.4392048102916094E-2</v>
      </c>
      <c r="AA1749" s="155">
        <v>3.4129254810757459E-2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51216</v>
      </c>
      <c r="Y1750" s="152">
        <f>_xll.qlInterestRateIndexValueDate(IborIndex,X1750,Trigger)</f>
        <v>51218</v>
      </c>
      <c r="Z1750" s="153">
        <v>3.4389093375208186E-2</v>
      </c>
      <c r="AA1750" s="155">
        <v>3.4126469214843524E-2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51223</v>
      </c>
      <c r="Y1751" s="152">
        <f>_xll.qlInterestRateIndexValueDate(IborIndex,X1751,Trigger)</f>
        <v>51229</v>
      </c>
      <c r="Z1751" s="153">
        <v>3.438159690647221E-2</v>
      </c>
      <c r="AA1751" s="155">
        <v>3.4122873931012876E-2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51230</v>
      </c>
      <c r="Y1752" s="152">
        <f>_xll.qlInterestRateIndexValueDate(IborIndex,X1752,Trigger)</f>
        <v>51232</v>
      </c>
      <c r="Z1752" s="153">
        <v>3.4384571849284042E-2</v>
      </c>
      <c r="AA1752" s="155">
        <v>3.4120869841238743E-2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51237</v>
      </c>
      <c r="Y1753" s="152">
        <f>_xll.qlInterestRateIndexValueDate(IborIndex,X1753,Trigger)</f>
        <v>51239</v>
      </c>
      <c r="Z1753" s="153">
        <v>3.4380171864574365E-2</v>
      </c>
      <c r="AA1753" s="155">
        <v>3.4118056063467961E-2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51244</v>
      </c>
      <c r="Y1754" s="152">
        <f>_xll.qlInterestRateIndexValueDate(IborIndex,X1754,Trigger)</f>
        <v>51246</v>
      </c>
      <c r="Z1754" s="153">
        <v>3.437717891867071E-2</v>
      </c>
      <c r="AA1754" s="155">
        <v>3.4115232891931413E-2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51251</v>
      </c>
      <c r="Y1755" s="152">
        <f>_xll.qlInterestRateIndexValueDate(IborIndex,X1755,Trigger)</f>
        <v>51253</v>
      </c>
      <c r="Z1755" s="153">
        <v>3.4374176418325929E-2</v>
      </c>
      <c r="AA1755" s="155">
        <v>3.4112400326389292E-2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51258</v>
      </c>
      <c r="Y1756" s="152">
        <f>_xll.qlInterestRateIndexValueDate(IborIndex,X1756,Trigger)</f>
        <v>51260</v>
      </c>
      <c r="Z1756" s="153">
        <v>3.4371164363583652E-2</v>
      </c>
      <c r="AA1756" s="155">
        <v>3.4109151605976606E-2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51265</v>
      </c>
      <c r="Y1757" s="152">
        <f>_xll.qlInterestRateIndexValueDate(IborIndex,X1757,Trigger)</f>
        <v>51267</v>
      </c>
      <c r="Z1757" s="153">
        <v>3.4369554514129277E-2</v>
      </c>
      <c r="AA1757" s="155">
        <v>3.4106707013767945E-2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51272</v>
      </c>
      <c r="Y1758" s="152">
        <f>_xll.qlInterestRateIndexValueDate(IborIndex,X1758,Trigger)</f>
        <v>51274</v>
      </c>
      <c r="Z1758" s="153">
        <v>3.4365111591081639E-2</v>
      </c>
      <c r="AA1758" s="155">
        <v>3.4103846266528848E-2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51279</v>
      </c>
      <c r="Y1759" s="152">
        <f>_xll.qlInterestRateIndexValueDate(IborIndex,X1759,Trigger)</f>
        <v>51281</v>
      </c>
      <c r="Z1759" s="153">
        <v>3.4362070873409173E-2</v>
      </c>
      <c r="AA1759" s="155">
        <v>3.4100565338439637E-2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51286</v>
      </c>
      <c r="Y1760" s="152">
        <f>_xll.qlInterestRateIndexValueDate(IborIndex,X1760,Trigger)</f>
        <v>51288</v>
      </c>
      <c r="Z1760" s="153">
        <v>3.4359020601514217E-2</v>
      </c>
      <c r="AA1760" s="155">
        <v>3.4098096590353677E-2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51293</v>
      </c>
      <c r="Y1761" s="152">
        <f>_xll.qlInterestRateIndexValueDate(IborIndex,X1761,Trigger)</f>
        <v>51295</v>
      </c>
      <c r="Z1761" s="153">
        <v>3.4355960775442132E-2</v>
      </c>
      <c r="AA1761" s="155">
        <v>3.409520766149754E-2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51300</v>
      </c>
      <c r="Y1762" s="152">
        <f>_xll.qlInterestRateIndexValueDate(IborIndex,X1762,Trigger)</f>
        <v>51302</v>
      </c>
      <c r="Z1762" s="153">
        <v>3.4352891395235702E-2</v>
      </c>
      <c r="AA1762" s="155">
        <v>3.4092309338555893E-2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51307</v>
      </c>
      <c r="Y1763" s="152">
        <f>_xll.qlInterestRateIndexValueDate(IborIndex,X1763,Trigger)</f>
        <v>51309</v>
      </c>
      <c r="Z1763" s="153">
        <v>3.4349812460939856E-2</v>
      </c>
      <c r="AA1763" s="155">
        <v>3.4089401621928417E-2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51314</v>
      </c>
      <c r="Y1764" s="152">
        <f>_xll.qlInterestRateIndexValueDate(IborIndex,X1764,Trigger)</f>
        <v>51316</v>
      </c>
      <c r="Z1764" s="153">
        <v>3.4346723972599538E-2</v>
      </c>
      <c r="AA1764" s="155">
        <v>3.4086484511215431E-2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51321</v>
      </c>
      <c r="Y1765" s="152">
        <f>_xll.qlInterestRateIndexValueDate(IborIndex,X1765,Trigger)</f>
        <v>51323</v>
      </c>
      <c r="Z1765" s="153">
        <v>3.4343625930259247E-2</v>
      </c>
      <c r="AA1765" s="155">
        <v>3.4083558006576808E-2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51328</v>
      </c>
      <c r="Y1766" s="152">
        <f>_xll.qlInterestRateIndexValueDate(IborIndex,X1766,Trigger)</f>
        <v>51330</v>
      </c>
      <c r="Z1766" s="153">
        <v>3.4340518333963926E-2</v>
      </c>
      <c r="AA1766" s="155">
        <v>3.4080622108092484E-2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51335</v>
      </c>
      <c r="Y1767" s="152">
        <f>_xll.qlInterestRateIndexValueDate(IborIndex,X1767,Trigger)</f>
        <v>51337</v>
      </c>
      <c r="Z1767" s="153">
        <v>3.4338803210431847E-2</v>
      </c>
      <c r="AA1767" s="155">
        <v>3.4077676815762459E-2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51342</v>
      </c>
      <c r="Y1768" s="152">
        <f>_xll.qlInterestRateIndexValueDate(IborIndex,X1768,Trigger)</f>
        <v>51344</v>
      </c>
      <c r="Z1768" s="153">
        <v>3.433427447968794E-2</v>
      </c>
      <c r="AA1768" s="155">
        <v>3.4074722129506796E-2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51349</v>
      </c>
      <c r="Y1769" s="152">
        <f>_xll.qlInterestRateIndexValueDate(IborIndex,X1769,Trigger)</f>
        <v>51351</v>
      </c>
      <c r="Z1769" s="153">
        <v>3.4331138221797577E-2</v>
      </c>
      <c r="AA1769" s="155">
        <v>3.407175804924556E-2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51356</v>
      </c>
      <c r="Y1770" s="152">
        <f>_xll.qlInterestRateIndexValueDate(IborIndex,X1770,Trigger)</f>
        <v>51358</v>
      </c>
      <c r="Z1770" s="153">
        <v>3.4327992410133228E-2</v>
      </c>
      <c r="AA1770" s="155">
        <v>3.4068784575218558E-2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51363</v>
      </c>
      <c r="Y1771" s="152">
        <f>_xll.qlInterestRateIndexValueDate(IborIndex,X1771,Trigger)</f>
        <v>51365</v>
      </c>
      <c r="Z1771" s="153">
        <v>3.4326235153753895E-2</v>
      </c>
      <c r="AA1771" s="155">
        <v>3.4065801707185983E-2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51370</v>
      </c>
      <c r="Y1772" s="152">
        <f>_xll.qlInterestRateIndexValueDate(IborIndex,X1772,Trigger)</f>
        <v>51372</v>
      </c>
      <c r="Z1772" s="153">
        <v>3.4321672125663602E-2</v>
      </c>
      <c r="AA1772" s="155">
        <v>3.4062381212418558E-2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51377</v>
      </c>
      <c r="Y1773" s="152">
        <f>_xll.qlInterestRateIndexValueDate(IborIndex,X1773,Trigger)</f>
        <v>51379</v>
      </c>
      <c r="Z1773" s="153">
        <v>3.4312913014470439E-2</v>
      </c>
      <c r="AA1773" s="155">
        <v>3.4059807789503793E-2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51384</v>
      </c>
      <c r="Y1774" s="152">
        <f>_xll.qlInterestRateIndexValueDate(IborIndex,X1774,Trigger)</f>
        <v>51386</v>
      </c>
      <c r="Z1774" s="153">
        <v>3.4309732919997601E-2</v>
      </c>
      <c r="AA1774" s="155">
        <v>3.4056796739694306E-2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51391</v>
      </c>
      <c r="Y1775" s="152">
        <f>_xll.qlInterestRateIndexValueDate(IborIndex,X1775,Trigger)</f>
        <v>51393</v>
      </c>
      <c r="Z1775" s="153">
        <v>3.4306543275465458E-2</v>
      </c>
      <c r="AA1775" s="155">
        <v>3.405377629619899E-2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51398</v>
      </c>
      <c r="Y1776" s="152">
        <f>_xll.qlInterestRateIndexValueDate(IborIndex,X1776,Trigger)</f>
        <v>51400</v>
      </c>
      <c r="Z1776" s="153">
        <v>3.4303344080919493E-2</v>
      </c>
      <c r="AA1776" s="155">
        <v>3.40507464586981E-2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51405</v>
      </c>
      <c r="Y1777" s="152">
        <f>_xll.qlInterestRateIndexValueDate(IborIndex,X1777,Trigger)</f>
        <v>51407</v>
      </c>
      <c r="Z1777" s="153">
        <v>3.4301527568652505E-2</v>
      </c>
      <c r="AA1777" s="155">
        <v>3.4047707227191637E-2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51412</v>
      </c>
      <c r="Y1778" s="152">
        <f>_xll.qlInterestRateIndexValueDate(IborIndex,X1778,Trigger)</f>
        <v>51414</v>
      </c>
      <c r="Z1778" s="153">
        <v>3.4298308288002094E-2</v>
      </c>
      <c r="AA1778" s="155">
        <v>3.4044658601919409E-2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51419</v>
      </c>
      <c r="Y1779" s="152">
        <f>_xll.qlInterestRateIndexValueDate(IborIndex,X1779,Trigger)</f>
        <v>51421</v>
      </c>
      <c r="Z1779" s="153">
        <v>3.429507945660424E-2</v>
      </c>
      <c r="AA1779" s="155">
        <v>3.4041600582641607E-2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51426</v>
      </c>
      <c r="Y1780" s="152">
        <f>_xll.qlInterestRateIndexValueDate(IborIndex,X1780,Trigger)</f>
        <v>51428</v>
      </c>
      <c r="Z1780" s="153">
        <v>3.4297398089256304E-2</v>
      </c>
      <c r="AA1780" s="155">
        <v>3.403853316959804E-2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51433</v>
      </c>
      <c r="Y1781" s="152">
        <f>_xll.qlInterestRateIndexValueDate(IborIndex,X1781,Trigger)</f>
        <v>51435</v>
      </c>
      <c r="Z1781" s="153">
        <v>3.4288593141748466E-2</v>
      </c>
      <c r="AA1781" s="155">
        <v>3.4035456362468963E-2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51440</v>
      </c>
      <c r="Y1782" s="152">
        <f>_xll.qlInterestRateIndexValueDate(IborIndex,X1782,Trigger)</f>
        <v>51442</v>
      </c>
      <c r="Z1782" s="153">
        <v>3.4283948365900888E-2</v>
      </c>
      <c r="AA1782" s="155">
        <v>3.4032370161574121E-2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51447</v>
      </c>
      <c r="Y1783" s="152">
        <f>_xll.qlInterestRateIndexValueDate(IborIndex,X1783,Trigger)</f>
        <v>51449</v>
      </c>
      <c r="Z1783" s="153">
        <v>3.428068232253452E-2</v>
      </c>
      <c r="AA1783" s="155">
        <v>3.4029274566673706E-2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51454</v>
      </c>
      <c r="Y1784" s="152">
        <f>_xll.qlInterestRateIndexValueDate(IborIndex,X1784,Trigger)</f>
        <v>51456</v>
      </c>
      <c r="Z1784" s="153">
        <v>3.4277406729520898E-2</v>
      </c>
      <c r="AA1784" s="155">
        <v>3.402616957792759E-2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51461</v>
      </c>
      <c r="Y1785" s="152">
        <f>_xll.qlInterestRateIndexValueDate(IborIndex,X1785,Trigger)</f>
        <v>51463</v>
      </c>
      <c r="Z1785" s="153">
        <v>3.4274121586906382E-2</v>
      </c>
      <c r="AA1785" s="155">
        <v>3.4023055195255836E-2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51468</v>
      </c>
      <c r="Y1786" s="152">
        <f>_xll.qlInterestRateIndexValueDate(IborIndex,X1786,Trigger)</f>
        <v>51470</v>
      </c>
      <c r="Z1786" s="153">
        <v>3.4272210219757578E-2</v>
      </c>
      <c r="AA1786" s="155">
        <v>3.4019931418818317E-2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51475</v>
      </c>
      <c r="Y1787" s="152">
        <f>_xll.qlInterestRateIndexValueDate(IborIndex,X1787,Trigger)</f>
        <v>51477</v>
      </c>
      <c r="Z1787" s="153">
        <v>3.4268904984043003E-2</v>
      </c>
      <c r="AA1787" s="155">
        <v>3.4016798248295288E-2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51482</v>
      </c>
      <c r="Y1788" s="152">
        <f>_xll.qlInterestRateIndexValueDate(IborIndex,X1788,Trigger)</f>
        <v>51484</v>
      </c>
      <c r="Z1788" s="153">
        <v>3.4265590198000427E-2</v>
      </c>
      <c r="AA1788" s="155">
        <v>3.4013655684006494E-2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51489</v>
      </c>
      <c r="Y1789" s="152">
        <f>_xll.qlInterestRateIndexValueDate(IborIndex,X1789,Trigger)</f>
        <v>51491</v>
      </c>
      <c r="Z1789" s="153">
        <v>3.4262265861675092E-2</v>
      </c>
      <c r="AA1789" s="155">
        <v>3.4009601440825321E-2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51497</v>
      </c>
      <c r="Y1790" s="152">
        <f>_xll.qlInterestRateIndexValueDate(IborIndex,X1790,Trigger)</f>
        <v>51501</v>
      </c>
      <c r="Z1790" s="153">
        <v>3.4253363468798093E-2</v>
      </c>
      <c r="AA1790" s="155">
        <v>3.4006437404672241E-2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51504</v>
      </c>
      <c r="Y1791" s="152">
        <f>_xll.qlInterestRateIndexValueDate(IborIndex,X1791,Trigger)</f>
        <v>51508</v>
      </c>
      <c r="Z1791" s="153">
        <v>3.4254152713391786E-2</v>
      </c>
      <c r="AA1791" s="155">
        <v>3.4003717896933239E-2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51511</v>
      </c>
      <c r="Y1792" s="152">
        <f>_xll.qlInterestRateIndexValueDate(IborIndex,X1792,Trigger)</f>
        <v>51515</v>
      </c>
      <c r="Z1792" s="153">
        <v>3.4250795633603559E-2</v>
      </c>
      <c r="AA1792" s="155">
        <v>3.4000536415055294E-2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51518</v>
      </c>
      <c r="Y1793" s="152">
        <f>_xll.qlInterestRateIndexValueDate(IborIndex,X1793,Trigger)</f>
        <v>51523</v>
      </c>
      <c r="Z1793" s="153">
        <v>3.4245571499867566E-2</v>
      </c>
      <c r="AA1793" s="155">
        <v>3.3996888932898983E-2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51525</v>
      </c>
      <c r="Y1794" s="152">
        <f>_xll.qlInterestRateIndexValueDate(IborIndex,X1794,Trigger)</f>
        <v>51529</v>
      </c>
      <c r="Z1794" s="153">
        <v>3.4244052823861795E-2</v>
      </c>
      <c r="AA1794" s="155">
        <v>3.3994145269442555E-2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51532</v>
      </c>
      <c r="Y1795" s="152">
        <f>_xll.qlInterestRateIndexValueDate(IborIndex,X1795,Trigger)</f>
        <v>51536</v>
      </c>
      <c r="Z1795" s="153">
        <v>3.4240667094004001E-2</v>
      </c>
      <c r="AA1795" s="155">
        <v>3.3990935605867634E-2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51539</v>
      </c>
      <c r="Y1796" s="152">
        <f>_xll.qlInterestRateIndexValueDate(IborIndex,X1796,Trigger)</f>
        <v>51543</v>
      </c>
      <c r="Z1796" s="153">
        <v>3.4237271814220087E-2</v>
      </c>
      <c r="AA1796" s="155">
        <v>3.3987716548287139E-2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51546</v>
      </c>
      <c r="Y1797" s="152">
        <f>_xll.qlInterestRateIndexValueDate(IborIndex,X1797,Trigger)</f>
        <v>51551</v>
      </c>
      <c r="Z1797" s="153">
        <v>3.4232008031183904E-2</v>
      </c>
      <c r="AA1797" s="155">
        <v>3.3984026122642064E-2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51553</v>
      </c>
      <c r="Y1798" s="152">
        <f>_xll.qlInterestRateIndexValueDate(IborIndex,X1798,Trigger)</f>
        <v>51557</v>
      </c>
      <c r="Z1798" s="153">
        <v>3.4231823504306473E-2</v>
      </c>
      <c r="AA1798" s="155">
        <v>3.398125025150911E-2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51560</v>
      </c>
      <c r="Y1799" s="152">
        <f>_xll.qlInterestRateIndexValueDate(IborIndex,X1799,Trigger)</f>
        <v>51564</v>
      </c>
      <c r="Z1799" s="153">
        <v>3.4229768454444399E-2</v>
      </c>
      <c r="AA1799" s="155">
        <v>3.3978003012311575E-2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51567</v>
      </c>
      <c r="Y1800" s="152">
        <f>_xll.qlInterestRateIndexValueDate(IborIndex,X1800,Trigger)</f>
        <v>51571</v>
      </c>
      <c r="Z1800" s="153">
        <v>3.422633296363517E-2</v>
      </c>
      <c r="AA1800" s="155">
        <v>3.3974746379108467E-2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51574</v>
      </c>
      <c r="Y1801" s="152">
        <f>_xll.qlInterestRateIndexValueDate(IborIndex,X1801,Trigger)</f>
        <v>51578</v>
      </c>
      <c r="Z1801" s="153">
        <v>3.4222887921413245E-2</v>
      </c>
      <c r="AA1801" s="155">
        <v>3.3971480352059658E-2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51581</v>
      </c>
      <c r="Y1802" s="152">
        <f>_xll.qlInterestRateIndexValueDate(IborIndex,X1802,Trigger)</f>
        <v>51585</v>
      </c>
      <c r="Z1802" s="153">
        <v>3.421943332782857E-2</v>
      </c>
      <c r="AA1802" s="155">
        <v>3.3968204931245083E-2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51588</v>
      </c>
      <c r="Y1803" s="152">
        <f>_xll.qlInterestRateIndexValueDate(IborIndex,X1803,Trigger)</f>
        <v>51592</v>
      </c>
      <c r="Z1803" s="153">
        <v>3.4214603327657918E-2</v>
      </c>
      <c r="AA1803" s="155">
        <v>3.3964920116344999E-2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51595</v>
      </c>
      <c r="Y1804" s="152">
        <f>_xll.qlInterestRateIndexValueDate(IborIndex,X1804,Trigger)</f>
        <v>51599</v>
      </c>
      <c r="Z1804" s="153">
        <v>3.4211130640931758E-2</v>
      </c>
      <c r="AA1804" s="155">
        <v>3.3961625907679149E-2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51602</v>
      </c>
      <c r="Y1805" s="152">
        <f>_xll.qlInterestRateIndexValueDate(IborIndex,X1805,Trigger)</f>
        <v>51606</v>
      </c>
      <c r="Z1805" s="153">
        <v>3.4207648403854707E-2</v>
      </c>
      <c r="AA1805" s="155">
        <v>3.3958322305087663E-2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51609</v>
      </c>
      <c r="Y1806" s="152">
        <f>_xll.qlInterestRateIndexValueDate(IborIndex,X1806,Trigger)</f>
        <v>51615</v>
      </c>
      <c r="Z1806" s="153">
        <v>3.4203157208812174E-2</v>
      </c>
      <c r="AA1806" s="155">
        <v>3.3956788964086826E-2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51616</v>
      </c>
      <c r="Y1807" s="152">
        <f>_xll.qlInterestRateIndexValueDate(IborIndex,X1807,Trigger)</f>
        <v>51620</v>
      </c>
      <c r="Z1807" s="153">
        <v>3.420065527885148E-2</v>
      </c>
      <c r="AA1807" s="155">
        <v>3.3951686918127777E-2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51623</v>
      </c>
      <c r="Y1808" s="152">
        <f>_xll.qlInterestRateIndexValueDate(IborIndex,X1808,Trigger)</f>
        <v>51628</v>
      </c>
      <c r="Z1808" s="153">
        <v>3.4198002710722007E-2</v>
      </c>
      <c r="AA1808" s="155">
        <v>3.3947878397828646E-2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51630</v>
      </c>
      <c r="Y1809" s="152">
        <f>_xll.qlInterestRateIndexValueDate(IborIndex,X1809,Trigger)</f>
        <v>51634</v>
      </c>
      <c r="Z1809" s="153">
        <v>3.4194983738776094E-2</v>
      </c>
      <c r="AA1809" s="155">
        <v>3.3945013955625214E-2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51637</v>
      </c>
      <c r="Y1810" s="152">
        <f>_xll.qlInterestRateIndexValueDate(IborIndex,X1810,Trigger)</f>
        <v>51641</v>
      </c>
      <c r="Z1810" s="153">
        <v>3.4191452736091935E-2</v>
      </c>
      <c r="AA1810" s="155">
        <v>3.3941663383485476E-2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51644</v>
      </c>
      <c r="Y1811" s="152">
        <f>_xll.qlInterestRateIndexValueDate(IborIndex,X1811,Trigger)</f>
        <v>51649</v>
      </c>
      <c r="Z1811" s="153">
        <v>3.4188763208170242E-2</v>
      </c>
      <c r="AA1811" s="155">
        <v>3.3937822655669692E-2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51651</v>
      </c>
      <c r="Y1812" s="152">
        <f>_xll.qlInterestRateIndexValueDate(IborIndex,X1812,Trigger)</f>
        <v>51655</v>
      </c>
      <c r="Z1812" s="153">
        <v>3.4183005338728277E-2</v>
      </c>
      <c r="AA1812" s="155">
        <v>3.3934934057668897E-2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51658</v>
      </c>
      <c r="Y1813" s="152">
        <f>_xll.qlInterestRateIndexValueDate(IborIndex,X1813,Trigger)</f>
        <v>51662</v>
      </c>
      <c r="Z1813" s="153">
        <v>3.4179446700659463E-2</v>
      </c>
      <c r="AA1813" s="155">
        <v>3.393155530391212E-2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51665</v>
      </c>
      <c r="Y1814" s="152">
        <f>_xll.qlInterestRateIndexValueDate(IborIndex,X1814,Trigger)</f>
        <v>51669</v>
      </c>
      <c r="Z1814" s="153">
        <v>3.417587851269404E-2</v>
      </c>
      <c r="AA1814" s="155">
        <v>3.3928167156149769E-2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51672</v>
      </c>
      <c r="Y1815" s="152">
        <f>_xll.qlInterestRateIndexValueDate(IborIndex,X1815,Trigger)</f>
        <v>51676</v>
      </c>
      <c r="Z1815" s="153">
        <v>3.4172300774883979E-2</v>
      </c>
      <c r="AA1815" s="155">
        <v>3.3924769614701589E-2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51679</v>
      </c>
      <c r="Y1816" s="152">
        <f>_xll.qlInterestRateIndexValueDate(IborIndex,X1816,Trigger)</f>
        <v>51683</v>
      </c>
      <c r="Z1816" s="153">
        <v>3.417141880549291E-2</v>
      </c>
      <c r="AA1816" s="155">
        <v>3.3921362679167899E-2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51686</v>
      </c>
      <c r="Y1817" s="152">
        <f>_xll.qlInterestRateIndexValueDate(IborIndex,X1817,Trigger)</f>
        <v>51690</v>
      </c>
      <c r="Z1817" s="153">
        <v>3.4166468294684449E-2</v>
      </c>
      <c r="AA1817" s="155">
        <v>3.3917946349788508E-2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51693</v>
      </c>
      <c r="Y1818" s="152">
        <f>_xll.qlInterestRateIndexValueDate(IborIndex,X1818,Trigger)</f>
        <v>51697</v>
      </c>
      <c r="Z1818" s="153">
        <v>3.4162860886154729E-2</v>
      </c>
      <c r="AA1818" s="155">
        <v>3.3914520626563416E-2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51700</v>
      </c>
      <c r="Y1819" s="152">
        <f>_xll.qlInterestRateIndexValueDate(IborIndex,X1819,Trigger)</f>
        <v>51704</v>
      </c>
      <c r="Z1819" s="153">
        <v>3.4159243927126791E-2</v>
      </c>
      <c r="AA1819" s="155">
        <v>3.3911085509492622E-2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51707</v>
      </c>
      <c r="Y1820" s="152">
        <f>_xll.qlInterestRateIndexValueDate(IborIndex,X1820,Trigger)</f>
        <v>51711</v>
      </c>
      <c r="Z1820" s="153">
        <v>3.4155617417652336E-2</v>
      </c>
      <c r="AA1820" s="155">
        <v>3.3907640998336319E-2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51714</v>
      </c>
      <c r="Y1821" s="152">
        <f>_xll.qlInterestRateIndexValueDate(IborIndex,X1821,Trigger)</f>
        <v>51718</v>
      </c>
      <c r="Z1821" s="153">
        <v>3.4151981357783488E-2</v>
      </c>
      <c r="AA1821" s="155">
        <v>3.3904187093414251E-2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51721</v>
      </c>
      <c r="Y1822" s="152">
        <f>_xll.qlInterestRateIndexValueDate(IborIndex,X1822,Trigger)</f>
        <v>51725</v>
      </c>
      <c r="Z1822" s="153">
        <v>3.4148335747572818E-2</v>
      </c>
      <c r="AA1822" s="155">
        <v>3.3900723794646481E-2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51728</v>
      </c>
      <c r="Y1823" s="152">
        <f>_xll.qlInterestRateIndexValueDate(IborIndex,X1823,Trigger)</f>
        <v>51732</v>
      </c>
      <c r="Z1823" s="153">
        <v>3.4144680587073761E-2</v>
      </c>
      <c r="AA1823" s="155">
        <v>3.3897251101953074E-2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51735</v>
      </c>
      <c r="Y1824" s="152">
        <f>_xll.qlInterestRateIndexValueDate(IborIndex,X1824,Trigger)</f>
        <v>51740</v>
      </c>
      <c r="Z1824" s="153">
        <v>3.4140491566624118E-2</v>
      </c>
      <c r="AA1824" s="155">
        <v>3.3893270807539011E-2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51742</v>
      </c>
      <c r="Y1825" s="152">
        <f>_xll.qlInterestRateIndexValueDate(IborIndex,X1825,Trigger)</f>
        <v>51747</v>
      </c>
      <c r="Z1825" s="153">
        <v>3.4132785993800666E-2</v>
      </c>
      <c r="AA1825" s="155">
        <v>3.3889777985027791E-2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51749</v>
      </c>
      <c r="Y1826" s="152">
        <f>_xll.qlInterestRateIndexValueDate(IborIndex,X1826,Trigger)</f>
        <v>51753</v>
      </c>
      <c r="Z1826" s="153">
        <v>3.4130972949448564E-2</v>
      </c>
      <c r="AA1826" s="155">
        <v>3.3886776660478901E-2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51756</v>
      </c>
      <c r="Y1827" s="152">
        <f>_xll.qlInterestRateIndexValueDate(IborIndex,X1827,Trigger)</f>
        <v>51760</v>
      </c>
      <c r="Z1827" s="153">
        <v>3.4127281646591776E-2</v>
      </c>
      <c r="AA1827" s="155">
        <v>3.3883266392242817E-2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51763</v>
      </c>
      <c r="Y1828" s="152">
        <f>_xll.qlInterestRateIndexValueDate(IborIndex,X1828,Trigger)</f>
        <v>51767</v>
      </c>
      <c r="Z1828" s="153">
        <v>3.4123580795423401E-2</v>
      </c>
      <c r="AA1828" s="155">
        <v>3.3879746730001159E-2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51770</v>
      </c>
      <c r="Y1829" s="152">
        <f>_xll.qlInterestRateIndexValueDate(IborIndex,X1829,Trigger)</f>
        <v>51774</v>
      </c>
      <c r="Z1829" s="153">
        <v>3.4119870395996135E-2</v>
      </c>
      <c r="AA1829" s="155">
        <v>3.3876217673993736E-2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51777</v>
      </c>
      <c r="Y1830" s="152">
        <f>_xll.qlInterestRateIndexValueDate(IborIndex,X1830,Trigger)</f>
        <v>51781</v>
      </c>
      <c r="Z1830" s="153">
        <v>3.4117488761492946E-2</v>
      </c>
      <c r="AA1830" s="155">
        <v>3.3872679224060676E-2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51784</v>
      </c>
      <c r="Y1831" s="152">
        <f>_xll.qlInterestRateIndexValueDate(IborIndex,X1831,Trigger)</f>
        <v>51789</v>
      </c>
      <c r="Z1831" s="153">
        <v>3.4111887388024544E-2</v>
      </c>
      <c r="AA1831" s="155">
        <v>3.3868623778561258E-2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51791</v>
      </c>
      <c r="Y1832" s="152">
        <f>_xll.qlInterestRateIndexValueDate(IborIndex,X1832,Trigger)</f>
        <v>51795</v>
      </c>
      <c r="Z1832" s="153">
        <v>3.4108681908687634E-2</v>
      </c>
      <c r="AA1832" s="155">
        <v>3.3865574142497579E-2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51798</v>
      </c>
      <c r="Y1833" s="152">
        <f>_xll.qlInterestRateIndexValueDate(IborIndex,X1833,Trigger)</f>
        <v>51802</v>
      </c>
      <c r="Z1833" s="153">
        <v>3.4104933316752753E-2</v>
      </c>
      <c r="AA1833" s="155">
        <v>3.3862007510947478E-2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51805</v>
      </c>
      <c r="Y1834" s="152">
        <f>_xll.qlInterestRateIndexValueDate(IborIndex,X1834,Trigger)</f>
        <v>51809</v>
      </c>
      <c r="Z1834" s="153">
        <v>3.4102509354896525E-2</v>
      </c>
      <c r="AA1834" s="155">
        <v>3.3858431485311868E-2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51812</v>
      </c>
      <c r="Y1835" s="152">
        <f>_xll.qlInterestRateIndexValueDate(IborIndex,X1835,Trigger)</f>
        <v>51817</v>
      </c>
      <c r="Z1835" s="153">
        <v>3.4095535458806392E-2</v>
      </c>
      <c r="AA1835" s="155">
        <v>3.3854333096323685E-2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51819</v>
      </c>
      <c r="Y1836" s="152">
        <f>_xll.qlInterestRateIndexValueDate(IborIndex,X1836,Trigger)</f>
        <v>51823</v>
      </c>
      <c r="Z1836" s="153">
        <v>3.4093630253201251E-2</v>
      </c>
      <c r="AA1836" s="155">
        <v>3.3851251252663417E-2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51826</v>
      </c>
      <c r="Y1837" s="152">
        <f>_xll.qlInterestRateIndexValueDate(IborIndex,X1837,Trigger)</f>
        <v>51830</v>
      </c>
      <c r="Z1837" s="153">
        <v>3.4091174537421082E-2</v>
      </c>
      <c r="AA1837" s="155">
        <v>3.3847647045570639E-2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51833</v>
      </c>
      <c r="Y1838" s="152">
        <f>_xll.qlInterestRateIndexValueDate(IborIndex,X1838,Trigger)</f>
        <v>51837</v>
      </c>
      <c r="Z1838" s="153">
        <v>3.4086047138248136E-2</v>
      </c>
      <c r="AA1838" s="155">
        <v>3.3844033444472288E-2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51840</v>
      </c>
      <c r="Y1839" s="152">
        <f>_xll.qlInterestRateIndexValueDate(IborIndex,X1839,Trigger)</f>
        <v>51844</v>
      </c>
      <c r="Z1839" s="153">
        <v>3.4082241259157139E-2</v>
      </c>
      <c r="AA1839" s="155">
        <v>3.3840410449528235E-2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51847</v>
      </c>
      <c r="Y1840" s="152">
        <f>_xll.qlInterestRateIndexValueDate(IborIndex,X1840,Trigger)</f>
        <v>51851</v>
      </c>
      <c r="Z1840" s="153">
        <v>3.4078425832396231E-2</v>
      </c>
      <c r="AA1840" s="155">
        <v>3.3836778060658546E-2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51854</v>
      </c>
      <c r="Y1841" s="152">
        <f>_xll.qlInterestRateIndexValueDate(IborIndex,X1841,Trigger)</f>
        <v>51858</v>
      </c>
      <c r="Z1841" s="153">
        <v>3.4074600858019437E-2</v>
      </c>
      <c r="AA1841" s="155">
        <v>3.3834752049806127E-2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51862</v>
      </c>
      <c r="Y1842" s="152">
        <f>_xll.qlInterestRateIndexValueDate(IborIndex,X1842,Trigger)</f>
        <v>51866</v>
      </c>
      <c r="Z1842" s="153">
        <v>3.4068892033201841E-2</v>
      </c>
      <c r="AA1842" s="155">
        <v>3.3831096160241714E-2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51869</v>
      </c>
      <c r="Y1843" s="152">
        <f>_xll.qlInterestRateIndexValueDate(IborIndex,X1843,Trigger)</f>
        <v>51873</v>
      </c>
      <c r="Z1843" s="153">
        <v>3.4065047642520691E-2</v>
      </c>
      <c r="AA1843" s="155">
        <v>3.3825300825416349E-2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51876</v>
      </c>
      <c r="Y1844" s="152">
        <f>_xll.qlInterestRateIndexValueDate(IborIndex,X1844,Trigger)</f>
        <v>51880</v>
      </c>
      <c r="Z1844" s="153">
        <v>3.4061193705246184E-2</v>
      </c>
      <c r="AA1844" s="155">
        <v>3.3821629519037444E-2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51883</v>
      </c>
      <c r="Y1845" s="152">
        <f>_xll.qlInterestRateIndexValueDate(IborIndex,X1845,Trigger)</f>
        <v>51887</v>
      </c>
      <c r="Z1845" s="153">
        <v>3.4057330221433535E-2</v>
      </c>
      <c r="AA1845" s="155">
        <v>3.3817948818812837E-2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51890</v>
      </c>
      <c r="Y1846" s="152">
        <f>_xll.qlInterestRateIndexValueDate(IborIndex,X1846,Trigger)</f>
        <v>51894</v>
      </c>
      <c r="Z1846" s="153">
        <v>3.4053457191137497E-2</v>
      </c>
      <c r="AA1846" s="155">
        <v>3.3814258724662594E-2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51897</v>
      </c>
      <c r="Y1847" s="152">
        <f>_xll.qlInterestRateIndexValueDate(IborIndex,X1847,Trigger)</f>
        <v>51901</v>
      </c>
      <c r="Z1847" s="153">
        <v>3.4049574614411965E-2</v>
      </c>
      <c r="AA1847" s="155">
        <v>3.3810559236746585E-2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51904</v>
      </c>
      <c r="Y1848" s="152">
        <f>_xll.qlInterestRateIndexValueDate(IborIndex,X1848,Trigger)</f>
        <v>51908</v>
      </c>
      <c r="Z1848" s="153">
        <v>3.4045682491312568E-2</v>
      </c>
      <c r="AA1848" s="155">
        <v>3.380685035466513E-2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51911</v>
      </c>
      <c r="Y1849" s="152">
        <f>_xll.qlInterestRateIndexValueDate(IborIndex,X1849,Trigger)</f>
        <v>51915</v>
      </c>
      <c r="Z1849" s="153">
        <v>3.4041780821894525E-2</v>
      </c>
      <c r="AA1849" s="155">
        <v>3.3803132078897846E-2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51918</v>
      </c>
      <c r="Y1850" s="152">
        <f>_xll.qlInterestRateIndexValueDate(IborIndex,X1850,Trigger)</f>
        <v>51922</v>
      </c>
      <c r="Z1850" s="153">
        <v>3.4039186975516014E-2</v>
      </c>
      <c r="AA1850" s="155">
        <v>3.3799404409284861E-2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51925</v>
      </c>
      <c r="Y1851" s="152">
        <f>_xll.qlInterestRateIndexValueDate(IborIndex,X1851,Trigger)</f>
        <v>51929</v>
      </c>
      <c r="Z1851" s="153">
        <v>3.4037897749796486E-2</v>
      </c>
      <c r="AA1851" s="155">
        <v>3.3795667345746239E-2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51932</v>
      </c>
      <c r="Y1852" s="152">
        <f>_xll.qlInterestRateIndexValueDate(IborIndex,X1852,Trigger)</f>
        <v>51936</v>
      </c>
      <c r="Z1852" s="153">
        <v>3.4033964290264916E-2</v>
      </c>
      <c r="AA1852" s="155">
        <v>3.3791920888281979E-2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51939</v>
      </c>
      <c r="Y1853" s="152">
        <f>_xll.qlInterestRateIndexValueDate(IborIndex,X1853,Trigger)</f>
        <v>51943</v>
      </c>
      <c r="Z1853" s="153">
        <v>3.4030021282091469E-2</v>
      </c>
      <c r="AA1853" s="155">
        <v>3.3788165036972018E-2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51946</v>
      </c>
      <c r="Y1854" s="152">
        <f>_xll.qlInterestRateIndexValueDate(IborIndex,X1854,Trigger)</f>
        <v>51950</v>
      </c>
      <c r="Z1854" s="153">
        <v>3.402606872533219E-2</v>
      </c>
      <c r="AA1854" s="155">
        <v>3.3784399791816355E-2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51953</v>
      </c>
      <c r="Y1855" s="152">
        <f>_xll.qlInterestRateIndexValueDate(IborIndex,X1855,Trigger)</f>
        <v>51957</v>
      </c>
      <c r="Z1855" s="153">
        <v>3.4020794543911902E-2</v>
      </c>
      <c r="AA1855" s="155">
        <v>3.3785884571235769E-2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51964</v>
      </c>
      <c r="Y1856" s="152">
        <f>_xll.qlInterestRateIndexValueDate(IborIndex,X1856,Trigger)</f>
        <v>51966</v>
      </c>
      <c r="Z1856" s="153">
        <v>3.4015687733497793E-2</v>
      </c>
      <c r="AA1856" s="155">
        <v>3.3774674597566445E-2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51971</v>
      </c>
      <c r="Y1857" s="152">
        <f>_xll.qlInterestRateIndexValueDate(IborIndex,X1857,Trigger)</f>
        <v>51973</v>
      </c>
      <c r="Z1857" s="153">
        <v>3.4011704858349416E-2</v>
      </c>
      <c r="AA1857" s="155">
        <v>3.3770875802687783E-2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51978</v>
      </c>
      <c r="Y1858" s="152">
        <f>_xll.qlInterestRateIndexValueDate(IborIndex,X1858,Trigger)</f>
        <v>51980</v>
      </c>
      <c r="Z1858" s="153">
        <v>3.4007712435706439E-2</v>
      </c>
      <c r="AA1858" s="155">
        <v>3.3767067614043356E-2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51985</v>
      </c>
      <c r="Y1859" s="152">
        <f>_xll.qlInterestRateIndexValueDate(IborIndex,X1859,Trigger)</f>
        <v>51987</v>
      </c>
      <c r="Z1859" s="153">
        <v>3.4007633066184831E-2</v>
      </c>
      <c r="AA1859" s="155">
        <v>3.3762703895696689E-2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51992</v>
      </c>
      <c r="Y1860" s="152">
        <f>_xll.qlInterestRateIndexValueDate(IborIndex,X1860,Trigger)</f>
        <v>51994</v>
      </c>
      <c r="Z1860" s="153">
        <v>3.4003618375237833E-2</v>
      </c>
      <c r="AA1860" s="155">
        <v>3.3759423055137461E-2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51999</v>
      </c>
      <c r="Y1861" s="152">
        <f>_xll.qlInterestRateIndexValueDate(IborIndex,X1861,Trigger)</f>
        <v>52001</v>
      </c>
      <c r="Z1861" s="153">
        <v>3.3999594134431439E-2</v>
      </c>
      <c r="AA1861" s="155">
        <v>3.3755586684716121E-2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52006</v>
      </c>
      <c r="Y1862" s="152">
        <f>_xll.qlInterestRateIndexValueDate(IborIndex,X1862,Trigger)</f>
        <v>52008</v>
      </c>
      <c r="Z1862" s="153">
        <v>3.3995560343823665E-2</v>
      </c>
      <c r="AA1862" s="155">
        <v>3.3751190758772864E-2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52013</v>
      </c>
      <c r="Y1863" s="152">
        <f>_xll.qlInterestRateIndexValueDate(IborIndex,X1863,Trigger)</f>
        <v>52015</v>
      </c>
      <c r="Z1863" s="153">
        <v>3.398760711209195E-2</v>
      </c>
      <c r="AA1863" s="155">
        <v>3.3747885762416274E-2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52020</v>
      </c>
      <c r="Y1864" s="152">
        <f>_xll.qlInterestRateIndexValueDate(IborIndex,X1864,Trigger)</f>
        <v>52022</v>
      </c>
      <c r="Z1864" s="153">
        <v>3.3983557405690909E-2</v>
      </c>
      <c r="AA1864" s="155">
        <v>3.3744021210537767E-2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52027</v>
      </c>
      <c r="Y1865" s="152">
        <f>_xll.qlInterestRateIndexValueDate(IborIndex,X1865,Trigger)</f>
        <v>52029</v>
      </c>
      <c r="Z1865" s="153">
        <v>3.3979498152199757E-2</v>
      </c>
      <c r="AA1865" s="155">
        <v>3.3740147264653686E-2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52034</v>
      </c>
      <c r="Y1866" s="152">
        <f>_xll.qlInterestRateIndexValueDate(IborIndex,X1866,Trigger)</f>
        <v>52036</v>
      </c>
      <c r="Z1866" s="153">
        <v>3.3975429351676148E-2</v>
      </c>
      <c r="AA1866" s="155">
        <v>3.373626392500384E-2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52041</v>
      </c>
      <c r="Y1867" s="152">
        <f>_xll.qlInterestRateIndexValueDate(IborIndex,X1867,Trigger)</f>
        <v>52043</v>
      </c>
      <c r="Z1867" s="153">
        <v>3.3975248145831256E-2</v>
      </c>
      <c r="AA1867" s="155">
        <v>3.3732371191428356E-2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52048</v>
      </c>
      <c r="Y1868" s="152">
        <f>_xll.qlInterestRateIndexValueDate(IborIndex,X1868,Trigger)</f>
        <v>52050</v>
      </c>
      <c r="Z1868" s="153">
        <v>3.39711570576555E-2</v>
      </c>
      <c r="AA1868" s="155">
        <v>3.3728469063927236E-2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52055</v>
      </c>
      <c r="Y1869" s="152">
        <f>_xll.qlInterestRateIndexValueDate(IborIndex,X1869,Trigger)</f>
        <v>52057</v>
      </c>
      <c r="Z1869" s="153">
        <v>3.3967056420092234E-2</v>
      </c>
      <c r="AA1869" s="155">
        <v>3.3724557542660349E-2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52062</v>
      </c>
      <c r="Y1870" s="152">
        <f>_xll.qlInterestRateIndexValueDate(IborIndex,X1870,Trigger)</f>
        <v>52064</v>
      </c>
      <c r="Z1870" s="153">
        <v>3.3964242042020178E-2</v>
      </c>
      <c r="AA1870" s="155">
        <v>3.372063662738789E-2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52069</v>
      </c>
      <c r="Y1871" s="152">
        <f>_xll.qlInterestRateIndexValueDate(IborIndex,X1871,Trigger)</f>
        <v>52071</v>
      </c>
      <c r="Z1871" s="153">
        <v>3.395882649704423E-2</v>
      </c>
      <c r="AA1871" s="155">
        <v>3.3716706318269729E-2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52076</v>
      </c>
      <c r="Y1872" s="152">
        <f>_xll.qlInterestRateIndexValueDate(IborIndex,X1872,Trigger)</f>
        <v>52078</v>
      </c>
      <c r="Z1872" s="153">
        <v>3.3950816064115048E-2</v>
      </c>
      <c r="AA1872" s="155">
        <v>3.3712766615225931E-2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52083</v>
      </c>
      <c r="Y1873" s="152">
        <f>_xll.qlInterestRateIndexValueDate(IborIndex,X1873,Trigger)</f>
        <v>52085</v>
      </c>
      <c r="Z1873" s="153">
        <v>3.3950558377165159E-2</v>
      </c>
      <c r="AA1873" s="155">
        <v>3.3708817518416367E-2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52090</v>
      </c>
      <c r="Y1874" s="152">
        <f>_xll.qlInterestRateIndexValueDate(IborIndex,X1874,Trigger)</f>
        <v>52092</v>
      </c>
      <c r="Z1874" s="153">
        <v>3.3947701527616905E-2</v>
      </c>
      <c r="AA1874" s="155">
        <v>3.3704859027681167E-2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52097</v>
      </c>
      <c r="Y1875" s="152">
        <f>_xll.qlInterestRateIndexValueDate(IborIndex,X1875,Trigger)</f>
        <v>52099</v>
      </c>
      <c r="Z1875" s="153">
        <v>3.3942252060937636E-2</v>
      </c>
      <c r="AA1875" s="155">
        <v>3.3700323535539312E-2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52104</v>
      </c>
      <c r="Y1876" s="152">
        <f>_xll.qlInterestRateIndexValueDate(IborIndex,X1876,Trigger)</f>
        <v>52106</v>
      </c>
      <c r="Z1876" s="153">
        <v>3.3934216272519552E-2</v>
      </c>
      <c r="AA1876" s="155">
        <v>3.3696913864673661E-2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52111</v>
      </c>
      <c r="Y1877" s="152">
        <f>_xll.qlInterestRateIndexValueDate(IborIndex,X1877,Trigger)</f>
        <v>52113</v>
      </c>
      <c r="Z1877" s="153">
        <v>3.3927465621048376E-2</v>
      </c>
      <c r="AA1877" s="155">
        <v>3.3692927192241484E-2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52118</v>
      </c>
      <c r="Y1878" s="152">
        <f>_xll.qlInterestRateIndexValueDate(IborIndex,X1878,Trigger)</f>
        <v>52120</v>
      </c>
      <c r="Z1878" s="153">
        <v>3.3923284405938982E-2</v>
      </c>
      <c r="AA1878" s="155">
        <v>3.3688931126043542E-2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52125</v>
      </c>
      <c r="Y1879" s="152">
        <f>_xll.qlInterestRateIndexValueDate(IborIndex,X1879,Trigger)</f>
        <v>52127</v>
      </c>
      <c r="Z1879" s="153">
        <v>3.3919093646244361E-2</v>
      </c>
      <c r="AA1879" s="155">
        <v>3.3684925665919963E-2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52132</v>
      </c>
      <c r="Y1880" s="152">
        <f>_xll.qlInterestRateIndexValueDate(IborIndex,X1880,Trigger)</f>
        <v>52134</v>
      </c>
      <c r="Z1880" s="153">
        <v>3.3914893342024119E-2</v>
      </c>
      <c r="AA1880" s="155">
        <v>3.3680910811870746E-2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52139</v>
      </c>
      <c r="Y1881" s="152">
        <f>_xll.qlInterestRateIndexValueDate(IborIndex,X1881,Trigger)</f>
        <v>52141</v>
      </c>
      <c r="Z1881" s="153">
        <v>3.391196762794256E-2</v>
      </c>
      <c r="AA1881" s="155">
        <v>3.3676886563975827E-2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52146</v>
      </c>
      <c r="Y1882" s="152">
        <f>_xll.qlInterestRateIndexValueDate(IborIndex,X1882,Trigger)</f>
        <v>52148</v>
      </c>
      <c r="Z1882" s="153">
        <v>3.3907747158958591E-2</v>
      </c>
      <c r="AA1882" s="155">
        <v>3.3672852922315144E-2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52153</v>
      </c>
      <c r="Y1883" s="152">
        <f>_xll.qlInterestRateIndexValueDate(IborIndex,X1883,Trigger)</f>
        <v>52155</v>
      </c>
      <c r="Z1883" s="153">
        <v>3.3903517144789765E-2</v>
      </c>
      <c r="AA1883" s="155">
        <v>3.3668809886648887E-2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52160</v>
      </c>
      <c r="Y1884" s="152">
        <f>_xll.qlInterestRateIndexValueDate(IborIndex,X1884,Trigger)</f>
        <v>52162</v>
      </c>
      <c r="Z1884" s="153">
        <v>3.3899277585495803E-2</v>
      </c>
      <c r="AA1884" s="155">
        <v>3.3664757457136929E-2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52167</v>
      </c>
      <c r="Y1885" s="152">
        <f>_xll.qlInterestRateIndexValueDate(IborIndex,X1885,Trigger)</f>
        <v>52169</v>
      </c>
      <c r="Z1885" s="153">
        <v>3.3895028481137332E-2</v>
      </c>
      <c r="AA1885" s="155">
        <v>3.3660695633859206E-2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52174</v>
      </c>
      <c r="Y1886" s="152">
        <f>_xll.qlInterestRateIndexValueDate(IborIndex,X1886,Trigger)</f>
        <v>52176</v>
      </c>
      <c r="Z1886" s="153">
        <v>3.3889491085001847E-2</v>
      </c>
      <c r="AA1886" s="155">
        <v>3.3656624416575909E-2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52181</v>
      </c>
      <c r="Y1887" s="152">
        <f>_xll.qlInterestRateIndexValueDate(IborIndex,X1887,Trigger)</f>
        <v>52183</v>
      </c>
      <c r="Z1887" s="153">
        <v>3.3885223970773919E-2</v>
      </c>
      <c r="AA1887" s="155">
        <v>3.3652543805606783E-2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52188</v>
      </c>
      <c r="Y1888" s="152">
        <f>_xll.qlInterestRateIndexValueDate(IborIndex,X1888,Trigger)</f>
        <v>52190</v>
      </c>
      <c r="Z1888" s="153">
        <v>3.388094731250043E-2</v>
      </c>
      <c r="AA1888" s="155">
        <v>3.3648453800472211E-2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52195</v>
      </c>
      <c r="Y1889" s="152">
        <f>_xll.qlInterestRateIndexValueDate(IborIndex,X1889,Trigger)</f>
        <v>52198</v>
      </c>
      <c r="Z1889" s="153">
        <v>3.3877323365958979E-2</v>
      </c>
      <c r="AA1889" s="155">
        <v>3.3643768006479391E-2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52202</v>
      </c>
      <c r="Y1890" s="152">
        <f>_xll.qlInterestRateIndexValueDate(IborIndex,X1890,Trigger)</f>
        <v>52204</v>
      </c>
      <c r="Z1890" s="153">
        <v>3.3873639785497664E-2</v>
      </c>
      <c r="AA1890" s="155">
        <v>3.3640245608985708E-2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52209</v>
      </c>
      <c r="Y1891" s="152">
        <f>_xll.qlInterestRateIndexValueDate(IborIndex,X1891,Trigger)</f>
        <v>52211</v>
      </c>
      <c r="Z1891" s="153">
        <v>3.3869333412026213E-2</v>
      </c>
      <c r="AA1891" s="155">
        <v>3.3636127422314033E-2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52216</v>
      </c>
      <c r="Y1892" s="152">
        <f>_xll.qlInterestRateIndexValueDate(IborIndex,X1892,Trigger)</f>
        <v>52218</v>
      </c>
      <c r="Z1892" s="153">
        <v>3.3865017493917605E-2</v>
      </c>
      <c r="AA1892" s="155">
        <v>3.3631999841876592E-2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52223</v>
      </c>
      <c r="Y1893" s="152">
        <f>_xll.qlInterestRateIndexValueDate(IborIndex,X1893,Trigger)</f>
        <v>52229</v>
      </c>
      <c r="Z1893" s="153">
        <v>3.3858216052972206E-2</v>
      </c>
      <c r="AA1893" s="155">
        <v>3.3627953539583366E-2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52230</v>
      </c>
      <c r="Y1894" s="152">
        <f>_xll.qlInterestRateIndexValueDate(IborIndex,X1894,Trigger)</f>
        <v>52233</v>
      </c>
      <c r="Z1894" s="153">
        <v>3.385446703060923E-2</v>
      </c>
      <c r="AA1894" s="155">
        <v>3.3623123394139753E-2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52237</v>
      </c>
      <c r="Y1895" s="152">
        <f>_xll.qlInterestRateIndexValueDate(IborIndex,X1895,Trigger)</f>
        <v>52239</v>
      </c>
      <c r="Z1895" s="153">
        <v>3.385074347639995E-2</v>
      </c>
      <c r="AA1895" s="155">
        <v>3.361956073733019E-2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52244</v>
      </c>
      <c r="Y1896" s="152">
        <f>_xll.qlInterestRateIndexValueDate(IborIndex,X1896,Trigger)</f>
        <v>52246</v>
      </c>
      <c r="Z1896" s="153">
        <v>3.3846390467949454E-2</v>
      </c>
      <c r="AA1896" s="155">
        <v>3.3615395581350072E-2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52251</v>
      </c>
      <c r="Y1897" s="152">
        <f>_xll.qlInterestRateIndexValueDate(IborIndex,X1897,Trigger)</f>
        <v>52253</v>
      </c>
      <c r="Z1897" s="153">
        <v>3.3842027916002805E-2</v>
      </c>
      <c r="AA1897" s="155">
        <v>3.3611221031444316E-2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52258</v>
      </c>
      <c r="Y1898" s="152">
        <f>_xll.qlInterestRateIndexValueDate(IborIndex,X1898,Trigger)</f>
        <v>52260</v>
      </c>
      <c r="Z1898" s="153">
        <v>3.3837655820622266E-2</v>
      </c>
      <c r="AA1898" s="155">
        <v>3.3607037087772795E-2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52265</v>
      </c>
      <c r="Y1899" s="152">
        <f>_xll.qlInterestRateIndexValueDate(IborIndex,X1899,Trigger)</f>
        <v>52267</v>
      </c>
      <c r="Z1899" s="153">
        <v>3.3833274181869669E-2</v>
      </c>
      <c r="AA1899" s="155">
        <v>3.3602843750255573E-2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52272</v>
      </c>
      <c r="Y1900" s="152">
        <f>_xll.qlInterestRateIndexValueDate(IborIndex,X1900,Trigger)</f>
        <v>52274</v>
      </c>
      <c r="Z1900" s="153">
        <v>3.3828882999805951E-2</v>
      </c>
      <c r="AA1900" s="155">
        <v>3.3598641018812714E-2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52279</v>
      </c>
      <c r="Y1901" s="152">
        <f>_xll.qlInterestRateIndexValueDate(IborIndex,X1901,Trigger)</f>
        <v>52281</v>
      </c>
      <c r="Z1901" s="153">
        <v>3.3824482274494277E-2</v>
      </c>
      <c r="AA1901" s="155">
        <v>3.3594428893524153E-2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52286</v>
      </c>
      <c r="Y1902" s="152">
        <f>_xll.qlInterestRateIndexValueDate(IborIndex,X1902,Trigger)</f>
        <v>52288</v>
      </c>
      <c r="Z1902" s="153">
        <v>3.3820072005997355E-2</v>
      </c>
      <c r="AA1902" s="155">
        <v>3.3590207374389891E-2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52293</v>
      </c>
      <c r="Y1903" s="152">
        <f>_xll.qlInterestRateIndexValueDate(IborIndex,X1903,Trigger)</f>
        <v>52295</v>
      </c>
      <c r="Z1903" s="153">
        <v>3.3823213432799516E-2</v>
      </c>
      <c r="AA1903" s="155">
        <v>3.3585976461409928E-2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52300</v>
      </c>
      <c r="Y1904" s="152">
        <f>_xll.qlInterestRateIndexValueDate(IborIndex,X1904,Trigger)</f>
        <v>52302</v>
      </c>
      <c r="Z1904" s="153">
        <v>3.3817518464432317E-2</v>
      </c>
      <c r="AA1904" s="155">
        <v>3.3581736154424391E-2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52307</v>
      </c>
      <c r="Y1905" s="152">
        <f>_xll.qlInterestRateIndexValueDate(IborIndex,X1905,Trigger)</f>
        <v>52309</v>
      </c>
      <c r="Z1905" s="153">
        <v>3.3813074089762307E-2</v>
      </c>
      <c r="AA1905" s="155">
        <v>3.3577486453753025E-2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52314</v>
      </c>
      <c r="Y1906" s="152">
        <f>_xll.qlInterestRateIndexValueDate(IborIndex,X1906,Trigger)</f>
        <v>52316</v>
      </c>
      <c r="Z1906" s="153">
        <v>3.3808620168006169E-2</v>
      </c>
      <c r="AA1906" s="155">
        <v>3.3572008749462867E-2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52321</v>
      </c>
      <c r="Y1907" s="152">
        <f>_xll.qlInterestRateIndexValueDate(IborIndex,X1907,Trigger)</f>
        <v>52323</v>
      </c>
      <c r="Z1907" s="153">
        <v>3.3800389270920606E-2</v>
      </c>
      <c r="AA1907" s="155">
        <v>3.3568958870473509E-2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52328</v>
      </c>
      <c r="Y1908" s="152">
        <f>_xll.qlInterestRateIndexValueDate(IborIndex,X1908,Trigger)</f>
        <v>52330</v>
      </c>
      <c r="Z1908" s="153">
        <v>3.3795919549321859E-2</v>
      </c>
      <c r="AA1908" s="155">
        <v>3.3564680988185103E-2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52335</v>
      </c>
      <c r="Y1909" s="152">
        <f>_xll.qlInterestRateIndexValueDate(IborIndex,X1909,Trigger)</f>
        <v>52337</v>
      </c>
      <c r="Z1909" s="153">
        <v>3.3791440283318944E-2</v>
      </c>
      <c r="AA1909" s="155">
        <v>3.3560393711971059E-2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52342</v>
      </c>
      <c r="Y1910" s="152">
        <f>_xll.qlInterestRateIndexValueDate(IborIndex,X1910,Trigger)</f>
        <v>52344</v>
      </c>
      <c r="Z1910" s="153">
        <v>3.3786951472976931E-2</v>
      </c>
      <c r="AA1910" s="155">
        <v>3.3556097041831379E-2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52349</v>
      </c>
      <c r="Y1911" s="152">
        <f>_xll.qlInterestRateIndexValueDate(IborIndex,X1911,Trigger)</f>
        <v>52351</v>
      </c>
      <c r="Z1911" s="153">
        <v>3.3782453118358736E-2</v>
      </c>
      <c r="AA1911" s="155">
        <v>3.3551175059089999E-2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52356</v>
      </c>
      <c r="Y1912" s="152">
        <f>_xll.qlInterestRateIndexValueDate(IborIndex,X1912,Trigger)</f>
        <v>52358</v>
      </c>
      <c r="Z1912" s="153">
        <v>3.3781696152296349E-2</v>
      </c>
      <c r="AA1912" s="155">
        <v>3.3547475520174785E-2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52363</v>
      </c>
      <c r="Y1913" s="152">
        <f>_xll.qlInterestRateIndexValueDate(IborIndex,X1913,Trigger)</f>
        <v>52365</v>
      </c>
      <c r="Z1913" s="153">
        <v>3.3777175402759048E-2</v>
      </c>
      <c r="AA1913" s="155">
        <v>3.3543150668418065E-2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52370</v>
      </c>
      <c r="Y1914" s="152">
        <f>_xll.qlInterestRateIndexValueDate(IborIndex,X1914,Trigger)</f>
        <v>52372</v>
      </c>
      <c r="Z1914" s="153">
        <v>3.3772645106657784E-2</v>
      </c>
      <c r="AA1914" s="155">
        <v>3.3538196478080096E-2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52377</v>
      </c>
      <c r="Y1915" s="152">
        <f>_xll.qlInterestRateIndexValueDate(IborIndex,X1915,Trigger)</f>
        <v>52379</v>
      </c>
      <c r="Z1915" s="153">
        <v>3.3768105264058726E-2</v>
      </c>
      <c r="AA1915" s="155">
        <v>3.3534472783527391E-2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52384</v>
      </c>
      <c r="Y1916" s="152">
        <f>_xll.qlInterestRateIndexValueDate(IborIndex,X1916,Trigger)</f>
        <v>52386</v>
      </c>
      <c r="Z1916" s="153">
        <v>3.3759818183395879E-2</v>
      </c>
      <c r="AA1916" s="155">
        <v>3.3530119750233567E-2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52391</v>
      </c>
      <c r="Y1917" s="152">
        <f>_xll.qlInterestRateIndexValueDate(IborIndex,X1917,Trigger)</f>
        <v>52393</v>
      </c>
      <c r="Z1917" s="153">
        <v>3.3755262564482517E-2</v>
      </c>
      <c r="AA1917" s="155">
        <v>3.3525757323014105E-2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52398</v>
      </c>
      <c r="Y1918" s="152">
        <f>_xll.qlInterestRateIndexValueDate(IborIndex,X1918,Trigger)</f>
        <v>52400</v>
      </c>
      <c r="Z1918" s="153">
        <v>3.375069740174725E-2</v>
      </c>
      <c r="AA1918" s="155">
        <v>3.3521385502028878E-2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52405</v>
      </c>
      <c r="Y1919" s="152">
        <f>_xll.qlInterestRateIndexValueDate(IborIndex,X1919,Trigger)</f>
        <v>52407</v>
      </c>
      <c r="Z1919" s="153">
        <v>3.3751092950746797E-2</v>
      </c>
      <c r="AA1919" s="155">
        <v>3.3517004287118013E-2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52412</v>
      </c>
      <c r="Y1920" s="152">
        <f>_xll.qlInterestRateIndexValueDate(IborIndex,X1920,Trigger)</f>
        <v>52414</v>
      </c>
      <c r="Z1920" s="153">
        <v>3.3745262855911805E-2</v>
      </c>
      <c r="AA1920" s="155">
        <v>3.3512613678441383E-2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52419</v>
      </c>
      <c r="Y1921" s="152">
        <f>_xll.qlInterestRateIndexValueDate(IborIndex,X1921,Trigger)</f>
        <v>52421</v>
      </c>
      <c r="Z1921" s="153">
        <v>3.3740665735717615E-2</v>
      </c>
      <c r="AA1921" s="155">
        <v>3.3508213675839116E-2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52426</v>
      </c>
      <c r="Y1922" s="152">
        <f>_xll.qlInterestRateIndexValueDate(IborIndex,X1922,Trigger)</f>
        <v>52428</v>
      </c>
      <c r="Z1922" s="153">
        <v>3.3737298262898743E-2</v>
      </c>
      <c r="AA1922" s="155">
        <v>3.3503804279391147E-2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52433</v>
      </c>
      <c r="Y1923" s="152">
        <f>_xll.qlInterestRateIndexValueDate(IborIndex,X1923,Trigger)</f>
        <v>52435</v>
      </c>
      <c r="Z1923" s="153">
        <v>3.3731442857299211E-2</v>
      </c>
      <c r="AA1923" s="155">
        <v>3.3499385489097477E-2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52440</v>
      </c>
      <c r="Y1924" s="152">
        <f>_xll.qlInterestRateIndexValueDate(IborIndex,X1924,Trigger)</f>
        <v>52442</v>
      </c>
      <c r="Z1924" s="153">
        <v>3.3723106008750017E-2</v>
      </c>
      <c r="AA1924" s="155">
        <v>3.349495730487817E-2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52447</v>
      </c>
      <c r="Y1925" s="152">
        <f>_xll.qlInterestRateIndexValueDate(IborIndex,X1925,Trigger)</f>
        <v>52449</v>
      </c>
      <c r="Z1925" s="153">
        <v>3.3722181795287756E-2</v>
      </c>
      <c r="AA1925" s="155">
        <v>3.3490519726973034E-2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52454</v>
      </c>
      <c r="Y1926" s="152">
        <f>_xll.qlInterestRateIndexValueDate(IborIndex,X1926,Trigger)</f>
        <v>52456</v>
      </c>
      <c r="Z1926" s="153">
        <v>3.3718771691033662E-2</v>
      </c>
      <c r="AA1926" s="155">
        <v>3.3486072754982388E-2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52461</v>
      </c>
      <c r="Y1927" s="152">
        <f>_xll.qlInterestRateIndexValueDate(IborIndex,X1927,Trigger)</f>
        <v>52463</v>
      </c>
      <c r="Z1927" s="153">
        <v>3.3712882550222582E-2</v>
      </c>
      <c r="AA1927" s="155">
        <v>3.3481616389305913E-2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52468</v>
      </c>
      <c r="Y1928" s="152">
        <f>_xll.qlInterestRateIndexValueDate(IborIndex,X1928,Trigger)</f>
        <v>52470</v>
      </c>
      <c r="Z1928" s="153">
        <v>3.3708218609214136E-2</v>
      </c>
      <c r="AA1928" s="155">
        <v>3.3476511897196914E-2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52475</v>
      </c>
      <c r="Y1929" s="152">
        <f>_xll.qlInterestRateIndexValueDate(IborIndex,X1929,Trigger)</f>
        <v>52477</v>
      </c>
      <c r="Z1929" s="153">
        <v>3.3698619216140299E-2</v>
      </c>
      <c r="AA1929" s="155">
        <v>3.347267547617605E-2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52482</v>
      </c>
      <c r="Y1930" s="152">
        <f>_xll.qlInterestRateIndexValueDate(IborIndex,X1930,Trigger)</f>
        <v>52484</v>
      </c>
      <c r="Z1930" s="153">
        <v>3.3693940648567379E-2</v>
      </c>
      <c r="AA1930" s="155">
        <v>3.3468190928802599E-2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52489</v>
      </c>
      <c r="Y1931" s="152">
        <f>_xll.qlInterestRateIndexValueDate(IborIndex,X1931,Trigger)</f>
        <v>52491</v>
      </c>
      <c r="Z1931" s="153">
        <v>3.3689252538853756E-2</v>
      </c>
      <c r="AA1931" s="155">
        <v>3.3463696987743319E-2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52496</v>
      </c>
      <c r="Y1932" s="152">
        <f>_xll.qlInterestRateIndexValueDate(IborIndex,X1932,Trigger)</f>
        <v>52498</v>
      </c>
      <c r="Z1932" s="153">
        <v>3.3684554887066627E-2</v>
      </c>
      <c r="AA1932" s="155">
        <v>3.3459193652678465E-2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52503</v>
      </c>
      <c r="Y1933" s="152">
        <f>_xll.qlInterestRateIndexValueDate(IborIndex,X1933,Trigger)</f>
        <v>52505</v>
      </c>
      <c r="Z1933" s="153">
        <v>3.3681074746885815E-2</v>
      </c>
      <c r="AA1933" s="155">
        <v>3.3454680923687974E-2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52510</v>
      </c>
      <c r="Y1934" s="152">
        <f>_xll.qlInterestRateIndexValueDate(IborIndex,X1934,Trigger)</f>
        <v>52512</v>
      </c>
      <c r="Z1934" s="153">
        <v>3.3676356891985192E-2</v>
      </c>
      <c r="AA1934" s="155">
        <v>3.3450158801011654E-2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52517</v>
      </c>
      <c r="Y1935" s="152">
        <f>_xll.qlInterestRateIndexValueDate(IborIndex,X1935,Trigger)</f>
        <v>52519</v>
      </c>
      <c r="Z1935" s="153">
        <v>3.3676528439689664E-2</v>
      </c>
      <c r="AA1935" s="155">
        <v>3.344562728432976E-2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52524</v>
      </c>
      <c r="Y1936" s="152">
        <f>_xll.qlInterestRateIndexValueDate(IborIndex,X1936,Trigger)</f>
        <v>52526</v>
      </c>
      <c r="Z1936" s="153">
        <v>3.3666892554177735E-2</v>
      </c>
      <c r="AA1936" s="155">
        <v>3.3441086373962037E-2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52531</v>
      </c>
      <c r="Y1937" s="152">
        <f>_xll.qlInterestRateIndexValueDate(IborIndex,X1937,Trigger)</f>
        <v>52533</v>
      </c>
      <c r="Z1937" s="153">
        <v>3.3662146071405018E-2</v>
      </c>
      <c r="AA1937" s="155">
        <v>3.343653606958874E-2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52538</v>
      </c>
      <c r="Y1938" s="152">
        <f>_xll.qlInterestRateIndexValueDate(IborIndex,X1938,Trigger)</f>
        <v>52540</v>
      </c>
      <c r="Z1938" s="153">
        <v>3.3656168596553307E-2</v>
      </c>
      <c r="AA1938" s="155">
        <v>3.3431976371449679E-2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52545</v>
      </c>
      <c r="Y1939" s="152">
        <f>_xll.qlInterestRateIndexValueDate(IborIndex,X1939,Trigger)</f>
        <v>52547</v>
      </c>
      <c r="Z1939" s="153">
        <v>3.3651404152131893E-2</v>
      </c>
      <c r="AA1939" s="155">
        <v>3.342740727938498E-2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52552</v>
      </c>
      <c r="Y1940" s="152">
        <f>_xll.qlInterestRateIndexValueDate(IborIndex,X1940,Trigger)</f>
        <v>52554</v>
      </c>
      <c r="Z1940" s="153">
        <v>3.3646630166175015E-2</v>
      </c>
      <c r="AA1940" s="155">
        <v>3.3422828793474579E-2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52559</v>
      </c>
      <c r="Y1941" s="152">
        <f>_xll.qlInterestRateIndexValueDate(IborIndex,X1941,Trigger)</f>
        <v>52562</v>
      </c>
      <c r="Z1941" s="153">
        <v>3.3641162498799893E-2</v>
      </c>
      <c r="AA1941" s="155">
        <v>3.3417584735486727E-2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52566</v>
      </c>
      <c r="Y1942" s="152">
        <f>_xll.qlInterestRateIndexValueDate(IborIndex,X1942,Trigger)</f>
        <v>52568</v>
      </c>
      <c r="Z1942" s="153">
        <v>3.363827052158061E-2</v>
      </c>
      <c r="AA1942" s="155">
        <v>3.3413643640196611E-2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52573</v>
      </c>
      <c r="Y1943" s="152">
        <f>_xll.qlInterestRateIndexValueDate(IborIndex,X1943,Trigger)</f>
        <v>52575</v>
      </c>
      <c r="Z1943" s="153">
        <v>3.3633466784901353E-2</v>
      </c>
      <c r="AA1943" s="155">
        <v>3.3409036972749107E-2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52580</v>
      </c>
      <c r="Y1944" s="152">
        <f>_xll.qlInterestRateIndexValueDate(IborIndex,X1944,Trigger)</f>
        <v>52582</v>
      </c>
      <c r="Z1944" s="153">
        <v>3.3628653506145238E-2</v>
      </c>
      <c r="AA1944" s="155">
        <v>3.3404420911296029E-2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52587</v>
      </c>
      <c r="Y1945" s="152">
        <f>_xll.qlInterestRateIndexValueDate(IborIndex,X1945,Trigger)</f>
        <v>52589</v>
      </c>
      <c r="Z1945" s="153">
        <v>3.3623830685379538E-2</v>
      </c>
      <c r="AA1945" s="155">
        <v>3.3398472172194715E-2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52594</v>
      </c>
      <c r="Y1946" s="152">
        <f>_xll.qlInterestRateIndexValueDate(IborIndex,X1946,Trigger)</f>
        <v>52596</v>
      </c>
      <c r="Z1946" s="153">
        <v>3.3617785882024825E-2</v>
      </c>
      <c r="AA1946" s="155">
        <v>3.3394497719108074E-2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52601</v>
      </c>
      <c r="Y1947" s="152">
        <f>_xll.qlInterestRateIndexValueDate(IborIndex,X1947,Trigger)</f>
        <v>52603</v>
      </c>
      <c r="Z1947" s="153">
        <v>3.3612945107237217E-2</v>
      </c>
      <c r="AA1947" s="155">
        <v>3.3390516364342204E-2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52608</v>
      </c>
      <c r="Y1948" s="152">
        <f>_xll.qlInterestRateIndexValueDate(IborIndex,X1948,Trigger)</f>
        <v>52610</v>
      </c>
      <c r="Z1948" s="153">
        <v>3.3608094791462262E-2</v>
      </c>
      <c r="AA1948" s="155">
        <v>3.3385862727586257E-2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52615</v>
      </c>
      <c r="Y1949" s="152">
        <f>_xll.qlInterestRateIndexValueDate(IborIndex,X1949,Trigger)</f>
        <v>52617</v>
      </c>
      <c r="Z1949" s="153">
        <v>3.3603234934768925E-2</v>
      </c>
      <c r="AA1949" s="155">
        <v>3.3381199696984609E-2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52622</v>
      </c>
      <c r="Y1950" s="152">
        <f>_xll.qlInterestRateIndexValueDate(IborIndex,X1950,Trigger)</f>
        <v>52624</v>
      </c>
      <c r="Z1950" s="153">
        <v>3.359836553722792E-2</v>
      </c>
      <c r="AA1950" s="155">
        <v>3.3376527272617196E-2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52629</v>
      </c>
      <c r="Y1951" s="152">
        <f>_xll.qlInterestRateIndexValueDate(IborIndex,X1951,Trigger)</f>
        <v>52631</v>
      </c>
      <c r="Z1951" s="153">
        <v>3.3593486598906874E-2</v>
      </c>
      <c r="AA1951" s="155">
        <v>3.3371845454324145E-2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52636</v>
      </c>
      <c r="Y1952" s="152">
        <f>_xll.qlInterestRateIndexValueDate(IborIndex,X1952,Trigger)</f>
        <v>52638</v>
      </c>
      <c r="Z1952" s="153">
        <v>3.3588598119876072E-2</v>
      </c>
      <c r="AA1952" s="155">
        <v>3.3367154242265329E-2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52643</v>
      </c>
      <c r="Y1953" s="152">
        <f>_xll.qlInterestRateIndexValueDate(IborIndex,X1953,Trigger)</f>
        <v>52645</v>
      </c>
      <c r="Z1953" s="153">
        <v>3.3583700100204901E-2</v>
      </c>
      <c r="AA1953" s="155">
        <v>3.3362453636280875E-2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52650</v>
      </c>
      <c r="Y1954" s="152">
        <f>_xll.qlInterestRateIndexValueDate(IborIndex,X1954,Trigger)</f>
        <v>52652</v>
      </c>
      <c r="Z1954" s="153">
        <v>3.3578792539963202E-2</v>
      </c>
      <c r="AA1954" s="155">
        <v>3.3357743636450721E-2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52657</v>
      </c>
      <c r="Y1955" s="152">
        <f>_xll.qlInterestRateIndexValueDate(IborIndex,X1955,Trigger)</f>
        <v>52659</v>
      </c>
      <c r="Z1955" s="153">
        <v>3.3579886311446983E-2</v>
      </c>
      <c r="AA1955" s="155">
        <v>3.3353024242774865E-2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52664</v>
      </c>
      <c r="Y1956" s="152">
        <f>_xll.qlInterestRateIndexValueDate(IborIndex,X1956,Trigger)</f>
        <v>52666</v>
      </c>
      <c r="Z1956" s="153">
        <v>3.3573753015342551E-2</v>
      </c>
      <c r="AA1956" s="155">
        <v>3.3348295455253307E-2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52671</v>
      </c>
      <c r="Y1957" s="152">
        <f>_xll.qlInterestRateIndexValueDate(IborIndex,X1957,Trigger)</f>
        <v>52673</v>
      </c>
      <c r="Z1957" s="153">
        <v>3.3568812281208907E-2</v>
      </c>
      <c r="AA1957" s="155">
        <v>3.3343557273886049E-2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52678</v>
      </c>
      <c r="Y1958" s="152">
        <f>_xll.qlInterestRateIndexValueDate(IborIndex,X1958,Trigger)</f>
        <v>52680</v>
      </c>
      <c r="Z1958" s="153">
        <v>3.3563862003543277E-2</v>
      </c>
      <c r="AA1958" s="155">
        <v>3.3338809698593153E-2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52685</v>
      </c>
      <c r="Y1959" s="152">
        <f>_xll.qlInterestRateIndexValueDate(IborIndex,X1959,Trigger)</f>
        <v>52687</v>
      </c>
      <c r="Z1959" s="153">
        <v>3.355530932265581E-2</v>
      </c>
      <c r="AA1959" s="155">
        <v>3.3334052729614427E-2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52692</v>
      </c>
      <c r="Y1960" s="152">
        <f>_xll.qlInterestRateIndexValueDate(IborIndex,X1960,Trigger)</f>
        <v>52694</v>
      </c>
      <c r="Z1960" s="153">
        <v>3.3550343380120376E-2</v>
      </c>
      <c r="AA1960" s="155">
        <v>3.3329286366630129E-2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52699</v>
      </c>
      <c r="Y1961" s="152">
        <f>_xll.qlInterestRateIndexValueDate(IborIndex,X1961,Trigger)</f>
        <v>52701</v>
      </c>
      <c r="Z1961" s="153">
        <v>3.3545367896698389E-2</v>
      </c>
      <c r="AA1961" s="155">
        <v>3.3323144382588765E-2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52706</v>
      </c>
      <c r="Y1962" s="152">
        <f>_xll.qlInterestRateIndexValueDate(IborIndex,X1962,Trigger)</f>
        <v>52708</v>
      </c>
      <c r="Z1962" s="153">
        <v>3.35403828724593E-2</v>
      </c>
      <c r="AA1962" s="155">
        <v>3.33197254592843E-2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52713</v>
      </c>
      <c r="Y1963" s="152">
        <f>_xll.qlInterestRateIndexValueDate(IborIndex,X1963,Trigger)</f>
        <v>52715</v>
      </c>
      <c r="Z1963" s="153">
        <v>3.3535388307475628E-2</v>
      </c>
      <c r="AA1963" s="155">
        <v>3.3314245213107441E-2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52720</v>
      </c>
      <c r="Y1964" s="152">
        <f>_xll.qlInterestRateIndexValueDate(IborIndex,X1964,Trigger)</f>
        <v>52722</v>
      </c>
      <c r="Z1964" s="153">
        <v>3.3533959930968256E-2</v>
      </c>
      <c r="AA1964" s="155">
        <v>3.3310126976555665E-2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52727</v>
      </c>
      <c r="Y1965" s="152">
        <f>_xll.qlInterestRateIndexValueDate(IborIndex,X1965,Trigger)</f>
        <v>52729</v>
      </c>
      <c r="Z1965" s="153">
        <v>3.3528942977924719E-2</v>
      </c>
      <c r="AA1965" s="155">
        <v>3.3305313644422796E-2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52734</v>
      </c>
      <c r="Y1966" s="152">
        <f>_xll.qlInterestRateIndexValueDate(IborIndex,X1966,Trigger)</f>
        <v>52736</v>
      </c>
      <c r="Z1966" s="153">
        <v>3.3523916866628527E-2</v>
      </c>
      <c r="AA1966" s="155">
        <v>3.3300490918444225E-2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52741</v>
      </c>
      <c r="Y1967" s="152">
        <f>_xll.qlInterestRateIndexValueDate(IborIndex,X1967,Trigger)</f>
        <v>52743</v>
      </c>
      <c r="Z1967" s="153">
        <v>3.3518881866437124E-2</v>
      </c>
      <c r="AA1967" s="155">
        <v>3.3294967728938474E-2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52748</v>
      </c>
      <c r="Y1968" s="152">
        <f>_xll.qlInterestRateIndexValueDate(IborIndex,X1968,Trigger)</f>
        <v>52750</v>
      </c>
      <c r="Z1968" s="153">
        <v>3.3510275292573929E-2</v>
      </c>
      <c r="AA1968" s="155">
        <v>3.3290817284949981E-2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52755</v>
      </c>
      <c r="Y1969" s="152">
        <f>_xll.qlInterestRateIndexValueDate(IborIndex,X1969,Trigger)</f>
        <v>52757</v>
      </c>
      <c r="Z1969" s="153">
        <v>3.3505226266482724E-2</v>
      </c>
      <c r="AA1969" s="155">
        <v>3.3285966377434306E-2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52762</v>
      </c>
      <c r="Y1970" s="152">
        <f>_xll.qlInterestRateIndexValueDate(IborIndex,X1970,Trigger)</f>
        <v>52764</v>
      </c>
      <c r="Z1970" s="153">
        <v>3.3500169068261872E-2</v>
      </c>
      <c r="AA1970" s="155">
        <v>3.328110607607293E-2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52769</v>
      </c>
      <c r="Y1971" s="152">
        <f>_xll.qlInterestRateIndexValueDate(IborIndex,X1971,Trigger)</f>
        <v>52771</v>
      </c>
      <c r="Z1971" s="153">
        <v>3.3495103971597599E-2</v>
      </c>
      <c r="AA1971" s="155">
        <v>3.3276236380785917E-2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52776</v>
      </c>
      <c r="Y1972" s="152">
        <f>_xll.qlInterestRateIndexValueDate(IborIndex,X1972,Trigger)</f>
        <v>52778</v>
      </c>
      <c r="Z1972" s="153">
        <v>3.349003125017392E-2</v>
      </c>
      <c r="AA1972" s="155">
        <v>3.3271357291813075E-2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52783</v>
      </c>
      <c r="Y1973" s="152">
        <f>_xll.qlInterestRateIndexValueDate(IborIndex,X1973,Trigger)</f>
        <v>52785</v>
      </c>
      <c r="Z1973" s="153">
        <v>3.348850028224374E-2</v>
      </c>
      <c r="AA1973" s="155">
        <v>3.3266468808834659E-2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52790</v>
      </c>
      <c r="Y1974" s="152">
        <f>_xll.qlInterestRateIndexValueDate(IborIndex,X1974,Trigger)</f>
        <v>52792</v>
      </c>
      <c r="Z1974" s="153">
        <v>3.3484592793920021E-2</v>
      </c>
      <c r="AA1974" s="155">
        <v>3.3261570932090478E-2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52797</v>
      </c>
      <c r="Y1975" s="152">
        <f>_xll.qlInterestRateIndexValueDate(IborIndex,X1975,Trigger)</f>
        <v>52799</v>
      </c>
      <c r="Z1975" s="153">
        <v>3.3478314186845187E-2</v>
      </c>
      <c r="AA1975" s="155">
        <v>3.3256663661580532E-2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52804</v>
      </c>
      <c r="Y1976" s="152">
        <f>_xll.qlInterestRateIndexValueDate(IborIndex,X1976,Trigger)</f>
        <v>52806</v>
      </c>
      <c r="Z1976" s="153">
        <v>3.3473211307296163E-2</v>
      </c>
      <c r="AA1976" s="155">
        <v>3.3251746997144949E-2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52811</v>
      </c>
      <c r="Y1977" s="152">
        <f>_xll.qlInterestRateIndexValueDate(IborIndex,X1977,Trigger)</f>
        <v>52813</v>
      </c>
      <c r="Z1977" s="153">
        <v>3.3468102232291387E-2</v>
      </c>
      <c r="AA1977" s="155">
        <v>3.3246820938783728E-2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52818</v>
      </c>
      <c r="Y1978" s="152">
        <f>_xll.qlInterestRateIndexValueDate(IborIndex,X1978,Trigger)</f>
        <v>52820</v>
      </c>
      <c r="Z1978" s="153">
        <v>3.3462987231159057E-2</v>
      </c>
      <c r="AA1978" s="155">
        <v>3.3241885486736678E-2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52825</v>
      </c>
      <c r="Y1979" s="152">
        <f>_xll.qlInterestRateIndexValueDate(IborIndex,X1979,Trigger)</f>
        <v>52827</v>
      </c>
      <c r="Z1979" s="153">
        <v>3.345904488064206E-2</v>
      </c>
      <c r="AA1979" s="155">
        <v>3.3236940640843926E-2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52832</v>
      </c>
      <c r="Y1980" s="152">
        <f>_xll.qlInterestRateIndexValueDate(IborIndex,X1980,Trigger)</f>
        <v>52834</v>
      </c>
      <c r="Z1980" s="153">
        <v>3.3452740527816036E-2</v>
      </c>
      <c r="AA1980" s="155">
        <v>3.3231277885619193E-2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52839</v>
      </c>
      <c r="Y1981" s="152">
        <f>_xll.qlInterestRateIndexValueDate(IborIndex,X1981,Trigger)</f>
        <v>52841</v>
      </c>
      <c r="Z1981" s="153">
        <v>3.34417251344249E-2</v>
      </c>
      <c r="AA1981" s="155">
        <v>3.3227022767441383E-2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52846</v>
      </c>
      <c r="Y1982" s="152">
        <f>_xll.qlInterestRateIndexValueDate(IborIndex,X1982,Trigger)</f>
        <v>52848</v>
      </c>
      <c r="Z1982" s="153">
        <v>3.3436592617025529E-2</v>
      </c>
      <c r="AA1982" s="155">
        <v>3.3222049739931592E-2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52853</v>
      </c>
      <c r="Y1983" s="152">
        <f>_xll.qlInterestRateIndexValueDate(IborIndex,X1983,Trigger)</f>
        <v>52855</v>
      </c>
      <c r="Z1983" s="153">
        <v>3.3431455461296659E-2</v>
      </c>
      <c r="AA1983" s="155">
        <v>3.3217067318656035E-2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52860</v>
      </c>
      <c r="Y1984" s="152">
        <f>_xll.qlInterestRateIndexValueDate(IborIndex,X1984,Trigger)</f>
        <v>52862</v>
      </c>
      <c r="Z1984" s="153">
        <v>3.3426313943862092E-2</v>
      </c>
      <c r="AA1984" s="155">
        <v>3.3212075503454841E-2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52867</v>
      </c>
      <c r="Y1985" s="152">
        <f>_xll.qlInterestRateIndexValueDate(IborIndex,X1985,Trigger)</f>
        <v>52869</v>
      </c>
      <c r="Z1985" s="153">
        <v>3.3421168341342546E-2</v>
      </c>
      <c r="AA1985" s="155">
        <v>3.3207074294487882E-2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52874</v>
      </c>
      <c r="Y1986" s="152">
        <f>_xll.qlInterestRateIndexValueDate(IborIndex,X1986,Trigger)</f>
        <v>52876</v>
      </c>
      <c r="Z1986" s="153">
        <v>3.3417192363477122E-2</v>
      </c>
      <c r="AA1986" s="155">
        <v>3.3202063691675221E-2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52881</v>
      </c>
      <c r="Y1987" s="152">
        <f>_xll.qlInterestRateIndexValueDate(IborIndex,X1987,Trigger)</f>
        <v>52883</v>
      </c>
      <c r="Z1987" s="153">
        <v>3.341203876573428E-2</v>
      </c>
      <c r="AA1987" s="155">
        <v>3.3197043695016859E-2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52888</v>
      </c>
      <c r="Y1988" s="152">
        <f>_xll.qlInterestRateIndexValueDate(IborIndex,X1988,Trigger)</f>
        <v>52890</v>
      </c>
      <c r="Z1988" s="153">
        <v>3.3406881917303365E-2</v>
      </c>
      <c r="AA1988" s="155">
        <v>3.3192014304512796E-2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52895</v>
      </c>
      <c r="Y1989" s="152">
        <f>_xll.qlInterestRateIndexValueDate(IborIndex,X1989,Trigger)</f>
        <v>52897</v>
      </c>
      <c r="Z1989" s="153">
        <v>3.3401722093297496E-2</v>
      </c>
      <c r="AA1989" s="155">
        <v>3.3186975520242967E-2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52902</v>
      </c>
      <c r="Y1990" s="152">
        <f>_xll.qlInterestRateIndexValueDate(IborIndex,X1990,Trigger)</f>
        <v>52904</v>
      </c>
      <c r="Z1990" s="153">
        <v>3.3395388733993371E-2</v>
      </c>
      <c r="AA1990" s="155">
        <v>3.3181928227339341E-2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52909</v>
      </c>
      <c r="Y1991" s="152">
        <f>_xll.qlInterestRateIndexValueDate(IborIndex,X1991,Trigger)</f>
        <v>52911</v>
      </c>
      <c r="Z1991" s="153">
        <v>3.3390224400809076E-2</v>
      </c>
      <c r="AA1991" s="155">
        <v>3.3176877689511386E-2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52916</v>
      </c>
      <c r="Y1992" s="152">
        <f>_xll.qlInterestRateIndexValueDate(IborIndex,X1992,Trigger)</f>
        <v>52918</v>
      </c>
      <c r="Z1992" s="153">
        <v>3.3385057681601021E-2</v>
      </c>
      <c r="AA1992" s="155">
        <v>3.3171824792130877E-2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52923</v>
      </c>
      <c r="Y1993" s="152">
        <f>_xll.qlInterestRateIndexValueDate(IborIndex,X1993,Trigger)</f>
        <v>52926</v>
      </c>
      <c r="Z1993" s="153">
        <v>3.3379149938175076E-2</v>
      </c>
      <c r="AA1993" s="155">
        <v>3.3166047162955792E-2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52930</v>
      </c>
      <c r="Y1994" s="152">
        <f>_xll.qlInterestRateIndexValueDate(IborIndex,X1994,Trigger)</f>
        <v>52932</v>
      </c>
      <c r="Z1994" s="153">
        <v>3.3375885337525737E-2</v>
      </c>
      <c r="AA1994" s="155">
        <v>3.3161711918472392E-2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52937</v>
      </c>
      <c r="Y1995" s="152">
        <f>_xll.qlInterestRateIndexValueDate(IborIndex,X1995,Trigger)</f>
        <v>52939</v>
      </c>
      <c r="Z1995" s="153">
        <v>3.3370710814670267E-2</v>
      </c>
      <c r="AA1995" s="155">
        <v>3.3156651942194415E-2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52944</v>
      </c>
      <c r="Y1996" s="152">
        <f>_xll.qlInterestRateIndexValueDate(IborIndex,X1996,Trigger)</f>
        <v>52946</v>
      </c>
      <c r="Z1996" s="153">
        <v>3.3365533905853471E-2</v>
      </c>
      <c r="AA1996" s="155">
        <v>3.3151589606283949E-2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52951</v>
      </c>
      <c r="Y1997" s="152">
        <f>_xll.qlInterestRateIndexValueDate(IborIndex,X1997,Trigger)</f>
        <v>52953</v>
      </c>
      <c r="Z1997" s="153">
        <v>3.3360354611094246E-2</v>
      </c>
      <c r="AA1997" s="155">
        <v>3.314507742149253E-2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52959</v>
      </c>
      <c r="Y1998" s="152">
        <f>_xll.qlInterestRateIndexValueDate(IborIndex,X1998,Trigger)</f>
        <v>52961</v>
      </c>
      <c r="Z1998" s="153">
        <v>3.3354432495545087E-2</v>
      </c>
      <c r="AA1998" s="155">
        <v>3.3140009692296246E-2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52966</v>
      </c>
      <c r="Y1999" s="152">
        <f>_xll.qlInterestRateIndexValueDate(IborIndex,X1999,Trigger)</f>
        <v>52968</v>
      </c>
      <c r="Z1999" s="153">
        <v>3.3348083160453228E-2</v>
      </c>
      <c r="AA1999" s="155">
        <v>3.3135664046133328E-2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52973</v>
      </c>
      <c r="Y2000" s="152">
        <f>_xll.qlInterestRateIndexValueDate(IborIndex,X2000,Trigger)</f>
        <v>52975</v>
      </c>
      <c r="Z2000" s="153">
        <v>3.3342897013968149E-2</v>
      </c>
      <c r="AA2000" s="155">
        <v>3.3130591934762421E-2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52980</v>
      </c>
      <c r="Y2001" s="152">
        <f>_xll.qlInterestRateIndexValueDate(IborIndex,X2001,Trigger)</f>
        <v>52982</v>
      </c>
      <c r="Z2001" s="153">
        <v>3.3337708481760958E-2</v>
      </c>
      <c r="AA2001" s="155">
        <v>3.3125517463679088E-2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52987</v>
      </c>
      <c r="Y2002" s="152">
        <f>_xll.qlInterestRateIndexValueDate(IborIndex,X2002,Trigger)</f>
        <v>52989</v>
      </c>
      <c r="Z2002" s="153">
        <v>3.3332517563851076E-2</v>
      </c>
      <c r="AA2002" s="155">
        <v>3.3120440633043202E-2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52994</v>
      </c>
      <c r="Y2003" s="152">
        <f>_xll.qlInterestRateIndexValueDate(IborIndex,X2003,Trigger)</f>
        <v>52996</v>
      </c>
      <c r="Z2003" s="153">
        <v>3.3327324260255739E-2</v>
      </c>
      <c r="AA2003" s="155">
        <v>3.3115361442694891E-2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53001</v>
      </c>
      <c r="Y2004" s="152">
        <f>_xll.qlInterestRateIndexValueDate(IborIndex,X2004,Trigger)</f>
        <v>53003</v>
      </c>
      <c r="Z2004" s="153">
        <v>3.3322128570993925E-2</v>
      </c>
      <c r="AA2004" s="155">
        <v>3.3110279892873962E-2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53008</v>
      </c>
      <c r="Y2005" s="152">
        <f>_xll.qlInterestRateIndexValueDate(IborIndex,X2005,Trigger)</f>
        <v>53010</v>
      </c>
      <c r="Z2005" s="153">
        <v>3.3316930496084633E-2</v>
      </c>
      <c r="AA2005" s="155">
        <v>3.3105195983260671E-2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53015</v>
      </c>
      <c r="Y2006" s="152">
        <f>_xll.qlInterestRateIndexValueDate(IborIndex,X2006,Trigger)</f>
        <v>53017</v>
      </c>
      <c r="Z2006" s="153">
        <v>3.331173003554553E-2</v>
      </c>
      <c r="AA2006" s="155">
        <v>3.3100109714094827E-2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53022</v>
      </c>
      <c r="Y2007" s="152">
        <f>_xll.qlInterestRateIndexValueDate(IborIndex,X2007,Trigger)</f>
        <v>53024</v>
      </c>
      <c r="Z2007" s="153">
        <v>3.3312326026680453E-2</v>
      </c>
      <c r="AA2007" s="155">
        <v>3.3095021085296494E-2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53029</v>
      </c>
      <c r="Y2008" s="152">
        <f>_xll.qlInterestRateIndexValueDate(IborIndex,X2008,Trigger)</f>
        <v>53031</v>
      </c>
      <c r="Z2008" s="153">
        <v>3.3305958416695126E-2</v>
      </c>
      <c r="AA2008" s="155">
        <v>3.3089930096865672E-2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53036</v>
      </c>
      <c r="Y2009" s="152">
        <f>_xll.qlInterestRateIndexValueDate(IborIndex,X2009,Trigger)</f>
        <v>53038</v>
      </c>
      <c r="Z2009" s="153">
        <v>3.3300748206487638E-2</v>
      </c>
      <c r="AA2009" s="155">
        <v>3.3084836748882296E-2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53043</v>
      </c>
      <c r="Y2010" s="152">
        <f>_xll.qlInterestRateIndexValueDate(IborIndex,X2010,Trigger)</f>
        <v>53045</v>
      </c>
      <c r="Z2010" s="153">
        <v>3.3295535610150799E-2</v>
      </c>
      <c r="AA2010" s="155">
        <v>3.3079741041186494E-2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53050</v>
      </c>
      <c r="Y2011" s="152">
        <f>_xll.qlInterestRateIndexValueDate(IborIndex,X2011,Trigger)</f>
        <v>53052</v>
      </c>
      <c r="Z2011" s="153">
        <v>3.3286849105238568E-2</v>
      </c>
      <c r="AA2011" s="155">
        <v>3.3074642974098012E-2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53057</v>
      </c>
      <c r="Y2012" s="152">
        <f>_xll.qlInterestRateIndexValueDate(IborIndex,X2012,Trigger)</f>
        <v>53063</v>
      </c>
      <c r="Z2012" s="153">
        <v>3.3279808516077744E-2</v>
      </c>
      <c r="AA2012" s="155">
        <v>3.3068084849015023E-2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53064</v>
      </c>
      <c r="Y2013" s="152">
        <f>_xll.qlInterestRateIndexValueDate(IborIndex,X2013,Trigger)</f>
        <v>53066</v>
      </c>
      <c r="Z2013" s="153">
        <v>3.3279883504555616E-2</v>
      </c>
      <c r="AA2013" s="155">
        <v>3.3064439760703834E-2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53071</v>
      </c>
      <c r="Y2014" s="152">
        <f>_xll.qlInterestRateIndexValueDate(IborIndex,X2014,Trigger)</f>
        <v>53073</v>
      </c>
      <c r="Z2014" s="153">
        <v>3.3274661363891934E-2</v>
      </c>
      <c r="AA2014" s="155">
        <v>3.3059334614558011E-2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53078</v>
      </c>
      <c r="Y2015" s="152">
        <f>_xll.qlInterestRateIndexValueDate(IborIndex,X2015,Trigger)</f>
        <v>53080</v>
      </c>
      <c r="Z2015" s="153">
        <v>3.3270591433188383E-2</v>
      </c>
      <c r="AA2015" s="155">
        <v>3.3053497272508281E-2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53085</v>
      </c>
      <c r="Y2016" s="152">
        <f>_xll.qlInterestRateIndexValueDate(IborIndex,X2016,Trigger)</f>
        <v>53087</v>
      </c>
      <c r="Z2016" s="153">
        <v>3.3264209924482015E-2</v>
      </c>
      <c r="AA2016" s="155">
        <v>3.3049117243448833E-2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53092</v>
      </c>
      <c r="Y2017" s="152">
        <f>_xll.qlInterestRateIndexValueDate(IborIndex,X2017,Trigger)</f>
        <v>53094</v>
      </c>
      <c r="Z2017" s="153">
        <v>3.3258980625772504E-2</v>
      </c>
      <c r="AA2017" s="155">
        <v>3.3044005018485478E-2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53099</v>
      </c>
      <c r="Y2018" s="152">
        <f>_xll.qlInterestRateIndexValueDate(IborIndex,X2018,Trigger)</f>
        <v>53101</v>
      </c>
      <c r="Z2018" s="153">
        <v>3.3253748941085737E-2</v>
      </c>
      <c r="AA2018" s="155">
        <v>3.303889043396957E-2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53106</v>
      </c>
      <c r="Y2019" s="152">
        <f>_xll.qlInterestRateIndexValueDate(IborIndex,X2019,Trigger)</f>
        <v>53108</v>
      </c>
      <c r="Z2019" s="153">
        <v>3.3248514870440726E-2</v>
      </c>
      <c r="AA2019" s="155">
        <v>3.3033042305108395E-2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53113</v>
      </c>
      <c r="Y2020" s="152">
        <f>_xll.qlInterestRateIndexValueDate(IborIndex,X2020,Trigger)</f>
        <v>53115</v>
      </c>
      <c r="Z2020" s="153">
        <v>3.3243278413856492E-2</v>
      </c>
      <c r="AA2020" s="155">
        <v>3.3028654186040285E-2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53120</v>
      </c>
      <c r="Y2021" s="152">
        <f>_xll.qlInterestRateIndexValueDate(IborIndex,X2021,Trigger)</f>
        <v>53122</v>
      </c>
      <c r="Z2021" s="153">
        <v>3.3238039571351602E-2</v>
      </c>
      <c r="AA2021" s="155">
        <v>3.3023532522546972E-2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53127</v>
      </c>
      <c r="Y2022" s="152">
        <f>_xll.qlInterestRateIndexValueDate(IborIndex,X2022,Trigger)</f>
        <v>53129</v>
      </c>
      <c r="Z2022" s="153">
        <v>3.3232798342945506E-2</v>
      </c>
      <c r="AA2022" s="155">
        <v>3.3018408499501106E-2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53134</v>
      </c>
      <c r="Y2023" s="152">
        <f>_xll.qlInterestRateIndexValueDate(IborIndex,X2023,Trigger)</f>
        <v>53136</v>
      </c>
      <c r="Z2023" s="153">
        <v>3.3229853530707523E-2</v>
      </c>
      <c r="AA2023" s="155">
        <v>3.3013282116822751E-2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53141</v>
      </c>
      <c r="Y2024" s="152">
        <f>_xll.qlInterestRateIndexValueDate(IborIndex,X2024,Trigger)</f>
        <v>53143</v>
      </c>
      <c r="Z2024" s="153">
        <v>3.3218862538117476E-2</v>
      </c>
      <c r="AA2024" s="155">
        <v>3.3008153374671778E-2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53148</v>
      </c>
      <c r="Y2025" s="152">
        <f>_xll.qlInterestRateIndexValueDate(IborIndex,X2025,Trigger)</f>
        <v>53150</v>
      </c>
      <c r="Z2025" s="153">
        <v>3.3217060342508813E-2</v>
      </c>
      <c r="AA2025" s="155">
        <v>3.3003022272568572E-2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53155</v>
      </c>
      <c r="Y2026" s="152">
        <f>_xll.qlInterestRateIndexValueDate(IborIndex,X2026,Trigger)</f>
        <v>53157</v>
      </c>
      <c r="Z2026" s="153">
        <v>3.3212957015624336E-2</v>
      </c>
      <c r="AA2026" s="155">
        <v>3.299788881115262E-2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53162</v>
      </c>
      <c r="Y2027" s="152">
        <f>_xll.qlInterestRateIndexValueDate(IborIndex,X2027,Trigger)</f>
        <v>53164</v>
      </c>
      <c r="Z2027" s="153">
        <v>3.3206556413061063E-2</v>
      </c>
      <c r="AA2027" s="155">
        <v>3.2992752990024243E-2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53169</v>
      </c>
      <c r="Y2028" s="152">
        <f>_xll.qlInterestRateIndexValueDate(IborIndex,X2028,Trigger)</f>
        <v>53171</v>
      </c>
      <c r="Z2028" s="153">
        <v>3.3201300869646545E-2</v>
      </c>
      <c r="AA2028" s="155">
        <v>3.2987614809263377E-2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53176</v>
      </c>
      <c r="Y2029" s="152">
        <f>_xll.qlInterestRateIndexValueDate(IborIndex,X2029,Trigger)</f>
        <v>53178</v>
      </c>
      <c r="Z2029" s="153">
        <v>3.319604294046434E-2</v>
      </c>
      <c r="AA2029" s="155">
        <v>3.2982474268949957E-2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53183</v>
      </c>
      <c r="Y2030" s="152">
        <f>_xll.qlInterestRateIndexValueDate(IborIndex,X2030,Trigger)</f>
        <v>53185</v>
      </c>
      <c r="Z2030" s="153">
        <v>3.3190782625533453E-2</v>
      </c>
      <c r="AA2030" s="155">
        <v>3.2977331368924112E-2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53190</v>
      </c>
      <c r="Y2031" s="152">
        <f>_xll.qlInterestRateIndexValueDate(IborIndex,X2031,Trigger)</f>
        <v>53192</v>
      </c>
      <c r="Z2031" s="153">
        <v>3.3186664113658143E-2</v>
      </c>
      <c r="AA2031" s="155">
        <v>3.297218610942565E-2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53197</v>
      </c>
      <c r="Y2032" s="152">
        <f>_xll.qlInterestRateIndexValueDate(IborIndex,X2032,Trigger)</f>
        <v>53199</v>
      </c>
      <c r="Z2032" s="153">
        <v>3.3180254838500824E-2</v>
      </c>
      <c r="AA2032" s="155">
        <v>3.2966302923327362E-2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53204</v>
      </c>
      <c r="Y2033" s="152">
        <f>_xll.qlInterestRateIndexValueDate(IborIndex,X2033,Trigger)</f>
        <v>53206</v>
      </c>
      <c r="Z2033" s="153">
        <v>3.317041590071762E-2</v>
      </c>
      <c r="AA2033" s="155">
        <v>3.2961888511371384E-2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53211</v>
      </c>
      <c r="Y2034" s="152">
        <f>_xll.qlInterestRateIndexValueDate(IborIndex,X2034,Trigger)</f>
        <v>53213</v>
      </c>
      <c r="Z2034" s="153">
        <v>3.3165148650081966E-2</v>
      </c>
      <c r="AA2034" s="155">
        <v>3.2956736172895518E-2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53218</v>
      </c>
      <c r="Y2035" s="152">
        <f>_xll.qlInterestRateIndexValueDate(IborIndex,X2035,Trigger)</f>
        <v>53220</v>
      </c>
      <c r="Z2035" s="153">
        <v>3.3159879014355735E-2</v>
      </c>
      <c r="AA2035" s="155">
        <v>3.2951581474867098E-2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53225</v>
      </c>
      <c r="Y2036" s="152">
        <f>_xll.qlInterestRateIndexValueDate(IborIndex,X2036,Trigger)</f>
        <v>53227</v>
      </c>
      <c r="Z2036" s="153">
        <v>3.3154606993557913E-2</v>
      </c>
      <c r="AA2036" s="155">
        <v>3.2946424417206188E-2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53232</v>
      </c>
      <c r="Y2037" s="152">
        <f>_xll.qlInterestRateIndexValueDate(IborIndex,X2037,Trigger)</f>
        <v>53234</v>
      </c>
      <c r="Z2037" s="153">
        <v>3.3150472835221073E-2</v>
      </c>
      <c r="AA2037" s="155">
        <v>3.2941264999832853E-2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53239</v>
      </c>
      <c r="Y2038" s="152">
        <f>_xll.qlInterestRateIndexValueDate(IborIndex,X2038,Trigger)</f>
        <v>53241</v>
      </c>
      <c r="Z2038" s="153">
        <v>3.314519539209549E-2</v>
      </c>
      <c r="AA2038" s="155">
        <v>3.2936103222986901E-2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53246</v>
      </c>
      <c r="Y2039" s="152">
        <f>_xll.qlInterestRateIndexValueDate(IborIndex,X2039,Trigger)</f>
        <v>53248</v>
      </c>
      <c r="Z2039" s="153">
        <v>3.3139915563813217E-2</v>
      </c>
      <c r="AA2039" s="155">
        <v>3.2930939086428523E-2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53253</v>
      </c>
      <c r="Y2040" s="152">
        <f>_xll.qlInterestRateIndexValueDate(IborIndex,X2040,Trigger)</f>
        <v>53255</v>
      </c>
      <c r="Z2040" s="153">
        <v>3.313463335039446E-2</v>
      </c>
      <c r="AA2040" s="155">
        <v>3.2925772590317592E-2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53260</v>
      </c>
      <c r="Y2041" s="152">
        <f>_xll.qlInterestRateIndexValueDate(IborIndex,X2041,Trigger)</f>
        <v>53262</v>
      </c>
      <c r="Z2041" s="153">
        <v>3.3129348751857669E-2</v>
      </c>
      <c r="AA2041" s="155">
        <v>3.2920603734654108E-2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53267</v>
      </c>
      <c r="Y2042" s="152">
        <f>_xll.qlInterestRateIndexValueDate(IborIndex,X2042,Trigger)</f>
        <v>53269</v>
      </c>
      <c r="Z2042" s="153">
        <v>3.3122924783314328E-2</v>
      </c>
      <c r="AA2042" s="155">
        <v>3.2915432519278198E-2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53274</v>
      </c>
      <c r="Y2043" s="152">
        <f>_xll.qlInterestRateIndexValueDate(IborIndex,X2043,Trigger)</f>
        <v>53279</v>
      </c>
      <c r="Z2043" s="153">
        <v>3.3116504797076611E-2</v>
      </c>
      <c r="AA2043" s="155">
        <v>3.2909519669468423E-2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53281</v>
      </c>
      <c r="Y2044" s="152">
        <f>_xll.qlInterestRateIndexValueDate(IborIndex,X2044,Trigger)</f>
        <v>53283</v>
      </c>
      <c r="Z2044" s="153">
        <v>3.3112344966843468E-2</v>
      </c>
      <c r="AA2044" s="155">
        <v>3.2905083009708846E-2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53288</v>
      </c>
      <c r="Y2045" s="152">
        <f>_xll.qlInterestRateIndexValueDate(IborIndex,X2045,Trigger)</f>
        <v>53290</v>
      </c>
      <c r="Z2045" s="153">
        <v>3.3107051481244883E-2</v>
      </c>
      <c r="AA2045" s="155">
        <v>3.2899904715435468E-2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53295</v>
      </c>
      <c r="Y2046" s="152">
        <f>_xll.qlInterestRateIndexValueDate(IborIndex,X2046,Trigger)</f>
        <v>53297</v>
      </c>
      <c r="Z2046" s="153">
        <v>3.3102889983064161E-2</v>
      </c>
      <c r="AA2046" s="155">
        <v>3.2894724061609537E-2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53302</v>
      </c>
      <c r="Y2047" s="152">
        <f>_xll.qlInterestRateIndexValueDate(IborIndex,X2047,Trigger)</f>
        <v>53304</v>
      </c>
      <c r="Z2047" s="153">
        <v>3.3097591074214873E-2</v>
      </c>
      <c r="AA2047" s="155">
        <v>3.2889541048231052E-2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53309</v>
      </c>
      <c r="Y2048" s="152">
        <f>_xll.qlInterestRateIndexValueDate(IborIndex,X2048,Trigger)</f>
        <v>53311</v>
      </c>
      <c r="Z2048" s="153">
        <v>3.3092289780380632E-2</v>
      </c>
      <c r="AA2048" s="155">
        <v>3.2884355675140142E-2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53316</v>
      </c>
      <c r="Y2049" s="152">
        <f>_xll.qlInterestRateIndexValueDate(IborIndex,X2049,Trigger)</f>
        <v>53318</v>
      </c>
      <c r="Z2049" s="153">
        <v>3.3086986101579875E-2</v>
      </c>
      <c r="AA2049" s="155">
        <v>3.2877685299848025E-2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53323</v>
      </c>
      <c r="Y2050" s="152">
        <f>_xll.qlInterestRateIndexValueDate(IborIndex,X2050,Trigger)</f>
        <v>53325</v>
      </c>
      <c r="Z2050" s="153">
        <v>3.3081680037830623E-2</v>
      </c>
      <c r="AA2050" s="155">
        <v>3.2873236215866797E-2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53330</v>
      </c>
      <c r="Y2051" s="152">
        <f>_xll.qlInterestRateIndexValueDate(IborIndex,X2051,Trigger)</f>
        <v>53332</v>
      </c>
      <c r="Z2051" s="153">
        <v>3.3075240485742598E-2</v>
      </c>
      <c r="AA2051" s="155">
        <v>3.2868785398312284E-2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53337</v>
      </c>
      <c r="Y2052" s="152">
        <f>_xll.qlInterestRateIndexValueDate(IborIndex,X2052,Trigger)</f>
        <v>53339</v>
      </c>
      <c r="Z2052" s="153">
        <v>3.3069930306350255E-2</v>
      </c>
      <c r="AA2052" s="155">
        <v>3.2863590586771352E-2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53344</v>
      </c>
      <c r="Y2053" s="152">
        <f>_xll.qlInterestRateIndexValueDate(IborIndex,X2053,Trigger)</f>
        <v>53346</v>
      </c>
      <c r="Z2053" s="153">
        <v>3.3064617742206079E-2</v>
      </c>
      <c r="AA2053" s="155">
        <v>3.2858393415677867E-2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53351</v>
      </c>
      <c r="Y2054" s="152">
        <f>_xll.qlInterestRateIndexValueDate(IborIndex,X2054,Trigger)</f>
        <v>53353</v>
      </c>
      <c r="Z2054" s="153">
        <v>3.3059302793328603E-2</v>
      </c>
      <c r="AA2054" s="155">
        <v>3.2853193884951892E-2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53358</v>
      </c>
      <c r="Y2055" s="152">
        <f>_xll.qlInterestRateIndexValueDate(IborIndex,X2055,Trigger)</f>
        <v>53360</v>
      </c>
      <c r="Z2055" s="153">
        <v>3.3053985459736382E-2</v>
      </c>
      <c r="AA2055" s="155">
        <v>3.2847991994753301E-2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53365</v>
      </c>
      <c r="Y2056" s="152">
        <f>_xll.qlInterestRateIndexValueDate(IborIndex,X2056,Trigger)</f>
        <v>53367</v>
      </c>
      <c r="Z2056" s="153">
        <v>3.3048665741448845E-2</v>
      </c>
      <c r="AA2056" s="155">
        <v>3.2842787744682411E-2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53372</v>
      </c>
      <c r="Y2057" s="152">
        <f>_xll.qlInterestRateIndexValueDate(IborIndex,X2057,Trigger)</f>
        <v>53374</v>
      </c>
      <c r="Z2057" s="153">
        <v>3.3043343638484109E-2</v>
      </c>
      <c r="AA2057" s="155">
        <v>3.2837581135138905E-2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53379</v>
      </c>
      <c r="Y2058" s="152">
        <f>_xll.qlInterestRateIndexValueDate(IborIndex,X2058,Trigger)</f>
        <v>53381</v>
      </c>
      <c r="Z2058" s="153">
        <v>3.303801915086247E-2</v>
      </c>
      <c r="AA2058" s="155">
        <v>3.2832372166042845E-2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53386</v>
      </c>
      <c r="Y2059" s="152">
        <f>_xll.qlInterestRateIndexValueDate(IborIndex,X2059,Trigger)</f>
        <v>53388</v>
      </c>
      <c r="Z2059" s="153">
        <v>3.3038321667453963E-2</v>
      </c>
      <c r="AA2059" s="155">
        <v>3.2827160837074487E-2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53393</v>
      </c>
      <c r="Y2060" s="152">
        <f>_xll.qlInterestRateIndexValueDate(IborIndex,X2060,Trigger)</f>
        <v>53395</v>
      </c>
      <c r="Z2060" s="153">
        <v>3.3031863899410187E-2</v>
      </c>
      <c r="AA2060" s="155">
        <v>3.2821947148873321E-2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53400</v>
      </c>
      <c r="Y2061" s="152">
        <f>_xll.qlInterestRateIndexValueDate(IborIndex,X2061,Trigger)</f>
        <v>53402</v>
      </c>
      <c r="Z2061" s="153">
        <v>3.3026529635779164E-2</v>
      </c>
      <c r="AA2061" s="155">
        <v>3.2816731100799856E-2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53407</v>
      </c>
      <c r="Y2062" s="152">
        <f>_xll.qlInterestRateIndexValueDate(IborIndex,X2062,Trigger)</f>
        <v>53413</v>
      </c>
      <c r="Z2062" s="153">
        <v>3.3017018860579346E-2</v>
      </c>
      <c r="AA2062" s="155">
        <v>3.2810021286096003E-2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53414</v>
      </c>
      <c r="Y2063" s="152">
        <f>_xll.qlInterestRateIndexValueDate(IborIndex,X2063,Trigger)</f>
        <v>53416</v>
      </c>
      <c r="Z2063" s="153">
        <v>3.3012484187469389E-2</v>
      </c>
      <c r="AA2063" s="155">
        <v>3.2806291925835396E-2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53421</v>
      </c>
      <c r="Y2064" s="152">
        <f>_xll.qlInterestRateIndexValueDate(IborIndex,X2064,Trigger)</f>
        <v>53423</v>
      </c>
      <c r="Z2064" s="153">
        <v>3.3011635144555365E-2</v>
      </c>
      <c r="AA2064" s="155">
        <v>3.2801068798944399E-2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53428</v>
      </c>
      <c r="Y2065" s="152">
        <f>_xll.qlInterestRateIndexValueDate(IborIndex,X2065,Trigger)</f>
        <v>53430</v>
      </c>
      <c r="Z2065" s="153">
        <v>3.3005168730114769E-2</v>
      </c>
      <c r="AA2065" s="155">
        <v>3.279584331250085E-2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53435</v>
      </c>
      <c r="Y2066" s="152">
        <f>_xll.qlInterestRateIndexValueDate(IborIndex,X2066,Trigger)</f>
        <v>53437</v>
      </c>
      <c r="Z2066" s="153">
        <v>3.2999822541010811E-2</v>
      </c>
      <c r="AA2066" s="155">
        <v>3.2790615466424811E-2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53442</v>
      </c>
      <c r="Y2067" s="152">
        <f>_xll.qlInterestRateIndexValueDate(IborIndex,X2067,Trigger)</f>
        <v>53444</v>
      </c>
      <c r="Z2067" s="153">
        <v>3.2994473966869386E-2</v>
      </c>
      <c r="AA2067" s="155">
        <v>3.2785385260636346E-2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53449</v>
      </c>
      <c r="Y2068" s="152">
        <f>_xll.qlInterestRateIndexValueDate(IborIndex,X2068,Trigger)</f>
        <v>53451</v>
      </c>
      <c r="Z2068" s="153">
        <v>3.2989123007711244E-2</v>
      </c>
      <c r="AA2068" s="155">
        <v>3.2779404993554806E-2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53456</v>
      </c>
      <c r="Y2069" s="152">
        <f>_xll.qlInterestRateIndexValueDate(IborIndex,X2069,Trigger)</f>
        <v>53458</v>
      </c>
      <c r="Z2069" s="153">
        <v>3.2984888991335871E-2</v>
      </c>
      <c r="AA2069" s="155">
        <v>3.2774917770561629E-2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53463</v>
      </c>
      <c r="Y2070" s="152">
        <f>_xll.qlInterestRateIndexValueDate(IborIndex,X2070,Trigger)</f>
        <v>53465</v>
      </c>
      <c r="Z2070" s="153">
        <v>3.2978413934421684E-2</v>
      </c>
      <c r="AA2070" s="155">
        <v>3.2769680485875696E-2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53470</v>
      </c>
      <c r="Y2071" s="152">
        <f>_xll.qlInterestRateIndexValueDate(IborIndex,X2071,Trigger)</f>
        <v>53472</v>
      </c>
      <c r="Z2071" s="153">
        <v>3.2973055820328299E-2</v>
      </c>
      <c r="AA2071" s="155">
        <v>3.2763692128625621E-2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53477</v>
      </c>
      <c r="Y2072" s="152">
        <f>_xll.qlInterestRateIndexValueDate(IborIndex,X2072,Trigger)</f>
        <v>53479</v>
      </c>
      <c r="Z2072" s="153">
        <v>3.2967695321296828E-2</v>
      </c>
      <c r="AA2072" s="155">
        <v>3.2759198838006043E-2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53484</v>
      </c>
      <c r="Y2073" s="152">
        <f>_xll.qlInterestRateIndexValueDate(IborIndex,X2073,Trigger)</f>
        <v>53486</v>
      </c>
      <c r="Z2073" s="153">
        <v>3.2962332437344991E-2</v>
      </c>
      <c r="AA2073" s="155">
        <v>3.275395447466245E-2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53491</v>
      </c>
      <c r="Y2074" s="152">
        <f>_xll.qlInterestRateIndexValueDate(IborIndex,X2074,Trigger)</f>
        <v>53493</v>
      </c>
      <c r="Z2074" s="153">
        <v>3.2956967168492224E-2</v>
      </c>
      <c r="AA2074" s="155">
        <v>3.2748707751606432E-2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53498</v>
      </c>
      <c r="Y2075" s="152">
        <f>_xll.qlInterestRateIndexValueDate(IborIndex,X2075,Trigger)</f>
        <v>53500</v>
      </c>
      <c r="Z2075" s="153">
        <v>3.2951599514758415E-2</v>
      </c>
      <c r="AA2075" s="155">
        <v>3.2743458669077796E-2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53505</v>
      </c>
      <c r="Y2076" s="152">
        <f>_xll.qlInterestRateIndexValueDate(IborIndex,X2076,Trigger)</f>
        <v>53507</v>
      </c>
      <c r="Z2076" s="153">
        <v>3.2946229476163422E-2</v>
      </c>
      <c r="AA2076" s="155">
        <v>3.2738207226836735E-2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53512</v>
      </c>
      <c r="Y2077" s="152">
        <f>_xll.qlInterestRateIndexValueDate(IborIndex,X2077,Trigger)</f>
        <v>53514</v>
      </c>
      <c r="Z2077" s="153">
        <v>3.2940857052726709E-2</v>
      </c>
      <c r="AA2077" s="155">
        <v>3.2732953425043121E-2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53519</v>
      </c>
      <c r="Y2078" s="152">
        <f>_xll.qlInterestRateIndexValueDate(IborIndex,X2078,Trigger)</f>
        <v>53521</v>
      </c>
      <c r="Z2078" s="153">
        <v>3.2935482244468135E-2</v>
      </c>
      <c r="AA2078" s="155">
        <v>3.2727697263776889E-2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53526</v>
      </c>
      <c r="Y2079" s="152">
        <f>_xll.qlInterestRateIndexValueDate(IborIndex,X2079,Trigger)</f>
        <v>53528</v>
      </c>
      <c r="Z2079" s="153">
        <v>3.2931217803702728E-2</v>
      </c>
      <c r="AA2079" s="155">
        <v>3.2722438742558424E-2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53533</v>
      </c>
      <c r="Y2080" s="152">
        <f>_xll.qlInterestRateIndexValueDate(IborIndex,X2080,Trigger)</f>
        <v>53535</v>
      </c>
      <c r="Z2080" s="153">
        <v>3.2924725473560186E-2</v>
      </c>
      <c r="AA2080" s="155">
        <v>3.2717177861947278E-2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53540</v>
      </c>
      <c r="Y2081" s="152">
        <f>_xll.qlInterestRateIndexValueDate(IborIndex,X2081,Trigger)</f>
        <v>53542</v>
      </c>
      <c r="Z2081" s="153">
        <v>3.2919343510950556E-2</v>
      </c>
      <c r="AA2081" s="155">
        <v>3.2711914621703642E-2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53547</v>
      </c>
      <c r="Y2082" s="152">
        <f>_xll.qlInterestRateIndexValueDate(IborIndex,X2082,Trigger)</f>
        <v>53549</v>
      </c>
      <c r="Z2082" s="153">
        <v>3.2913959163595984E-2</v>
      </c>
      <c r="AA2082" s="155">
        <v>3.2706649021827516E-2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53554</v>
      </c>
      <c r="Y2083" s="152">
        <f>_xll.qlInterestRateIndexValueDate(IborIndex,X2083,Trigger)</f>
        <v>53556</v>
      </c>
      <c r="Z2083" s="153">
        <v>3.2909682549809895E-2</v>
      </c>
      <c r="AA2083" s="155">
        <v>3.2701381062318902E-2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53561</v>
      </c>
      <c r="Y2084" s="152">
        <f>_xll.qlInterestRateIndexValueDate(IborIndex,X2084,Trigger)</f>
        <v>53563</v>
      </c>
      <c r="Z2084" s="153">
        <v>3.2903183314733686E-2</v>
      </c>
      <c r="AA2084" s="155">
        <v>3.2695357647911649E-2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53568</v>
      </c>
      <c r="Y2085" s="152">
        <f>_xll.qlInterestRateIndexValueDate(IborIndex,X2085,Trigger)</f>
        <v>53570</v>
      </c>
      <c r="Z2085" s="153">
        <v>3.2893356653743482E-2</v>
      </c>
      <c r="AA2085" s="155">
        <v>3.2690838064644012E-2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53575</v>
      </c>
      <c r="Y2086" s="152">
        <f>_xll.qlInterestRateIndexValueDate(IborIndex,X2086,Trigger)</f>
        <v>53577</v>
      </c>
      <c r="Z2086" s="153">
        <v>3.2887965403413343E-2</v>
      </c>
      <c r="AA2086" s="155">
        <v>3.2685563026237929E-2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53582</v>
      </c>
      <c r="Y2087" s="152">
        <f>_xll.qlInterestRateIndexValueDate(IborIndex,X2087,Trigger)</f>
        <v>53584</v>
      </c>
      <c r="Z2087" s="153">
        <v>3.2882571768977464E-2</v>
      </c>
      <c r="AA2087" s="155">
        <v>3.2680285628359229E-2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53589</v>
      </c>
      <c r="Y2088" s="152">
        <f>_xll.qlInterestRateIndexValueDate(IborIndex,X2088,Trigger)</f>
        <v>53591</v>
      </c>
      <c r="Z2088" s="153">
        <v>3.2877175750455734E-2</v>
      </c>
      <c r="AA2088" s="155">
        <v>3.267500587084804E-2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53596</v>
      </c>
      <c r="Y2089" s="152">
        <f>_xll.qlInterestRateIndexValueDate(IborIndex,X2089,Trigger)</f>
        <v>53598</v>
      </c>
      <c r="Z2089" s="153">
        <v>3.2872883495138568E-2</v>
      </c>
      <c r="AA2089" s="155">
        <v>3.2669723753624424E-2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53603</v>
      </c>
      <c r="Y2090" s="152">
        <f>_xll.qlInterestRateIndexValueDate(IborIndex,X2090,Trigger)</f>
        <v>53605</v>
      </c>
      <c r="Z2090" s="153">
        <v>3.2867482049104821E-2</v>
      </c>
      <c r="AA2090" s="155">
        <v>3.2664439276848256E-2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53610</v>
      </c>
      <c r="Y2091" s="152">
        <f>_xll.qlInterestRateIndexValueDate(IborIndex,X2091,Trigger)</f>
        <v>53612</v>
      </c>
      <c r="Z2091" s="153">
        <v>3.2866497570930117E-2</v>
      </c>
      <c r="AA2091" s="155">
        <v>3.265915244059947E-2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53617</v>
      </c>
      <c r="Y2092" s="152">
        <f>_xll.qlInterestRateIndexValueDate(IborIndex,X2092,Trigger)</f>
        <v>53619</v>
      </c>
      <c r="Z2092" s="153">
        <v>3.2856672004563117E-2</v>
      </c>
      <c r="AA2092" s="155">
        <v>3.2653863244558323E-2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53624</v>
      </c>
      <c r="Y2093" s="152">
        <f>_xll.qlInterestRateIndexValueDate(IborIndex,X2093,Trigger)</f>
        <v>53626</v>
      </c>
      <c r="Z2093" s="153">
        <v>3.2851263406095121E-2</v>
      </c>
      <c r="AA2093" s="155">
        <v>3.2648571688884687E-2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53631</v>
      </c>
      <c r="Y2094" s="152">
        <f>_xll.qlInterestRateIndexValueDate(IborIndex,X2094,Trigger)</f>
        <v>53633</v>
      </c>
      <c r="Z2094" s="153">
        <v>3.2844749574573437E-2</v>
      </c>
      <c r="AA2094" s="155">
        <v>3.2643277773818369E-2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53638</v>
      </c>
      <c r="Y2095" s="152">
        <f>_xll.qlInterestRateIndexValueDate(IborIndex,X2095,Trigger)</f>
        <v>53640</v>
      </c>
      <c r="Z2095" s="153">
        <v>3.2839336867981551E-2</v>
      </c>
      <c r="AA2095" s="155">
        <v>3.2637981499039626E-2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53645</v>
      </c>
      <c r="Y2096" s="152">
        <f>_xll.qlInterestRateIndexValueDate(IborIndex,X2096,Trigger)</f>
        <v>53647</v>
      </c>
      <c r="Z2096" s="153">
        <v>3.2833921777456178E-2</v>
      </c>
      <c r="AA2096" s="155">
        <v>3.2632682864548457E-2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53652</v>
      </c>
      <c r="Y2097" s="152">
        <f>_xll.qlInterestRateIndexValueDate(IborIndex,X2097,Trigger)</f>
        <v>53654</v>
      </c>
      <c r="Z2097" s="153">
        <v>3.2828504303016738E-2</v>
      </c>
      <c r="AA2097" s="155">
        <v>3.2627381870584671E-2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53659</v>
      </c>
      <c r="Y2098" s="152">
        <f>_xll.qlInterestRateIndexValueDate(IborIndex,X2098,Trigger)</f>
        <v>53661</v>
      </c>
      <c r="Z2098" s="153">
        <v>3.2824184652549285E-2</v>
      </c>
      <c r="AA2098" s="155">
        <v>3.2622078516988395E-2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53666</v>
      </c>
      <c r="Y2099" s="152">
        <f>_xll.qlInterestRateIndexValueDate(IborIndex,X2099,Trigger)</f>
        <v>53668</v>
      </c>
      <c r="Z2099" s="153">
        <v>3.2818761749734575E-2</v>
      </c>
      <c r="AA2099" s="155">
        <v>3.2616772803679694E-2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53673</v>
      </c>
      <c r="Y2100" s="152">
        <f>_xll.qlInterestRateIndexValueDate(IborIndex,X2100,Trigger)</f>
        <v>53675</v>
      </c>
      <c r="Z2100" s="153">
        <v>3.2813336462930151E-2</v>
      </c>
      <c r="AA2100" s="155">
        <v>3.261146473081844E-2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53680</v>
      </c>
      <c r="Y2101" s="152">
        <f>_xll.qlInterestRateIndexValueDate(IborIndex,X2101,Trigger)</f>
        <v>53682</v>
      </c>
      <c r="Z2101" s="153">
        <v>3.2807908792155352E-2</v>
      </c>
      <c r="AA2101" s="155">
        <v>3.2604636598518866E-2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53688</v>
      </c>
      <c r="Y2102" s="152">
        <f>_xll.qlInterestRateIndexValueDate(IborIndex,X2102,Trigger)</f>
        <v>53692</v>
      </c>
      <c r="Z2102" s="153">
        <v>3.2796859006854057E-2</v>
      </c>
      <c r="AA2102" s="155">
        <v>3.2599323132291858E-2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53695</v>
      </c>
      <c r="Y2103" s="152">
        <f>_xll.qlInterestRateIndexValueDate(IborIndex,X2103,Trigger)</f>
        <v>53699</v>
      </c>
      <c r="Z2103" s="153">
        <v>3.279471738100468E-2</v>
      </c>
      <c r="AA2103" s="155">
        <v>3.2594766854616708E-2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53702</v>
      </c>
      <c r="Y2104" s="152">
        <f>_xll.qlInterestRateIndexValueDate(IborIndex,X2104,Trigger)</f>
        <v>53706</v>
      </c>
      <c r="Z2104" s="153">
        <v>3.2789281536763137E-2</v>
      </c>
      <c r="AA2104" s="155">
        <v>3.2589449006374949E-2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53709</v>
      </c>
      <c r="Y2105" s="152">
        <f>_xll.qlInterestRateIndexValueDate(IborIndex,X2105,Trigger)</f>
        <v>53714</v>
      </c>
      <c r="Z2105" s="153">
        <v>3.2781971021483731E-2</v>
      </c>
      <c r="AA2105" s="155">
        <v>3.2583368575975769E-2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53716</v>
      </c>
      <c r="Y2106" s="152">
        <f>_xll.qlInterestRateIndexValueDate(IborIndex,X2106,Trigger)</f>
        <v>53720</v>
      </c>
      <c r="Z2106" s="153">
        <v>3.2778402696646038E-2</v>
      </c>
      <c r="AA2106" s="155">
        <v>3.257880623083409E-2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53723</v>
      </c>
      <c r="Y2107" s="152">
        <f>_xll.qlInterestRateIndexValueDate(IborIndex,X2107,Trigger)</f>
        <v>53727</v>
      </c>
      <c r="Z2107" s="153">
        <v>3.2772959700809137E-2</v>
      </c>
      <c r="AA2107" s="155">
        <v>3.257348130353499E-2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53730</v>
      </c>
      <c r="Y2108" s="152">
        <f>_xll.qlInterestRateIndexValueDate(IborIndex,X2108,Trigger)</f>
        <v>53734</v>
      </c>
      <c r="Z2108" s="153">
        <v>3.276751432114635E-2</v>
      </c>
      <c r="AA2108" s="155">
        <v>3.2568154016683337E-2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53737</v>
      </c>
      <c r="Y2109" s="152">
        <f>_xll.qlInterestRateIndexValueDate(IborIndex,X2109,Trigger)</f>
        <v>53742</v>
      </c>
      <c r="Z2109" s="153">
        <v>3.2760195555594507E-2</v>
      </c>
      <c r="AA2109" s="155">
        <v>3.2562062799632585E-2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53744</v>
      </c>
      <c r="Y2110" s="152">
        <f>_xll.qlInterestRateIndexValueDate(IborIndex,X2110,Trigger)</f>
        <v>53748</v>
      </c>
      <c r="Z2110" s="153">
        <v>3.2757708401070208E-2</v>
      </c>
      <c r="AA2110" s="155">
        <v>3.2557492364242435E-2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53751</v>
      </c>
      <c r="Y2111" s="152">
        <f>_xll.qlInterestRateIndexValueDate(IborIndex,X2111,Trigger)</f>
        <v>53755</v>
      </c>
      <c r="Z2111" s="153">
        <v>3.2753346538617036E-2</v>
      </c>
      <c r="AA2111" s="155">
        <v>3.2552157998733122E-2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53758</v>
      </c>
      <c r="Y2112" s="152">
        <f>_xll.qlInterestRateIndexValueDate(IborIndex,X2112,Trigger)</f>
        <v>53762</v>
      </c>
      <c r="Z2112" s="153">
        <v>3.2747890298868328E-2</v>
      </c>
      <c r="AA2112" s="155">
        <v>3.2546821273351512E-2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53765</v>
      </c>
      <c r="Y2113" s="152">
        <f>_xll.qlInterestRateIndexValueDate(IborIndex,X2113,Trigger)</f>
        <v>53769</v>
      </c>
      <c r="Z2113" s="153">
        <v>3.2742431675124875E-2</v>
      </c>
      <c r="AA2113" s="155">
        <v>3.254148218857722E-2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53772</v>
      </c>
      <c r="Y2114" s="152">
        <f>_xll.qlInterestRateIndexValueDate(IborIndex,X2114,Trigger)</f>
        <v>53776</v>
      </c>
      <c r="Z2114" s="153">
        <v>3.2736970667407973E-2</v>
      </c>
      <c r="AA2114" s="155">
        <v>3.2536140744170439E-2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53779</v>
      </c>
      <c r="Y2115" s="152">
        <f>_xll.qlInterestRateIndexValueDate(IborIndex,X2115,Trigger)</f>
        <v>53783</v>
      </c>
      <c r="Z2115" s="153">
        <v>3.2730418595711332E-2</v>
      </c>
      <c r="AA2115" s="155">
        <v>3.2530796940131168E-2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53786</v>
      </c>
      <c r="Y2116" s="152">
        <f>_xll.qlInterestRateIndexValueDate(IborIndex,X2116,Trigger)</f>
        <v>53790</v>
      </c>
      <c r="Z2116" s="153">
        <v>3.2724953483152984E-2</v>
      </c>
      <c r="AA2116" s="155">
        <v>3.2525450776379472E-2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53793</v>
      </c>
      <c r="Y2117" s="152">
        <f>_xll.qlInterestRateIndexValueDate(IborIndex,X2117,Trigger)</f>
        <v>53799</v>
      </c>
      <c r="Z2117" s="153">
        <v>3.2717923407166283E-2</v>
      </c>
      <c r="AA2117" s="155">
        <v>3.2520746623179164E-2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53800</v>
      </c>
      <c r="Y2118" s="152">
        <f>_xll.qlInterestRateIndexValueDate(IborIndex,X2118,Trigger)</f>
        <v>53804</v>
      </c>
      <c r="Z2118" s="153">
        <v>3.2714016106708453E-2</v>
      </c>
      <c r="AA2118" s="155">
        <v>3.2514751370298356E-2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53807</v>
      </c>
      <c r="Y2119" s="152">
        <f>_xll.qlInterestRateIndexValueDate(IborIndex,X2119,Trigger)</f>
        <v>53811</v>
      </c>
      <c r="Z2119" s="153">
        <v>3.2708543842861149E-2</v>
      </c>
      <c r="AA2119" s="155">
        <v>3.2509398127729128E-2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53814</v>
      </c>
      <c r="Y2120" s="152">
        <f>_xll.qlInterestRateIndexValueDate(IborIndex,X2120,Trigger)</f>
        <v>53819</v>
      </c>
      <c r="Z2120" s="153">
        <v>3.2703372176853027E-2</v>
      </c>
      <c r="AA2120" s="155">
        <v>3.2503277247046825E-2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53821</v>
      </c>
      <c r="Y2121" s="152">
        <f>_xll.qlInterestRateIndexValueDate(IborIndex,X2121,Trigger)</f>
        <v>53825</v>
      </c>
      <c r="Z2121" s="153">
        <v>3.2698676863776859E-2</v>
      </c>
      <c r="AA2121" s="155">
        <v>3.2498684564012947E-2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53828</v>
      </c>
      <c r="Y2122" s="152">
        <f>_xll.qlInterestRateIndexValueDate(IborIndex,X2122,Trigger)</f>
        <v>53832</v>
      </c>
      <c r="Z2122" s="153">
        <v>3.2693196784978715E-2</v>
      </c>
      <c r="AA2122" s="155">
        <v>3.2493324242786059E-2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53835</v>
      </c>
      <c r="Y2123" s="152">
        <f>_xll.qlInterestRateIndexValueDate(IborIndex,X2123,Trigger)</f>
        <v>53840</v>
      </c>
      <c r="Z2123" s="153">
        <v>3.2688014197733331E-2</v>
      </c>
      <c r="AA2123" s="155">
        <v>3.2487195272015157E-2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53842</v>
      </c>
      <c r="Y2124" s="152">
        <f>_xll.qlInterestRateIndexValueDate(IborIndex,X2124,Trigger)</f>
        <v>53846</v>
      </c>
      <c r="Z2124" s="153">
        <v>3.2681146768155207E-2</v>
      </c>
      <c r="AA2124" s="155">
        <v>3.2482596521354878E-2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53849</v>
      </c>
      <c r="Y2125" s="152">
        <f>_xll.qlInterestRateIndexValueDate(IborIndex,X2125,Trigger)</f>
        <v>53853</v>
      </c>
      <c r="Z2125" s="153">
        <v>3.2675660202258081E-2</v>
      </c>
      <c r="AA2125" s="155">
        <v>3.2477229121230522E-2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53856</v>
      </c>
      <c r="Y2126" s="152">
        <f>_xll.qlInterestRateIndexValueDate(IborIndex,X2126,Trigger)</f>
        <v>53860</v>
      </c>
      <c r="Z2126" s="153">
        <v>3.2670171252755509E-2</v>
      </c>
      <c r="AA2126" s="155">
        <v>3.247185936139374E-2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53863</v>
      </c>
      <c r="Y2127" s="152">
        <f>_xll.qlInterestRateIndexValueDate(IborIndex,X2127,Trigger)</f>
        <v>53867</v>
      </c>
      <c r="Z2127" s="153">
        <v>3.2664679919666283E-2</v>
      </c>
      <c r="AA2127" s="155">
        <v>3.2466487242084341E-2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53870</v>
      </c>
      <c r="Y2128" s="152">
        <f>_xll.qlInterestRateIndexValueDate(IborIndex,X2128,Trigger)</f>
        <v>53874</v>
      </c>
      <c r="Z2128" s="153">
        <v>3.2661346304798972E-2</v>
      </c>
      <c r="AA2128" s="155">
        <v>3.2461112763222388E-2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53877</v>
      </c>
      <c r="Y2129" s="152">
        <f>_xll.qlInterestRateIndexValueDate(IborIndex,X2129,Trigger)</f>
        <v>53881</v>
      </c>
      <c r="Z2129" s="153">
        <v>3.2654769488208016E-2</v>
      </c>
      <c r="AA2129" s="155">
        <v>3.245573592464801E-2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53884</v>
      </c>
      <c r="Y2130" s="152">
        <f>_xll.qlInterestRateIndexValueDate(IborIndex,X2130,Trigger)</f>
        <v>53888</v>
      </c>
      <c r="Z2130" s="153">
        <v>3.2649270339594583E-2</v>
      </c>
      <c r="AA2130" s="155">
        <v>3.2450356726441143E-2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53891</v>
      </c>
      <c r="Y2131" s="152">
        <f>_xll.qlInterestRateIndexValueDate(IborIndex,X2131,Trigger)</f>
        <v>53895</v>
      </c>
      <c r="Z2131" s="153">
        <v>3.2643768807343515E-2</v>
      </c>
      <c r="AA2131" s="155">
        <v>3.2444975168841594E-2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53898</v>
      </c>
      <c r="Y2132" s="152">
        <f>_xll.qlInterestRateIndexValueDate(IborIndex,X2132,Trigger)</f>
        <v>53902</v>
      </c>
      <c r="Z2132" s="153">
        <v>3.2638264891475234E-2</v>
      </c>
      <c r="AA2132" s="155">
        <v>3.2439591251369748E-2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53905</v>
      </c>
      <c r="Y2133" s="152">
        <f>_xll.qlInterestRateIndexValueDate(IborIndex,X2133,Trigger)</f>
        <v>53909</v>
      </c>
      <c r="Z2133" s="153">
        <v>3.2632758592009717E-2</v>
      </c>
      <c r="AA2133" s="155">
        <v>3.2434204974265413E-2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53912</v>
      </c>
      <c r="Y2134" s="152">
        <f>_xll.qlInterestRateIndexValueDate(IborIndex,X2134,Trigger)</f>
        <v>53916</v>
      </c>
      <c r="Z2134" s="153">
        <v>3.262724990896565E-2</v>
      </c>
      <c r="AA2134" s="155">
        <v>3.242881633768846E-2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53919</v>
      </c>
      <c r="Y2135" s="152">
        <f>_xll.qlInterestRateIndexValueDate(IborIndex,X2135,Trigger)</f>
        <v>53923</v>
      </c>
      <c r="Z2135" s="153">
        <v>3.2621738842363017E-2</v>
      </c>
      <c r="AA2135" s="155">
        <v>3.242342534163889E-2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53926</v>
      </c>
      <c r="Y2136" s="152">
        <f>_xll.qlInterestRateIndexValueDate(IborIndex,X2136,Trigger)</f>
        <v>53931</v>
      </c>
      <c r="Z2136" s="153">
        <v>3.2615437561914713E-2</v>
      </c>
      <c r="AA2136" s="155">
        <v>3.2417261313790746E-2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53933</v>
      </c>
      <c r="Y2137" s="152">
        <f>_xll.qlInterestRateIndexValueDate(IborIndex,X2137,Trigger)</f>
        <v>53938</v>
      </c>
      <c r="Z2137" s="153">
        <v>3.260777345354339E-2</v>
      </c>
      <c r="AA2137" s="155">
        <v>3.2411865261385842E-2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53940</v>
      </c>
      <c r="Y2138" s="152">
        <f>_xll.qlInterestRateIndexValueDate(IborIndex,X2138,Trigger)</f>
        <v>53944</v>
      </c>
      <c r="Z2138" s="153">
        <v>3.2603044548739385E-2</v>
      </c>
      <c r="AA2138" s="155">
        <v>3.2407238195455434E-2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53947</v>
      </c>
      <c r="Y2139" s="152">
        <f>_xll.qlInterestRateIndexValueDate(IborIndex,X2139,Trigger)</f>
        <v>53951</v>
      </c>
      <c r="Z2139" s="153">
        <v>3.259752528014602E-2</v>
      </c>
      <c r="AA2139" s="155">
        <v>3.2401837760875907E-2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53954</v>
      </c>
      <c r="Y2140" s="152">
        <f>_xll.qlInterestRateIndexValueDate(IborIndex,X2140,Trigger)</f>
        <v>53958</v>
      </c>
      <c r="Z2140" s="153">
        <v>3.2592003628352205E-2</v>
      </c>
      <c r="AA2140" s="155">
        <v>3.2396434966743826E-2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53961</v>
      </c>
      <c r="Y2141" s="152">
        <f>_xll.qlInterestRateIndexValueDate(IborIndex,X2141,Trigger)</f>
        <v>53965</v>
      </c>
      <c r="Z2141" s="153">
        <v>3.2587550990925661E-2</v>
      </c>
      <c r="AA2141" s="155">
        <v>3.2391029812819383E-2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53968</v>
      </c>
      <c r="Y2142" s="152">
        <f>_xll.qlInterestRateIndexValueDate(IborIndex,X2142,Trigger)</f>
        <v>53972</v>
      </c>
      <c r="Z2142" s="153">
        <v>3.2582023906414501E-2</v>
      </c>
      <c r="AA2142" s="155">
        <v>3.2385622299422323E-2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53975</v>
      </c>
      <c r="Y2143" s="152">
        <f>_xll.qlInterestRateIndexValueDate(IborIndex,X2143,Trigger)</f>
        <v>53980</v>
      </c>
      <c r="Z2143" s="153">
        <v>3.2575704320113238E-2</v>
      </c>
      <c r="AA2143" s="155">
        <v>3.2379439394754073E-2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53982</v>
      </c>
      <c r="Y2144" s="152">
        <f>_xll.qlInterestRateIndexValueDate(IborIndex,X2144,Trigger)</f>
        <v>53986</v>
      </c>
      <c r="Z2144" s="153">
        <v>3.2570962587602344E-2</v>
      </c>
      <c r="AA2144" s="155">
        <v>3.2374800193730735E-2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53989</v>
      </c>
      <c r="Y2145" s="152">
        <f>_xll.qlInterestRateIndexValueDate(IborIndex,X2145,Trigger)</f>
        <v>53993</v>
      </c>
      <c r="Z2145" s="153">
        <v>3.2565428353341537E-2</v>
      </c>
      <c r="AA2145" s="155">
        <v>3.2369385601516143E-2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53996</v>
      </c>
      <c r="Y2146" s="152">
        <f>_xll.qlInterestRateIndexValueDate(IborIndex,X2146,Trigger)</f>
        <v>54000</v>
      </c>
      <c r="Z2146" s="153">
        <v>3.2559891735870594E-2</v>
      </c>
      <c r="AA2146" s="155">
        <v>3.2363968649748998E-2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54003</v>
      </c>
      <c r="Y2147" s="152">
        <f>_xll.qlInterestRateIndexValueDate(IborIndex,X2147,Trigger)</f>
        <v>54008</v>
      </c>
      <c r="Z2147" s="153">
        <v>3.2552493952804282E-2</v>
      </c>
      <c r="AA2147" s="155">
        <v>3.2357774958349239E-2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54010</v>
      </c>
      <c r="Y2148" s="152">
        <f>_xll.qlInterestRateIndexValueDate(IborIndex,X2148,Trigger)</f>
        <v>54014</v>
      </c>
      <c r="Z2148" s="153">
        <v>3.2547744621176967E-2</v>
      </c>
      <c r="AA2148" s="155">
        <v>3.2353127667237302E-2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54017</v>
      </c>
      <c r="Y2149" s="152">
        <f>_xll.qlInterestRateIndexValueDate(IborIndex,X2149,Trigger)</f>
        <v>54021</v>
      </c>
      <c r="Z2149" s="153">
        <v>3.2543267584395734E-2</v>
      </c>
      <c r="AA2149" s="155">
        <v>3.2347703636652625E-2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54024</v>
      </c>
      <c r="Y2150" s="152">
        <f>_xll.qlInterestRateIndexValueDate(IborIndex,X2150,Trigger)</f>
        <v>54028</v>
      </c>
      <c r="Z2150" s="153">
        <v>3.2537721434283011E-2</v>
      </c>
      <c r="AA2150" s="155">
        <v>3.2342277246435458E-2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54031</v>
      </c>
      <c r="Y2151" s="152">
        <f>_xll.qlInterestRateIndexValueDate(IborIndex,X2151,Trigger)</f>
        <v>54035</v>
      </c>
      <c r="Z2151" s="153">
        <v>3.2532172901059753E-2</v>
      </c>
      <c r="AA2151" s="155">
        <v>3.2336848496505866E-2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54038</v>
      </c>
      <c r="Y2152" s="152">
        <f>_xll.qlInterestRateIndexValueDate(IborIndex,X2152,Trigger)</f>
        <v>54042</v>
      </c>
      <c r="Z2152" s="153">
        <v>3.2526621984744736E-2</v>
      </c>
      <c r="AA2152" s="155">
        <v>3.2331417386943784E-2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54045</v>
      </c>
      <c r="Y2153" s="152">
        <f>_xll.qlInterestRateIndexValueDate(IborIndex,X2153,Trigger)</f>
        <v>54049</v>
      </c>
      <c r="Z2153" s="153">
        <v>3.2521068685360678E-2</v>
      </c>
      <c r="AA2153" s="155">
        <v>3.2326556910895476E-2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54053</v>
      </c>
      <c r="Y2154" s="152">
        <f>_xll.qlInterestRateIndexValueDate(IborIndex,X2154,Trigger)</f>
        <v>54057</v>
      </c>
      <c r="Z2154" s="153">
        <v>3.2513656510287356E-2</v>
      </c>
      <c r="AA2154" s="155">
        <v>3.2321119094698147E-2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54060</v>
      </c>
      <c r="Y2155" s="152">
        <f>_xll.qlInterestRateIndexValueDate(IborIndex,X2155,Trigger)</f>
        <v>54064</v>
      </c>
      <c r="Z2155" s="153">
        <v>3.2508098772453448E-2</v>
      </c>
      <c r="AA2155" s="155">
        <v>3.2314332824459058E-2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54067</v>
      </c>
      <c r="Y2156" s="152">
        <f>_xll.qlInterestRateIndexValueDate(IborIndex,X2156,Trigger)</f>
        <v>54071</v>
      </c>
      <c r="Z2156" s="153">
        <v>3.2502538651738834E-2</v>
      </c>
      <c r="AA2156" s="155">
        <v>3.2308891939516471E-2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54074</v>
      </c>
      <c r="Y2157" s="152">
        <f>_xll.qlInterestRateIndexValueDate(IborIndex,X2157,Trigger)</f>
        <v>54078</v>
      </c>
      <c r="Z2157" s="153">
        <v>3.249697614816284E-2</v>
      </c>
      <c r="AA2157" s="155">
        <v>3.2303448694781522E-2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54081</v>
      </c>
      <c r="Y2158" s="152">
        <f>_xll.qlInterestRateIndexValueDate(IborIndex,X2158,Trigger)</f>
        <v>54085</v>
      </c>
      <c r="Z2158" s="153">
        <v>3.2491411261747427E-2</v>
      </c>
      <c r="AA2158" s="155">
        <v>3.2298003090813765E-2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54088</v>
      </c>
      <c r="Y2159" s="152">
        <f>_xll.qlInterestRateIndexValueDate(IborIndex,X2159,Trigger)</f>
        <v>54092</v>
      </c>
      <c r="Z2159" s="153">
        <v>3.2485843992510165E-2</v>
      </c>
      <c r="AA2159" s="155">
        <v>3.2292555127133582E-2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54095</v>
      </c>
      <c r="Y2160" s="152">
        <f>_xll.qlInterestRateIndexValueDate(IborIndex,X2160,Trigger)</f>
        <v>54099</v>
      </c>
      <c r="Z2160" s="153">
        <v>3.248027434047257E-2</v>
      </c>
      <c r="AA2160" s="155">
        <v>3.2287104803581101E-2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54102</v>
      </c>
      <c r="Y2161" s="152">
        <f>_xll.qlInterestRateIndexValueDate(IborIndex,X2161,Trigger)</f>
        <v>54106</v>
      </c>
      <c r="Z2161" s="153">
        <v>3.247470230565265E-2</v>
      </c>
      <c r="AA2161" s="155">
        <v>3.228165212063594E-2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54109</v>
      </c>
      <c r="Y2162" s="152">
        <f>_xll.qlInterestRateIndexValueDate(IborIndex,X2162,Trigger)</f>
        <v>54113</v>
      </c>
      <c r="Z2162" s="153">
        <v>3.2469127888072366E-2</v>
      </c>
      <c r="AA2162" s="155">
        <v>3.2276197078218161E-2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54116</v>
      </c>
      <c r="Y2163" s="152">
        <f>_xll.qlInterestRateIndexValueDate(IborIndex,X2163,Trigger)</f>
        <v>54120</v>
      </c>
      <c r="Z2163" s="153">
        <v>3.2465664311080132E-2</v>
      </c>
      <c r="AA2163" s="155">
        <v>3.2270739675928084E-2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54123</v>
      </c>
      <c r="Y2164" s="152">
        <f>_xll.qlInterestRateIndexValueDate(IborIndex,X2164,Trigger)</f>
        <v>54127</v>
      </c>
      <c r="Z2164" s="153">
        <v>3.2460083789557857E-2</v>
      </c>
      <c r="AA2164" s="155">
        <v>3.2265279914085454E-2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54130</v>
      </c>
      <c r="Y2165" s="152">
        <f>_xll.qlInterestRateIndexValueDate(IborIndex,X2165,Trigger)</f>
        <v>54134</v>
      </c>
      <c r="Z2165" s="153">
        <v>3.2454500885080007E-2</v>
      </c>
      <c r="AA2165" s="155">
        <v>3.2259817792850143E-2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54137</v>
      </c>
      <c r="Y2166" s="152">
        <f>_xll.qlInterestRateIndexValueDate(IborIndex,X2166,Trigger)</f>
        <v>54141</v>
      </c>
      <c r="Z2166" s="153">
        <v>3.244891559766961E-2</v>
      </c>
      <c r="AA2166" s="155">
        <v>3.225435331182247E-2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54144</v>
      </c>
      <c r="Y2167" s="152">
        <f>_xll.qlInterestRateIndexValueDate(IborIndex,X2167,Trigger)</f>
        <v>54148</v>
      </c>
      <c r="Z2167" s="153">
        <v>3.2442273993882699E-2</v>
      </c>
      <c r="AA2167" s="155">
        <v>3.2253101718945132E-2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54155</v>
      </c>
      <c r="Y2168" s="152">
        <f>_xll.qlInterestRateIndexValueDate(IborIndex,X2168,Trigger)</f>
        <v>54157</v>
      </c>
      <c r="Z2168" s="153">
        <v>3.2435087206093116E-2</v>
      </c>
      <c r="AA2168" s="155">
        <v>3.2240290954463902E-2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54162</v>
      </c>
      <c r="Y2169" s="152">
        <f>_xll.qlInterestRateIndexValueDate(IborIndex,X2169,Trigger)</f>
        <v>54164</v>
      </c>
      <c r="Z2169" s="153">
        <v>3.2429494759119847E-2</v>
      </c>
      <c r="AA2169" s="155">
        <v>3.2234818046177338E-2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54169</v>
      </c>
      <c r="Y2170" s="152">
        <f>_xll.qlInterestRateIndexValueDate(IborIndex,X2170,Trigger)</f>
        <v>54171</v>
      </c>
      <c r="Z2170" s="153">
        <v>3.242389992942523E-2</v>
      </c>
      <c r="AA2170" s="155">
        <v>3.222934277857803E-2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54176</v>
      </c>
      <c r="Y2171" s="152">
        <f>_xll.qlInterestRateIndexValueDate(IborIndex,X2171,Trigger)</f>
        <v>54178</v>
      </c>
      <c r="Z2171" s="153">
        <v>3.2418302717028051E-2</v>
      </c>
      <c r="AA2171" s="155">
        <v>3.2223082440330231E-2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54183</v>
      </c>
      <c r="Y2172" s="152">
        <f>_xll.qlInterestRateIndexValueDate(IborIndex,X2172,Trigger)</f>
        <v>54185</v>
      </c>
      <c r="Z2172" s="153">
        <v>3.2415854293371425E-2</v>
      </c>
      <c r="AA2172" s="155">
        <v>3.2218385164322072E-2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54190</v>
      </c>
      <c r="Y2173" s="152">
        <f>_xll.qlInterestRateIndexValueDate(IborIndex,X2173,Trigger)</f>
        <v>54192</v>
      </c>
      <c r="Z2173" s="153">
        <v>3.2410250304119426E-2</v>
      </c>
      <c r="AA2173" s="155">
        <v>3.2212902817665423E-2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54197</v>
      </c>
      <c r="Y2174" s="152">
        <f>_xll.qlInterestRateIndexValueDate(IborIndex,X2174,Trigger)</f>
        <v>54199</v>
      </c>
      <c r="Z2174" s="153">
        <v>3.2404643931848484E-2</v>
      </c>
      <c r="AA2174" s="155">
        <v>3.2206634389568833E-2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54204</v>
      </c>
      <c r="Y2175" s="152">
        <f>_xll.qlInterestRateIndexValueDate(IborIndex,X2175,Trigger)</f>
        <v>54206</v>
      </c>
      <c r="Z2175" s="153">
        <v>3.2399035176579223E-2</v>
      </c>
      <c r="AA2175" s="155">
        <v>3.2201931046014209E-2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54211</v>
      </c>
      <c r="Y2176" s="152">
        <f>_xll.qlInterestRateIndexValueDate(IborIndex,X2176,Trigger)</f>
        <v>54213</v>
      </c>
      <c r="Z2176" s="153">
        <v>3.2390280915217527E-2</v>
      </c>
      <c r="AA2176" s="155">
        <v>3.2196441620619964E-2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54218</v>
      </c>
      <c r="Y2177" s="152">
        <f>_xll.qlInterestRateIndexValueDate(IborIndex,X2177,Trigger)</f>
        <v>54220</v>
      </c>
      <c r="Z2177" s="153">
        <v>3.2384669407031323E-2</v>
      </c>
      <c r="AA2177" s="155">
        <v>3.219094983559323E-2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54225</v>
      </c>
      <c r="Y2178" s="152">
        <f>_xll.qlInterestRateIndexValueDate(IborIndex,X2178,Trigger)</f>
        <v>54227</v>
      </c>
      <c r="Z2178" s="153">
        <v>3.2379055516283207E-2</v>
      </c>
      <c r="AA2178" s="155">
        <v>3.2185455691173814E-2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54232</v>
      </c>
      <c r="Y2179" s="152">
        <f>_xll.qlInterestRateIndexValueDate(IborIndex,X2179,Trigger)</f>
        <v>54234</v>
      </c>
      <c r="Z2179" s="153">
        <v>3.2377622016732305E-2</v>
      </c>
      <c r="AA2179" s="155">
        <v>3.2179959187041973E-2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54239</v>
      </c>
      <c r="Y2180" s="152">
        <f>_xll.qlInterestRateIndexValueDate(IborIndex,X2180,Trigger)</f>
        <v>54241</v>
      </c>
      <c r="Z2180" s="153">
        <v>3.2370955655989242E-2</v>
      </c>
      <c r="AA2180" s="155">
        <v>3.2174460323197707E-2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54246</v>
      </c>
      <c r="Y2181" s="152">
        <f>_xll.qlInterestRateIndexValueDate(IborIndex,X2181,Trigger)</f>
        <v>54248</v>
      </c>
      <c r="Z2181" s="153">
        <v>3.2365332603165015E-2</v>
      </c>
      <c r="AA2181" s="155">
        <v>3.2168959099880823E-2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54253</v>
      </c>
      <c r="Y2182" s="152">
        <f>_xll.qlInterestRateIndexValueDate(IborIndex,X2182,Trigger)</f>
        <v>54255</v>
      </c>
      <c r="Z2182" s="153">
        <v>3.2360750843390511E-2</v>
      </c>
      <c r="AA2182" s="155">
        <v>3.2163455517091322E-2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54260</v>
      </c>
      <c r="Y2183" s="152">
        <f>_xll.qlInterestRateIndexValueDate(IborIndex,X2183,Trigger)</f>
        <v>54262</v>
      </c>
      <c r="Z2183" s="153">
        <v>3.2354079348974586E-2</v>
      </c>
      <c r="AA2183" s="155">
        <v>3.2157949574509459E-2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54267</v>
      </c>
      <c r="Y2184" s="152">
        <f>_xll.qlInterestRateIndexValueDate(IborIndex,X2184,Trigger)</f>
        <v>54269</v>
      </c>
      <c r="Z2184" s="153">
        <v>3.2345322139144143E-2</v>
      </c>
      <c r="AA2184" s="155">
        <v>3.2152441272295107E-2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54274</v>
      </c>
      <c r="Y2185" s="152">
        <f>_xll.qlInterestRateIndexValueDate(IborIndex,X2185,Trigger)</f>
        <v>54276</v>
      </c>
      <c r="Z2185" s="153">
        <v>3.2342816563530954E-2</v>
      </c>
      <c r="AA2185" s="155">
        <v>3.2146930610688074E-2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54281</v>
      </c>
      <c r="Y2186" s="152">
        <f>_xll.qlInterestRateIndexValueDate(IborIndex,X2186,Trigger)</f>
        <v>54283</v>
      </c>
      <c r="Z2186" s="153">
        <v>3.233822258428333E-2</v>
      </c>
      <c r="AA2186" s="155">
        <v>3.2141417589288679E-2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54288</v>
      </c>
      <c r="Y2187" s="152">
        <f>_xll.qlInterestRateIndexValueDate(IborIndex,X2187,Trigger)</f>
        <v>54290</v>
      </c>
      <c r="Z2187" s="153">
        <v>3.2331544247000001E-2</v>
      </c>
      <c r="AA2187" s="155">
        <v>3.2135902208336731E-2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54295</v>
      </c>
      <c r="Y2188" s="152">
        <f>_xll.qlInterestRateIndexValueDate(IborIndex,X2188,Trigger)</f>
        <v>54297</v>
      </c>
      <c r="Z2188" s="153">
        <v>3.2322785572385361E-2</v>
      </c>
      <c r="AA2188" s="155">
        <v>3.2129596026679863E-2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54302</v>
      </c>
      <c r="Y2189" s="152">
        <f>_xll.qlInterestRateIndexValueDate(IborIndex,X2189,Trigger)</f>
        <v>54304</v>
      </c>
      <c r="Z2189" s="153">
        <v>3.2315067513104451E-2</v>
      </c>
      <c r="AA2189" s="155">
        <v>3.2124864367775174E-2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54309</v>
      </c>
      <c r="Y2190" s="152">
        <f>_xll.qlInterestRateIndexValueDate(IborIndex,X2190,Trigger)</f>
        <v>54311</v>
      </c>
      <c r="Z2190" s="153">
        <v>3.2309426378129613E-2</v>
      </c>
      <c r="AA2190" s="155">
        <v>3.2119341907925758E-2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54316</v>
      </c>
      <c r="Y2191" s="152">
        <f>_xll.qlInterestRateIndexValueDate(IborIndex,X2191,Trigger)</f>
        <v>54318</v>
      </c>
      <c r="Z2191" s="153">
        <v>3.2303782861103983E-2</v>
      </c>
      <c r="AA2191" s="155">
        <v>3.2113817088603724E-2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54323</v>
      </c>
      <c r="Y2192" s="152">
        <f>_xll.qlInterestRateIndexValueDate(IborIndex,X2192,Trigger)</f>
        <v>54325</v>
      </c>
      <c r="Z2192" s="153">
        <v>3.2298136962046982E-2</v>
      </c>
      <c r="AA2192" s="155">
        <v>3.2108289909809073E-2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54330</v>
      </c>
      <c r="Y2193" s="152">
        <f>_xll.qlInterestRateIndexValueDate(IborIndex,X2193,Trigger)</f>
        <v>54332</v>
      </c>
      <c r="Z2193" s="153">
        <v>3.2293524972526147E-2</v>
      </c>
      <c r="AA2193" s="155">
        <v>3.2102760371222061E-2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54337</v>
      </c>
      <c r="Y2194" s="152">
        <f>_xll.qlInterestRateIndexValueDate(IborIndex,X2194,Trigger)</f>
        <v>54339</v>
      </c>
      <c r="Z2194" s="153">
        <v>3.22878736365384E-2</v>
      </c>
      <c r="AA2194" s="155">
        <v>3.2097228473082495E-2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54344</v>
      </c>
      <c r="Y2195" s="152">
        <f>_xll.qlInterestRateIndexValueDate(IborIndex,X2195,Trigger)</f>
        <v>54346</v>
      </c>
      <c r="Z2195" s="153">
        <v>3.2282219918456131E-2</v>
      </c>
      <c r="AA2195" s="155">
        <v>3.209169421531044E-2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54351</v>
      </c>
      <c r="Y2196" s="152">
        <f>_xll.qlInterestRateIndexValueDate(IborIndex,X2196,Trigger)</f>
        <v>54353</v>
      </c>
      <c r="Z2196" s="153">
        <v>3.2276563818300422E-2</v>
      </c>
      <c r="AA2196" s="155">
        <v>3.2086157598065768E-2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54358</v>
      </c>
      <c r="Y2197" s="152">
        <f>_xll.qlInterestRateIndexValueDate(IborIndex,X2197,Trigger)</f>
        <v>54360</v>
      </c>
      <c r="Z2197" s="153">
        <v>3.2270905336090158E-2</v>
      </c>
      <c r="AA2197" s="155">
        <v>3.208061862110867E-2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54365</v>
      </c>
      <c r="Y2198" s="152">
        <f>_xll.qlInterestRateIndexValueDate(IborIndex,X2198,Trigger)</f>
        <v>54367</v>
      </c>
      <c r="Z2198" s="153">
        <v>3.226421154617154E-2</v>
      </c>
      <c r="AA2198" s="155">
        <v>3.2075077284599018E-2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54372</v>
      </c>
      <c r="Y2199" s="152">
        <f>_xll.qlInterestRateIndexValueDate(IborIndex,X2199,Trigger)</f>
        <v>54374</v>
      </c>
      <c r="Z2199" s="153">
        <v>3.2258548973457604E-2</v>
      </c>
      <c r="AA2199" s="155">
        <v>3.2069533588376942E-2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54379</v>
      </c>
      <c r="Y2200" s="152">
        <f>_xll.qlInterestRateIndexValueDate(IborIndex,X2200,Trigger)</f>
        <v>54381</v>
      </c>
      <c r="Z2200" s="153">
        <v>3.2252884018873065E-2</v>
      </c>
      <c r="AA2200" s="155">
        <v>3.206398753284212E-2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54386</v>
      </c>
      <c r="Y2201" s="152">
        <f>_xll.qlInterestRateIndexValueDate(IborIndex,X2201,Trigger)</f>
        <v>54389</v>
      </c>
      <c r="Z2201" s="153">
        <v>3.2246406868511809E-2</v>
      </c>
      <c r="AA2201" s="155">
        <v>3.2057646294108011E-2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54393</v>
      </c>
      <c r="Y2202" s="152">
        <f>_xll.qlInterestRateIndexValueDate(IborIndex,X2202,Trigger)</f>
        <v>54395</v>
      </c>
      <c r="Z2202" s="153">
        <v>3.2242577194941717E-2</v>
      </c>
      <c r="AA2202" s="155">
        <v>3.2052888342475327E-2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54400</v>
      </c>
      <c r="Y2203" s="152">
        <f>_xll.qlInterestRateIndexValueDate(IborIndex,X2203,Trigger)</f>
        <v>54402</v>
      </c>
      <c r="Z2203" s="153">
        <v>3.2236904420834558E-2</v>
      </c>
      <c r="AA2203" s="155">
        <v>3.2047335208043037E-2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54407</v>
      </c>
      <c r="Y2204" s="152">
        <f>_xll.qlInterestRateIndexValueDate(IborIndex,X2204,Trigger)</f>
        <v>54409</v>
      </c>
      <c r="Z2204" s="153">
        <v>3.2231229264812949E-2</v>
      </c>
      <c r="AA2204" s="155">
        <v>3.2041779713898322E-2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54414</v>
      </c>
      <c r="Y2205" s="152">
        <f>_xll.qlInterestRateIndexValueDate(IborIndex,X2205,Trigger)</f>
        <v>54416</v>
      </c>
      <c r="Z2205" s="153">
        <v>3.2225551726901051E-2</v>
      </c>
      <c r="AA2205" s="155">
        <v>3.203463346854285E-2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54421</v>
      </c>
      <c r="Y2206" s="152">
        <f>_xll.qlInterestRateIndexValueDate(IborIndex,X2206,Trigger)</f>
        <v>54423</v>
      </c>
      <c r="Z2206" s="153">
        <v>3.2218844273212643E-2</v>
      </c>
      <c r="AA2206" s="155">
        <v>3.2029867138172463E-2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54428</v>
      </c>
      <c r="Y2207" s="152">
        <f>_xll.qlInterestRateIndexValueDate(IborIndex,X2207,Trigger)</f>
        <v>54430</v>
      </c>
      <c r="Z2207" s="153">
        <v>3.2213162646098227E-2</v>
      </c>
      <c r="AA2207" s="155">
        <v>3.2025099073909047E-2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54435</v>
      </c>
      <c r="Y2208" s="152">
        <f>_xll.qlInterestRateIndexValueDate(IborIndex,X2208,Trigger)</f>
        <v>54437</v>
      </c>
      <c r="Z2208" s="153">
        <v>3.2207478637273947E-2</v>
      </c>
      <c r="AA2208" s="155">
        <v>3.2019534141554118E-2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54442</v>
      </c>
      <c r="Y2209" s="152">
        <f>_xll.qlInterestRateIndexValueDate(IborIndex,X2209,Trigger)</f>
        <v>54444</v>
      </c>
      <c r="Z2209" s="153">
        <v>3.2201792246761014E-2</v>
      </c>
      <c r="AA2209" s="155">
        <v>3.2013966849406827E-2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54449</v>
      </c>
      <c r="Y2210" s="152">
        <f>_xll.qlInterestRateIndexValueDate(IborIndex,X2210,Trigger)</f>
        <v>54451</v>
      </c>
      <c r="Z2210" s="153">
        <v>3.2196103474578852E-2</v>
      </c>
      <c r="AA2210" s="155">
        <v>3.200839719778692E-2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54456</v>
      </c>
      <c r="Y2211" s="152">
        <f>_xll.qlInterestRateIndexValueDate(IborIndex,X2211,Trigger)</f>
        <v>54458</v>
      </c>
      <c r="Z2211" s="153">
        <v>3.2190412320747777E-2</v>
      </c>
      <c r="AA2211" s="155">
        <v>3.2002825186454587E-2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54463</v>
      </c>
      <c r="Y2212" s="152">
        <f>_xll.qlInterestRateIndexValueDate(IborIndex,X2212,Trigger)</f>
        <v>54465</v>
      </c>
      <c r="Z2212" s="153">
        <v>3.2184718785288995E-2</v>
      </c>
      <c r="AA2212" s="155">
        <v>3.1997250815489764E-2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54470</v>
      </c>
      <c r="Y2213" s="152">
        <f>_xll.qlInterestRateIndexValueDate(IborIndex,X2213,Trigger)</f>
        <v>54472</v>
      </c>
      <c r="Z2213" s="153">
        <v>3.2179022868220601E-2</v>
      </c>
      <c r="AA2213" s="155">
        <v>3.1991674084972388E-2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54477</v>
      </c>
      <c r="Y2214" s="152">
        <f>_xll.qlInterestRateIndexValueDate(IborIndex,X2214,Trigger)</f>
        <v>54479</v>
      </c>
      <c r="Z2214" s="153">
        <v>3.2173324569563802E-2</v>
      </c>
      <c r="AA2214" s="155">
        <v>3.1986094995062331E-2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54484</v>
      </c>
      <c r="Y2215" s="152">
        <f>_xll.qlInterestRateIndexValueDate(IborIndex,X2215,Trigger)</f>
        <v>54486</v>
      </c>
      <c r="Z2215" s="153">
        <v>3.2173752582553006E-2</v>
      </c>
      <c r="AA2215" s="155">
        <v>3.1980513545279976E-2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54491</v>
      </c>
      <c r="Y2216" s="152">
        <f>_xll.qlInterestRateIndexValueDate(IborIndex,X2216,Trigger)</f>
        <v>54493</v>
      </c>
      <c r="Z2216" s="153">
        <v>3.2167024703235805E-2</v>
      </c>
      <c r="AA2216" s="155">
        <v>3.197492973610494E-2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54498</v>
      </c>
      <c r="Y2217" s="152">
        <f>_xll.qlInterestRateIndexValueDate(IborIndex,X2217,Trigger)</f>
        <v>54500</v>
      </c>
      <c r="Z2217" s="153">
        <v>3.21613158806534E-2</v>
      </c>
      <c r="AA2217" s="155">
        <v>3.1969343567137543E-2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54505</v>
      </c>
      <c r="Y2218" s="152">
        <f>_xll.qlInterestRateIndexValueDate(IborIndex,X2218,Trigger)</f>
        <v>54507</v>
      </c>
      <c r="Z2218" s="153">
        <v>3.215560467596143E-2</v>
      </c>
      <c r="AA2218" s="155">
        <v>3.1963755038697528E-2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54512</v>
      </c>
      <c r="Y2219" s="152">
        <f>_xll.qlInterestRateIndexValueDate(IborIndex,X2219,Trigger)</f>
        <v>54514</v>
      </c>
      <c r="Z2219" s="153">
        <v>3.2146834860294231E-2</v>
      </c>
      <c r="AA2219" s="155">
        <v>3.195816415070496E-2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54519</v>
      </c>
      <c r="Y2220" s="152">
        <f>_xll.qlInterestRateIndexValueDate(IborIndex,X2220,Trigger)</f>
        <v>54521</v>
      </c>
      <c r="Z2220" s="153">
        <v>3.214112092028544E-2</v>
      </c>
      <c r="AA2220" s="155">
        <v>3.1952570902999966E-2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54526</v>
      </c>
      <c r="Y2221" s="152">
        <f>_xll.qlInterestRateIndexValueDate(IborIndex,X2221,Trigger)</f>
        <v>54528</v>
      </c>
      <c r="Z2221" s="153">
        <v>3.2135404598589663E-2</v>
      </c>
      <c r="AA2221" s="155">
        <v>3.1945376117512581E-2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54533</v>
      </c>
      <c r="Y2222" s="152">
        <f>_xll.qlInterestRateIndexValueDate(IborIndex,X2222,Trigger)</f>
        <v>54535</v>
      </c>
      <c r="Z2222" s="153">
        <v>3.2129685895226565E-2</v>
      </c>
      <c r="AA2222" s="155">
        <v>3.1941377328932319E-2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54540</v>
      </c>
      <c r="Y2223" s="152">
        <f>_xll.qlInterestRateIndexValueDate(IborIndex,X2223,Trigger)</f>
        <v>54542</v>
      </c>
      <c r="Z2223" s="153">
        <v>3.2123964810218862E-2</v>
      </c>
      <c r="AA2223" s="155">
        <v>3.1934976763254852E-2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54547</v>
      </c>
      <c r="Y2224" s="152">
        <f>_xll.qlInterestRateIndexValueDate(IborIndex,X2224,Trigger)</f>
        <v>54549</v>
      </c>
      <c r="Z2224" s="153">
        <v>3.2121287428689603E-2</v>
      </c>
      <c r="AA2224" s="155">
        <v>3.193017431641465E-2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54554</v>
      </c>
      <c r="Y2225" s="152">
        <f>_xll.qlInterestRateIndexValueDate(IborIndex,X2225,Trigger)</f>
        <v>54556</v>
      </c>
      <c r="Z2225" s="153">
        <v>3.2115559629307282E-2</v>
      </c>
      <c r="AA2225" s="155">
        <v>3.1924569270787018E-2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54561</v>
      </c>
      <c r="Y2226" s="152">
        <f>_xll.qlInterestRateIndexValueDate(IborIndex,X2226,Trigger)</f>
        <v>54563</v>
      </c>
      <c r="Z2226" s="153">
        <v>3.2109829650890799E-2</v>
      </c>
      <c r="AA2226" s="155">
        <v>3.1918961865606832E-2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54568</v>
      </c>
      <c r="Y2227" s="152">
        <f>_xll.qlInterestRateIndexValueDate(IborIndex,X2227,Trigger)</f>
        <v>54570</v>
      </c>
      <c r="Z2227" s="153">
        <v>3.2104097622582026E-2</v>
      </c>
      <c r="AA2227" s="155">
        <v>3.1912550513117921E-2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54575</v>
      </c>
      <c r="Y2228" s="152">
        <f>_xll.qlInterestRateIndexValueDate(IborIndex,X2228,Trigger)</f>
        <v>54577</v>
      </c>
      <c r="Z2228" s="153">
        <v>3.2095325216097911E-2</v>
      </c>
      <c r="AA2228" s="155">
        <v>3.1907739976269056E-2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54582</v>
      </c>
      <c r="Y2229" s="152">
        <f>_xll.qlInterestRateIndexValueDate(IborIndex,X2229,Trigger)</f>
        <v>54584</v>
      </c>
      <c r="Z2229" s="153">
        <v>3.2089591261237269E-2</v>
      </c>
      <c r="AA2229" s="155">
        <v>3.1902125492351274E-2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54589</v>
      </c>
      <c r="Y2230" s="152">
        <f>_xll.qlInterestRateIndexValueDate(IborIndex,X2230,Trigger)</f>
        <v>54591</v>
      </c>
      <c r="Z2230" s="153">
        <v>3.2083855599632581E-2</v>
      </c>
      <c r="AA2230" s="155">
        <v>3.1896508648721067E-2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54596</v>
      </c>
      <c r="Y2231" s="152">
        <f>_xll.qlInterestRateIndexValueDate(IborIndex,X2231,Trigger)</f>
        <v>54598</v>
      </c>
      <c r="Z2231" s="153">
        <v>3.2083173796223566E-2</v>
      </c>
      <c r="AA2231" s="155">
        <v>3.189088944545837E-2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54603</v>
      </c>
      <c r="Y2232" s="152">
        <f>_xll.qlInterestRateIndexValueDate(IborIndex,X2232,Trigger)</f>
        <v>54605</v>
      </c>
      <c r="Z2232" s="153">
        <v>3.2076421798433612E-2</v>
      </c>
      <c r="AA2232" s="155">
        <v>3.1885267882723056E-2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54610</v>
      </c>
      <c r="Y2233" s="152">
        <f>_xll.qlInterestRateIndexValueDate(IborIndex,X2233,Trigger)</f>
        <v>54612</v>
      </c>
      <c r="Z2233" s="153">
        <v>3.2069669636751653E-2</v>
      </c>
      <c r="AA2233" s="155">
        <v>3.1879643960275317E-2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54617</v>
      </c>
      <c r="Y2234" s="152">
        <f>_xll.qlInterestRateIndexValueDate(IborIndex,X2234,Trigger)</f>
        <v>54619</v>
      </c>
      <c r="Z2234" s="153">
        <v>3.2064936356353428E-2</v>
      </c>
      <c r="AA2234" s="155">
        <v>3.1874017678275024E-2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54624</v>
      </c>
      <c r="Y2235" s="152">
        <f>_xll.qlInterestRateIndexValueDate(IborIndex,X2235,Trigger)</f>
        <v>54626</v>
      </c>
      <c r="Z2235" s="153">
        <v>3.2058183096537608E-2</v>
      </c>
      <c r="AA2235" s="155">
        <v>3.1868389036562306E-2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54631</v>
      </c>
      <c r="Y2236" s="152">
        <f>_xll.qlInterestRateIndexValueDate(IborIndex,X2236,Trigger)</f>
        <v>54633</v>
      </c>
      <c r="Z2236" s="153">
        <v>3.2052438430344977E-2</v>
      </c>
      <c r="AA2236" s="155">
        <v>3.1862758035616778E-2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54638</v>
      </c>
      <c r="Y2237" s="152">
        <f>_xll.qlInterestRateIndexValueDate(IborIndex,X2237,Trigger)</f>
        <v>54640</v>
      </c>
      <c r="Z2237" s="153">
        <v>3.204669300559998E-2</v>
      </c>
      <c r="AA2237" s="155">
        <v>3.1857124674719017E-2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54645</v>
      </c>
      <c r="Y2238" s="152">
        <f>_xll.qlInterestRateIndexValueDate(IborIndex,X2238,Trigger)</f>
        <v>54647</v>
      </c>
      <c r="Z2238" s="153">
        <v>3.2040946951426431E-2</v>
      </c>
      <c r="AA2238" s="155">
        <v>3.1851488954348639E-2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54652</v>
      </c>
      <c r="Y2239" s="152">
        <f>_xll.qlInterestRateIndexValueDate(IborIndex,X2239,Trigger)</f>
        <v>54654</v>
      </c>
      <c r="Z2239" s="153">
        <v>3.2036207398198117E-2</v>
      </c>
      <c r="AA2239" s="155">
        <v>3.184585087458558E-2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54659</v>
      </c>
      <c r="Y2240" s="152">
        <f>_xll.qlInterestRateIndexValueDate(IborIndex,X2240,Trigger)</f>
        <v>54661</v>
      </c>
      <c r="Z2240" s="153">
        <v>3.2029453471292782E-2</v>
      </c>
      <c r="AA2240" s="155">
        <v>3.18394044651793E-2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54666</v>
      </c>
      <c r="Y2241" s="152">
        <f>_xll.qlInterestRateIndexValueDate(IborIndex,X2241,Trigger)</f>
        <v>54668</v>
      </c>
      <c r="Z2241" s="153">
        <v>3.2018676223573482E-2</v>
      </c>
      <c r="AA2241" s="155">
        <v>3.1834567635842248E-2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54673</v>
      </c>
      <c r="Y2242" s="152">
        <f>_xll.qlInterestRateIndexValueDate(IborIndex,X2242,Trigger)</f>
        <v>54675</v>
      </c>
      <c r="Z2242" s="153">
        <v>3.2012931232038175E-2</v>
      </c>
      <c r="AA2242" s="155">
        <v>3.1828922477021848E-2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54680</v>
      </c>
      <c r="Y2243" s="152">
        <f>_xll.qlInterestRateIndexValueDate(IborIndex,X2243,Trigger)</f>
        <v>54682</v>
      </c>
      <c r="Z2243" s="153">
        <v>3.2007186227702052E-2</v>
      </c>
      <c r="AA2243" s="155">
        <v>3.1823274958728831E-2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54687</v>
      </c>
      <c r="Y2244" s="152">
        <f>_xll.qlInterestRateIndexValueDate(IborIndex,X2244,Trigger)</f>
        <v>54689</v>
      </c>
      <c r="Z2244" s="153">
        <v>3.2001441343191404E-2</v>
      </c>
      <c r="AA2244" s="155">
        <v>3.1817625080723388E-2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54694</v>
      </c>
      <c r="Y2245" s="152">
        <f>_xll.qlInterestRateIndexValueDate(IborIndex,X2245,Trigger)</f>
        <v>54696</v>
      </c>
      <c r="Z2245" s="153">
        <v>3.1996700892077901E-2</v>
      </c>
      <c r="AA2245" s="155">
        <v>3.1811972843165393E-2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54701</v>
      </c>
      <c r="Y2246" s="152">
        <f>_xll.qlInterestRateIndexValueDate(IborIndex,X2246,Trigger)</f>
        <v>54703</v>
      </c>
      <c r="Z2246" s="153">
        <v>3.1990956206116687E-2</v>
      </c>
      <c r="AA2246" s="155">
        <v>3.1806318246134779E-2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54708</v>
      </c>
      <c r="Y2247" s="152">
        <f>_xll.qlInterestRateIndexValueDate(IborIndex,X2247,Trigger)</f>
        <v>54710</v>
      </c>
      <c r="Z2247" s="153">
        <v>3.1985212040896285E-2</v>
      </c>
      <c r="AA2247" s="155">
        <v>3.1800661289391741E-2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54715</v>
      </c>
      <c r="Y2248" s="152">
        <f>_xll.qlInterestRateIndexValueDate(IborIndex,X2248,Trigger)</f>
        <v>54717</v>
      </c>
      <c r="Z2248" s="153">
        <v>3.1979468528320856E-2</v>
      </c>
      <c r="AA2248" s="155">
        <v>3.1795001973176085E-2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54722</v>
      </c>
      <c r="Y2249" s="152">
        <f>_xll.qlInterestRateIndexValueDate(IborIndex,X2249,Trigger)</f>
        <v>54724</v>
      </c>
      <c r="Z2249" s="153">
        <v>3.1973725800291043E-2</v>
      </c>
      <c r="AA2249" s="155">
        <v>3.1789340297168067E-2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54729</v>
      </c>
      <c r="Y2250" s="152">
        <f>_xll.qlInterestRateIndexValueDate(IborIndex,X2250,Trigger)</f>
        <v>54731</v>
      </c>
      <c r="Z2250" s="153">
        <v>3.1966981979281002E-2</v>
      </c>
      <c r="AA2250" s="155">
        <v>3.1783676962087171E-2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54736</v>
      </c>
      <c r="Y2251" s="152">
        <f>_xll.qlInterestRateIndexValueDate(IborIndex,X2251,Trigger)</f>
        <v>54739</v>
      </c>
      <c r="Z2251" s="153">
        <v>3.1960421659750077E-2</v>
      </c>
      <c r="AA2251" s="155">
        <v>3.1777205573382261E-2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54743</v>
      </c>
      <c r="Y2252" s="152">
        <f>_xll.qlInterestRateIndexValueDate(IborIndex,X2252,Trigger)</f>
        <v>54745</v>
      </c>
      <c r="Z2252" s="153">
        <v>3.1955502318517806E-2</v>
      </c>
      <c r="AA2252" s="155">
        <v>3.1772352902637024E-2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54750</v>
      </c>
      <c r="Y2253" s="152">
        <f>_xll.qlInterestRateIndexValueDate(IborIndex,X2253,Trigger)</f>
        <v>54753</v>
      </c>
      <c r="Z2253" s="153">
        <v>3.194894439474958E-2</v>
      </c>
      <c r="AA2253" s="155">
        <v>3.1765883835674913E-2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54757</v>
      </c>
      <c r="Y2254" s="152">
        <f>_xll.qlInterestRateIndexValueDate(IborIndex,X2254,Trigger)</f>
        <v>54759</v>
      </c>
      <c r="Z2254" s="153">
        <v>3.1945027137751887E-2</v>
      </c>
      <c r="AA2254" s="155">
        <v>3.1761032906016951E-2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54764</v>
      </c>
      <c r="Y2255" s="152">
        <f>_xll.qlInterestRateIndexValueDate(IborIndex,X2255,Trigger)</f>
        <v>54766</v>
      </c>
      <c r="Z2255" s="153">
        <v>3.1939290545801413E-2</v>
      </c>
      <c r="AA2255" s="155">
        <v>3.1755374431288175E-2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54771</v>
      </c>
      <c r="Y2256" s="152">
        <f>_xll.qlInterestRateIndexValueDate(IborIndex,X2256,Trigger)</f>
        <v>54773</v>
      </c>
      <c r="Z2256" s="153">
        <v>3.1933555002148645E-2</v>
      </c>
      <c r="AA2256" s="155">
        <v>3.1749716972147013E-2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54778</v>
      </c>
      <c r="Y2257" s="152">
        <f>_xll.qlInterestRateIndexValueDate(IborIndex,X2257,Trigger)</f>
        <v>54780</v>
      </c>
      <c r="Z2257" s="153">
        <v>3.1927820506784804E-2</v>
      </c>
      <c r="AA2257" s="155">
        <v>3.1742444588731544E-2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54786</v>
      </c>
      <c r="Y2258" s="152">
        <f>_xll.qlInterestRateIndexValueDate(IborIndex,X2258,Trigger)</f>
        <v>54792</v>
      </c>
      <c r="Z2258" s="153">
        <v>3.191799238215156E-2</v>
      </c>
      <c r="AA2258" s="155">
        <v>3.1735981657501355E-2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54793</v>
      </c>
      <c r="Y2259" s="152">
        <f>_xll.qlInterestRateIndexValueDate(IborIndex,X2259,Trigger)</f>
        <v>54795</v>
      </c>
      <c r="Z2259" s="153">
        <v>3.1914537754635784E-2</v>
      </c>
      <c r="AA2259" s="155">
        <v>3.1731942999053686E-2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54800</v>
      </c>
      <c r="Y2260" s="152">
        <f>_xll.qlInterestRateIndexValueDate(IborIndex,X2260,Trigger)</f>
        <v>54802</v>
      </c>
      <c r="Z2260" s="153">
        <v>3.1908806982945223E-2</v>
      </c>
      <c r="AA2260" s="155">
        <v>3.1726289747986414E-2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54807</v>
      </c>
      <c r="Y2261" s="152">
        <f>_xll.qlInterestRateIndexValueDate(IborIndex,X2261,Trigger)</f>
        <v>54809</v>
      </c>
      <c r="Z2261" s="153">
        <v>3.190307725932634E-2</v>
      </c>
      <c r="AA2261" s="155">
        <v>3.1720637512506755E-2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54814</v>
      </c>
      <c r="Y2262" s="152">
        <f>_xll.qlInterestRateIndexValueDate(IborIndex,X2262,Trigger)</f>
        <v>54816</v>
      </c>
      <c r="Z2262" s="153">
        <v>3.1897348583768109E-2</v>
      </c>
      <c r="AA2262" s="155">
        <v>3.1714986292854519E-2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54821</v>
      </c>
      <c r="Y2263" s="152">
        <f>_xll.qlInterestRateIndexValueDate(IborIndex,X2263,Trigger)</f>
        <v>54823</v>
      </c>
      <c r="Z2263" s="153">
        <v>3.1891620956262128E-2</v>
      </c>
      <c r="AA2263" s="155">
        <v>3.1709336088869833E-2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54828</v>
      </c>
      <c r="Y2264" s="152">
        <f>_xll.qlInterestRateIndexValueDate(IborIndex,X2264,Trigger)</f>
        <v>54830</v>
      </c>
      <c r="Z2264" s="153">
        <v>3.1885894376801768E-2</v>
      </c>
      <c r="AA2264" s="155">
        <v>3.1703686900632633E-2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54835</v>
      </c>
      <c r="Y2265" s="152">
        <f>_xll.qlInterestRateIndexValueDate(IborIndex,X2265,Trigger)</f>
        <v>54837</v>
      </c>
      <c r="Z2265" s="153">
        <v>3.1880168845375562E-2</v>
      </c>
      <c r="AA2265" s="155">
        <v>3.1698038727903111E-2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54842</v>
      </c>
      <c r="Y2266" s="152">
        <f>_xll.qlInterestRateIndexValueDate(IborIndex,X2266,Trigger)</f>
        <v>54844</v>
      </c>
      <c r="Z2266" s="153">
        <v>3.1874444361974667E-2</v>
      </c>
      <c r="AA2266" s="155">
        <v>3.1692391571160883E-2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54849</v>
      </c>
      <c r="Y2267" s="152">
        <f>_xll.qlInterestRateIndexValueDate(IborIndex,X2267,Trigger)</f>
        <v>54851</v>
      </c>
      <c r="Z2267" s="153">
        <v>3.187369435217622E-2</v>
      </c>
      <c r="AA2267" s="155">
        <v>3.1686745430006269E-2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54856</v>
      </c>
      <c r="Y2268" s="152">
        <f>_xll.qlInterestRateIndexValueDate(IborIndex,X2268,Trigger)</f>
        <v>54858</v>
      </c>
      <c r="Z2268" s="153">
        <v>3.1866975533702033E-2</v>
      </c>
      <c r="AA2268" s="155">
        <v>3.1681100304519205E-2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54863</v>
      </c>
      <c r="Y2269" s="152">
        <f>_xll.qlInterestRateIndexValueDate(IborIndex,X2269,Trigger)</f>
        <v>54865</v>
      </c>
      <c r="Z2269" s="153">
        <v>3.186125248429339E-2</v>
      </c>
      <c r="AA2269" s="155">
        <v>3.1675456194779628E-2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54870</v>
      </c>
      <c r="Y2270" s="152">
        <f>_xll.qlInterestRateIndexValueDate(IborIndex,X2270,Trigger)</f>
        <v>54872</v>
      </c>
      <c r="Z2270" s="153">
        <v>3.1855530483599147E-2</v>
      </c>
      <c r="AA2270" s="155">
        <v>3.1669813100787536E-2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54877</v>
      </c>
      <c r="Y2271" s="152">
        <f>_xll.qlInterestRateIndexValueDate(IborIndex,X2271,Trigger)</f>
        <v>54879</v>
      </c>
      <c r="Z2271" s="153">
        <v>3.1849809531611116E-2</v>
      </c>
      <c r="AA2271" s="155">
        <v>3.1664171022462995E-2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54884</v>
      </c>
      <c r="Y2272" s="152">
        <f>_xll.qlInterestRateIndexValueDate(IborIndex,X2272,Trigger)</f>
        <v>54890</v>
      </c>
      <c r="Z2272" s="153">
        <v>3.1838836956424123E-2</v>
      </c>
      <c r="AA2272" s="155">
        <v>3.165691841418905E-2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54891</v>
      </c>
      <c r="Y2273" s="152">
        <f>_xll.qlInterestRateIndexValueDate(IborIndex,X2273,Trigger)</f>
        <v>54893</v>
      </c>
      <c r="Z2273" s="153">
        <v>3.1838370773715631E-2</v>
      </c>
      <c r="AA2273" s="155">
        <v>3.1652889912976434E-2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54898</v>
      </c>
      <c r="Y2274" s="152">
        <f>_xll.qlInterestRateIndexValueDate(IborIndex,X2274,Trigger)</f>
        <v>54900</v>
      </c>
      <c r="Z2274" s="153">
        <v>3.1832652967790039E-2</v>
      </c>
      <c r="AA2274" s="155">
        <v>3.1647250881734479E-2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54905</v>
      </c>
      <c r="Y2275" s="152">
        <f>_xll.qlInterestRateIndexValueDate(IborIndex,X2275,Trigger)</f>
        <v>54907</v>
      </c>
      <c r="Z2275" s="153">
        <v>3.1826936210534347E-2</v>
      </c>
      <c r="AA2275" s="155">
        <v>3.1640807518371616E-2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54912</v>
      </c>
      <c r="Y2276" s="152">
        <f>_xll.qlInterestRateIndexValueDate(IborIndex,X2276,Trigger)</f>
        <v>54914</v>
      </c>
      <c r="Z2276" s="153">
        <v>3.1821220501938627E-2</v>
      </c>
      <c r="AA2276" s="155">
        <v>3.1635975866413091E-2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54919</v>
      </c>
      <c r="Y2277" s="152">
        <f>_xll.qlInterestRateIndexValueDate(IborIndex,X2277,Trigger)</f>
        <v>54921</v>
      </c>
      <c r="Z2277" s="153">
        <v>3.1815505841994239E-2</v>
      </c>
      <c r="AA2277" s="155">
        <v>3.1630339882413594E-2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54926</v>
      </c>
      <c r="Y2278" s="152">
        <f>_xll.qlInterestRateIndexValueDate(IborIndex,X2278,Trigger)</f>
        <v>54928</v>
      </c>
      <c r="Z2278" s="153">
        <v>3.1809792230693398E-2</v>
      </c>
      <c r="AA2278" s="155">
        <v>3.1624704914001711E-2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54933</v>
      </c>
      <c r="Y2279" s="152">
        <f>_xll.qlInterestRateIndexValueDate(IborIndex,X2279,Trigger)</f>
        <v>54935</v>
      </c>
      <c r="Z2279" s="153">
        <v>3.1804079668025738E-2</v>
      </c>
      <c r="AA2279" s="155">
        <v>3.1618266193884637E-2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54940</v>
      </c>
      <c r="Y2280" s="152">
        <f>_xll.qlInterestRateIndexValueDate(IborIndex,X2280,Trigger)</f>
        <v>54942</v>
      </c>
      <c r="Z2280" s="153">
        <v>3.1798368153983049E-2</v>
      </c>
      <c r="AA2280" s="155">
        <v>3.1613438024260532E-2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54947</v>
      </c>
      <c r="Y2281" s="152">
        <f>_xll.qlInterestRateIndexValueDate(IborIndex,X2281,Trigger)</f>
        <v>54949</v>
      </c>
      <c r="Z2281" s="153">
        <v>3.1792657688555825E-2</v>
      </c>
      <c r="AA2281" s="155">
        <v>3.1607806103011171E-2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54954</v>
      </c>
      <c r="Y2282" s="152">
        <f>_xll.qlInterestRateIndexValueDate(IborIndex,X2282,Trigger)</f>
        <v>54956</v>
      </c>
      <c r="Z2282" s="153">
        <v>3.1786948271734561E-2</v>
      </c>
      <c r="AA2282" s="155">
        <v>3.1602175197589233E-2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54961</v>
      </c>
      <c r="Y2283" s="152">
        <f>_xll.qlInterestRateIndexValueDate(IborIndex,X2283,Trigger)</f>
        <v>54963</v>
      </c>
      <c r="Z2283" s="153">
        <v>3.1783215717371589E-2</v>
      </c>
      <c r="AA2283" s="155">
        <v>3.1596545307595036E-2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54968</v>
      </c>
      <c r="Y2284" s="152">
        <f>_xll.qlInterestRateIndexValueDate(IborIndex,X2284,Trigger)</f>
        <v>54970</v>
      </c>
      <c r="Z2284" s="153">
        <v>3.1776520057300937E-2</v>
      </c>
      <c r="AA2284" s="155">
        <v>3.1590916433588134E-2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54975</v>
      </c>
      <c r="Y2285" s="152">
        <f>_xll.qlInterestRateIndexValueDate(IborIndex,X2285,Trigger)</f>
        <v>54977</v>
      </c>
      <c r="Z2285" s="153">
        <v>3.1769826312822685E-2</v>
      </c>
      <c r="AA2285" s="155">
        <v>3.1585288575168846E-2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54982</v>
      </c>
      <c r="Y2286" s="152">
        <f>_xll.qlInterestRateIndexValueDate(IborIndex,X2286,Trigger)</f>
        <v>54984</v>
      </c>
      <c r="Z2286" s="153">
        <v>3.1765107714612009E-2</v>
      </c>
      <c r="AA2286" s="155">
        <v>3.1579661732417108E-2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54989</v>
      </c>
      <c r="Y2287" s="152">
        <f>_xll.qlInterestRateIndexValueDate(IborIndex,X2287,Trigger)</f>
        <v>54991</v>
      </c>
      <c r="Z2287" s="153">
        <v>3.1758416916416447E-2</v>
      </c>
      <c r="AA2287" s="155">
        <v>3.1574035905412856E-2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54996</v>
      </c>
      <c r="Y2288" s="152">
        <f>_xll.qlInterestRateIndexValueDate(IborIndex,X2288,Trigger)</f>
        <v>54998</v>
      </c>
      <c r="Z2288" s="153">
        <v>3.1753699566889601E-2</v>
      </c>
      <c r="AA2288" s="155">
        <v>3.156841109415609E-2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55003</v>
      </c>
      <c r="Y2289" s="152">
        <f>_xll.qlInterestRateIndexValueDate(IborIndex,X2289,Trigger)</f>
        <v>55005</v>
      </c>
      <c r="Z2289" s="153">
        <v>3.1747011714220584E-2</v>
      </c>
      <c r="AA2289" s="155">
        <v>3.1562787298486938E-2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55010</v>
      </c>
      <c r="Y2290" s="152">
        <f>_xll.qlInterestRateIndexValueDate(IborIndex,X2290,Trigger)</f>
        <v>55012</v>
      </c>
      <c r="Z2290" s="153">
        <v>3.1741310685929405E-2</v>
      </c>
      <c r="AA2290" s="155">
        <v>3.1557164518645209E-2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55017</v>
      </c>
      <c r="Y2291" s="152">
        <f>_xll.qlInterestRateIndexValueDate(IborIndex,X2291,Trigger)</f>
        <v>55019</v>
      </c>
      <c r="Z2291" s="153">
        <v>3.17365952107126E-2</v>
      </c>
      <c r="AA2291" s="155">
        <v>3.1551542754391093E-2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55024</v>
      </c>
      <c r="Y2292" s="152">
        <f>_xll.qlInterestRateIndexValueDate(IborIndex,X2292,Trigger)</f>
        <v>55026</v>
      </c>
      <c r="Z2292" s="153">
        <v>3.1729911774916478E-2</v>
      </c>
      <c r="AA2292" s="155">
        <v>3.1545119124682941E-2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55031</v>
      </c>
      <c r="Y2293" s="152">
        <f>_xll.qlInterestRateIndexValueDate(IborIndex,X2293,Trigger)</f>
        <v>55033</v>
      </c>
      <c r="Z2293" s="153">
        <v>3.172027943194973E-2</v>
      </c>
      <c r="AA2293" s="155">
        <v>3.1540302273205256E-2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55038</v>
      </c>
      <c r="Y2294" s="152">
        <f>_xll.qlInterestRateIndexValueDate(IborIndex,X2294,Trigger)</f>
        <v>55040</v>
      </c>
      <c r="Z2294" s="153">
        <v>3.171458428971391E-2</v>
      </c>
      <c r="AA2294" s="155">
        <v>3.1534683556033727E-2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55045</v>
      </c>
      <c r="Y2295" s="152">
        <f>_xll.qlInterestRateIndexValueDate(IborIndex,X2295,Trigger)</f>
        <v>55047</v>
      </c>
      <c r="Z2295" s="153">
        <v>3.1708890195248578E-2</v>
      </c>
      <c r="AA2295" s="155">
        <v>3.1529065854929428E-2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55052</v>
      </c>
      <c r="Y2296" s="152">
        <f>_xll.qlInterestRateIndexValueDate(IborIndex,X2296,Trigger)</f>
        <v>55054</v>
      </c>
      <c r="Z2296" s="153">
        <v>3.1703197148546233E-2</v>
      </c>
      <c r="AA2296" s="155">
        <v>3.1523449169172935E-2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55059</v>
      </c>
      <c r="Y2297" s="152">
        <f>_xll.qlInterestRateIndexValueDate(IborIndex,X2297,Trigger)</f>
        <v>55061</v>
      </c>
      <c r="Z2297" s="153">
        <v>3.169750514959848E-2</v>
      </c>
      <c r="AA2297" s="155">
        <v>3.1517833499163928E-2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55066</v>
      </c>
      <c r="Y2298" s="152">
        <f>_xll.qlInterestRateIndexValueDate(IborIndex,X2298,Trigger)</f>
        <v>55068</v>
      </c>
      <c r="Z2298" s="153">
        <v>3.1692795674657041E-2</v>
      </c>
      <c r="AA2298" s="155">
        <v>3.151221884482247E-2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55073</v>
      </c>
      <c r="Y2299" s="152">
        <f>_xll.qlInterestRateIndexValueDate(IborIndex,X2299,Trigger)</f>
        <v>55075</v>
      </c>
      <c r="Z2299" s="153">
        <v>3.1687105349112656E-2</v>
      </c>
      <c r="AA2299" s="155">
        <v>3.1506605206388372E-2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55080</v>
      </c>
      <c r="Y2300" s="152">
        <f>_xll.qlInterestRateIndexValueDate(IborIndex,X2300,Trigger)</f>
        <v>55082</v>
      </c>
      <c r="Z2300" s="153">
        <v>3.1681416071475524E-2</v>
      </c>
      <c r="AA2300" s="155">
        <v>3.1500992583541887E-2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55087</v>
      </c>
      <c r="Y2301" s="152">
        <f>_xll.qlInterestRateIndexValueDate(IborIndex,X2301,Trigger)</f>
        <v>55089</v>
      </c>
      <c r="Z2301" s="153">
        <v>3.1675727841736424E-2</v>
      </c>
      <c r="AA2301" s="155">
        <v>3.1495380976362952E-2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55094</v>
      </c>
      <c r="Y2302" s="152">
        <f>_xll.qlInterestRateIndexValueDate(IborIndex,X2302,Trigger)</f>
        <v>55096</v>
      </c>
      <c r="Z2302" s="153">
        <v>3.1669060870856594E-2</v>
      </c>
      <c r="AA2302" s="155">
        <v>3.1489770385171312E-2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55101</v>
      </c>
      <c r="Y2303" s="152">
        <f>_xll.qlInterestRateIndexValueDate(IborIndex,X2303,Trigger)</f>
        <v>55106</v>
      </c>
      <c r="Z2303" s="153">
        <v>3.166191793213638E-2</v>
      </c>
      <c r="AA2303" s="155">
        <v>3.148335952420922E-2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55108</v>
      </c>
      <c r="Y2304" s="152">
        <f>_xll.qlInterestRateIndexValueDate(IborIndex,X2304,Trigger)</f>
        <v>55110</v>
      </c>
      <c r="Z2304" s="153">
        <v>3.1657690493330004E-2</v>
      </c>
      <c r="AA2304" s="155">
        <v>3.1478552249391001E-2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55115</v>
      </c>
      <c r="Y2305" s="152">
        <f>_xll.qlInterestRateIndexValueDate(IborIndex,X2305,Trigger)</f>
        <v>55117</v>
      </c>
      <c r="Z2305" s="153">
        <v>3.1652006876097455E-2</v>
      </c>
      <c r="AA2305" s="155">
        <v>3.1472944704962202E-2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55122</v>
      </c>
      <c r="Y2306" s="152">
        <f>_xll.qlInterestRateIndexValueDate(IborIndex,X2306,Trigger)</f>
        <v>55124</v>
      </c>
      <c r="Z2306" s="153">
        <v>3.1647302411203962E-2</v>
      </c>
      <c r="AA2306" s="155">
        <v>3.1467338176440762E-2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55129</v>
      </c>
      <c r="Y2307" s="152">
        <f>_xll.qlInterestRateIndexValueDate(IborIndex,X2307,Trigger)</f>
        <v>55131</v>
      </c>
      <c r="Z2307" s="153">
        <v>3.1641620468669029E-2</v>
      </c>
      <c r="AA2307" s="155">
        <v>3.1461732663666808E-2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55136</v>
      </c>
      <c r="Y2308" s="152">
        <f>_xll.qlInterestRateIndexValueDate(IborIndex,X2308,Trigger)</f>
        <v>55138</v>
      </c>
      <c r="Z2308" s="153">
        <v>3.1635939573970193E-2</v>
      </c>
      <c r="AA2308" s="155">
        <v>3.145612816624066E-2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55143</v>
      </c>
      <c r="Y2309" s="152">
        <f>_xll.qlInterestRateIndexValueDate(IborIndex,X2309,Trigger)</f>
        <v>55145</v>
      </c>
      <c r="Z2309" s="153">
        <v>3.1630259727099999E-2</v>
      </c>
      <c r="AA2309" s="155">
        <v>3.144892387667575E-2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55150</v>
      </c>
      <c r="Y2310" s="152">
        <f>_xll.qlInterestRateIndexValueDate(IborIndex,X2310,Trigger)</f>
        <v>55152</v>
      </c>
      <c r="Z2310" s="153">
        <v>3.1624580928047465E-2</v>
      </c>
      <c r="AA2310" s="155">
        <v>3.1444121949739667E-2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55157</v>
      </c>
      <c r="Y2311" s="152">
        <f>_xll.qlInterestRateIndexValueDate(IborIndex,X2311,Trigger)</f>
        <v>55159</v>
      </c>
      <c r="Z2311" s="153">
        <v>3.1617927173566519E-2</v>
      </c>
      <c r="AA2311" s="155">
        <v>3.1439320769006684E-2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55164</v>
      </c>
      <c r="Y2312" s="152">
        <f>_xll.qlInterestRateIndexValueDate(IborIndex,X2312,Trigger)</f>
        <v>55166</v>
      </c>
      <c r="Z2312" s="153">
        <v>3.1612250889875043E-2</v>
      </c>
      <c r="AA2312" s="155">
        <v>3.1433720334650417E-2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55171</v>
      </c>
      <c r="Y2313" s="152">
        <f>_xll.qlInterestRateIndexValueDate(IborIndex,X2313,Trigger)</f>
        <v>55173</v>
      </c>
      <c r="Z2313" s="153">
        <v>3.1606575653796834E-2</v>
      </c>
      <c r="AA2313" s="155">
        <v>3.1428120915961699E-2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55178</v>
      </c>
      <c r="Y2314" s="152">
        <f>_xll.qlInterestRateIndexValueDate(IborIndex,X2314,Trigger)</f>
        <v>55180</v>
      </c>
      <c r="Z2314" s="153">
        <v>3.1600901465323052E-2</v>
      </c>
      <c r="AA2314" s="155">
        <v>3.1422522513020468E-2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55185</v>
      </c>
      <c r="Y2315" s="152">
        <f>_xll.qlInterestRateIndexValueDate(IborIndex,X2315,Trigger)</f>
        <v>55187</v>
      </c>
      <c r="Z2315" s="153">
        <v>3.1595228324447083E-2</v>
      </c>
      <c r="AA2315" s="155">
        <v>3.1416925125826722E-2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55192</v>
      </c>
      <c r="Y2316" s="152">
        <f>_xll.qlInterestRateIndexValueDate(IborIndex,X2316,Trigger)</f>
        <v>55194</v>
      </c>
      <c r="Z2316" s="153">
        <v>3.1589556231157445E-2</v>
      </c>
      <c r="AA2316" s="155">
        <v>3.1411328754300527E-2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55199</v>
      </c>
      <c r="Y2317" s="152">
        <f>_xll.qlInterestRateIndexValueDate(IborIndex,X2317,Trigger)</f>
        <v>55201</v>
      </c>
      <c r="Z2317" s="153">
        <v>3.1583885185447066E-2</v>
      </c>
      <c r="AA2317" s="155">
        <v>3.1405733398601754E-2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55206</v>
      </c>
      <c r="Y2318" s="152">
        <f>_xll.qlInterestRateIndexValueDate(IborIndex,X2318,Trigger)</f>
        <v>55208</v>
      </c>
      <c r="Z2318" s="153">
        <v>3.157821518730667E-2</v>
      </c>
      <c r="AA2318" s="155">
        <v>3.1400139058410659E-2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55213</v>
      </c>
      <c r="Y2319" s="152">
        <f>_xll.qlInterestRateIndexValueDate(IborIndex,X2319,Trigger)</f>
        <v>55215</v>
      </c>
      <c r="Z2319" s="153">
        <v>3.157740965483935E-2</v>
      </c>
      <c r="AA2319" s="155">
        <v>3.1394545733887114E-2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55220</v>
      </c>
      <c r="Y2320" s="152">
        <f>_xll.qlInterestRateIndexValueDate(IborIndex,X2320,Trigger)</f>
        <v>55222</v>
      </c>
      <c r="Z2320" s="153">
        <v>3.1570767361432953E-2</v>
      </c>
      <c r="AA2320" s="155">
        <v>3.1388953425190991E-2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55227</v>
      </c>
      <c r="Y2321" s="152">
        <f>_xll.qlInterestRateIndexValueDate(IborIndex,X2321,Trigger)</f>
        <v>55229</v>
      </c>
      <c r="Z2321" s="153">
        <v>3.1565098833277981E-2</v>
      </c>
      <c r="AA2321" s="155">
        <v>3.1383362132242354E-2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55234</v>
      </c>
      <c r="Y2322" s="152">
        <f>_xll.qlInterestRateIndexValueDate(IborIndex,X2322,Trigger)</f>
        <v>55236</v>
      </c>
      <c r="Z2322" s="153">
        <v>3.155943135337206E-2</v>
      </c>
      <c r="AA2322" s="155">
        <v>3.1377771854961267E-2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55241</v>
      </c>
      <c r="Y2323" s="152">
        <f>_xll.qlInterestRateIndexValueDate(IborIndex,X2323,Trigger)</f>
        <v>55247</v>
      </c>
      <c r="Z2323" s="153">
        <v>3.1548585869585019E-2</v>
      </c>
      <c r="AA2323" s="155">
        <v>3.1370585848051746E-2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55248</v>
      </c>
      <c r="Y2324" s="152">
        <f>_xll.qlInterestRateIndexValueDate(IborIndex,X2324,Trigger)</f>
        <v>55250</v>
      </c>
      <c r="Z2324" s="153">
        <v>3.1549070165096921E-2</v>
      </c>
      <c r="AA2324" s="155">
        <v>3.1366594347401744E-2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55255</v>
      </c>
      <c r="Y2325" s="152">
        <f>_xll.qlInterestRateIndexValueDate(IborIndex,X2325,Trigger)</f>
        <v>55257</v>
      </c>
      <c r="Z2325" s="153">
        <v>3.1542435203055295E-2</v>
      </c>
      <c r="AA2325" s="155">
        <v>3.1361007117363116E-2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55262</v>
      </c>
      <c r="Y2326" s="152">
        <f>_xll.qlInterestRateIndexValueDate(IborIndex,X2326,Trigger)</f>
        <v>55264</v>
      </c>
      <c r="Z2326" s="153">
        <v>3.1536771916053565E-2</v>
      </c>
      <c r="AA2326" s="155">
        <v>3.1355420902672293E-2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55269</v>
      </c>
      <c r="Y2327" s="152">
        <f>_xll.qlInterestRateIndexValueDate(IborIndex,X2327,Trigger)</f>
        <v>55271</v>
      </c>
      <c r="Z2327" s="153">
        <v>3.1532079052123116E-2</v>
      </c>
      <c r="AA2327" s="155">
        <v>3.1349037901424737E-2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55276</v>
      </c>
      <c r="Y2328" s="152">
        <f>_xll.qlInterestRateIndexValueDate(IborIndex,X2328,Trigger)</f>
        <v>55278</v>
      </c>
      <c r="Z2328" s="153">
        <v>3.1525448486653375E-2</v>
      </c>
      <c r="AA2328" s="155">
        <v>3.1344251520932787E-2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55283</v>
      </c>
      <c r="Y2329" s="152">
        <f>_xll.qlInterestRateIndexValueDate(IborIndex,X2329,Trigger)</f>
        <v>55285</v>
      </c>
      <c r="Z2329" s="153">
        <v>3.1519788344236771E-2</v>
      </c>
      <c r="AA2329" s="155">
        <v>3.1338668353564358E-2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55290</v>
      </c>
      <c r="Y2330" s="152">
        <f>_xll.qlInterestRateIndexValueDate(IborIndex,X2330,Trigger)</f>
        <v>55292</v>
      </c>
      <c r="Z2330" s="153">
        <v>3.1514129249997934E-2</v>
      </c>
      <c r="AA2330" s="155">
        <v>3.133308620186348E-2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55297</v>
      </c>
      <c r="Y2331" s="152">
        <f>_xll.qlInterestRateIndexValueDate(IborIndex,X2331,Trigger)</f>
        <v>55299</v>
      </c>
      <c r="Z2331" s="153">
        <v>3.1508471203926483E-2</v>
      </c>
      <c r="AA2331" s="155">
        <v>3.1326707843621904E-2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55304</v>
      </c>
      <c r="Y2332" s="152">
        <f>_xll.qlInterestRateIndexValueDate(IborIndex,X2332,Trigger)</f>
        <v>55306</v>
      </c>
      <c r="Z2332" s="153">
        <v>3.1502814206015077E-2</v>
      </c>
      <c r="AA2332" s="155">
        <v>3.1321924945784119E-2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55311</v>
      </c>
      <c r="Y2333" s="152">
        <f>_xll.qlInterestRateIndexValueDate(IborIndex,X2333,Trigger)</f>
        <v>55313</v>
      </c>
      <c r="Z2333" s="153">
        <v>3.1497158256253779E-2</v>
      </c>
      <c r="AA2333" s="155">
        <v>3.1316345841085891E-2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55318</v>
      </c>
      <c r="Y2334" s="152">
        <f>_xll.qlInterestRateIndexValueDate(IborIndex,X2334,Trigger)</f>
        <v>55320</v>
      </c>
      <c r="Z2334" s="153">
        <v>3.1491503354633514E-2</v>
      </c>
      <c r="AA2334" s="155">
        <v>3.1310767752215085E-2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55325</v>
      </c>
      <c r="Y2335" s="152">
        <f>_xll.qlInterestRateIndexValueDate(IborIndex,X2335,Trigger)</f>
        <v>55327</v>
      </c>
      <c r="Z2335" s="153">
        <v>3.1487781605826465E-2</v>
      </c>
      <c r="AA2335" s="155">
        <v>3.1305190679171702E-2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55332</v>
      </c>
      <c r="Y2336" s="152">
        <f>_xll.qlInterestRateIndexValueDate(IborIndex,X2336,Trigger)</f>
        <v>55334</v>
      </c>
      <c r="Z2336" s="153">
        <v>3.147729990835222E-2</v>
      </c>
      <c r="AA2336" s="155">
        <v>3.1299614621795868E-2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55339</v>
      </c>
      <c r="Y2337" s="152">
        <f>_xll.qlInterestRateIndexValueDate(IborIndex,X2337,Trigger)</f>
        <v>55341</v>
      </c>
      <c r="Z2337" s="153">
        <v>3.1474544938535097E-2</v>
      </c>
      <c r="AA2337" s="155">
        <v>3.1294039579927713E-2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55346</v>
      </c>
      <c r="Y2338" s="152">
        <f>_xll.qlInterestRateIndexValueDate(IborIndex,X2338,Trigger)</f>
        <v>55348</v>
      </c>
      <c r="Z2338" s="153">
        <v>3.146985902743752E-2</v>
      </c>
      <c r="AA2338" s="155">
        <v>3.1288465553966915E-2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55353</v>
      </c>
      <c r="Y2339" s="152">
        <f>_xll.qlInterestRateIndexValueDate(IborIndex,X2339,Trigger)</f>
        <v>55355</v>
      </c>
      <c r="Z2339" s="153">
        <v>3.1463244568346968E-2</v>
      </c>
      <c r="AA2339" s="155">
        <v>3.1282892543673668E-2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55360</v>
      </c>
      <c r="Y2340" s="152">
        <f>_xll.qlInterestRateIndexValueDate(IborIndex,X2340,Trigger)</f>
        <v>55362</v>
      </c>
      <c r="Z2340" s="153">
        <v>3.1457595955389696E-2</v>
      </c>
      <c r="AA2340" s="155">
        <v>3.1277320548968035E-2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55367</v>
      </c>
      <c r="Y2341" s="152">
        <f>_xll.qlInterestRateIndexValueDate(IborIndex,X2341,Trigger)</f>
        <v>55369</v>
      </c>
      <c r="Z2341" s="153">
        <v>3.1451948390512109E-2</v>
      </c>
      <c r="AA2341" s="155">
        <v>3.1271749570009888E-2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55374</v>
      </c>
      <c r="Y2342" s="152">
        <f>_xll.qlInterestRateIndexValueDate(IborIndex,X2342,Trigger)</f>
        <v>55376</v>
      </c>
      <c r="Z2342" s="153">
        <v>3.1446301873705118E-2</v>
      </c>
      <c r="AA2342" s="155">
        <v>3.1266179606879163E-2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55381</v>
      </c>
      <c r="Y2343" s="152">
        <f>_xll.qlInterestRateIndexValueDate(IborIndex,X2343,Trigger)</f>
        <v>55383</v>
      </c>
      <c r="Z2343" s="153">
        <v>3.1441619129734658E-2</v>
      </c>
      <c r="AA2343" s="155">
        <v>3.1260610659415988E-2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55388</v>
      </c>
      <c r="Y2344" s="152">
        <f>_xll.qlInterestRateIndexValueDate(IborIndex,X2344,Trigger)</f>
        <v>55390</v>
      </c>
      <c r="Z2344" s="153">
        <v>3.1435011984264925E-2</v>
      </c>
      <c r="AA2344" s="155">
        <v>3.125424739166327E-2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55395</v>
      </c>
      <c r="Y2345" s="152">
        <f>_xll.qlInterestRateIndexValueDate(IborIndex,X2345,Trigger)</f>
        <v>55397</v>
      </c>
      <c r="Z2345" s="153">
        <v>3.1426483018918212E-2</v>
      </c>
      <c r="AA2345" s="155">
        <v>3.1249475811492289E-2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55402</v>
      </c>
      <c r="Y2346" s="152">
        <f>_xll.qlInterestRateIndexValueDate(IborIndex,X2346,Trigger)</f>
        <v>55404</v>
      </c>
      <c r="Z2346" s="153">
        <v>3.1420841935502881E-2</v>
      </c>
      <c r="AA2346" s="155">
        <v>3.12439099111117E-2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55409</v>
      </c>
      <c r="Y2347" s="152">
        <f>_xll.qlInterestRateIndexValueDate(IborIndex,X2347,Trigger)</f>
        <v>55411</v>
      </c>
      <c r="Z2347" s="153">
        <v>3.1415201899582829E-2</v>
      </c>
      <c r="AA2347" s="155">
        <v>3.1238345026398662E-2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55416</v>
      </c>
      <c r="Y2348" s="152">
        <f>_xll.qlInterestRateIndexValueDate(IborIndex,X2348,Trigger)</f>
        <v>55418</v>
      </c>
      <c r="Z2348" s="153">
        <v>3.1409562911148388E-2</v>
      </c>
      <c r="AA2348" s="155">
        <v>3.1232781157433109E-2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55423</v>
      </c>
      <c r="Y2349" s="152">
        <f>_xll.qlInterestRateIndexValueDate(IborIndex,X2349,Trigger)</f>
        <v>55425</v>
      </c>
      <c r="Z2349" s="153">
        <v>3.1403924970192093E-2</v>
      </c>
      <c r="AA2349" s="155">
        <v>3.1227218304135107E-2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55430</v>
      </c>
      <c r="Y2350" s="152">
        <f>_xll.qlInterestRateIndexValueDate(IborIndex,X2350,Trigger)</f>
        <v>55432</v>
      </c>
      <c r="Z2350" s="153">
        <v>3.1401167468713742E-2</v>
      </c>
      <c r="AA2350" s="155">
        <v>3.1221656466584591E-2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55437</v>
      </c>
      <c r="Y2351" s="152">
        <f>_xll.qlInterestRateIndexValueDate(IborIndex,X2351,Trigger)</f>
        <v>55439</v>
      </c>
      <c r="Z2351" s="153">
        <v>3.1395530384140342E-2</v>
      </c>
      <c r="AA2351" s="155">
        <v>3.1216095644701625E-2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55444</v>
      </c>
      <c r="Y2352" s="152">
        <f>_xll.qlInterestRateIndexValueDate(IborIndex,X2352,Trigger)</f>
        <v>55446</v>
      </c>
      <c r="Z2352" s="153">
        <v>3.1390853351605894E-2</v>
      </c>
      <c r="AA2352" s="155">
        <v>3.1210535838406273E-2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55451</v>
      </c>
      <c r="Y2353" s="152">
        <f>_xll.qlInterestRateIndexValueDate(IborIndex,X2353,Trigger)</f>
        <v>55453</v>
      </c>
      <c r="Z2353" s="153">
        <v>3.1384259358929682E-2</v>
      </c>
      <c r="AA2353" s="155">
        <v>3.1204977048098215E-2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55458</v>
      </c>
      <c r="Y2354" s="152">
        <f>_xll.qlInterestRateIndexValueDate(IborIndex,X2354,Trigger)</f>
        <v>55460</v>
      </c>
      <c r="Z2354" s="153">
        <v>3.1375750977260482E-2</v>
      </c>
      <c r="AA2354" s="155">
        <v>3.1199419273297835E-2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55465</v>
      </c>
      <c r="Y2355" s="152">
        <f>_xll.qlInterestRateIndexValueDate(IborIndex,X2355,Trigger)</f>
        <v>55470</v>
      </c>
      <c r="Z2355" s="153">
        <v>3.1367706074646076E-2</v>
      </c>
      <c r="AA2355" s="155">
        <v>3.1193068774451049E-2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55472</v>
      </c>
      <c r="Y2356" s="152">
        <f>_xll.qlInterestRateIndexValueDate(IborIndex,X2356,Trigger)</f>
        <v>55474</v>
      </c>
      <c r="Z2356" s="153">
        <v>3.1364488712123738E-2</v>
      </c>
      <c r="AA2356" s="155">
        <v>3.1188306770859597E-2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55479</v>
      </c>
      <c r="Y2357" s="152">
        <f>_xll.qlInterestRateIndexValueDate(IborIndex,X2357,Trigger)</f>
        <v>55481</v>
      </c>
      <c r="Z2357" s="153">
        <v>3.1358859150670694E-2</v>
      </c>
      <c r="AA2357" s="155">
        <v>3.1182752043301676E-2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55486</v>
      </c>
      <c r="Y2358" s="152">
        <f>_xll.qlInterestRateIndexValueDate(IborIndex,X2358,Trigger)</f>
        <v>55488</v>
      </c>
      <c r="Z2358" s="153">
        <v>3.1356100135114695E-2</v>
      </c>
      <c r="AA2358" s="155">
        <v>3.1177198331251432E-2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55493</v>
      </c>
      <c r="Y2359" s="152">
        <f>_xll.qlInterestRateIndexValueDate(IborIndex,X2359,Trigger)</f>
        <v>55495</v>
      </c>
      <c r="Z2359" s="153">
        <v>3.1350471434146022E-2</v>
      </c>
      <c r="AA2359" s="155">
        <v>3.1171645634948675E-2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55500</v>
      </c>
      <c r="Y2360" s="152">
        <f>_xll.qlInterestRateIndexValueDate(IborIndex,X2360,Trigger)</f>
        <v>55502</v>
      </c>
      <c r="Z2360" s="153">
        <v>3.1344843781087657E-2</v>
      </c>
      <c r="AA2360" s="155">
        <v>3.116609395447334E-2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55507</v>
      </c>
      <c r="Y2361" s="152">
        <f>_xll.qlInterestRateIndexValueDate(IborIndex,X2361,Trigger)</f>
        <v>55509</v>
      </c>
      <c r="Z2361" s="153">
        <v>3.1339217175931806E-2</v>
      </c>
      <c r="AA2361" s="155">
        <v>3.1158957572028356E-2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55514</v>
      </c>
      <c r="Y2362" s="152">
        <f>_xll.qlInterestRateIndexValueDate(IborIndex,X2362,Trigger)</f>
        <v>55516</v>
      </c>
      <c r="Z2362" s="153">
        <v>3.1330727054211742E-2</v>
      </c>
      <c r="AA2362" s="155">
        <v>3.1154200916478914E-2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55521</v>
      </c>
      <c r="Y2363" s="152">
        <f>_xll.qlInterestRateIndexValueDate(IborIndex,X2363,Trigger)</f>
        <v>55523</v>
      </c>
      <c r="Z2363" s="153">
        <v>3.1325103777020601E-2</v>
      </c>
      <c r="AA2363" s="155">
        <v>3.1149445007052634E-2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55528</v>
      </c>
      <c r="Y2364" s="152">
        <f>_xll.qlInterestRateIndexValueDate(IborIndex,X2364,Trigger)</f>
        <v>55530</v>
      </c>
      <c r="Z2364" s="153">
        <v>3.1319481547175405E-2</v>
      </c>
      <c r="AA2364" s="155">
        <v>3.1143897389327435E-2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55535</v>
      </c>
      <c r="Y2365" s="152">
        <f>_xll.qlInterestRateIndexValueDate(IborIndex,X2365,Trigger)</f>
        <v>55537</v>
      </c>
      <c r="Z2365" s="153">
        <v>3.1313860364668683E-2</v>
      </c>
      <c r="AA2365" s="155">
        <v>3.1138350787349722E-2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55542</v>
      </c>
      <c r="Y2366" s="152">
        <f>_xll.qlInterestRateIndexValueDate(IborIndex,X2366,Trigger)</f>
        <v>55544</v>
      </c>
      <c r="Z2366" s="153">
        <v>3.1308240229490782E-2</v>
      </c>
      <c r="AA2366" s="155">
        <v>3.1132805200879687E-2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55549</v>
      </c>
      <c r="Y2367" s="152">
        <f>_xll.qlInterestRateIndexValueDate(IborIndex,X2367,Trigger)</f>
        <v>55551</v>
      </c>
      <c r="Z2367" s="153">
        <v>3.1302621141632916E-2</v>
      </c>
      <c r="AA2367" s="155">
        <v>3.1127260630476883E-2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55556</v>
      </c>
      <c r="Y2368" s="152">
        <f>_xll.qlInterestRateIndexValueDate(IborIndex,X2368,Trigger)</f>
        <v>55558</v>
      </c>
      <c r="Z2368" s="153">
        <v>3.1297003101086733E-2</v>
      </c>
      <c r="AA2368" s="155">
        <v>3.112171707550182E-2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55563</v>
      </c>
      <c r="Y2369" s="152">
        <f>_xll.qlInterestRateIndexValueDate(IborIndex,X2369,Trigger)</f>
        <v>55565</v>
      </c>
      <c r="Z2369" s="153">
        <v>3.1291386107843461E-2</v>
      </c>
      <c r="AA2369" s="155">
        <v>3.1116174536274244E-2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55570</v>
      </c>
      <c r="Y2370" s="152">
        <f>_xll.qlInterestRateIndexValueDate(IborIndex,X2370,Trigger)</f>
        <v>55572</v>
      </c>
      <c r="Z2370" s="153">
        <v>3.1285770161895182E-2</v>
      </c>
      <c r="AA2370" s="155">
        <v>3.1110633012634281E-2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55577</v>
      </c>
      <c r="Y2371" s="152">
        <f>_xll.qlInterestRateIndexValueDate(IborIndex,X2371,Trigger)</f>
        <v>55579</v>
      </c>
      <c r="Z2371" s="153">
        <v>3.1283959953227532E-2</v>
      </c>
      <c r="AA2371" s="155">
        <v>3.1105092504981613E-2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55584</v>
      </c>
      <c r="Y2372" s="152">
        <f>_xll.qlInterestRateIndexValueDate(IborIndex,X2372,Trigger)</f>
        <v>55586</v>
      </c>
      <c r="Z2372" s="153">
        <v>3.1277393678205187E-2</v>
      </c>
      <c r="AA2372" s="155">
        <v>3.1099553012836623E-2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55591</v>
      </c>
      <c r="Y2373" s="152">
        <f>_xll.qlInterestRateIndexValueDate(IborIndex,X2373,Trigger)</f>
        <v>55593</v>
      </c>
      <c r="Z2373" s="153">
        <v>3.127177964718135E-2</v>
      </c>
      <c r="AA2373" s="155">
        <v>3.1094014536359182E-2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55598</v>
      </c>
      <c r="Y2374" s="152">
        <f>_xll.qlInterestRateIndexValueDate(IborIndex,X2374,Trigger)</f>
        <v>55600</v>
      </c>
      <c r="Z2374" s="153">
        <v>3.1266166663943794E-2</v>
      </c>
      <c r="AA2374" s="155">
        <v>3.1088477075709164E-2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55605</v>
      </c>
      <c r="Y2375" s="152">
        <f>_xll.qlInterestRateIndexValueDate(IborIndex,X2375,Trigger)</f>
        <v>55607</v>
      </c>
      <c r="Z2375" s="153">
        <v>3.1260554728484755E-2</v>
      </c>
      <c r="AA2375" s="155">
        <v>3.1082940630726696E-2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55612</v>
      </c>
      <c r="Y2376" s="152">
        <f>_xll.qlInterestRateIndexValueDate(IborIndex,X2376,Trigger)</f>
        <v>55614</v>
      </c>
      <c r="Z2376" s="153">
        <v>3.1254943840794289E-2</v>
      </c>
      <c r="AA2376" s="155">
        <v>3.1077405201491715E-2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55619</v>
      </c>
      <c r="Y2377" s="152">
        <f>_xll.qlInterestRateIndexValueDate(IborIndex,X2377,Trigger)</f>
        <v>55621</v>
      </c>
      <c r="Z2377" s="153">
        <v>3.1250282744638827E-2</v>
      </c>
      <c r="AA2377" s="155">
        <v>3.1071870787684475E-2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55626</v>
      </c>
      <c r="Y2378" s="152">
        <f>_xll.qlInterestRateIndexValueDate(IborIndex,X2378,Trigger)</f>
        <v>55632</v>
      </c>
      <c r="Z2378" s="153">
        <v>3.123862449700008E-2</v>
      </c>
      <c r="AA2378" s="155">
        <v>3.1064756605641008E-2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55633</v>
      </c>
      <c r="Y2379" s="152">
        <f>_xll.qlInterestRateIndexValueDate(IborIndex,X2379,Trigger)</f>
        <v>55635</v>
      </c>
      <c r="Z2379" s="153">
        <v>3.123811746425181E-2</v>
      </c>
      <c r="AA2379" s="155">
        <v>3.1060805007872005E-2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55640</v>
      </c>
      <c r="Y2380" s="152">
        <f>_xll.qlInterestRateIndexValueDate(IborIndex,X2380,Trigger)</f>
        <v>55642</v>
      </c>
      <c r="Z2380" s="153">
        <v>3.1232510767550521E-2</v>
      </c>
      <c r="AA2380" s="155">
        <v>3.1054483529011634E-2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55647</v>
      </c>
      <c r="Y2381" s="152">
        <f>_xll.qlInterestRateIndexValueDate(IborIndex,X2381,Trigger)</f>
        <v>55649</v>
      </c>
      <c r="Z2381" s="153">
        <v>3.1227852230908116E-2</v>
      </c>
      <c r="AA2381" s="155">
        <v>3.1049743290489928E-2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55654</v>
      </c>
      <c r="Y2382" s="152">
        <f>_xll.qlInterestRateIndexValueDate(IborIndex,X2382,Trigger)</f>
        <v>55656</v>
      </c>
      <c r="Z2382" s="153">
        <v>3.1221300517314102E-2</v>
      </c>
      <c r="AA2382" s="155">
        <v>3.1044213955500055E-2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55661</v>
      </c>
      <c r="Y2383" s="152">
        <f>_xll.qlInterestRateIndexValueDate(IborIndex,X2383,Trigger)</f>
        <v>55663</v>
      </c>
      <c r="Z2383" s="153">
        <v>3.1215696963761259E-2</v>
      </c>
      <c r="AA2383" s="155">
        <v>3.1037895959133976E-2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55668</v>
      </c>
      <c r="Y2384" s="152">
        <f>_xll.qlInterestRateIndexValueDate(IborIndex,X2384,Trigger)</f>
        <v>55670</v>
      </c>
      <c r="Z2384" s="153">
        <v>3.1207256879646379E-2</v>
      </c>
      <c r="AA2384" s="155">
        <v>3.1033158332363087E-2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55675</v>
      </c>
      <c r="Y2385" s="152">
        <f>_xll.qlInterestRateIndexValueDate(IborIndex,X2385,Trigger)</f>
        <v>55677</v>
      </c>
      <c r="Z2385" s="153">
        <v>3.1204492999743091E-2</v>
      </c>
      <c r="AA2385" s="155">
        <v>3.1027632044375864E-2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55682</v>
      </c>
      <c r="Y2386" s="152">
        <f>_xll.qlInterestRateIndexValueDate(IborIndex,X2386,Trigger)</f>
        <v>55684</v>
      </c>
      <c r="Z2386" s="153">
        <v>3.1198892589259619E-2</v>
      </c>
      <c r="AA2386" s="155">
        <v>3.1022106772136127E-2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55689</v>
      </c>
      <c r="Y2387" s="152">
        <f>_xll.qlInterestRateIndexValueDate(IborIndex,X2387,Trigger)</f>
        <v>55691</v>
      </c>
      <c r="Z2387" s="153">
        <v>3.1193293226448798E-2</v>
      </c>
      <c r="AA2387" s="155">
        <v>3.101658251556394E-2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55696</v>
      </c>
      <c r="Y2388" s="152">
        <f>_xll.qlInterestRateIndexValueDate(IborIndex,X2388,Trigger)</f>
        <v>55698</v>
      </c>
      <c r="Z2388" s="153">
        <v>3.1188639175368675E-2</v>
      </c>
      <c r="AA2388" s="155">
        <v>3.1011059274579367E-2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55703</v>
      </c>
      <c r="Y2389" s="152">
        <f>_xll.qlInterestRateIndexValueDate(IborIndex,X2389,Trigger)</f>
        <v>55705</v>
      </c>
      <c r="Z2389" s="153">
        <v>3.118209764380795E-2</v>
      </c>
      <c r="AA2389" s="155">
        <v>3.1005537049422216E-2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55710</v>
      </c>
      <c r="Y2390" s="152">
        <f>_xll.qlInterestRateIndexValueDate(IborIndex,X2390,Trigger)</f>
        <v>55712</v>
      </c>
      <c r="Z2390" s="153">
        <v>3.117650142396021E-2</v>
      </c>
      <c r="AA2390" s="155">
        <v>3.1000015840092487E-2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55717</v>
      </c>
      <c r="Y2391" s="152">
        <f>_xll.qlInterestRateIndexValueDate(IborIndex,X2391,Trigger)</f>
        <v>55719</v>
      </c>
      <c r="Z2391" s="153">
        <v>3.1171849297759159E-2</v>
      </c>
      <c r="AA2391" s="155">
        <v>3.0994495646270437E-2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55724</v>
      </c>
      <c r="Y2392" s="152">
        <f>_xll.qlInterestRateIndexValueDate(IborIndex,X2392,Trigger)</f>
        <v>55726</v>
      </c>
      <c r="Z2392" s="153">
        <v>3.1165312127167742E-2</v>
      </c>
      <c r="AA2392" s="155">
        <v>3.0988976468195872E-2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55731</v>
      </c>
      <c r="Y2393" s="152">
        <f>_xll.qlInterestRateIndexValueDate(IborIndex,X2393,Trigger)</f>
        <v>55733</v>
      </c>
      <c r="Z2393" s="153">
        <v>3.115971905020444E-2</v>
      </c>
      <c r="AA2393" s="155">
        <v>3.098345830594873E-2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55738</v>
      </c>
      <c r="Y2394" s="152">
        <f>_xll.qlInterestRateIndexValueDate(IborIndex,X2394,Trigger)</f>
        <v>55740</v>
      </c>
      <c r="Z2394" s="153">
        <v>3.1154127020852001E-2</v>
      </c>
      <c r="AA2394" s="155">
        <v>3.0977941159289202E-2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55745</v>
      </c>
      <c r="Y2395" s="152">
        <f>_xll.qlInterestRateIndexValueDate(IborIndex,X2395,Trigger)</f>
        <v>55747</v>
      </c>
      <c r="Z2395" s="153">
        <v>3.1149477463481574E-2</v>
      </c>
      <c r="AA2395" s="155">
        <v>3.0972425028217287E-2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55752</v>
      </c>
      <c r="Y2396" s="152">
        <f>_xll.qlInterestRateIndexValueDate(IborIndex,X2396,Trigger)</f>
        <v>55754</v>
      </c>
      <c r="Z2396" s="153">
        <v>3.1142946104943846E-2</v>
      </c>
      <c r="AA2396" s="155">
        <v>3.0966122122260131E-2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55759</v>
      </c>
      <c r="Y2397" s="152">
        <f>_xll.qlInterestRateIndexValueDate(IborIndex,X2397,Trigger)</f>
        <v>55761</v>
      </c>
      <c r="Z2397" s="153">
        <v>3.1134535466788699E-2</v>
      </c>
      <c r="AA2397" s="155">
        <v>3.0961395813475789E-2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55766</v>
      </c>
      <c r="Y2398" s="152">
        <f>_xll.qlInterestRateIndexValueDate(IborIndex,X2398,Trigger)</f>
        <v>55768</v>
      </c>
      <c r="Z2398" s="153">
        <v>3.1128008693008139E-2</v>
      </c>
      <c r="AA2398" s="155">
        <v>3.0955882729646333E-2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55773</v>
      </c>
      <c r="Y2399" s="152">
        <f>_xll.qlInterestRateIndexValueDate(IborIndex,X2399,Trigger)</f>
        <v>55775</v>
      </c>
      <c r="Z2399" s="153">
        <v>3.1122423519200058E-2</v>
      </c>
      <c r="AA2399" s="155">
        <v>3.0950370661404492E-2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55780</v>
      </c>
      <c r="Y2400" s="152">
        <f>_xll.qlInterestRateIndexValueDate(IborIndex,X2400,Trigger)</f>
        <v>55782</v>
      </c>
      <c r="Z2400" s="153">
        <v>3.1116839392251367E-2</v>
      </c>
      <c r="AA2400" s="155">
        <v>3.0944859609070008E-2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55787</v>
      </c>
      <c r="Y2401" s="152">
        <f>_xll.qlInterestRateIndexValueDate(IborIndex,X2401,Trigger)</f>
        <v>55789</v>
      </c>
      <c r="Z2401" s="153">
        <v>3.1111256312154126E-2</v>
      </c>
      <c r="AA2401" s="155">
        <v>3.0939349572243202E-2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55794</v>
      </c>
      <c r="Y2402" s="152">
        <f>_xll.qlInterestRateIndexValueDate(IborIndex,X2402,Trigger)</f>
        <v>55796</v>
      </c>
      <c r="Z2402" s="153">
        <v>3.1110367092212252E-2</v>
      </c>
      <c r="AA2402" s="155">
        <v>3.0933840551163883E-2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55801</v>
      </c>
      <c r="Y2403" s="152">
        <f>_xll.qlInterestRateIndexValueDate(IborIndex,X2403,Trigger)</f>
        <v>55803</v>
      </c>
      <c r="Z2403" s="153">
        <v>3.1101031420863394E-2</v>
      </c>
      <c r="AA2403" s="155">
        <v>3.0928332545911985E-2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55808</v>
      </c>
      <c r="Y2404" s="152">
        <f>_xll.qlInterestRateIndexValueDate(IborIndex,X2404,Trigger)</f>
        <v>55810</v>
      </c>
      <c r="Z2404" s="153">
        <v>3.1095451077757987E-2</v>
      </c>
      <c r="AA2404" s="155">
        <v>3.0922825556247702E-2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55815</v>
      </c>
      <c r="Y2405" s="152">
        <f>_xll.qlInterestRateIndexValueDate(IborIndex,X2405,Trigger)</f>
        <v>55817</v>
      </c>
      <c r="Z2405" s="153">
        <v>3.1089871781643207E-2</v>
      </c>
      <c r="AA2405" s="155">
        <v>3.0917319582330904E-2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55822</v>
      </c>
      <c r="Y2406" s="152">
        <f>_xll.qlInterestRateIndexValueDate(IborIndex,X2406,Trigger)</f>
        <v>55824</v>
      </c>
      <c r="Z2406" s="153">
        <v>3.1083356614133976E-2</v>
      </c>
      <c r="AA2406" s="155">
        <v>3.0911814624081657E-2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55829</v>
      </c>
      <c r="Y2407" s="152">
        <f>_xll.qlInterestRateIndexValueDate(IborIndex,X2407,Trigger)</f>
        <v>55831</v>
      </c>
      <c r="Z2407" s="153">
        <v>3.1077779814962125E-2</v>
      </c>
      <c r="AA2407" s="155">
        <v>3.0906310681579896E-2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55836</v>
      </c>
      <c r="Y2408" s="152">
        <f>_xll.qlInterestRateIndexValueDate(IborIndex,X2408,Trigger)</f>
        <v>55838</v>
      </c>
      <c r="Z2408" s="153">
        <v>3.1072204062582098E-2</v>
      </c>
      <c r="AA2408" s="155">
        <v>3.0900807754745685E-2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55843</v>
      </c>
      <c r="Y2409" s="152">
        <f>_xll.qlInterestRateIndexValueDate(IborIndex,X2409,Trigger)</f>
        <v>55845</v>
      </c>
      <c r="Z2409" s="153">
        <v>3.1066629356984624E-2</v>
      </c>
      <c r="AA2409" s="155">
        <v>3.0895305843579024E-2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55850</v>
      </c>
      <c r="Y2410" s="152">
        <f>_xll.qlInterestRateIndexValueDate(IborIndex,X2410,Trigger)</f>
        <v>55852</v>
      </c>
      <c r="Z2410" s="153">
        <v>3.1061991005634861E-2</v>
      </c>
      <c r="AA2410" s="155">
        <v>3.0889804947999977E-2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55857</v>
      </c>
      <c r="Y2411" s="152">
        <f>_xll.qlInterestRateIndexValueDate(IborIndex,X2411,Trigger)</f>
        <v>55859</v>
      </c>
      <c r="Z2411" s="153">
        <v>3.10564179912842E-2</v>
      </c>
      <c r="AA2411" s="155">
        <v>3.0884305068408224E-2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55864</v>
      </c>
      <c r="Y2412" s="152">
        <f>_xll.qlInterestRateIndexValueDate(IborIndex,X2412,Trigger)</f>
        <v>55866</v>
      </c>
      <c r="Z2412" s="153">
        <v>3.1050846023864872E-2</v>
      </c>
      <c r="AA2412" s="155">
        <v>3.087880620432415E-2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55871</v>
      </c>
      <c r="Y2413" s="152">
        <f>_xll.qlInterestRateIndexValueDate(IborIndex,X2413,Trigger)</f>
        <v>55873</v>
      </c>
      <c r="Z2413" s="153">
        <v>3.1045275103368093E-2</v>
      </c>
      <c r="AA2413" s="155">
        <v>3.08751706498267E-2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55880</v>
      </c>
      <c r="Y2414" s="152">
        <f>_xll.qlInterestRateIndexValueDate(IborIndex,X2414,Trigger)</f>
        <v>55884</v>
      </c>
      <c r="Z2414" s="153">
        <v>3.1035589445069595E-2</v>
      </c>
      <c r="AA2414" s="155">
        <v>3.0867317203400191E-2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55887</v>
      </c>
      <c r="Y2415" s="152">
        <f>_xll.qlInterestRateIndexValueDate(IborIndex,X2415,Trigger)</f>
        <v>55891</v>
      </c>
      <c r="Z2415" s="153">
        <v>3.1030021618114304E-2</v>
      </c>
      <c r="AA2415" s="155">
        <v>3.0860745659744282E-2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55894</v>
      </c>
      <c r="Y2416" s="152">
        <f>_xll.qlInterestRateIndexValueDate(IborIndex,X2416,Trigger)</f>
        <v>55898</v>
      </c>
      <c r="Z2416" s="153">
        <v>3.1024454837876202E-2</v>
      </c>
      <c r="AA2416" s="155">
        <v>3.0855251148578233E-2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55901</v>
      </c>
      <c r="Y2417" s="152">
        <f>_xll.qlInterestRateIndexValueDate(IborIndex,X2417,Trigger)</f>
        <v>55905</v>
      </c>
      <c r="Z2417" s="153">
        <v>3.1018889104346897E-2</v>
      </c>
      <c r="AA2417" s="155">
        <v>3.0849757653319543E-2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55908</v>
      </c>
      <c r="Y2418" s="152">
        <f>_xll.qlInterestRateIndexValueDate(IborIndex,X2418,Trigger)</f>
        <v>55912</v>
      </c>
      <c r="Z2418" s="153">
        <v>3.1013324417517557E-2</v>
      </c>
      <c r="AA2418" s="155">
        <v>3.0844265173728402E-2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55915</v>
      </c>
      <c r="Y2419" s="152">
        <f>_xll.qlInterestRateIndexValueDate(IborIndex,X2419,Trigger)</f>
        <v>55919</v>
      </c>
      <c r="Z2419" s="153">
        <v>3.1007760777380673E-2</v>
      </c>
      <c r="AA2419" s="155">
        <v>3.083877370964494E-2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55922</v>
      </c>
      <c r="Y2420" s="152">
        <f>_xll.qlInterestRateIndexValueDate(IborIndex,X2420,Trigger)</f>
        <v>55926</v>
      </c>
      <c r="Z2420" s="153">
        <v>3.1002198183926532E-2</v>
      </c>
      <c r="AA2420" s="155">
        <v>3.0833283261468836E-2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55929</v>
      </c>
      <c r="Y2421" s="152">
        <f>_xll.qlInterestRateIndexValueDate(IborIndex,X2421,Trigger)</f>
        <v>55933</v>
      </c>
      <c r="Z2421" s="153">
        <v>3.0996636637146736E-2</v>
      </c>
      <c r="AA2421" s="155">
        <v>3.0827793828960282E-2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55936</v>
      </c>
      <c r="Y2422" s="152">
        <f>_xll.qlInterestRateIndexValueDate(IborIndex,X2422,Trigger)</f>
        <v>55940</v>
      </c>
      <c r="Z2422" s="153">
        <v>3.099200639977228E-2</v>
      </c>
      <c r="AA2422" s="155">
        <v>3.0822305412199213E-2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55943</v>
      </c>
      <c r="Y2423" s="152">
        <f>_xll.qlInterestRateIndexValueDate(IborIndex,X2423,Trigger)</f>
        <v>55947</v>
      </c>
      <c r="Z2423" s="153">
        <v>3.0988306316333175E-2</v>
      </c>
      <c r="AA2423" s="155">
        <v>3.0816818011025759E-2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55950</v>
      </c>
      <c r="Y2424" s="152">
        <f>_xll.qlInterestRateIndexValueDate(IborIndex,X2424,Trigger)</f>
        <v>55954</v>
      </c>
      <c r="Z2424" s="153">
        <v>3.098274670967335E-2</v>
      </c>
      <c r="AA2424" s="155">
        <v>3.0811331625599792E-2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55957</v>
      </c>
      <c r="Y2425" s="152">
        <f>_xll.qlInterestRateIndexValueDate(IborIndex,X2425,Trigger)</f>
        <v>55961</v>
      </c>
      <c r="Z2425" s="153">
        <v>3.0977188150175881E-2</v>
      </c>
      <c r="AA2425" s="155">
        <v>3.0805846255841374E-2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55964</v>
      </c>
      <c r="Y2426" s="152">
        <f>_xll.qlInterestRateIndexValueDate(IborIndex,X2426,Trigger)</f>
        <v>55968</v>
      </c>
      <c r="Z2426" s="153">
        <v>3.0971630637829473E-2</v>
      </c>
      <c r="AA2426" s="155">
        <v>3.0800361901910378E-2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55971</v>
      </c>
      <c r="Y2427" s="152">
        <f>_xll.qlInterestRateIndexValueDate(IborIndex,X2427,Trigger)</f>
        <v>55975</v>
      </c>
      <c r="Z2427" s="153">
        <v>3.0965145878912113E-2</v>
      </c>
      <c r="AA2427" s="155">
        <v>3.0798580487070737E-2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55982</v>
      </c>
      <c r="Y2428" s="152">
        <f>_xll.qlInterestRateIndexValueDate(IborIndex,X2428,Trigger)</f>
        <v>55984</v>
      </c>
      <c r="Z2428" s="153">
        <v>3.0958003904185957E-2</v>
      </c>
      <c r="AA2428" s="155">
        <v>3.0786263941271486E-2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55989</v>
      </c>
      <c r="Y2429" s="152">
        <f>_xll.qlInterestRateIndexValueDate(IborIndex,X2429,Trigger)</f>
        <v>55991</v>
      </c>
      <c r="Z2429" s="153">
        <v>3.0952450231469496E-2</v>
      </c>
      <c r="AA2429" s="155">
        <v>3.078078321467892E-2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55996</v>
      </c>
      <c r="Y2430" s="152">
        <f>_xll.qlInterestRateIndexValueDate(IborIndex,X2430,Trigger)</f>
        <v>55998</v>
      </c>
      <c r="Z2430" s="153">
        <v>3.0946897605693493E-2</v>
      </c>
      <c r="AA2430" s="155">
        <v>3.0775303503913776E-2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56003</v>
      </c>
      <c r="Y2431" s="152">
        <f>_xll.qlInterestRateIndexValueDate(IborIndex,X2431,Trigger)</f>
        <v>56005</v>
      </c>
      <c r="Z2431" s="153">
        <v>3.0944125822597129E-2</v>
      </c>
      <c r="AA2431" s="155">
        <v>3.0769042220981646E-2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56010</v>
      </c>
      <c r="Y2432" s="152">
        <f>_xll.qlInterestRateIndexValueDate(IborIndex,X2432,Trigger)</f>
        <v>56012</v>
      </c>
      <c r="Z2432" s="153">
        <v>3.0938574095036447E-2</v>
      </c>
      <c r="AA2432" s="155">
        <v>3.076434712914633E-2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56017</v>
      </c>
      <c r="Y2433" s="152">
        <f>_xll.qlInterestRateIndexValueDate(IborIndex,X2433,Trigger)</f>
        <v>56019</v>
      </c>
      <c r="Z2433" s="153">
        <v>3.0933023414908875E-2</v>
      </c>
      <c r="AA2433" s="155">
        <v>3.0758870465463772E-2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56024</v>
      </c>
      <c r="Y2434" s="152">
        <f>_xll.qlInterestRateIndexValueDate(IborIndex,X2434,Trigger)</f>
        <v>56026</v>
      </c>
      <c r="Z2434" s="153">
        <v>3.0927473782206245E-2</v>
      </c>
      <c r="AA2434" s="155">
        <v>3.0752612665025936E-2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56031</v>
      </c>
      <c r="Y2435" s="152">
        <f>_xll.qlInterestRateIndexValueDate(IborIndex,X2435,Trigger)</f>
        <v>56033</v>
      </c>
      <c r="Z2435" s="153">
        <v>3.0919150180632921E-2</v>
      </c>
      <c r="AA2435" s="155">
        <v>3.0747920185181243E-2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56038</v>
      </c>
      <c r="Y2436" s="152">
        <f>_xll.qlInterestRateIndexValueDate(IborIndex,X2436,Trigger)</f>
        <v>56040</v>
      </c>
      <c r="Z2436" s="153">
        <v>3.091360383632363E-2</v>
      </c>
      <c r="AA2436" s="155">
        <v>3.0742446568501336E-2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56045</v>
      </c>
      <c r="Y2437" s="152">
        <f>_xll.qlInterestRateIndexValueDate(IborIndex,X2437,Trigger)</f>
        <v>56047</v>
      </c>
      <c r="Z2437" s="153">
        <v>3.0908058538894518E-2</v>
      </c>
      <c r="AA2437" s="155">
        <v>3.0736973967648851E-2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56052</v>
      </c>
      <c r="Y2438" s="152">
        <f>_xll.qlInterestRateIndexValueDate(IborIndex,X2438,Trigger)</f>
        <v>56054</v>
      </c>
      <c r="Z2438" s="153">
        <v>3.0902514288338595E-2</v>
      </c>
      <c r="AA2438" s="155">
        <v>3.0731502382383979E-2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56059</v>
      </c>
      <c r="Y2439" s="152">
        <f>_xll.qlInterestRateIndexValueDate(IborIndex,X2439,Trigger)</f>
        <v>56061</v>
      </c>
      <c r="Z2439" s="153">
        <v>3.089974132976725E-2</v>
      </c>
      <c r="AA2439" s="155">
        <v>3.0726031812866594E-2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56066</v>
      </c>
      <c r="Y2440" s="152">
        <f>_xll.qlInterestRateIndexValueDate(IborIndex,X2440,Trigger)</f>
        <v>56068</v>
      </c>
      <c r="Z2440" s="153">
        <v>3.0894197981432055E-2</v>
      </c>
      <c r="AA2440" s="155">
        <v>3.0720562259016759E-2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56073</v>
      </c>
      <c r="Y2441" s="152">
        <f>_xll.qlInterestRateIndexValueDate(IborIndex,X2441,Trigger)</f>
        <v>56075</v>
      </c>
      <c r="Z2441" s="153">
        <v>3.0888655680460345E-2</v>
      </c>
      <c r="AA2441" s="155">
        <v>3.0715093720994346E-2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56080</v>
      </c>
      <c r="Y2442" s="152">
        <f>_xll.qlInterestRateIndexValueDate(IborIndex,X2442,Trigger)</f>
        <v>56082</v>
      </c>
      <c r="Z2442" s="153">
        <v>3.0884036680207148E-2</v>
      </c>
      <c r="AA2442" s="155">
        <v>3.0709626198559548E-2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56087</v>
      </c>
      <c r="Y2443" s="152">
        <f>_xll.qlInterestRateIndexValueDate(IborIndex,X2443,Trigger)</f>
        <v>56089</v>
      </c>
      <c r="Z2443" s="153">
        <v>3.087757422057472E-2</v>
      </c>
      <c r="AA2443" s="155">
        <v>3.0704159691872235E-2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56094</v>
      </c>
      <c r="Y2444" s="152">
        <f>_xll.qlInterestRateIndexValueDate(IborIndex,X2444,Trigger)</f>
        <v>56096</v>
      </c>
      <c r="Z2444" s="153">
        <v>3.0869270768830271E-2</v>
      </c>
      <c r="AA2444" s="155">
        <v>3.0698694200772536E-2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56101</v>
      </c>
      <c r="Y2445" s="152">
        <f>_xll.qlInterestRateIndexValueDate(IborIndex,X2445,Trigger)</f>
        <v>56103</v>
      </c>
      <c r="Z2445" s="153">
        <v>3.086649695003818E-2</v>
      </c>
      <c r="AA2445" s="155">
        <v>3.069322972550026E-2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56108</v>
      </c>
      <c r="Y2446" s="152">
        <f>_xll.qlInterestRateIndexValueDate(IborIndex,X2446,Trigger)</f>
        <v>56110</v>
      </c>
      <c r="Z2446" s="153">
        <v>3.0861880553435174E-2</v>
      </c>
      <c r="AA2446" s="155">
        <v>3.0687766265895533E-2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56115</v>
      </c>
      <c r="Y2447" s="152">
        <f>_xll.qlInterestRateIndexValueDate(IborIndex,X2447,Trigger)</f>
        <v>56117</v>
      </c>
      <c r="Z2447" s="153">
        <v>3.085542386878239E-2</v>
      </c>
      <c r="AA2447" s="155">
        <v>3.0681523555706747E-2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56122</v>
      </c>
      <c r="Y2448" s="152">
        <f>_xll.qlInterestRateIndexValueDate(IborIndex,X2448,Trigger)</f>
        <v>56124</v>
      </c>
      <c r="Z2448" s="153">
        <v>3.0847129358841312E-2</v>
      </c>
      <c r="AA2448" s="155">
        <v>3.0676842393768666E-2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56129</v>
      </c>
      <c r="Y2449" s="152">
        <f>_xll.qlInterestRateIndexValueDate(IborIndex,X2449,Trigger)</f>
        <v>56131</v>
      </c>
      <c r="Z2449" s="153">
        <v>3.083975779374578E-2</v>
      </c>
      <c r="AA2449" s="155">
        <v>3.067138198116659E-2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56136</v>
      </c>
      <c r="Y2450" s="152">
        <f>_xll.qlInterestRateIndexValueDate(IborIndex,X2450,Trigger)</f>
        <v>56138</v>
      </c>
      <c r="Z2450" s="153">
        <v>3.0834226895790899E-2</v>
      </c>
      <c r="AA2450" s="155">
        <v>3.0665922584312E-2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56143</v>
      </c>
      <c r="Y2451" s="152">
        <f>_xll.qlInterestRateIndexValueDate(IborIndex,X2451,Trigger)</f>
        <v>56145</v>
      </c>
      <c r="Z2451" s="153">
        <v>3.082869704425157E-2</v>
      </c>
      <c r="AA2451" s="155">
        <v>3.066046420312496E-2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56150</v>
      </c>
      <c r="Y2452" s="152">
        <f>_xll.qlInterestRateIndexValueDate(IborIndex,X2452,Trigger)</f>
        <v>56152</v>
      </c>
      <c r="Z2452" s="153">
        <v>3.0823168239118959E-2</v>
      </c>
      <c r="AA2452" s="155">
        <v>3.0655006837765342E-2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56157</v>
      </c>
      <c r="Y2453" s="152">
        <f>_xll.qlInterestRateIndexValueDate(IborIndex,X2453,Trigger)</f>
        <v>56159</v>
      </c>
      <c r="Z2453" s="153">
        <v>3.0818558307341169E-2</v>
      </c>
      <c r="AA2453" s="155">
        <v>3.064955048815321E-2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56164</v>
      </c>
      <c r="Y2454" s="152">
        <f>_xll.qlInterestRateIndexValueDate(IborIndex,X2454,Trigger)</f>
        <v>56166</v>
      </c>
      <c r="Z2454" s="153">
        <v>3.0813031200290008E-2</v>
      </c>
      <c r="AA2454" s="155">
        <v>3.0644095153888884E-2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56171</v>
      </c>
      <c r="Y2455" s="152">
        <f>_xll.qlInterestRateIndexValueDate(IborIndex,X2455,Trigger)</f>
        <v>56173</v>
      </c>
      <c r="Z2455" s="153">
        <v>3.0807505139793339E-2</v>
      </c>
      <c r="AA2455" s="155">
        <v>3.0638640835691788E-2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56178</v>
      </c>
      <c r="Y2456" s="152">
        <f>_xll.qlInterestRateIndexValueDate(IborIndex,X2456,Trigger)</f>
        <v>56180</v>
      </c>
      <c r="Z2456" s="153">
        <v>3.0801980125841059E-2</v>
      </c>
      <c r="AA2456" s="155">
        <v>3.0633187533002371E-2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56185</v>
      </c>
      <c r="Y2457" s="152">
        <f>_xll.qlInterestRateIndexValueDate(IborIndex,X2457,Trigger)</f>
        <v>56187</v>
      </c>
      <c r="Z2457" s="153">
        <v>3.0796456158425703E-2</v>
      </c>
      <c r="AA2457" s="155">
        <v>3.0627735246060439E-2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56192</v>
      </c>
      <c r="Y2458" s="152">
        <f>_xll.qlInterestRateIndexValueDate(IborIndex,X2458,Trigger)</f>
        <v>56194</v>
      </c>
      <c r="Z2458" s="153">
        <v>3.0790017382410821E-2</v>
      </c>
      <c r="AA2458" s="155">
        <v>3.0622283974706122E-2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56199</v>
      </c>
      <c r="Y2459" s="152">
        <f>_xll.qlInterestRateIndexValueDate(IborIndex,X2459,Trigger)</f>
        <v>56201</v>
      </c>
      <c r="Z2459" s="153">
        <v>3.0784495901892937E-2</v>
      </c>
      <c r="AA2459" s="155">
        <v>3.0616833719419034E-2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56206</v>
      </c>
      <c r="Y2460" s="152">
        <f>_xll.qlInterestRateIndexValueDate(IborIndex,X2460,Trigger)</f>
        <v>56208</v>
      </c>
      <c r="Z2460" s="153">
        <v>3.0778975467715526E-2</v>
      </c>
      <c r="AA2460" s="155">
        <v>3.0611384479479753E-2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56213</v>
      </c>
      <c r="Y2461" s="152">
        <f>_xll.qlInterestRateIndexValueDate(IborIndex,X2461,Trigger)</f>
        <v>56216</v>
      </c>
      <c r="Z2461" s="153">
        <v>3.0773582299196123E-2</v>
      </c>
      <c r="AA2461" s="155">
        <v>3.0605158020611256E-2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56220</v>
      </c>
      <c r="Y2462" s="152">
        <f>_xll.qlInterestRateIndexValueDate(IborIndex,X2462,Trigger)</f>
        <v>56222</v>
      </c>
      <c r="Z2462" s="153">
        <v>3.0768852019102347E-2</v>
      </c>
      <c r="AA2462" s="155">
        <v>3.0600489046843649E-2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56227</v>
      </c>
      <c r="Y2463" s="152">
        <f>_xll.qlInterestRateIndexValueDate(IborIndex,X2463,Trigger)</f>
        <v>56229</v>
      </c>
      <c r="Z2463" s="153">
        <v>3.0763334330727574E-2</v>
      </c>
      <c r="AA2463" s="155">
        <v>3.0595042854226762E-2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56234</v>
      </c>
      <c r="Y2464" s="152">
        <f>_xll.qlInterestRateIndexValueDate(IborIndex,X2464,Trigger)</f>
        <v>56236</v>
      </c>
      <c r="Z2464" s="153">
        <v>3.0757817688829993E-2</v>
      </c>
      <c r="AA2464" s="155">
        <v>3.0589597677117553E-2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56241</v>
      </c>
      <c r="Y2465" s="152">
        <f>_xll.qlInterestRateIndexValueDate(IborIndex,X2465,Trigger)</f>
        <v>56247</v>
      </c>
      <c r="Z2465" s="153">
        <v>3.0749150794424324E-2</v>
      </c>
      <c r="AA2465" s="155">
        <v>3.0583508409307569E-2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56248</v>
      </c>
      <c r="Y2466" s="152">
        <f>_xll.qlInterestRateIndexValueDate(IborIndex,X2466,Trigger)</f>
        <v>56251</v>
      </c>
      <c r="Z2466" s="153">
        <v>3.0745087184097575E-2</v>
      </c>
      <c r="AA2466" s="155">
        <v>3.0577932860724744E-2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56255</v>
      </c>
      <c r="Y2467" s="152">
        <f>_xll.qlInterestRateIndexValueDate(IborIndex,X2467,Trigger)</f>
        <v>56257</v>
      </c>
      <c r="Z2467" s="153">
        <v>3.0740361725264502E-2</v>
      </c>
      <c r="AA2467" s="155">
        <v>3.057326824011497E-2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56262</v>
      </c>
      <c r="Y2468" s="152">
        <f>_xll.qlInterestRateIndexValueDate(IborIndex,X2468,Trigger)</f>
        <v>56264</v>
      </c>
      <c r="Z2468" s="153">
        <v>3.0734849661497754E-2</v>
      </c>
      <c r="AA2468" s="155">
        <v>3.0567827125755898E-2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56269</v>
      </c>
      <c r="Y2469" s="152">
        <f>_xll.qlInterestRateIndexValueDate(IborIndex,X2469,Trigger)</f>
        <v>56271</v>
      </c>
      <c r="Z2469" s="153">
        <v>3.0729338643993312E-2</v>
      </c>
      <c r="AA2469" s="155">
        <v>3.0562387027224247E-2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56276</v>
      </c>
      <c r="Y2470" s="152">
        <f>_xll.qlInterestRateIndexValueDate(IborIndex,X2470,Trigger)</f>
        <v>56278</v>
      </c>
      <c r="Z2470" s="153">
        <v>3.072382867274278E-2</v>
      </c>
      <c r="AA2470" s="155">
        <v>3.0556947944440083E-2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56283</v>
      </c>
      <c r="Y2471" s="152">
        <f>_xll.qlInterestRateIndexValueDate(IborIndex,X2471,Trigger)</f>
        <v>56285</v>
      </c>
      <c r="Z2471" s="153">
        <v>3.0718319747740419E-2</v>
      </c>
      <c r="AA2471" s="155">
        <v>3.0551509877323468E-2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56290</v>
      </c>
      <c r="Y2472" s="152">
        <f>_xll.qlInterestRateIndexValueDate(IborIndex,X2472,Trigger)</f>
        <v>56292</v>
      </c>
      <c r="Z2472" s="153">
        <v>3.0712811868973861E-2</v>
      </c>
      <c r="AA2472" s="155">
        <v>3.0546072825794468E-2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56297</v>
      </c>
      <c r="Y2473" s="152">
        <f>_xll.qlInterestRateIndexValueDate(IborIndex,X2473,Trigger)</f>
        <v>56299</v>
      </c>
      <c r="Z2473" s="153">
        <v>3.0707305036437371E-2</v>
      </c>
      <c r="AA2473" s="155">
        <v>3.054063679009289E-2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56304</v>
      </c>
      <c r="Y2474" s="152">
        <f>_xll.qlInterestRateIndexValueDate(IborIndex,X2474,Trigger)</f>
        <v>56306</v>
      </c>
      <c r="Z2474" s="153">
        <v>3.0701799250120784E-2</v>
      </c>
      <c r="AA2474" s="155">
        <v>3.0535201770058862E-2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56311</v>
      </c>
      <c r="Y2475" s="152">
        <f>_xll.qlInterestRateIndexValueDate(IborIndex,X2475,Trigger)</f>
        <v>56313</v>
      </c>
      <c r="Z2475" s="153">
        <v>3.070174982012238E-2</v>
      </c>
      <c r="AA2475" s="155">
        <v>3.0529767765612448E-2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56318</v>
      </c>
      <c r="Y2476" s="152">
        <f>_xll.qlInterestRateIndexValueDate(IborIndex,X2476,Trigger)</f>
        <v>56320</v>
      </c>
      <c r="Z2476" s="153">
        <v>3.0695334917649465E-2</v>
      </c>
      <c r="AA2476" s="155">
        <v>3.052433477691352E-2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56325</v>
      </c>
      <c r="Y2477" s="152">
        <f>_xll.qlInterestRateIndexValueDate(IborIndex,X2477,Trigger)</f>
        <v>56327</v>
      </c>
      <c r="Z2477" s="153">
        <v>3.0689830315948553E-2</v>
      </c>
      <c r="AA2477" s="155">
        <v>3.0518902804042014E-2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56332</v>
      </c>
      <c r="Y2478" s="152">
        <f>_xll.qlInterestRateIndexValueDate(IborIndex,X2478,Trigger)</f>
        <v>56334</v>
      </c>
      <c r="Z2478" s="153">
        <v>3.0684326761288811E-2</v>
      </c>
      <c r="AA2478" s="155">
        <v>3.0511920331122155E-2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56339</v>
      </c>
      <c r="Y2479" s="152">
        <f>_xll.qlInterestRateIndexValueDate(IborIndex,X2479,Trigger)</f>
        <v>56341</v>
      </c>
      <c r="Z2479" s="153">
        <v>3.0676101266127662E-2</v>
      </c>
      <c r="AA2479" s="155">
        <v>3.0508041905141781E-2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56346</v>
      </c>
      <c r="Y2480" s="152">
        <f>_xll.qlInterestRateIndexValueDate(IborIndex,X2480,Trigger)</f>
        <v>56348</v>
      </c>
      <c r="Z2480" s="153">
        <v>3.0670600976428552E-2</v>
      </c>
      <c r="AA2480" s="155">
        <v>3.0502612979192989E-2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56353</v>
      </c>
      <c r="Y2481" s="152">
        <f>_xll.qlInterestRateIndexValueDate(IborIndex,X2481,Trigger)</f>
        <v>56355</v>
      </c>
      <c r="Z2481" s="153">
        <v>3.0665101733231778E-2</v>
      </c>
      <c r="AA2481" s="155">
        <v>3.0497185069151556E-2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56360</v>
      </c>
      <c r="Y2482" s="152">
        <f>_xll.qlInterestRateIndexValueDate(IborIndex,X2482,Trigger)</f>
        <v>56362</v>
      </c>
      <c r="Z2482" s="153">
        <v>3.0659603536529047E-2</v>
      </c>
      <c r="AA2482" s="155">
        <v>3.0491758174537864E-2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56367</v>
      </c>
      <c r="Y2483" s="152">
        <f>_xll.qlInterestRateIndexValueDate(IborIndex,X2483,Trigger)</f>
        <v>56369</v>
      </c>
      <c r="Z2483" s="153">
        <v>3.0654106386312052E-2</v>
      </c>
      <c r="AA2483" s="155">
        <v>3.0485557253241424E-2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56374</v>
      </c>
      <c r="Y2484" s="152">
        <f>_xll.qlInterestRateIndexValueDate(IborIndex,X2484,Trigger)</f>
        <v>56376</v>
      </c>
      <c r="Z2484" s="153">
        <v>3.065132744234517E-2</v>
      </c>
      <c r="AA2484" s="155">
        <v>3.0480907432712812E-2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56381</v>
      </c>
      <c r="Y2485" s="152">
        <f>_xll.qlInterestRateIndexValueDate(IborIndex,X2485,Trigger)</f>
        <v>56383</v>
      </c>
      <c r="Z2485" s="153">
        <v>3.064583149441959E-2</v>
      </c>
      <c r="AA2485" s="155">
        <v>3.0475483585341578E-2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56388</v>
      </c>
      <c r="Y2486" s="152">
        <f>_xll.qlInterestRateIndexValueDate(IborIndex,X2486,Trigger)</f>
        <v>56390</v>
      </c>
      <c r="Z2486" s="153">
        <v>3.0640337204630868E-2</v>
      </c>
      <c r="AA2486" s="155">
        <v>3.0469286146299623E-2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56395</v>
      </c>
      <c r="Y2487" s="152">
        <f>_xll.qlInterestRateIndexValueDate(IborIndex,X2487,Trigger)</f>
        <v>56397</v>
      </c>
      <c r="Z2487" s="153">
        <v>3.0634844929478773E-2</v>
      </c>
      <c r="AA2487" s="155">
        <v>3.0464638937601762E-2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56402</v>
      </c>
      <c r="Y2488" s="152">
        <f>_xll.qlInterestRateIndexValueDate(IborIndex,X2488,Trigger)</f>
        <v>56404</v>
      </c>
      <c r="Z2488" s="153">
        <v>3.0626641084962977E-2</v>
      </c>
      <c r="AA2488" s="155">
        <v>3.0459218137313115E-2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56409</v>
      </c>
      <c r="Y2489" s="152">
        <f>_xll.qlInterestRateIndexValueDate(IborIndex,X2489,Trigger)</f>
        <v>56411</v>
      </c>
      <c r="Z2489" s="153">
        <v>3.0621154377044813E-2</v>
      </c>
      <c r="AA2489" s="155">
        <v>3.0453798352771955E-2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56416</v>
      </c>
      <c r="Y2490" s="152">
        <f>_xll.qlInterestRateIndexValueDate(IborIndex,X2490,Trigger)</f>
        <v>56418</v>
      </c>
      <c r="Z2490" s="153">
        <v>3.0615670630351356E-2</v>
      </c>
      <c r="AA2490" s="155">
        <v>3.0448379583818408E-2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56423</v>
      </c>
      <c r="Y2491" s="152">
        <f>_xll.qlInterestRateIndexValueDate(IborIndex,X2491,Trigger)</f>
        <v>56425</v>
      </c>
      <c r="Z2491" s="153">
        <v>3.0613807515011967E-2</v>
      </c>
      <c r="AA2491" s="155">
        <v>3.0442961830692283E-2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56430</v>
      </c>
      <c r="Y2492" s="152">
        <f>_xll.qlInterestRateIndexValueDate(IborIndex,X2492,Trigger)</f>
        <v>56432</v>
      </c>
      <c r="Z2492" s="153">
        <v>3.060742625049474E-2</v>
      </c>
      <c r="AA2492" s="155">
        <v>3.0437545093073837E-2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56437</v>
      </c>
      <c r="Y2493" s="152">
        <f>_xll.qlInterestRateIndexValueDate(IborIndex,X2493,Trigger)</f>
        <v>56439</v>
      </c>
      <c r="Z2493" s="153">
        <v>3.0601953549441549E-2</v>
      </c>
      <c r="AA2493" s="155">
        <v>3.0432129371362748E-2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56444</v>
      </c>
      <c r="Y2494" s="152">
        <f>_xll.qlInterestRateIndexValueDate(IborIndex,X2494,Trigger)</f>
        <v>56446</v>
      </c>
      <c r="Z2494" s="153">
        <v>3.0597389774131806E-2</v>
      </c>
      <c r="AA2494" s="155">
        <v>3.0426714665159338E-2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56451</v>
      </c>
      <c r="Y2495" s="152">
        <f>_xll.qlInterestRateIndexValueDate(IborIndex,X2495,Trigger)</f>
        <v>56453</v>
      </c>
      <c r="Z2495" s="153">
        <v>3.0591022033874822E-2</v>
      </c>
      <c r="AA2495" s="155">
        <v>3.0421300974943222E-2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56458</v>
      </c>
      <c r="Y2496" s="152">
        <f>_xll.qlInterestRateIndexValueDate(IborIndex,X2496,Trigger)</f>
        <v>56460</v>
      </c>
      <c r="Z2496" s="153">
        <v>3.0582850620971859E-2</v>
      </c>
      <c r="AA2496" s="155">
        <v>3.0415888300074911E-2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56465</v>
      </c>
      <c r="Y2497" s="152">
        <f>_xll.qlInterestRateIndexValueDate(IborIndex,X2497,Trigger)</f>
        <v>56467</v>
      </c>
      <c r="Z2497" s="153">
        <v>3.0580111410135287E-2</v>
      </c>
      <c r="AA2497" s="155">
        <v>3.0410476640954087E-2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56472</v>
      </c>
      <c r="Y2498" s="152">
        <f>_xll.qlInterestRateIndexValueDate(IborIndex,X2498,Trigger)</f>
        <v>56474</v>
      </c>
      <c r="Z2498" s="153">
        <v>3.0575569668660457E-2</v>
      </c>
      <c r="AA2498" s="155">
        <v>3.0405065997660685E-2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56479</v>
      </c>
      <c r="Y2499" s="152">
        <f>_xll.qlInterestRateIndexValueDate(IborIndex,X2499,Trigger)</f>
        <v>56481</v>
      </c>
      <c r="Z2499" s="153">
        <v>3.0569224529887227E-2</v>
      </c>
      <c r="AA2499" s="155">
        <v>3.0399656370114769E-2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56486</v>
      </c>
      <c r="Y2500" s="152">
        <f>_xll.qlInterestRateIndexValueDate(IborIndex,X2500,Trigger)</f>
        <v>56488</v>
      </c>
      <c r="Z2500" s="153">
        <v>3.0561075721238048E-2</v>
      </c>
      <c r="AA2500" s="155">
        <v>3.0393475182393104E-2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56493</v>
      </c>
      <c r="Y2501" s="152">
        <f>_xll.qlInterestRateIndexValueDate(IborIndex,X2501,Trigger)</f>
        <v>56495</v>
      </c>
      <c r="Z2501" s="153">
        <v>3.0553838311885094E-2</v>
      </c>
      <c r="AA2501" s="155">
        <v>3.0388840161865716E-2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56500</v>
      </c>
      <c r="Y2502" s="152">
        <f>_xll.qlInterestRateIndexValueDate(IborIndex,X2502,Trigger)</f>
        <v>56502</v>
      </c>
      <c r="Z2502" s="153">
        <v>3.0548417904056876E-2</v>
      </c>
      <c r="AA2502" s="155">
        <v>3.0383433581402386E-2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56507</v>
      </c>
      <c r="Y2503" s="152">
        <f>_xll.qlInterestRateIndexValueDate(IborIndex,X2503,Trigger)</f>
        <v>56509</v>
      </c>
      <c r="Z2503" s="153">
        <v>3.0543005133359363E-2</v>
      </c>
      <c r="AA2503" s="155">
        <v>3.037802801652667E-2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56514</v>
      </c>
      <c r="Y2504" s="152">
        <f>_xll.qlInterestRateIndexValueDate(IborIndex,X2504,Trigger)</f>
        <v>56516</v>
      </c>
      <c r="Z2504" s="153">
        <v>3.0537600365920462E-2</v>
      </c>
      <c r="AA2504" s="155">
        <v>3.0372623467398441E-2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56521</v>
      </c>
      <c r="Y2505" s="152">
        <f>_xll.qlInterestRateIndexValueDate(IborIndex,X2505,Trigger)</f>
        <v>56523</v>
      </c>
      <c r="Z2505" s="153">
        <v>3.0533109989150375E-2</v>
      </c>
      <c r="AA2505" s="155">
        <v>3.0367219933857825E-2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56528</v>
      </c>
      <c r="Y2506" s="152">
        <f>_xll.qlInterestRateIndexValueDate(IborIndex,X2506,Trigger)</f>
        <v>56530</v>
      </c>
      <c r="Z2506" s="153">
        <v>3.0527722605041004E-2</v>
      </c>
      <c r="AA2506" s="155">
        <v>3.0361817416224568E-2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56535</v>
      </c>
      <c r="Y2507" s="152">
        <f>_xll.qlInterestRateIndexValueDate(IborIndex,X2507,Trigger)</f>
        <v>56537</v>
      </c>
      <c r="Z2507" s="153">
        <v>3.0522344331158489E-2</v>
      </c>
      <c r="AA2507" s="155">
        <v>3.0356415914098989E-2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56542</v>
      </c>
      <c r="Y2508" s="152">
        <f>_xll.qlInterestRateIndexValueDate(IborIndex,X2508,Trigger)</f>
        <v>56544</v>
      </c>
      <c r="Z2508" s="153">
        <v>3.0516975531633978E-2</v>
      </c>
      <c r="AA2508" s="155">
        <v>3.0351015427720895E-2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56549</v>
      </c>
      <c r="Y2509" s="152">
        <f>_xll.qlInterestRateIndexValueDate(IborIndex,X2509,Trigger)</f>
        <v>56551</v>
      </c>
      <c r="Z2509" s="153">
        <v>3.0511616570597731E-2</v>
      </c>
      <c r="AA2509" s="155">
        <v>3.0345615957010352E-2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56556</v>
      </c>
      <c r="Y2510" s="152">
        <f>_xll.qlInterestRateIndexValueDate(IborIndex,X2510,Trigger)</f>
        <v>56558</v>
      </c>
      <c r="Z2510" s="153">
        <v>3.0505360332321631E-2</v>
      </c>
      <c r="AA2510" s="155">
        <v>3.0340220388858086E-2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56563</v>
      </c>
      <c r="Y2511" s="152">
        <f>_xll.qlInterestRateIndexValueDate(IborIndex,X2511,Trigger)</f>
        <v>56565</v>
      </c>
      <c r="Z2511" s="153">
        <v>3.0500021748082643E-2</v>
      </c>
      <c r="AA2511" s="155">
        <v>3.0334834940450861E-2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56570</v>
      </c>
      <c r="Y2512" s="152">
        <f>_xll.qlInterestRateIndexValueDate(IborIndex,X2512,Trigger)</f>
        <v>56572</v>
      </c>
      <c r="Z2512" s="153">
        <v>3.0494693677508733E-2</v>
      </c>
      <c r="AA2512" s="155">
        <v>3.0329459833930983E-2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56577</v>
      </c>
      <c r="Y2513" s="152">
        <f>_xll.qlInterestRateIndexValueDate(IborIndex,X2513,Trigger)</f>
        <v>56580</v>
      </c>
      <c r="Z2513" s="153">
        <v>3.0488617327764041E-2</v>
      </c>
      <c r="AA2513" s="155">
        <v>3.0323329518875397E-2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56584</v>
      </c>
      <c r="Y2514" s="152">
        <f>_xll.qlInterestRateIndexValueDate(IborIndex,X2514,Trigger)</f>
        <v>56586</v>
      </c>
      <c r="Z2514" s="153">
        <v>3.0484977770896239E-2</v>
      </c>
      <c r="AA2514" s="155">
        <v>3.0318740647192755E-2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56591</v>
      </c>
      <c r="Y2515" s="152">
        <f>_xll.qlInterestRateIndexValueDate(IborIndex,X2515,Trigger)</f>
        <v>56593</v>
      </c>
      <c r="Z2515" s="153">
        <v>3.0479681546757429E-2</v>
      </c>
      <c r="AA2515" s="155">
        <v>3.0313396566494788E-2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56598</v>
      </c>
      <c r="Y2516" s="152">
        <f>_xll.qlInterestRateIndexValueDate(IborIndex,X2516,Trigger)</f>
        <v>56600</v>
      </c>
      <c r="Z2516" s="153">
        <v>3.047439583690564E-2</v>
      </c>
      <c r="AA2516" s="155">
        <v>3.0308062827923976E-2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56605</v>
      </c>
      <c r="Y2517" s="152">
        <f>_xll.qlInterestRateIndexValueDate(IborIndex,X2517,Trigger)</f>
        <v>56607</v>
      </c>
      <c r="Z2517" s="153">
        <v>3.0469120641258306E-2</v>
      </c>
      <c r="AA2517" s="155">
        <v>3.0301220360371417E-2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56612</v>
      </c>
      <c r="Y2518" s="152">
        <f>_xll.qlInterestRateIndexValueDate(IborIndex,X2518,Trigger)</f>
        <v>56614</v>
      </c>
      <c r="Z2518" s="153">
        <v>3.0462946036384542E-2</v>
      </c>
      <c r="AA2518" s="155">
        <v>3.0296668213072309E-2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56619</v>
      </c>
      <c r="Y2519" s="152">
        <f>_xll.qlInterestRateIndexValueDate(IborIndex,X2519,Trigger)</f>
        <v>56621</v>
      </c>
      <c r="Z2519" s="153">
        <v>3.0457691559148022E-2</v>
      </c>
      <c r="AA2519" s="155">
        <v>3.0292123663775428E-2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56626</v>
      </c>
      <c r="Y2520" s="152">
        <f>_xll.qlInterestRateIndexValueDate(IborIndex,X2520,Trigger)</f>
        <v>56628</v>
      </c>
      <c r="Z2520" s="153">
        <v>3.0452447594915007E-2</v>
      </c>
      <c r="AA2520" s="155">
        <v>3.0286831293153682E-2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56633</v>
      </c>
      <c r="Y2521" s="152">
        <f>_xll.qlInterestRateIndexValueDate(IborIndex,X2521,Trigger)</f>
        <v>56635</v>
      </c>
      <c r="Z2521" s="153">
        <v>3.0447214143605121E-2</v>
      </c>
      <c r="AA2521" s="155">
        <v>3.0281549264339347E-2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56640</v>
      </c>
      <c r="Y2522" s="152">
        <f>_xll.qlInterestRateIndexValueDate(IborIndex,X2522,Trigger)</f>
        <v>56642</v>
      </c>
      <c r="Z2522" s="153">
        <v>3.0441991205137107E-2</v>
      </c>
      <c r="AA2522" s="155">
        <v>3.0276277577412358E-2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56647</v>
      </c>
      <c r="Y2523" s="152">
        <f>_xll.qlInterestRateIndexValueDate(IborIndex,X2523,Trigger)</f>
        <v>56649</v>
      </c>
      <c r="Z2523" s="153">
        <v>3.043677877942837E-2</v>
      </c>
      <c r="AA2523" s="155">
        <v>3.0271016232452652E-2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56654</v>
      </c>
      <c r="Y2524" s="152">
        <f>_xll.qlInterestRateIndexValueDate(IborIndex,X2524,Trigger)</f>
        <v>56656</v>
      </c>
      <c r="Z2524" s="153">
        <v>3.0431576866397213E-2</v>
      </c>
      <c r="AA2524" s="155">
        <v>3.0265765229460229E-2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56661</v>
      </c>
      <c r="Y2525" s="152">
        <f>_xll.qlInterestRateIndexValueDate(IborIndex,X2525,Trigger)</f>
        <v>56663</v>
      </c>
      <c r="Z2525" s="153">
        <v>3.0426385465963258E-2</v>
      </c>
      <c r="AA2525" s="155">
        <v>3.0260524568515024E-2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56668</v>
      </c>
      <c r="Y2526" s="152">
        <f>_xll.qlInterestRateIndexValueDate(IborIndex,X2526,Trigger)</f>
        <v>56670</v>
      </c>
      <c r="Z2526" s="153">
        <v>3.0421204578045685E-2</v>
      </c>
      <c r="AA2526" s="155">
        <v>3.0255294249377229E-2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56675</v>
      </c>
      <c r="Y2527" s="152">
        <f>_xll.qlInterestRateIndexValueDate(IborIndex,X2527,Trigger)</f>
        <v>56677</v>
      </c>
      <c r="Z2527" s="153">
        <v>3.0421511900945872E-2</v>
      </c>
      <c r="AA2527" s="155">
        <v>3.0250074272206717E-2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56682</v>
      </c>
      <c r="Y2528" s="152">
        <f>_xll.qlInterestRateIndexValueDate(IborIndex,X2528,Trigger)</f>
        <v>56684</v>
      </c>
      <c r="Z2528" s="153">
        <v>3.0415440476182103E-2</v>
      </c>
      <c r="AA2528" s="155">
        <v>3.0244864637003488E-2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56689</v>
      </c>
      <c r="Y2529" s="152">
        <f>_xll.qlInterestRateIndexValueDate(IborIndex,X2529,Trigger)</f>
        <v>56691</v>
      </c>
      <c r="Z2529" s="153">
        <v>3.0410292722593543E-2</v>
      </c>
      <c r="AA2529" s="155">
        <v>3.0239665343767541E-2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56696</v>
      </c>
      <c r="Y2530" s="152">
        <f>_xll.qlInterestRateIndexValueDate(IborIndex,X2530,Trigger)</f>
        <v>56698</v>
      </c>
      <c r="Z2530" s="153">
        <v>3.0405155485938546E-2</v>
      </c>
      <c r="AA2530" s="155">
        <v>3.0234476392339005E-2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56703</v>
      </c>
      <c r="Y2531" s="152">
        <f>_xll.qlInterestRateIndexValueDate(IborIndex,X2531,Trigger)</f>
        <v>56705</v>
      </c>
      <c r="Z2531" s="153">
        <v>3.0397285954032335E-2</v>
      </c>
      <c r="AA2531" s="155">
        <v>3.0229297783117559E-2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56710</v>
      </c>
      <c r="Y2532" s="152">
        <f>_xll.qlInterestRateIndexValueDate(IborIndex,X2532,Trigger)</f>
        <v>56712</v>
      </c>
      <c r="Z2532" s="153">
        <v>3.0392168783812099E-2</v>
      </c>
      <c r="AA2532" s="155">
        <v>3.022412951578346E-2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56717</v>
      </c>
      <c r="Y2533" s="152">
        <f>_xll.qlInterestRateIndexValueDate(IborIndex,X2533,Trigger)</f>
        <v>56719</v>
      </c>
      <c r="Z2533" s="153">
        <v>3.0387062127437393E-2</v>
      </c>
      <c r="AA2533" s="155">
        <v>3.0217499796689751E-2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56724</v>
      </c>
      <c r="Y2534" s="152">
        <f>_xll.qlInterestRateIndexValueDate(IborIndex,X2534,Trigger)</f>
        <v>56726</v>
      </c>
      <c r="Z2534" s="153">
        <v>3.038196598482916E-2</v>
      </c>
      <c r="AA2534" s="155">
        <v>3.0213824006617429E-2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56731</v>
      </c>
      <c r="Y2535" s="152">
        <f>_xll.qlInterestRateIndexValueDate(IborIndex,X2535,Trigger)</f>
        <v>56733</v>
      </c>
      <c r="Z2535" s="153">
        <v>3.037688035590571E-2</v>
      </c>
      <c r="AA2535" s="155">
        <v>3.0207953717722447E-2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56738</v>
      </c>
      <c r="Y2536" s="152">
        <f>_xll.qlInterestRateIndexValueDate(IborIndex,X2536,Trigger)</f>
        <v>56740</v>
      </c>
      <c r="Z2536" s="153">
        <v>3.0374552917001106E-2</v>
      </c>
      <c r="AA2536" s="155">
        <v>3.0203559865560337E-2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56745</v>
      </c>
      <c r="Y2537" s="152">
        <f>_xll.qlInterestRateIndexValueDate(IborIndex,X2537,Trigger)</f>
        <v>56747</v>
      </c>
      <c r="Z2537" s="153">
        <v>3.036948929658094E-2</v>
      </c>
      <c r="AA2537" s="155">
        <v>3.0198443307822842E-2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56752</v>
      </c>
      <c r="Y2538" s="152">
        <f>_xll.qlInterestRateIndexValueDate(IborIndex,X2538,Trigger)</f>
        <v>56754</v>
      </c>
      <c r="Z2538" s="153">
        <v>3.0364436192438511E-2</v>
      </c>
      <c r="AA2538" s="155">
        <v>3.0193337092212502E-2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56759</v>
      </c>
      <c r="Y2539" s="152">
        <f>_xll.qlInterestRateIndexValueDate(IborIndex,X2539,Trigger)</f>
        <v>56761</v>
      </c>
      <c r="Z2539" s="153">
        <v>3.0359393604494318E-2</v>
      </c>
      <c r="AA2539" s="155">
        <v>3.0187514080539657E-2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56766</v>
      </c>
      <c r="Y2540" s="152">
        <f>_xll.qlInterestRateIndexValueDate(IborIndex,X2540,Trigger)</f>
        <v>56768</v>
      </c>
      <c r="Z2540" s="153">
        <v>3.0351609913778655E-2</v>
      </c>
      <c r="AA2540" s="155">
        <v>3.018315568649399E-2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56773</v>
      </c>
      <c r="Y2541" s="152">
        <f>_xll.qlInterestRateIndexValueDate(IborIndex,X2541,Trigger)</f>
        <v>56775</v>
      </c>
      <c r="Z2541" s="153">
        <v>3.0346587365291382E-2</v>
      </c>
      <c r="AA2541" s="155">
        <v>3.0178080496545689E-2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56780</v>
      </c>
      <c r="Y2542" s="152">
        <f>_xll.qlInterestRateIndexValueDate(IborIndex,X2542,Trigger)</f>
        <v>56782</v>
      </c>
      <c r="Z2542" s="153">
        <v>3.0341575329931088E-2</v>
      </c>
      <c r="AA2542" s="155">
        <v>3.0173015648644608E-2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56787</v>
      </c>
      <c r="Y2543" s="152">
        <f>_xll.qlInterestRateIndexValueDate(IborIndex,X2543,Trigger)</f>
        <v>56789</v>
      </c>
      <c r="Z2543" s="153">
        <v>3.0341165233637096E-2</v>
      </c>
      <c r="AA2543" s="155">
        <v>3.0167961142630872E-2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56794</v>
      </c>
      <c r="Y2544" s="152">
        <f>_xll.qlInterestRateIndexValueDate(IborIndex,X2544,Trigger)</f>
        <v>56796</v>
      </c>
      <c r="Z2544" s="153">
        <v>3.0335257107418339E-2</v>
      </c>
      <c r="AA2544" s="155">
        <v>3.0162916978504484E-2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56801</v>
      </c>
      <c r="Y2545" s="152">
        <f>_xll.qlInterestRateIndexValueDate(IborIndex,X2545,Trigger)</f>
        <v>56803</v>
      </c>
      <c r="Z2545" s="153">
        <v>3.0329358912469254E-2</v>
      </c>
      <c r="AA2545" s="155">
        <v>3.0157883156345378E-2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56808</v>
      </c>
      <c r="Y2546" s="152">
        <f>_xll.qlInterestRateIndexValueDate(IborIndex,X2546,Trigger)</f>
        <v>56810</v>
      </c>
      <c r="Z2546" s="153">
        <v>3.0325309308830043E-2</v>
      </c>
      <c r="AA2546" s="155">
        <v>3.015285967623349E-2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56815</v>
      </c>
      <c r="Y2547" s="152">
        <f>_xll.qlInterestRateIndexValueDate(IborIndex,X2547,Trigger)</f>
        <v>56817</v>
      </c>
      <c r="Z2547" s="153">
        <v>3.0319431474395937E-2</v>
      </c>
      <c r="AA2547" s="155">
        <v>3.0147846537929013E-2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56822</v>
      </c>
      <c r="Y2548" s="152">
        <f>_xll.qlInterestRateIndexValueDate(IborIndex,X2548,Trigger)</f>
        <v>56824</v>
      </c>
      <c r="Z2548" s="153">
        <v>3.0314483528614666E-2</v>
      </c>
      <c r="AA2548" s="155">
        <v>3.0142843741511882E-2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56829</v>
      </c>
      <c r="Y2549" s="152">
        <f>_xll.qlInterestRateIndexValueDate(IborIndex,X2549,Trigger)</f>
        <v>56831</v>
      </c>
      <c r="Z2549" s="153">
        <v>3.0309546098229691E-2</v>
      </c>
      <c r="AA2549" s="155">
        <v>3.0137851287221906E-2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56836</v>
      </c>
      <c r="Y2550" s="152">
        <f>_xll.qlInterestRateIndexValueDate(IborIndex,X2550,Trigger)</f>
        <v>56838</v>
      </c>
      <c r="Z2550" s="153">
        <v>3.0304619183161508E-2</v>
      </c>
      <c r="AA2550" s="155">
        <v>3.0132869174739341E-2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56843</v>
      </c>
      <c r="Y2551" s="152">
        <f>_xll.qlInterestRateIndexValueDate(IborIndex,X2551,Trigger)</f>
        <v>56845</v>
      </c>
      <c r="Z2551" s="153">
        <v>3.03006238496491E-2</v>
      </c>
      <c r="AA2551" s="155">
        <v>3.0127897404064186E-2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56850</v>
      </c>
      <c r="Y2552" s="152">
        <f>_xll.qlInterestRateIndexValueDate(IborIndex,X2552,Trigger)</f>
        <v>56852</v>
      </c>
      <c r="Z2552" s="153">
        <v>3.02947968986635E-2</v>
      </c>
      <c r="AA2552" s="155">
        <v>3.0122228044362487E-2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56857</v>
      </c>
      <c r="Y2553" s="152">
        <f>_xll.qlInterestRateIndexValueDate(IborIndex,X2553,Trigger)</f>
        <v>56859</v>
      </c>
      <c r="Z2553" s="153">
        <v>3.0286215372215257E-2</v>
      </c>
      <c r="AA2553" s="155">
        <v>3.0117984889095339E-2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56864</v>
      </c>
      <c r="Y2554" s="152">
        <f>_xll.qlInterestRateIndexValueDate(IborIndex,X2554,Trigger)</f>
        <v>56866</v>
      </c>
      <c r="Z2554" s="153">
        <v>3.0281329145345984E-2</v>
      </c>
      <c r="AA2554" s="155">
        <v>3.0113044144322032E-2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56871</v>
      </c>
      <c r="Y2555" s="152">
        <f>_xll.qlInterestRateIndexValueDate(IborIndex,X2555,Trigger)</f>
        <v>56873</v>
      </c>
      <c r="Z2555" s="153">
        <v>3.0276453429651944E-2</v>
      </c>
      <c r="AA2555" s="155">
        <v>3.0108113741516007E-2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56878</v>
      </c>
      <c r="Y2556" s="152">
        <f>_xll.qlInterestRateIndexValueDate(IborIndex,X2556,Trigger)</f>
        <v>56880</v>
      </c>
      <c r="Z2556" s="153">
        <v>3.0271588225057582E-2</v>
      </c>
      <c r="AA2556" s="155">
        <v>3.0103193680677265E-2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56885</v>
      </c>
      <c r="Y2557" s="152">
        <f>_xll.qlInterestRateIndexValueDate(IborIndex,X2557,Trigger)</f>
        <v>56887</v>
      </c>
      <c r="Z2557" s="153">
        <v>3.0266733531485165E-2</v>
      </c>
      <c r="AA2557" s="155">
        <v>3.0098283961805805E-2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56892</v>
      </c>
      <c r="Y2558" s="152">
        <f>_xll.qlInterestRateIndexValueDate(IborIndex,X2558,Trigger)</f>
        <v>56894</v>
      </c>
      <c r="Z2558" s="153">
        <v>3.0262812485519729E-2</v>
      </c>
      <c r="AA2558" s="155">
        <v>3.0093384584901628E-2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56899</v>
      </c>
      <c r="Y2559" s="152">
        <f>_xll.qlInterestRateIndexValueDate(IborIndex,X2559,Trigger)</f>
        <v>56901</v>
      </c>
      <c r="Z2559" s="153">
        <v>3.0257979161367018E-2</v>
      </c>
      <c r="AA2559" s="155">
        <v>3.0088495549724925E-2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56906</v>
      </c>
      <c r="Y2560" s="152">
        <f>_xll.qlInterestRateIndexValueDate(IborIndex,X2560,Trigger)</f>
        <v>56908</v>
      </c>
      <c r="Z2560" s="153">
        <v>3.0253156348943495E-2</v>
      </c>
      <c r="AA2560" s="155">
        <v>3.0083616856755313E-2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56913</v>
      </c>
      <c r="Y2561" s="152">
        <f>_xll.qlInterestRateIndexValueDate(IborIndex,X2561,Trigger)</f>
        <v>56915</v>
      </c>
      <c r="Z2561" s="153">
        <v>3.0248344048174912E-2</v>
      </c>
      <c r="AA2561" s="155">
        <v>3.0078748505593111E-2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56920</v>
      </c>
      <c r="Y2562" s="152">
        <f>_xll.qlInterestRateIndexValueDate(IborIndex,X2562,Trigger)</f>
        <v>56922</v>
      </c>
      <c r="Z2562" s="153">
        <v>3.0242617726302913E-2</v>
      </c>
      <c r="AA2562" s="155">
        <v>3.007389049623832E-2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56927</v>
      </c>
      <c r="Y2563" s="152">
        <f>_xll.qlInterestRateIndexValueDate(IborIndex,X2563,Trigger)</f>
        <v>56930</v>
      </c>
      <c r="Z2563" s="153">
        <v>3.0237142436841093E-2</v>
      </c>
      <c r="AA2563" s="155">
        <v>3.0068351149497019E-2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56934</v>
      </c>
      <c r="Y2564" s="152">
        <f>_xll.qlInterestRateIndexValueDate(IborIndex,X2564,Trigger)</f>
        <v>56936</v>
      </c>
      <c r="Z2564" s="153">
        <v>3.0233044978735534E-2</v>
      </c>
      <c r="AA2564" s="155">
        <v>3.0064205503670394E-2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56941</v>
      </c>
      <c r="Y2565" s="152">
        <f>_xll.qlInterestRateIndexValueDate(IborIndex,X2565,Trigger)</f>
        <v>56944</v>
      </c>
      <c r="Z2565" s="153">
        <v>3.0227593713159452E-2</v>
      </c>
      <c r="AA2565" s="155">
        <v>3.0058689795540161E-2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56948</v>
      </c>
      <c r="Y2566" s="152">
        <f>_xll.qlInterestRateIndexValueDate(IborIndex,X2566,Trigger)</f>
        <v>56950</v>
      </c>
      <c r="Z2566" s="153">
        <v>3.0224440216480544E-2</v>
      </c>
      <c r="AA2566" s="155">
        <v>3.0054561878651853E-2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56955</v>
      </c>
      <c r="Y2567" s="152">
        <f>_xll.qlInterestRateIndexValueDate(IborIndex,X2567,Trigger)</f>
        <v>56957</v>
      </c>
      <c r="Z2567" s="153">
        <v>3.0219690984044593E-2</v>
      </c>
      <c r="AA2567" s="155">
        <v>3.0049755579213411E-2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56962</v>
      </c>
      <c r="Y2568" s="152">
        <f>_xll.qlInterestRateIndexValueDate(IborIndex,X2568,Trigger)</f>
        <v>56964</v>
      </c>
      <c r="Z2568" s="153">
        <v>3.0214952262733723E-2</v>
      </c>
      <c r="AA2568" s="155">
        <v>3.0044959621662315E-2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56969</v>
      </c>
      <c r="Y2569" s="152">
        <f>_xll.qlInterestRateIndexValueDate(IborIndex,X2569,Trigger)</f>
        <v>56971</v>
      </c>
      <c r="Z2569" s="153">
        <v>3.0210224052474557E-2</v>
      </c>
      <c r="AA2569" s="155">
        <v>3.0038808586541066E-2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56977</v>
      </c>
      <c r="Y2570" s="152">
        <f>_xll.qlInterestRateIndexValueDate(IborIndex,X2570,Trigger)</f>
        <v>56983</v>
      </c>
      <c r="Z2570" s="153">
        <v>3.0202143003238882E-2</v>
      </c>
      <c r="AA2570" s="155">
        <v>3.0033355352037105E-2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56984</v>
      </c>
      <c r="Y2571" s="152">
        <f>_xll.qlInterestRateIndexValueDate(IborIndex,X2571,Trigger)</f>
        <v>56986</v>
      </c>
      <c r="Z2571" s="153">
        <v>3.0199199787706851E-2</v>
      </c>
      <c r="AA2571" s="155">
        <v>3.0029953939925136E-2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56991</v>
      </c>
      <c r="Y2572" s="152">
        <f>_xll.qlInterestRateIndexValueDate(IborIndex,X2572,Trigger)</f>
        <v>56993</v>
      </c>
      <c r="Z2572" s="153">
        <v>3.0194504251834203E-2</v>
      </c>
      <c r="AA2572" s="155">
        <v>3.0025200827541454E-2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56998</v>
      </c>
      <c r="Y2573" s="152">
        <f>_xll.qlInterestRateIndexValueDate(IborIndex,X2573,Trigger)</f>
        <v>57000</v>
      </c>
      <c r="Z2573" s="153">
        <v>3.018981922577435E-2</v>
      </c>
      <c r="AA2573" s="155">
        <v>3.0020458056885246E-2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57005</v>
      </c>
      <c r="Y2574" s="152">
        <f>_xll.qlInterestRateIndexValueDate(IborIndex,X2574,Trigger)</f>
        <v>57007</v>
      </c>
      <c r="Z2574" s="153">
        <v>3.0185144709453954E-2</v>
      </c>
      <c r="AA2574" s="155">
        <v>3.0015725628276257E-2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57012</v>
      </c>
      <c r="Y2575" s="152">
        <f>_xll.qlInterestRateIndexValueDate(IborIndex,X2575,Trigger)</f>
        <v>57014</v>
      </c>
      <c r="Z2575" s="153">
        <v>3.0180480702800098E-2</v>
      </c>
      <c r="AA2575" s="155">
        <v>3.0011003541474679E-2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57019</v>
      </c>
      <c r="Y2576" s="152">
        <f>_xll.qlInterestRateIndexValueDate(IborIndex,X2576,Trigger)</f>
        <v>57021</v>
      </c>
      <c r="Z2576" s="153">
        <v>3.0175827205739001E-2</v>
      </c>
      <c r="AA2576" s="155">
        <v>3.0006291796800255E-2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57026</v>
      </c>
      <c r="Y2577" s="152">
        <f>_xll.qlInterestRateIndexValueDate(IborIndex,X2577,Trigger)</f>
        <v>57028</v>
      </c>
      <c r="Z2577" s="153">
        <v>3.017118421819863E-2</v>
      </c>
      <c r="AA2577" s="155">
        <v>3.0001590393933242E-2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57033</v>
      </c>
      <c r="Y2578" s="152">
        <f>_xll.qlInterestRateIndexValueDate(IborIndex,X2578,Trigger)</f>
        <v>57035</v>
      </c>
      <c r="Z2578" s="153">
        <v>3.0166551740104759E-2</v>
      </c>
      <c r="AA2578" s="155">
        <v>2.9996899332873639E-2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57040</v>
      </c>
      <c r="Y2579" s="152">
        <f>_xll.qlInterestRateIndexValueDate(IborIndex,X2579,Trigger)</f>
        <v>57042</v>
      </c>
      <c r="Z2579" s="153">
        <v>3.0165653031412588E-2</v>
      </c>
      <c r="AA2579" s="155">
        <v>2.9992218613941191E-2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57047</v>
      </c>
      <c r="Y2580" s="152">
        <f>_xll.qlInterestRateIndexValueDate(IborIndex,X2580,Trigger)</f>
        <v>57049</v>
      </c>
      <c r="Z2580" s="153">
        <v>3.0160111728673139E-2</v>
      </c>
      <c r="AA2580" s="155">
        <v>2.9987548236976025E-2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57054</v>
      </c>
      <c r="Y2581" s="152">
        <f>_xll.qlInterestRateIndexValueDate(IborIndex,X2581,Trigger)</f>
        <v>57056</v>
      </c>
      <c r="Z2581" s="153">
        <v>3.0155511883430706E-2</v>
      </c>
      <c r="AA2581" s="155">
        <v>2.9982888201738334E-2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57061</v>
      </c>
      <c r="Y2582" s="152">
        <f>_xll.qlInterestRateIndexValueDate(IborIndex,X2582,Trigger)</f>
        <v>57063</v>
      </c>
      <c r="Z2582" s="153">
        <v>3.0150922550125109E-2</v>
      </c>
      <c r="AA2582" s="155">
        <v>2.9978238508467925E-2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57068</v>
      </c>
      <c r="Y2583" s="152">
        <f>_xll.qlInterestRateIndexValueDate(IborIndex,X2583,Trigger)</f>
        <v>57074</v>
      </c>
      <c r="Z2583" s="153">
        <v>3.0141866974311864E-2</v>
      </c>
      <c r="AA2583" s="155">
        <v>2.9972275527798686E-2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57075</v>
      </c>
      <c r="Y2584" s="152">
        <f>_xll.qlInterestRateIndexValueDate(IborIndex,X2584,Trigger)</f>
        <v>57077</v>
      </c>
      <c r="Z2584" s="153">
        <v>3.0142708211730072E-2</v>
      </c>
      <c r="AA2584" s="155">
        <v>2.9968970147828955E-2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57082</v>
      </c>
      <c r="Y2585" s="152">
        <f>_xll.qlInterestRateIndexValueDate(IborIndex,X2585,Trigger)</f>
        <v>57084</v>
      </c>
      <c r="Z2585" s="153">
        <v>3.0137217621095204E-2</v>
      </c>
      <c r="AA2585" s="155">
        <v>2.9964351480220586E-2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57089</v>
      </c>
      <c r="Y2586" s="152">
        <f>_xll.qlInterestRateIndexValueDate(IborIndex,X2586,Trigger)</f>
        <v>57091</v>
      </c>
      <c r="Z2586" s="153">
        <v>3.013267033480542E-2</v>
      </c>
      <c r="AA2586" s="155">
        <v>2.9959743154739371E-2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57096</v>
      </c>
      <c r="Y2587" s="152">
        <f>_xll.qlInterestRateIndexValueDate(IborIndex,X2587,Trigger)</f>
        <v>57098</v>
      </c>
      <c r="Z2587" s="153">
        <v>3.0129067472218805E-2</v>
      </c>
      <c r="AA2587" s="155">
        <v>2.9954489160539666E-2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57103</v>
      </c>
      <c r="Y2588" s="152">
        <f>_xll.qlInterestRateIndexValueDate(IborIndex,X2588,Trigger)</f>
        <v>57105</v>
      </c>
      <c r="Z2588" s="153">
        <v>3.012360729686929E-2</v>
      </c>
      <c r="AA2588" s="155">
        <v>2.9950557529518917E-2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57110</v>
      </c>
      <c r="Y2589" s="152">
        <f>_xll.qlInterestRateIndexValueDate(IborIndex,X2589,Trigger)</f>
        <v>57112</v>
      </c>
      <c r="Z2589" s="153">
        <v>3.0119091545078195E-2</v>
      </c>
      <c r="AA2589" s="155">
        <v>2.9945980229699742E-2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57117</v>
      </c>
      <c r="Y2590" s="152">
        <f>_xll.qlInterestRateIndexValueDate(IborIndex,X2590,Trigger)</f>
        <v>57119</v>
      </c>
      <c r="Z2590" s="153">
        <v>3.0114586304642775E-2</v>
      </c>
      <c r="AA2590" s="155">
        <v>2.9941413271927786E-2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57124</v>
      </c>
      <c r="Y2591" s="152">
        <f>_xll.qlInterestRateIndexValueDate(IborIndex,X2591,Trigger)</f>
        <v>57126</v>
      </c>
      <c r="Z2591" s="153">
        <v>3.0110091575492173E-2</v>
      </c>
      <c r="AA2591" s="155">
        <v>2.993620655511009E-2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57131</v>
      </c>
      <c r="Y2592" s="152">
        <f>_xll.qlInterestRateIndexValueDate(IborIndex,X2592,Trigger)</f>
        <v>57133</v>
      </c>
      <c r="Z2592" s="153">
        <v>3.0105607357552067E-2</v>
      </c>
      <c r="AA2592" s="155">
        <v>2.9932310381965976E-2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57138</v>
      </c>
      <c r="Y2593" s="152">
        <f>_xll.qlInterestRateIndexValueDate(IborIndex,X2593,Trigger)</f>
        <v>57140</v>
      </c>
      <c r="Z2593" s="153">
        <v>3.0101133650753325E-2</v>
      </c>
      <c r="AA2593" s="155">
        <v>2.9927774449856059E-2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57145</v>
      </c>
      <c r="Y2594" s="152">
        <f>_xll.qlInterestRateIndexValueDate(IborIndex,X2594,Trigger)</f>
        <v>57147</v>
      </c>
      <c r="Z2594" s="153">
        <v>3.0096670455023788E-2</v>
      </c>
      <c r="AA2594" s="155">
        <v>2.9923248859713425E-2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57152</v>
      </c>
      <c r="Y2595" s="152">
        <f>_xll.qlInterestRateIndexValueDate(IborIndex,X2595,Trigger)</f>
        <v>57154</v>
      </c>
      <c r="Z2595" s="153">
        <v>3.0094091734748755E-2</v>
      </c>
      <c r="AA2595" s="155">
        <v>2.9918733611538073E-2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57159</v>
      </c>
      <c r="Y2596" s="152">
        <f>_xll.qlInterestRateIndexValueDate(IborIndex,X2596,Trigger)</f>
        <v>57161</v>
      </c>
      <c r="Z2596" s="153">
        <v>3.008496416786283E-2</v>
      </c>
      <c r="AA2596" s="155">
        <v>2.991422870501026E-2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57166</v>
      </c>
      <c r="Y2597" s="152">
        <f>_xll.qlInterestRateIndexValueDate(IborIndex,X2597,Trigger)</f>
        <v>57168</v>
      </c>
      <c r="Z2597" s="153">
        <v>3.0083343933539612E-2</v>
      </c>
      <c r="AA2597" s="155">
        <v>2.9909734140609601E-2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57173</v>
      </c>
      <c r="Y2598" s="152">
        <f>_xll.qlInterestRateIndexValueDate(IborIndex,X2598,Trigger)</f>
        <v>57175</v>
      </c>
      <c r="Z2598" s="153">
        <v>3.0079860869162967E-2</v>
      </c>
      <c r="AA2598" s="155">
        <v>2.990524991825616E-2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57180</v>
      </c>
      <c r="Y2599" s="152">
        <f>_xll.qlInterestRateIndexValueDate(IborIndex,X2599,Trigger)</f>
        <v>57182</v>
      </c>
      <c r="Z2599" s="153">
        <v>3.0074512139927928E-2</v>
      </c>
      <c r="AA2599" s="155">
        <v>2.9900776037790067E-2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57187</v>
      </c>
      <c r="Y2600" s="152">
        <f>_xll.qlInterestRateIndexValueDate(IborIndex,X2600,Trigger)</f>
        <v>57189</v>
      </c>
      <c r="Z2600" s="153">
        <v>3.0070112009125075E-2</v>
      </c>
      <c r="AA2600" s="155">
        <v>2.9896312498891575E-2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57194</v>
      </c>
      <c r="Y2601" s="152">
        <f>_xll.qlInterestRateIndexValueDate(IborIndex,X2601,Trigger)</f>
        <v>57196</v>
      </c>
      <c r="Z2601" s="153">
        <v>3.0065722388896689E-2</v>
      </c>
      <c r="AA2601" s="155">
        <v>2.989185930228011E-2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57201</v>
      </c>
      <c r="Y2602" s="152">
        <f>_xll.qlInterestRateIndexValueDate(IborIndex,X2602,Trigger)</f>
        <v>57203</v>
      </c>
      <c r="Z2602" s="153">
        <v>3.0061343279172335E-2</v>
      </c>
      <c r="AA2602" s="155">
        <v>2.9887416447555992E-2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57208</v>
      </c>
      <c r="Y2603" s="152">
        <f>_xll.qlInterestRateIndexValueDate(IborIndex,X2603,Trigger)</f>
        <v>57210</v>
      </c>
      <c r="Z2603" s="153">
        <v>3.0057914702517275E-2</v>
      </c>
      <c r="AA2603" s="155">
        <v>2.9882983934559348E-2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57215</v>
      </c>
      <c r="Y2604" s="152">
        <f>_xll.qlInterestRateIndexValueDate(IborIndex,X2604,Trigger)</f>
        <v>57217</v>
      </c>
      <c r="Z2604" s="153">
        <v>3.0052616590958335E-2</v>
      </c>
      <c r="AA2604" s="155">
        <v>2.9877930869233182E-2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57222</v>
      </c>
      <c r="Y2605" s="152">
        <f>_xll.qlInterestRateIndexValueDate(IborIndex,X2605,Trigger)</f>
        <v>57224</v>
      </c>
      <c r="Z2605" s="153">
        <v>3.0044506696427761E-2</v>
      </c>
      <c r="AA2605" s="155">
        <v>2.9874149934547845E-2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57229</v>
      </c>
      <c r="Y2606" s="152">
        <f>_xll.qlInterestRateIndexValueDate(IborIndex,X2606,Trigger)</f>
        <v>57231</v>
      </c>
      <c r="Z2606" s="153">
        <v>3.0040168062799927E-2</v>
      </c>
      <c r="AA2606" s="155">
        <v>2.9869748447373112E-2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57236</v>
      </c>
      <c r="Y2607" s="152">
        <f>_xll.qlInterestRateIndexValueDate(IborIndex,X2607,Trigger)</f>
        <v>57238</v>
      </c>
      <c r="Z2607" s="153">
        <v>3.0035839935662795E-2</v>
      </c>
      <c r="AA2607" s="155">
        <v>2.9865357302005791E-2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57243</v>
      </c>
      <c r="Y2608" s="152">
        <f>_xll.qlInterestRateIndexValueDate(IborIndex,X2608,Trigger)</f>
        <v>57245</v>
      </c>
      <c r="Z2608" s="153">
        <v>3.0031522314947916E-2</v>
      </c>
      <c r="AA2608" s="155">
        <v>2.9860976498845559E-2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57250</v>
      </c>
      <c r="Y2609" s="152">
        <f>_xll.qlInterestRateIndexValueDate(IborIndex,X2609,Trigger)</f>
        <v>57252</v>
      </c>
      <c r="Z2609" s="153">
        <v>3.0028157215293203E-2</v>
      </c>
      <c r="AA2609" s="155">
        <v>2.9856606037412803E-2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57257</v>
      </c>
      <c r="Y2610" s="152">
        <f>_xll.qlInterestRateIndexValueDate(IborIndex,X2610,Trigger)</f>
        <v>57259</v>
      </c>
      <c r="Z2610" s="153">
        <v>3.0023861002038604E-2</v>
      </c>
      <c r="AA2610" s="155">
        <v>2.9852245917947329E-2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57264</v>
      </c>
      <c r="Y2611" s="152">
        <f>_xll.qlInterestRateIndexValueDate(IborIndex,X2611,Trigger)</f>
        <v>57266</v>
      </c>
      <c r="Z2611" s="153">
        <v>3.0019575295921141E-2</v>
      </c>
      <c r="AA2611" s="155">
        <v>2.9847896140209329E-2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57271</v>
      </c>
      <c r="Y2612" s="152">
        <f>_xll.qlInterestRateIndexValueDate(IborIndex,X2612,Trigger)</f>
        <v>57273</v>
      </c>
      <c r="Z2612" s="153">
        <v>3.0019073807556747E-2</v>
      </c>
      <c r="AA2612" s="155">
        <v>2.984355670467842E-2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57278</v>
      </c>
      <c r="Y2613" s="152">
        <f>_xll.qlInterestRateIndexValueDate(IborIndex,X2613,Trigger)</f>
        <v>57280</v>
      </c>
      <c r="Z2613" s="153">
        <v>3.001103540482444E-2</v>
      </c>
      <c r="AA2613" s="155">
        <v>2.9839227610954921E-2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57285</v>
      </c>
      <c r="Y2614" s="152">
        <f>_xll.qlInterestRateIndexValueDate(IborIndex,X2614,Trigger)</f>
        <v>57287</v>
      </c>
      <c r="Z2614" s="153">
        <v>3.0005837221763639E-2</v>
      </c>
      <c r="AA2614" s="155">
        <v>2.9834908859038833E-2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57292</v>
      </c>
      <c r="Y2615" s="152">
        <f>_xll.qlInterestRateIndexValueDate(IborIndex,X2615,Trigger)</f>
        <v>57297</v>
      </c>
      <c r="Z2615" s="153">
        <v>3.0000722038591325E-2</v>
      </c>
      <c r="AA2615" s="155">
        <v>2.9829985806193449E-2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57299</v>
      </c>
      <c r="Y2616" s="152">
        <f>_xll.qlInterestRateIndexValueDate(IborIndex,X2616,Trigger)</f>
        <v>57301</v>
      </c>
      <c r="Z2616" s="153">
        <v>2.999735957237849E-2</v>
      </c>
      <c r="AA2616" s="155">
        <v>2.9826302381108505E-2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57306</v>
      </c>
      <c r="Y2617" s="152">
        <f>_xll.qlInterestRateIndexValueDate(IborIndex,X2617,Trigger)</f>
        <v>57308</v>
      </c>
      <c r="Z2617" s="153">
        <v>2.9993136506452359E-2</v>
      </c>
      <c r="AA2617" s="155">
        <v>2.9822014655094264E-2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57313</v>
      </c>
      <c r="Y2618" s="152">
        <f>_xll.qlInterestRateIndexValueDate(IborIndex,X2618,Trigger)</f>
        <v>57315</v>
      </c>
      <c r="Z2618" s="153">
        <v>2.998986954727605E-2</v>
      </c>
      <c r="AA2618" s="155">
        <v>2.9817737270727562E-2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57320</v>
      </c>
      <c r="Y2619" s="152">
        <f>_xll.qlInterestRateIndexValueDate(IborIndex,X2619,Trigger)</f>
        <v>57322</v>
      </c>
      <c r="Z2619" s="153">
        <v>2.9985667895840045E-2</v>
      </c>
      <c r="AA2619" s="155">
        <v>2.9813470228567951E-2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57327</v>
      </c>
      <c r="Y2620" s="152">
        <f>_xll.qlInterestRateIndexValueDate(IborIndex,X2620,Trigger)</f>
        <v>57329</v>
      </c>
      <c r="Z2620" s="153">
        <v>2.9981476750939897E-2</v>
      </c>
      <c r="AA2620" s="155">
        <v>2.980921352821575E-2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57334</v>
      </c>
      <c r="Y2621" s="152">
        <f>_xll.qlInterestRateIndexValueDate(IborIndex,X2621,Trigger)</f>
        <v>57336</v>
      </c>
      <c r="Z2621" s="153">
        <v>2.997729611251105E-2</v>
      </c>
      <c r="AA2621" s="155">
        <v>2.9803755823847311E-2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57341</v>
      </c>
      <c r="Y2622" s="152">
        <f>_xll.qlInterestRateIndexValueDate(IborIndex,X2622,Trigger)</f>
        <v>57343</v>
      </c>
      <c r="Z2622" s="153">
        <v>2.9973125980487618E-2</v>
      </c>
      <c r="AA2622" s="155">
        <v>2.9800126852084219E-2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57348</v>
      </c>
      <c r="Y2623" s="152">
        <f>_xll.qlInterestRateIndexValueDate(IborIndex,X2623,Trigger)</f>
        <v>57350</v>
      </c>
      <c r="Z2623" s="153">
        <v>2.9968018729476676E-2</v>
      </c>
      <c r="AA2623" s="155">
        <v>2.9796505478483226E-2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57355</v>
      </c>
      <c r="Y2624" s="152">
        <f>_xll.qlInterestRateIndexValueDate(IborIndex,X2624,Trigger)</f>
        <v>57357</v>
      </c>
      <c r="Z2624" s="153">
        <v>2.9963869202468268E-2</v>
      </c>
      <c r="AA2624" s="155">
        <v>2.9792290145760347E-2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57362</v>
      </c>
      <c r="Y2625" s="152">
        <f>_xll.qlInterestRateIndexValueDate(IborIndex,X2625,Trigger)</f>
        <v>57364</v>
      </c>
      <c r="Z2625" s="153">
        <v>2.9959730180759911E-2</v>
      </c>
      <c r="AA2625" s="155">
        <v>2.9788085154844879E-2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57369</v>
      </c>
      <c r="Y2626" s="152">
        <f>_xll.qlInterestRateIndexValueDate(IborIndex,X2626,Trigger)</f>
        <v>57371</v>
      </c>
      <c r="Z2626" s="153">
        <v>2.9955601664285368E-2</v>
      </c>
      <c r="AA2626" s="155">
        <v>2.9783890505896693E-2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57376</v>
      </c>
      <c r="Y2627" s="152">
        <f>_xll.qlInterestRateIndexValueDate(IborIndex,X2627,Trigger)</f>
        <v>57378</v>
      </c>
      <c r="Z2627" s="153">
        <v>2.9951483652981479E-2</v>
      </c>
      <c r="AA2627" s="155">
        <v>2.977970619891579E-2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57383</v>
      </c>
      <c r="Y2628" s="152">
        <f>_xll.qlInterestRateIndexValueDate(IborIndex,X2628,Trigger)</f>
        <v>57385</v>
      </c>
      <c r="Z2628" s="153">
        <v>2.9947376146783767E-2</v>
      </c>
      <c r="AA2628" s="155">
        <v>2.9775532233902169E-2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57390</v>
      </c>
      <c r="Y2629" s="152">
        <f>_xll.qlInterestRateIndexValueDate(IborIndex,X2629,Trigger)</f>
        <v>57392</v>
      </c>
      <c r="Z2629" s="153">
        <v>2.9943279145628637E-2</v>
      </c>
      <c r="AA2629" s="155">
        <v>2.9771368610536086E-2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57397</v>
      </c>
      <c r="Y2630" s="152">
        <f>_xll.qlInterestRateIndexValueDate(IborIndex,X2630,Trigger)</f>
        <v>57399</v>
      </c>
      <c r="Z2630" s="153">
        <v>2.9939192649450726E-2</v>
      </c>
      <c r="AA2630" s="155">
        <v>2.9767215329377095E-2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57404</v>
      </c>
      <c r="Y2631" s="152">
        <f>_xll.qlInterestRateIndexValueDate(IborIndex,X2631,Trigger)</f>
        <v>57406</v>
      </c>
      <c r="Z2631" s="153">
        <v>2.9939872138580823E-2</v>
      </c>
      <c r="AA2631" s="155">
        <v>2.9763072390025513E-2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57411</v>
      </c>
      <c r="Y2632" s="152">
        <f>_xll.qlInterestRateIndexValueDate(IborIndex,X2632,Trigger)</f>
        <v>57413</v>
      </c>
      <c r="Z2632" s="153">
        <v>2.9934857031675685E-2</v>
      </c>
      <c r="AA2632" s="155">
        <v>2.9758939792401407E-2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57418</v>
      </c>
      <c r="Y2633" s="152">
        <f>_xll.qlInterestRateIndexValueDate(IborIndex,X2633,Trigger)</f>
        <v>57420</v>
      </c>
      <c r="Z2633" s="153">
        <v>2.9930803713784194E-2</v>
      </c>
      <c r="AA2633" s="155">
        <v>2.9754817536824518E-2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57425</v>
      </c>
      <c r="Y2634" s="152">
        <f>_xll.qlInterestRateIndexValueDate(IborIndex,X2634,Trigger)</f>
        <v>57427</v>
      </c>
      <c r="Z2634" s="153">
        <v>2.992676090424581E-2</v>
      </c>
      <c r="AA2634" s="155">
        <v>2.9750705623294849E-2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57432</v>
      </c>
      <c r="Y2635" s="152">
        <f>_xll.qlInterestRateIndexValueDate(IborIndex,X2635,Trigger)</f>
        <v>57434</v>
      </c>
      <c r="Z2635" s="153">
        <v>2.9919870317539048E-2</v>
      </c>
      <c r="AA2635" s="155">
        <v>2.9746604051492653E-2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57439</v>
      </c>
      <c r="Y2636" s="152">
        <f>_xll.qlInterestRateIndexValueDate(IborIndex,X2636,Trigger)</f>
        <v>57441</v>
      </c>
      <c r="Z2636" s="153">
        <v>2.9919660176043191E-2</v>
      </c>
      <c r="AA2636" s="155">
        <v>2.9742512821577805E-2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57446</v>
      </c>
      <c r="Y2637" s="152">
        <f>_xll.qlInterestRateIndexValueDate(IborIndex,X2637,Trigger)</f>
        <v>57448</v>
      </c>
      <c r="Z2637" s="153">
        <v>2.9914695525102897E-2</v>
      </c>
      <c r="AA2637" s="155">
        <v>2.9738431933710174E-2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57453</v>
      </c>
      <c r="Y2638" s="152">
        <f>_xll.qlInterestRateIndexValueDate(IborIndex,X2638,Trigger)</f>
        <v>57459</v>
      </c>
      <c r="Z2638" s="153">
        <v>2.9906504692344949E-2</v>
      </c>
      <c r="AA2638" s="155">
        <v>2.9733200274044691E-2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57460</v>
      </c>
      <c r="Y2639" s="152">
        <f>_xll.qlInterestRateIndexValueDate(IborIndex,X2639,Trigger)</f>
        <v>57462</v>
      </c>
      <c r="Z2639" s="153">
        <v>2.9906704479594568E-2</v>
      </c>
      <c r="AA2639" s="155">
        <v>2.9730301183557017E-2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57467</v>
      </c>
      <c r="Y2640" s="152">
        <f>_xll.qlInterestRateIndexValueDate(IborIndex,X2640,Trigger)</f>
        <v>57469</v>
      </c>
      <c r="Z2640" s="153">
        <v>2.9902724718825414E-2</v>
      </c>
      <c r="AA2640" s="155">
        <v>2.9725673613709702E-2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57474</v>
      </c>
      <c r="Y2641" s="152">
        <f>_xll.qlInterestRateIndexValueDate(IborIndex,X2641,Trigger)</f>
        <v>57476</v>
      </c>
      <c r="Z2641" s="153">
        <v>2.98997109401705E-2</v>
      </c>
      <c r="AA2641" s="155">
        <v>2.972221180087331E-2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57481</v>
      </c>
      <c r="Y2642" s="152">
        <f>_xll.qlInterestRateIndexValueDate(IborIndex,X2642,Trigger)</f>
        <v>57483</v>
      </c>
      <c r="Z2642" s="153">
        <v>2.9894796720939126E-2</v>
      </c>
      <c r="AA2642" s="155">
        <v>2.9718182622442413E-2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57488</v>
      </c>
      <c r="Y2643" s="152">
        <f>_xll.qlInterestRateIndexValueDate(IborIndex,X2643,Trigger)</f>
        <v>57490</v>
      </c>
      <c r="Z2643" s="153">
        <v>2.9890848483696251E-2</v>
      </c>
      <c r="AA2643" s="155">
        <v>2.9713590510631605E-2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57495</v>
      </c>
      <c r="Y2644" s="152">
        <f>_xll.qlInterestRateIndexValueDate(IborIndex,X2644,Trigger)</f>
        <v>57497</v>
      </c>
      <c r="Z2644" s="153">
        <v>2.9886910754168723E-2</v>
      </c>
      <c r="AA2644" s="155">
        <v>2.9710155291242657E-2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57502</v>
      </c>
      <c r="Y2645" s="152">
        <f>_xll.qlInterestRateIndexValueDate(IborIndex,X2645,Trigger)</f>
        <v>57504</v>
      </c>
      <c r="Z2645" s="153">
        <v>2.9882983532293888E-2</v>
      </c>
      <c r="AA2645" s="155">
        <v>2.9706157138553735E-2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57509</v>
      </c>
      <c r="Y2646" s="152">
        <f>_xll.qlInterestRateIndexValueDate(IborIndex,X2646,Trigger)</f>
        <v>57511</v>
      </c>
      <c r="Z2646" s="153">
        <v>2.9879066818009958E-2</v>
      </c>
      <c r="AA2646" s="155">
        <v>2.9702169327672223E-2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57516</v>
      </c>
      <c r="Y2647" s="152">
        <f>_xll.qlInterestRateIndexValueDate(IborIndex,X2647,Trigger)</f>
        <v>57518</v>
      </c>
      <c r="Z2647" s="153">
        <v>2.9875160611253847E-2</v>
      </c>
      <c r="AA2647" s="155">
        <v>2.9698191858678058E-2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57523</v>
      </c>
      <c r="Y2648" s="152">
        <f>_xll.qlInterestRateIndexValueDate(IborIndex,X2648,Trigger)</f>
        <v>57525</v>
      </c>
      <c r="Z2648" s="153">
        <v>2.987126491196291E-2</v>
      </c>
      <c r="AA2648" s="155">
        <v>2.9694224731731111E-2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57530</v>
      </c>
      <c r="Y2649" s="152">
        <f>_xll.qlInterestRateIndexValueDate(IborIndex,X2649,Trigger)</f>
        <v>57532</v>
      </c>
      <c r="Z2649" s="153">
        <v>2.9867379720076213E-2</v>
      </c>
      <c r="AA2649" s="155">
        <v>2.9690267946591575E-2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57537</v>
      </c>
      <c r="Y2650" s="152">
        <f>_xll.qlInterestRateIndexValueDate(IborIndex,X2650,Trigger)</f>
        <v>57539</v>
      </c>
      <c r="Z2650" s="153">
        <v>2.9863505035530674E-2</v>
      </c>
      <c r="AA2650" s="155">
        <v>2.968632150325945E-2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57544</v>
      </c>
      <c r="Y2651" s="152">
        <f>_xll.qlInterestRateIndexValueDate(IborIndex,X2651,Trigger)</f>
        <v>57546</v>
      </c>
      <c r="Z2651" s="153">
        <v>2.9860600616546506E-2</v>
      </c>
      <c r="AA2651" s="155">
        <v>2.9682385401974543E-2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57551</v>
      </c>
      <c r="Y2652" s="152">
        <f>_xll.qlInterestRateIndexValueDate(IborIndex,X2652,Trigger)</f>
        <v>57553</v>
      </c>
      <c r="Z2652" s="153">
        <v>2.9855787188217221E-2</v>
      </c>
      <c r="AA2652" s="155">
        <v>2.9678459642576982E-2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57558</v>
      </c>
      <c r="Y2653" s="152">
        <f>_xll.qlInterestRateIndexValueDate(IborIndex,X2653,Trigger)</f>
        <v>57560</v>
      </c>
      <c r="Z2653" s="153">
        <v>2.985194402532616E-2</v>
      </c>
      <c r="AA2653" s="155">
        <v>2.9674544224986832E-2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57565</v>
      </c>
      <c r="Y2654" s="152">
        <f>_xll.qlInterestRateIndexValueDate(IborIndex,X2654,Trigger)</f>
        <v>57567</v>
      </c>
      <c r="Z2654" s="153">
        <v>2.9848111369530833E-2</v>
      </c>
      <c r="AA2654" s="155">
        <v>2.9670639149363964E-2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57572</v>
      </c>
      <c r="Y2655" s="152">
        <f>_xll.qlInterestRateIndexValueDate(IborIndex,X2655,Trigger)</f>
        <v>57574</v>
      </c>
      <c r="Z2655" s="153">
        <v>2.9845250717933678E-2</v>
      </c>
      <c r="AA2655" s="155">
        <v>2.9666744415708379E-2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57579</v>
      </c>
      <c r="Y2656" s="152">
        <f>_xll.qlInterestRateIndexValueDate(IborIndex,X2656,Trigger)</f>
        <v>57581</v>
      </c>
      <c r="Z2656" s="153">
        <v>2.9840477578981953E-2</v>
      </c>
      <c r="AA2656" s="155">
        <v>2.9662305954829549E-2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57586</v>
      </c>
      <c r="Y2657" s="152">
        <f>_xll.qlInterestRateIndexValueDate(IborIndex,X2657,Trigger)</f>
        <v>57588</v>
      </c>
      <c r="Z2657" s="153">
        <v>2.9832827905340416E-2</v>
      </c>
      <c r="AA2657" s="155">
        <v>2.9658985973819441E-2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57593</v>
      </c>
      <c r="Y2658" s="152">
        <f>_xll.qlInterestRateIndexValueDate(IborIndex,X2658,Trigger)</f>
        <v>57595</v>
      </c>
      <c r="Z2658" s="153">
        <v>2.9829035523266184E-2</v>
      </c>
      <c r="AA2658" s="155">
        <v>2.9655122265666023E-2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57600</v>
      </c>
      <c r="Y2659" s="152">
        <f>_xll.qlInterestRateIndexValueDate(IborIndex,X2659,Trigger)</f>
        <v>57602</v>
      </c>
      <c r="Z2659" s="153">
        <v>2.9825253644386731E-2</v>
      </c>
      <c r="AA2659" s="155">
        <v>2.9651268899719696E-2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57607</v>
      </c>
      <c r="Y2660" s="152">
        <f>_xll.qlInterestRateIndexValueDate(IborIndex,X2660,Trigger)</f>
        <v>57609</v>
      </c>
      <c r="Z2660" s="153">
        <v>2.9821482268645085E-2</v>
      </c>
      <c r="AA2660" s="155">
        <v>2.9647425875340971E-2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57614</v>
      </c>
      <c r="Y2661" s="152">
        <f>_xll.qlInterestRateIndexValueDate(IborIndex,X2661,Trigger)</f>
        <v>57616</v>
      </c>
      <c r="Z2661" s="153">
        <v>2.9818685147143163E-2</v>
      </c>
      <c r="AA2661" s="155">
        <v>2.9643593193009465E-2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57621</v>
      </c>
      <c r="Y2662" s="152">
        <f>_xll.qlInterestRateIndexValueDate(IborIndex,X2662,Trigger)</f>
        <v>57623</v>
      </c>
      <c r="Z2662" s="153">
        <v>2.9814935219450403E-2</v>
      </c>
      <c r="AA2662" s="155">
        <v>2.9639770852565306E-2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57628</v>
      </c>
      <c r="Y2663" s="152">
        <f>_xll.qlInterestRateIndexValueDate(IborIndex,X2663,Trigger)</f>
        <v>57630</v>
      </c>
      <c r="Z2663" s="153">
        <v>2.9815055294743036E-2</v>
      </c>
      <c r="AA2663" s="155">
        <v>2.9635958854008493E-2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57635</v>
      </c>
      <c r="Y2664" s="152">
        <f>_xll.qlInterestRateIndexValueDate(IborIndex,X2664,Trigger)</f>
        <v>57637</v>
      </c>
      <c r="Z2664" s="153">
        <v>2.9807466875581355E-2</v>
      </c>
      <c r="AA2664" s="155">
        <v>2.9632157197339026E-2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57642</v>
      </c>
      <c r="Y2665" s="152">
        <f>_xll.qlInterestRateIndexValueDate(IborIndex,X2665,Trigger)</f>
        <v>57644</v>
      </c>
      <c r="Z2665" s="153">
        <v>2.9803748459287363E-2</v>
      </c>
      <c r="AA2665" s="155">
        <v>2.962836588247697E-2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57649</v>
      </c>
      <c r="Y2666" s="152">
        <f>_xll.qlInterestRateIndexValueDate(IborIndex,X2666,Trigger)</f>
        <v>57651</v>
      </c>
      <c r="Z2666" s="153">
        <v>2.9799074576783071E-2</v>
      </c>
      <c r="AA2666" s="155">
        <v>2.9624584909742069E-2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57656</v>
      </c>
      <c r="Y2667" s="152">
        <f>_xll.qlInterestRateIndexValueDate(IborIndex,X2667,Trigger)</f>
        <v>57658</v>
      </c>
      <c r="Z2667" s="153">
        <v>2.9795376721360099E-2</v>
      </c>
      <c r="AA2667" s="155">
        <v>2.9620814278734642E-2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57663</v>
      </c>
      <c r="Y2668" s="152">
        <f>_xll.qlInterestRateIndexValueDate(IborIndex,X2668,Trigger)</f>
        <v>57665</v>
      </c>
      <c r="Z2668" s="153">
        <v>2.9791689368609004E-2</v>
      </c>
      <c r="AA2668" s="155">
        <v>2.9617053989534625E-2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57670</v>
      </c>
      <c r="Y2669" s="152">
        <f>_xll.qlInterestRateIndexValueDate(IborIndex,X2669,Trigger)</f>
        <v>57672</v>
      </c>
      <c r="Z2669" s="153">
        <v>2.9788012518469732E-2</v>
      </c>
      <c r="AA2669" s="155">
        <v>2.9613304042301891E-2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57677</v>
      </c>
      <c r="Y2670" s="152">
        <f>_xll.qlInterestRateIndexValueDate(IborIndex,X2670,Trigger)</f>
        <v>57679</v>
      </c>
      <c r="Z2670" s="153">
        <v>2.9785313931903208E-2</v>
      </c>
      <c r="AA2670" s="155">
        <v>2.960956443703644E-2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57684</v>
      </c>
      <c r="Y2671" s="152">
        <f>_xll.qlInterestRateIndexValueDate(IborIndex,X2671,Trigger)</f>
        <v>57686</v>
      </c>
      <c r="Z2671" s="153">
        <v>2.9781658536838326E-2</v>
      </c>
      <c r="AA2671" s="155">
        <v>2.9605835173738271E-2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57691</v>
      </c>
      <c r="Y2672" s="152">
        <f>_xll.qlInterestRateIndexValueDate(IborIndex,X2672,Trigger)</f>
        <v>57693</v>
      </c>
      <c r="Z2672" s="153">
        <v>2.9778013645109232E-2</v>
      </c>
      <c r="AA2672" s="155">
        <v>2.9602116252007704E-2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57698</v>
      </c>
      <c r="Y2673" s="152">
        <f>_xll.qlInterestRateIndexValueDate(IborIndex,X2673,Trigger)</f>
        <v>57700</v>
      </c>
      <c r="Z2673" s="153">
        <v>2.9774379256659697E-2</v>
      </c>
      <c r="AA2673" s="155">
        <v>2.9597349977832366E-2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57706</v>
      </c>
      <c r="Y2674" s="152">
        <f>_xll.qlInterestRateIndexValueDate(IborIndex,X2674,Trigger)</f>
        <v>57710</v>
      </c>
      <c r="Z2674" s="153">
        <v>2.9766296500778191E-2</v>
      </c>
      <c r="AA2674" s="155">
        <v>2.9593654694952676E-2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57713</v>
      </c>
      <c r="Y2675" s="152">
        <f>_xll.qlInterestRateIndexValueDate(IborIndex,X2675,Trigger)</f>
        <v>57717</v>
      </c>
      <c r="Z2675" s="153">
        <v>2.9765596612298037E-2</v>
      </c>
      <c r="AA2675" s="155">
        <v>2.9590495540894324E-2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57720</v>
      </c>
      <c r="Y2676" s="152">
        <f>_xll.qlInterestRateIndexValueDate(IborIndex,X2676,Trigger)</f>
        <v>57724</v>
      </c>
      <c r="Z2676" s="153">
        <v>2.9761998234659543E-2</v>
      </c>
      <c r="AA2676" s="155">
        <v>2.9586819464331171E-2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57727</v>
      </c>
      <c r="Y2677" s="152">
        <f>_xll.qlInterestRateIndexValueDate(IborIndex,X2677,Trigger)</f>
        <v>57732</v>
      </c>
      <c r="Z2677" s="153">
        <v>2.9756927473369558E-2</v>
      </c>
      <c r="AA2677" s="155">
        <v>2.9582630897477813E-2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57734</v>
      </c>
      <c r="Y2678" s="152">
        <f>_xll.qlInterestRateIndexValueDate(IborIndex,X2678,Trigger)</f>
        <v>57738</v>
      </c>
      <c r="Z2678" s="153">
        <v>2.9754832988410026E-2</v>
      </c>
      <c r="AA2678" s="155">
        <v>2.9579498336786969E-2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57741</v>
      </c>
      <c r="Y2679" s="152">
        <f>_xll.qlInterestRateIndexValueDate(IborIndex,X2679,Trigger)</f>
        <v>57745</v>
      </c>
      <c r="Z2679" s="153">
        <v>2.9751266119687005E-2</v>
      </c>
      <c r="AA2679" s="155">
        <v>2.9575853285965792E-2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57748</v>
      </c>
      <c r="Y2680" s="152">
        <f>_xll.qlInterestRateIndexValueDate(IborIndex,X2680,Trigger)</f>
        <v>57752</v>
      </c>
      <c r="Z2680" s="153">
        <v>2.974770975382279E-2</v>
      </c>
      <c r="AA2680" s="155">
        <v>2.9572218577031961E-2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57755</v>
      </c>
      <c r="Y2681" s="152">
        <f>_xll.qlInterestRateIndexValueDate(IborIndex,X2681,Trigger)</f>
        <v>57760</v>
      </c>
      <c r="Z2681" s="153">
        <v>2.9742685173215298E-2</v>
      </c>
      <c r="AA2681" s="155">
        <v>2.9568077287480676E-2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57762</v>
      </c>
      <c r="Y2682" s="152">
        <f>_xll.qlInterestRateIndexValueDate(IborIndex,X2682,Trigger)</f>
        <v>57766</v>
      </c>
      <c r="Z2682" s="153">
        <v>2.9741602045557085E-2</v>
      </c>
      <c r="AA2682" s="155">
        <v>2.9564980184666467E-2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57769</v>
      </c>
      <c r="Y2683" s="152">
        <f>_xll.qlInterestRateIndexValueDate(IborIndex,X2683,Trigger)</f>
        <v>57773</v>
      </c>
      <c r="Z2683" s="153">
        <v>2.9739051723130832E-2</v>
      </c>
      <c r="AA2683" s="155">
        <v>2.9561376501394676E-2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57776</v>
      </c>
      <c r="Y2684" s="152">
        <f>_xll.qlInterestRateIndexValueDate(IborIndex,X2684,Trigger)</f>
        <v>57780</v>
      </c>
      <c r="Z2684" s="153">
        <v>2.9735538292480504E-2</v>
      </c>
      <c r="AA2684" s="155">
        <v>2.9557783159850359E-2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57783</v>
      </c>
      <c r="Y2685" s="152">
        <f>_xll.qlInterestRateIndexValueDate(IborIndex,X2685,Trigger)</f>
        <v>57787</v>
      </c>
      <c r="Z2685" s="153">
        <v>2.9732035366193208E-2</v>
      </c>
      <c r="AA2685" s="155">
        <v>2.9554200160353261E-2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57790</v>
      </c>
      <c r="Y2686" s="152">
        <f>_xll.qlInterestRateIndexValueDate(IborIndex,X2686,Trigger)</f>
        <v>57794</v>
      </c>
      <c r="Z2686" s="153">
        <v>2.9728542944215074E-2</v>
      </c>
      <c r="AA2686" s="155">
        <v>2.9550627502743509E-2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57797</v>
      </c>
      <c r="Y2687" s="152">
        <f>_xll.qlInterestRateIndexValueDate(IborIndex,X2687,Trigger)</f>
        <v>57801</v>
      </c>
      <c r="Z2687" s="153">
        <v>2.9724085098306114E-2</v>
      </c>
      <c r="AA2687" s="155">
        <v>2.9547065187021104E-2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57804</v>
      </c>
      <c r="Y2688" s="152">
        <f>_xll.qlInterestRateIndexValueDate(IborIndex,X2688,Trigger)</f>
        <v>57808</v>
      </c>
      <c r="Z2688" s="153">
        <v>2.9720613218999225E-2</v>
      </c>
      <c r="AA2688" s="155">
        <v>2.9543513213026174E-2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57811</v>
      </c>
      <c r="Y2689" s="152">
        <f>_xll.qlInterestRateIndexValueDate(IborIndex,X2689,Trigger)</f>
        <v>57817</v>
      </c>
      <c r="Z2689" s="153">
        <v>2.9716164807520488E-2</v>
      </c>
      <c r="AA2689" s="155">
        <v>2.9540880709237882E-2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57818</v>
      </c>
      <c r="Y2690" s="152">
        <f>_xll.qlInterestRateIndexValueDate(IborIndex,X2690,Trigger)</f>
        <v>57822</v>
      </c>
      <c r="Z2690" s="153">
        <v>2.9713700970090455E-2</v>
      </c>
      <c r="AA2690" s="155">
        <v>2.953644029093816E-2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57825</v>
      </c>
      <c r="Y2691" s="152">
        <f>_xll.qlInterestRateIndexValueDate(IborIndex,X2691,Trigger)</f>
        <v>57829</v>
      </c>
      <c r="Z2691" s="153">
        <v>2.9710260600379807E-2</v>
      </c>
      <c r="AA2691" s="155">
        <v>2.953291934276514E-2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57832</v>
      </c>
      <c r="Y2692" s="152">
        <f>_xll.qlInterestRateIndexValueDate(IborIndex,X2692,Trigger)</f>
        <v>57837</v>
      </c>
      <c r="Z2692" s="153">
        <v>2.97073199432971E-2</v>
      </c>
      <c r="AA2692" s="155">
        <v>2.9528908065454829E-2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57839</v>
      </c>
      <c r="Y2693" s="152">
        <f>_xll.qlInterestRateIndexValueDate(IborIndex,X2693,Trigger)</f>
        <v>57843</v>
      </c>
      <c r="Z2693" s="153">
        <v>2.9704390106368814E-2</v>
      </c>
      <c r="AA2693" s="155">
        <v>2.9525908472081142E-2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57846</v>
      </c>
      <c r="Y2694" s="152">
        <f>_xll.qlInterestRateIndexValueDate(IborIndex,X2694,Trigger)</f>
        <v>57850</v>
      </c>
      <c r="Z2694" s="153">
        <v>2.9700981716877736E-2</v>
      </c>
      <c r="AA2694" s="155">
        <v>2.952241854941029E-2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57853</v>
      </c>
      <c r="Y2695" s="152">
        <f>_xll.qlInterestRateIndexValueDate(IborIndex,X2695,Trigger)</f>
        <v>57858</v>
      </c>
      <c r="Z2695" s="153">
        <v>2.9698079122146167E-2</v>
      </c>
      <c r="AA2695" s="155">
        <v>2.9518442730056549E-2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57860</v>
      </c>
      <c r="Y2696" s="152">
        <f>_xll.qlInterestRateIndexValueDate(IborIndex,X2696,Trigger)</f>
        <v>57864</v>
      </c>
      <c r="Z2696" s="153">
        <v>2.9693216297090402E-2</v>
      </c>
      <c r="AA2696" s="155">
        <v>2.9515469729970434E-2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57867</v>
      </c>
      <c r="Y2697" s="152">
        <f>_xll.qlInterestRateIndexValueDate(IborIndex,X2697,Trigger)</f>
        <v>57871</v>
      </c>
      <c r="Z2697" s="153">
        <v>2.9689838945110243E-2</v>
      </c>
      <c r="AA2697" s="155">
        <v>2.9512010833121494E-2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57874</v>
      </c>
      <c r="Y2698" s="152">
        <f>_xll.qlInterestRateIndexValueDate(IborIndex,X2698,Trigger)</f>
        <v>57878</v>
      </c>
      <c r="Z2698" s="153">
        <v>2.9686472095897701E-2</v>
      </c>
      <c r="AA2698" s="155">
        <v>2.9508562278079964E-2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57881</v>
      </c>
      <c r="Y2699" s="152">
        <f>_xll.qlInterestRateIndexValueDate(IborIndex,X2699,Trigger)</f>
        <v>57885</v>
      </c>
      <c r="Z2699" s="153">
        <v>2.9683115749398612E-2</v>
      </c>
      <c r="AA2699" s="155">
        <v>2.9505124064845845E-2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57888</v>
      </c>
      <c r="Y2700" s="152">
        <f>_xll.qlInterestRateIndexValueDate(IborIndex,X2700,Trigger)</f>
        <v>57892</v>
      </c>
      <c r="Z2700" s="153">
        <v>2.9681734110231416E-2</v>
      </c>
      <c r="AA2700" s="155">
        <v>2.9501696193579008E-2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57895</v>
      </c>
      <c r="Y2701" s="152">
        <f>_xll.qlInterestRateIndexValueDate(IborIndex,X2701,Trigger)</f>
        <v>57899</v>
      </c>
      <c r="Z2701" s="153">
        <v>2.9677417094275384E-2</v>
      </c>
      <c r="AA2701" s="155">
        <v>2.9498278664279454E-2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57902</v>
      </c>
      <c r="Y2702" s="152">
        <f>_xll.qlInterestRateIndexValueDate(IborIndex,X2702,Trigger)</f>
        <v>57906</v>
      </c>
      <c r="Z2702" s="153">
        <v>2.9674092733811951E-2</v>
      </c>
      <c r="AA2702" s="155">
        <v>2.9494871476707374E-2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57909</v>
      </c>
      <c r="Y2703" s="152">
        <f>_xll.qlInterestRateIndexValueDate(IborIndex,X2703,Trigger)</f>
        <v>57913</v>
      </c>
      <c r="Z2703" s="153">
        <v>2.9670778876736682E-2</v>
      </c>
      <c r="AA2703" s="155">
        <v>2.9491474631102577E-2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57916</v>
      </c>
      <c r="Y2704" s="152">
        <f>_xll.qlInterestRateIndexValueDate(IborIndex,X2704,Trigger)</f>
        <v>57920</v>
      </c>
      <c r="Z2704" s="153">
        <v>2.9667475522999177E-2</v>
      </c>
      <c r="AA2704" s="155">
        <v>2.9488088127465062E-2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57923</v>
      </c>
      <c r="Y2705" s="152">
        <f>_xll.qlInterestRateIndexValueDate(IborIndex,X2705,Trigger)</f>
        <v>57927</v>
      </c>
      <c r="Z2705" s="153">
        <v>2.9664182672546432E-2</v>
      </c>
      <c r="AA2705" s="155">
        <v>2.9484711965634958E-2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57930</v>
      </c>
      <c r="Y2706" s="152">
        <f>_xll.qlInterestRateIndexValueDate(IborIndex,X2706,Trigger)</f>
        <v>57934</v>
      </c>
      <c r="Z2706" s="153">
        <v>2.9660900325325455E-2</v>
      </c>
      <c r="AA2706" s="155">
        <v>2.9481346145532328E-2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57937</v>
      </c>
      <c r="Y2707" s="152">
        <f>_xll.qlInterestRateIndexValueDate(IborIndex,X2707,Trigger)</f>
        <v>57941</v>
      </c>
      <c r="Z2707" s="153">
        <v>2.9657628481284105E-2</v>
      </c>
      <c r="AA2707" s="155">
        <v>2.9477990667556853E-2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57944</v>
      </c>
      <c r="Y2708" s="152">
        <f>_xll.qlInterestRateIndexValueDate(IborIndex,X2708,Trigger)</f>
        <v>57949</v>
      </c>
      <c r="Z2708" s="153">
        <v>2.9653902091922677E-2</v>
      </c>
      <c r="AA2708" s="155">
        <v>2.9474168498895281E-2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57951</v>
      </c>
      <c r="Y2709" s="152">
        <f>_xll.qlInterestRateIndexValueDate(IborIndex,X2709,Trigger)</f>
        <v>57956</v>
      </c>
      <c r="Z2709" s="153">
        <v>2.9647693706628727E-2</v>
      </c>
      <c r="AA2709" s="155">
        <v>2.9470835182072719E-2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57958</v>
      </c>
      <c r="Y2710" s="152">
        <f>_xll.qlInterestRateIndexValueDate(IborIndex,X2710,Trigger)</f>
        <v>57962</v>
      </c>
      <c r="Z2710" s="153">
        <v>2.9645902336837705E-2</v>
      </c>
      <c r="AA2710" s="155">
        <v>2.9467986284554826E-2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57965</v>
      </c>
      <c r="Y2711" s="152">
        <f>_xll.qlInterestRateIndexValueDate(IborIndex,X2711,Trigger)</f>
        <v>57969</v>
      </c>
      <c r="Z2711" s="153">
        <v>2.9642671532768155E-2</v>
      </c>
      <c r="AA2711" s="155">
        <v>2.94646721740488E-2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57972</v>
      </c>
      <c r="Y2712" s="152">
        <f>_xll.qlInterestRateIndexValueDate(IborIndex,X2712,Trigger)</f>
        <v>57976</v>
      </c>
      <c r="Z2712" s="153">
        <v>2.9639451229853713E-2</v>
      </c>
      <c r="AA2712" s="155">
        <v>2.9461368405350186E-2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57979</v>
      </c>
      <c r="Y2713" s="152">
        <f>_xll.qlInterestRateIndexValueDate(IborIndex,X2713,Trigger)</f>
        <v>57983</v>
      </c>
      <c r="Z2713" s="153">
        <v>2.9632289531191215E-2</v>
      </c>
      <c r="AA2713" s="155">
        <v>2.9458074978618853E-2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57986</v>
      </c>
      <c r="Y2714" s="152">
        <f>_xll.qlInterestRateIndexValueDate(IborIndex,X2714,Trigger)</f>
        <v>57990</v>
      </c>
      <c r="Z2714" s="153">
        <v>2.9633042127292519E-2</v>
      </c>
      <c r="AA2714" s="155">
        <v>2.9454791893614996E-2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57993</v>
      </c>
      <c r="Y2715" s="152">
        <f>_xll.qlInterestRateIndexValueDate(IborIndex,X2715,Trigger)</f>
        <v>57998</v>
      </c>
      <c r="Z2715" s="153">
        <v>2.9629398641945685E-2</v>
      </c>
      <c r="AA2715" s="155">
        <v>2.9451052460052196E-2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58000</v>
      </c>
      <c r="Y2716" s="152">
        <f>_xll.qlInterestRateIndexValueDate(IborIndex,X2716,Trigger)</f>
        <v>58004</v>
      </c>
      <c r="Z2716" s="153">
        <v>2.9626675028751805E-2</v>
      </c>
      <c r="AA2716" s="155">
        <v>2.9448256749509127E-2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58007</v>
      </c>
      <c r="Y2717" s="152">
        <f>_xll.qlInterestRateIndexValueDate(IborIndex,X2717,Trigger)</f>
        <v>58011</v>
      </c>
      <c r="Z2717" s="153">
        <v>2.9623507230864505E-2</v>
      </c>
      <c r="AA2717" s="155">
        <v>2.9445004690087373E-2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58014</v>
      </c>
      <c r="Y2718" s="152">
        <f>_xll.qlInterestRateIndexValueDate(IborIndex,X2718,Trigger)</f>
        <v>58018</v>
      </c>
      <c r="Z2718" s="153">
        <v>2.9621340612273145E-2</v>
      </c>
      <c r="AA2718" s="155">
        <v>2.9441762972792773E-2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58021</v>
      </c>
      <c r="Y2719" s="152">
        <f>_xll.qlInterestRateIndexValueDate(IborIndex,X2719,Trigger)</f>
        <v>58026</v>
      </c>
      <c r="Z2719" s="153">
        <v>2.9615763311811694E-2</v>
      </c>
      <c r="AA2719" s="155">
        <v>2.9438070816372175E-2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58028</v>
      </c>
      <c r="Y2720" s="152">
        <f>_xll.qlInterestRateIndexValueDate(IborIndex,X2720,Trigger)</f>
        <v>58032</v>
      </c>
      <c r="Z2720" s="153">
        <v>2.9614066842135741E-2</v>
      </c>
      <c r="AA2720" s="155">
        <v>2.9435310563625805E-2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58035</v>
      </c>
      <c r="Y2721" s="152">
        <f>_xll.qlInterestRateIndexValueDate(IborIndex,X2721,Trigger)</f>
        <v>58039</v>
      </c>
      <c r="Z2721" s="153">
        <v>2.961193320782252E-2</v>
      </c>
      <c r="AA2721" s="155">
        <v>2.9432099871753437E-2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58042</v>
      </c>
      <c r="Y2722" s="152">
        <f>_xll.qlInterestRateIndexValueDate(IborIndex,X2722,Trigger)</f>
        <v>58046</v>
      </c>
      <c r="Z2722" s="153">
        <v>2.9607825753270249E-2</v>
      </c>
      <c r="AA2722" s="155">
        <v>2.9428899521928287E-2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58049</v>
      </c>
      <c r="Y2723" s="152">
        <f>_xll.qlInterestRateIndexValueDate(IborIndex,X2723,Trigger)</f>
        <v>58053</v>
      </c>
      <c r="Z2723" s="153">
        <v>2.960472095977542E-2</v>
      </c>
      <c r="AA2723" s="155">
        <v>2.9425709513990483E-2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58056</v>
      </c>
      <c r="Y2724" s="152">
        <f>_xll.qlInterestRateIndexValueDate(IborIndex,X2724,Trigger)</f>
        <v>58060</v>
      </c>
      <c r="Z2724" s="153">
        <v>2.960162666684189E-2</v>
      </c>
      <c r="AA2724" s="155">
        <v>2.9422529847780154E-2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58063</v>
      </c>
      <c r="Y2725" s="152">
        <f>_xll.qlInterestRateIndexValueDate(IborIndex,X2725,Trigger)</f>
        <v>58067</v>
      </c>
      <c r="Z2725" s="153">
        <v>2.9598542874420469E-2</v>
      </c>
      <c r="AA2725" s="155">
        <v>2.9420409485201304E-2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58071</v>
      </c>
      <c r="Y2726" s="152">
        <f>_xll.qlInterestRateIndexValueDate(IborIndex,X2726,Trigger)</f>
        <v>58075</v>
      </c>
      <c r="Z2726" s="153">
        <v>2.9594036780601102E-2</v>
      </c>
      <c r="AA2726" s="155">
        <v>2.9417254419499272E-2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58078</v>
      </c>
      <c r="Y2727" s="152">
        <f>_xll.qlInterestRateIndexValueDate(IborIndex,X2727,Trigger)</f>
        <v>58082</v>
      </c>
      <c r="Z2727" s="153">
        <v>2.9590974988932279E-2</v>
      </c>
      <c r="AA2727" s="155">
        <v>2.9412603939125148E-2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58085</v>
      </c>
      <c r="Y2728" s="152">
        <f>_xll.qlInterestRateIndexValueDate(IborIndex,X2728,Trigger)</f>
        <v>58089</v>
      </c>
      <c r="Z2728" s="153">
        <v>2.9587923696745407E-2</v>
      </c>
      <c r="AA2728" s="155">
        <v>2.9409467117922361E-2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58092</v>
      </c>
      <c r="Y2729" s="152">
        <f>_xll.qlInterestRateIndexValueDate(IborIndex,X2729,Trigger)</f>
        <v>58096</v>
      </c>
      <c r="Z2729" s="153">
        <v>2.9584882903992783E-2</v>
      </c>
      <c r="AA2729" s="155">
        <v>2.9406340638526984E-2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58099</v>
      </c>
      <c r="Y2730" s="152">
        <f>_xll.qlInterestRateIndexValueDate(IborIndex,X2730,Trigger)</f>
        <v>58103</v>
      </c>
      <c r="Z2730" s="153">
        <v>2.958185261062583E-2</v>
      </c>
      <c r="AA2730" s="155">
        <v>2.940322450109889E-2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58106</v>
      </c>
      <c r="Y2731" s="152">
        <f>_xll.qlInterestRateIndexValueDate(IborIndex,X2731,Trigger)</f>
        <v>58110</v>
      </c>
      <c r="Z2731" s="153">
        <v>2.9578832816599943E-2</v>
      </c>
      <c r="AA2731" s="155">
        <v>2.9400118705478206E-2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58113</v>
      </c>
      <c r="Y2732" s="152">
        <f>_xll.qlInterestRateIndexValueDate(IborIndex,X2732,Trigger)</f>
        <v>58117</v>
      </c>
      <c r="Z2732" s="153">
        <v>2.95758235218661E-2</v>
      </c>
      <c r="AA2732" s="155">
        <v>2.9397023251824805E-2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58120</v>
      </c>
      <c r="Y2733" s="152">
        <f>_xll.qlInterestRateIndexValueDate(IborIndex,X2733,Trigger)</f>
        <v>58124</v>
      </c>
      <c r="Z2733" s="153">
        <v>2.9572824726377928E-2</v>
      </c>
      <c r="AA2733" s="155">
        <v>2.9393938139818943E-2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58127</v>
      </c>
      <c r="Y2734" s="152">
        <f>_xll.qlInterestRateIndexValueDate(IborIndex,X2734,Trigger)</f>
        <v>58131</v>
      </c>
      <c r="Z2734" s="153">
        <v>2.9570835073475847E-2</v>
      </c>
      <c r="AA2734" s="155">
        <v>2.9390863369940234E-2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58134</v>
      </c>
      <c r="Y2735" s="152">
        <f>_xll.qlInterestRateIndexValueDate(IborIndex,X2735,Trigger)</f>
        <v>58138</v>
      </c>
      <c r="Z2735" s="153">
        <v>2.9569856394008866E-2</v>
      </c>
      <c r="AA2735" s="155">
        <v>2.9387798941868937E-2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58141</v>
      </c>
      <c r="Y2736" s="152">
        <f>_xll.qlInterestRateIndexValueDate(IborIndex,X2736,Trigger)</f>
        <v>58145</v>
      </c>
      <c r="Z2736" s="153">
        <v>2.9566890620545964E-2</v>
      </c>
      <c r="AA2736" s="155">
        <v>2.9384744855525113E-2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58148</v>
      </c>
      <c r="Y2737" s="152">
        <f>_xll.qlInterestRateIndexValueDate(IborIndex,X2737,Trigger)</f>
        <v>58152</v>
      </c>
      <c r="Z2737" s="153">
        <v>2.9563935348770408E-2</v>
      </c>
      <c r="AA2737" s="155">
        <v>2.9381701111148573E-2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58155</v>
      </c>
      <c r="Y2738" s="152">
        <f>_xll.qlInterestRateIndexValueDate(IborIndex,X2738,Trigger)</f>
        <v>58159</v>
      </c>
      <c r="Z2738" s="153">
        <v>2.9560990578639187E-2</v>
      </c>
      <c r="AA2738" s="155">
        <v>2.9382598275971006E-2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58166</v>
      </c>
      <c r="Y2739" s="152">
        <f>_xll.qlInterestRateIndexValueDate(IborIndex,X2739,Trigger)</f>
        <v>58168</v>
      </c>
      <c r="Z2739" s="153">
        <v>2.9556218335159552E-2</v>
      </c>
      <c r="AA2739" s="155">
        <v>2.9373921828170779E-2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58173</v>
      </c>
      <c r="Y2740" s="152">
        <f>_xll.qlInterestRateIndexValueDate(IborIndex,X2740,Trigger)</f>
        <v>58175</v>
      </c>
      <c r="Z2740" s="153">
        <v>2.9553297056556054E-2</v>
      </c>
      <c r="AA2740" s="155">
        <v>2.9370915019208965E-2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58180</v>
      </c>
      <c r="Y2741" s="152">
        <f>_xll.qlInterestRateIndexValueDate(IborIndex,X2741,Trigger)</f>
        <v>58182</v>
      </c>
      <c r="Z2741" s="153">
        <v>2.955038627856714E-2</v>
      </c>
      <c r="AA2741" s="155">
        <v>2.9367918551974626E-2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58187</v>
      </c>
      <c r="Y2742" s="152">
        <f>_xll.qlInterestRateIndexValueDate(IborIndex,X2742,Trigger)</f>
        <v>58189</v>
      </c>
      <c r="Z2742" s="153">
        <v>2.9547486001146511E-2</v>
      </c>
      <c r="AA2742" s="155">
        <v>2.9364932426627632E-2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58194</v>
      </c>
      <c r="Y2743" s="152">
        <f>_xll.qlInterestRateIndexValueDate(IborIndex,X2743,Trigger)</f>
        <v>58196</v>
      </c>
      <c r="Z2743" s="153">
        <v>2.9547607320707863E-2</v>
      </c>
      <c r="AA2743" s="155">
        <v>2.936153237534711E-2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58201</v>
      </c>
      <c r="Y2744" s="152">
        <f>_xll.qlInterestRateIndexValueDate(IborIndex,X2744,Trigger)</f>
        <v>58203</v>
      </c>
      <c r="Z2744" s="153">
        <v>2.9544729591258718E-2</v>
      </c>
      <c r="AA2744" s="155">
        <v>2.9358991201515749E-2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58208</v>
      </c>
      <c r="Y2745" s="152">
        <f>_xll.qlInterestRateIndexValueDate(IborIndex,X2745,Trigger)</f>
        <v>58210</v>
      </c>
      <c r="Z2745" s="153">
        <v>2.9541862364865203E-2</v>
      </c>
      <c r="AA2745" s="155">
        <v>2.9356036101830796E-2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58215</v>
      </c>
      <c r="Y2746" s="152">
        <f>_xll.qlInterestRateIndexValueDate(IborIndex,X2746,Trigger)</f>
        <v>58217</v>
      </c>
      <c r="Z2746" s="153">
        <v>2.9539005641480473E-2</v>
      </c>
      <c r="AA2746" s="155">
        <v>2.9352671508506845E-2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58222</v>
      </c>
      <c r="Y2747" s="152">
        <f>_xll.qlInterestRateIndexValueDate(IborIndex,X2747,Trigger)</f>
        <v>58224</v>
      </c>
      <c r="Z2747" s="153">
        <v>2.9533142120965836E-2</v>
      </c>
      <c r="AA2747" s="155">
        <v>2.935015692788312E-2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58229</v>
      </c>
      <c r="Y2748" s="152">
        <f>_xll.qlInterestRateIndexValueDate(IborIndex,X2748,Trigger)</f>
        <v>58231</v>
      </c>
      <c r="Z2748" s="153">
        <v>2.9530304845999607E-2</v>
      </c>
      <c r="AA2748" s="155">
        <v>2.934723285378027E-2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58236</v>
      </c>
      <c r="Y2749" s="152">
        <f>_xll.qlInterestRateIndexValueDate(IborIndex,X2749,Trigger)</f>
        <v>58238</v>
      </c>
      <c r="Z2749" s="153">
        <v>2.9527478071284103E-2</v>
      </c>
      <c r="AA2749" s="155">
        <v>2.934431912148483E-2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58243</v>
      </c>
      <c r="Y2750" s="152">
        <f>_xll.qlInterestRateIndexValueDate(IborIndex,X2750,Trigger)</f>
        <v>58245</v>
      </c>
      <c r="Z2750" s="153">
        <v>2.9524661796774768E-2</v>
      </c>
      <c r="AA2750" s="155">
        <v>2.9341415731076737E-2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58250</v>
      </c>
      <c r="Y2751" s="152">
        <f>_xll.qlInterestRateIndexValueDate(IborIndex,X2751,Trigger)</f>
        <v>58252</v>
      </c>
      <c r="Z2751" s="153">
        <v>2.9524879568104925E-2</v>
      </c>
      <c r="AA2751" s="155">
        <v>2.9338522682715862E-2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58257</v>
      </c>
      <c r="Y2752" s="152">
        <f>_xll.qlInterestRateIndexValueDate(IborIndex,X2752,Trigger)</f>
        <v>58259</v>
      </c>
      <c r="Z2752" s="153">
        <v>2.952208586182313E-2</v>
      </c>
      <c r="AA2752" s="155">
        <v>2.9335639976002525E-2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58264</v>
      </c>
      <c r="Y2753" s="152">
        <f>_xll.qlInterestRateIndexValueDate(IborIndex,X2753,Trigger)</f>
        <v>58266</v>
      </c>
      <c r="Z2753" s="153">
        <v>2.9519302658232955E-2</v>
      </c>
      <c r="AA2753" s="155">
        <v>2.9332767611176536E-2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58271</v>
      </c>
      <c r="Y2754" s="152">
        <f>_xll.qlInterestRateIndexValueDate(IborIndex,X2754,Trigger)</f>
        <v>58273</v>
      </c>
      <c r="Z2754" s="153">
        <v>2.9517539586793269E-2</v>
      </c>
      <c r="AA2754" s="155">
        <v>2.9329905588317828E-2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58278</v>
      </c>
      <c r="Y2755" s="152">
        <f>_xll.qlInterestRateIndexValueDate(IborIndex,X2755,Trigger)</f>
        <v>58280</v>
      </c>
      <c r="Z2755" s="153">
        <v>2.9513767758951259E-2</v>
      </c>
      <c r="AA2755" s="155">
        <v>2.9327053907346468E-2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58285</v>
      </c>
      <c r="Y2756" s="152">
        <f>_xll.qlInterestRateIndexValueDate(IborIndex,X2756,Trigger)</f>
        <v>58287</v>
      </c>
      <c r="Z2756" s="153">
        <v>2.9507984651587753E-2</v>
      </c>
      <c r="AA2756" s="155">
        <v>2.9324212568102581E-2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58292</v>
      </c>
      <c r="Y2757" s="152">
        <f>_xll.qlInterestRateIndexValueDate(IborIndex,X2757,Trigger)</f>
        <v>58294</v>
      </c>
      <c r="Z2757" s="153">
        <v>2.9508274869907002E-2</v>
      </c>
      <c r="AA2757" s="155">
        <v>2.9321381570825977E-2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58299</v>
      </c>
      <c r="Y2758" s="152">
        <f>_xll.qlInterestRateIndexValueDate(IborIndex,X2758,Trigger)</f>
        <v>58301</v>
      </c>
      <c r="Z2758" s="153">
        <v>2.9506555915766026E-2</v>
      </c>
      <c r="AA2758" s="155">
        <v>2.931856091543672E-2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58306</v>
      </c>
      <c r="Y2759" s="152">
        <f>_xll.qlInterestRateIndexValueDate(IborIndex,X2759,Trigger)</f>
        <v>58308</v>
      </c>
      <c r="Z2759" s="153">
        <v>2.9502823990747776E-2</v>
      </c>
      <c r="AA2759" s="155">
        <v>2.9315349972725002E-2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58313</v>
      </c>
      <c r="Y2760" s="152">
        <f>_xll.qlInterestRateIndexValueDate(IborIndex,X2760,Trigger)</f>
        <v>58315</v>
      </c>
      <c r="Z2760" s="153">
        <v>2.9497076553369844E-2</v>
      </c>
      <c r="AA2760" s="155">
        <v>2.9312950630080437E-2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58320</v>
      </c>
      <c r="Y2761" s="152">
        <f>_xll.qlInterestRateIndexValueDate(IborIndex,X2761,Trigger)</f>
        <v>58322</v>
      </c>
      <c r="Z2761" s="153">
        <v>2.9493362875759037E-2</v>
      </c>
      <c r="AA2761" s="155">
        <v>2.9310161000273283E-2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58327</v>
      </c>
      <c r="Y2762" s="152">
        <f>_xll.qlInterestRateIndexValueDate(IborIndex,X2762,Trigger)</f>
        <v>58329</v>
      </c>
      <c r="Z2762" s="153">
        <v>2.9490672069161276E-2</v>
      </c>
      <c r="AA2762" s="155">
        <v>2.9307381712433411E-2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58334</v>
      </c>
      <c r="Y2763" s="152">
        <f>_xll.qlInterestRateIndexValueDate(IborIndex,X2763,Trigger)</f>
        <v>58336</v>
      </c>
      <c r="Z2763" s="153">
        <v>2.9487991761335482E-2</v>
      </c>
      <c r="AA2763" s="155">
        <v>2.9304612766241078E-2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58341</v>
      </c>
      <c r="Y2764" s="152">
        <f>_xll.qlInterestRateIndexValueDate(IborIndex,X2764,Trigger)</f>
        <v>58343</v>
      </c>
      <c r="Z2764" s="153">
        <v>2.9485321952239484E-2</v>
      </c>
      <c r="AA2764" s="155">
        <v>2.9301854161936092E-2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58348</v>
      </c>
      <c r="Y2765" s="152">
        <f>_xll.qlInterestRateIndexValueDate(IborIndex,X2765,Trigger)</f>
        <v>58350</v>
      </c>
      <c r="Z2765" s="153">
        <v>2.9483677674146658E-2</v>
      </c>
      <c r="AA2765" s="155">
        <v>2.9299105899678324E-2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58355</v>
      </c>
      <c r="Y2766" s="152">
        <f>_xll.qlInterestRateIndexValueDate(IborIndex,X2766,Trigger)</f>
        <v>58357</v>
      </c>
      <c r="Z2766" s="153">
        <v>2.948102939701901E-2</v>
      </c>
      <c r="AA2766" s="155">
        <v>2.929636797914803E-2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58362</v>
      </c>
      <c r="Y2767" s="152">
        <f>_xll.qlInterestRateIndexValueDate(IborIndex,X2767,Trigger)</f>
        <v>58364</v>
      </c>
      <c r="Z2767" s="153">
        <v>2.9482457094706264E-2</v>
      </c>
      <c r="AA2767" s="155">
        <v>2.9293640400425147E-2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58369</v>
      </c>
      <c r="Y2768" s="152">
        <f>_xll.qlInterestRateIndexValueDate(IborIndex,X2768,Trigger)</f>
        <v>58371</v>
      </c>
      <c r="Z2768" s="153">
        <v>2.9475764341144014E-2</v>
      </c>
      <c r="AA2768" s="155">
        <v>2.9290923163749483E-2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58376</v>
      </c>
      <c r="Y2769" s="152">
        <f>_xll.qlInterestRateIndexValueDate(IborIndex,X2769,Trigger)</f>
        <v>58378</v>
      </c>
      <c r="Z2769" s="153">
        <v>2.9473147562313669E-2</v>
      </c>
      <c r="AA2769" s="155">
        <v>2.9288216268961165E-2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58383</v>
      </c>
      <c r="Y2770" s="152">
        <f>_xll.qlInterestRateIndexValueDate(IborIndex,X2770,Trigger)</f>
        <v>58385</v>
      </c>
      <c r="Z2770" s="153">
        <v>2.9469523568657039E-2</v>
      </c>
      <c r="AA2770" s="155">
        <v>2.9285519715900321E-2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58390</v>
      </c>
      <c r="Y2771" s="152">
        <f>_xll.qlInterestRateIndexValueDate(IborIndex,X2771,Trigger)</f>
        <v>58392</v>
      </c>
      <c r="Z2771" s="153">
        <v>2.94669272495066E-2</v>
      </c>
      <c r="AA2771" s="155">
        <v>2.9282833504566952E-2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58397</v>
      </c>
      <c r="Y2772" s="152">
        <f>_xll.qlInterestRateIndexValueDate(IborIndex,X2772,Trigger)</f>
        <v>58399</v>
      </c>
      <c r="Z2772" s="153">
        <v>2.9464341428755671E-2</v>
      </c>
      <c r="AA2772" s="155">
        <v>2.9280157635360737E-2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58404</v>
      </c>
      <c r="Y2773" s="152">
        <f>_xll.qlInterestRateIndexValueDate(IborIndex,X2773,Trigger)</f>
        <v>58407</v>
      </c>
      <c r="Z2773" s="153">
        <v>2.9461399060171287E-2</v>
      </c>
      <c r="AA2773" s="155">
        <v>2.9277112162446883E-2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58411</v>
      </c>
      <c r="Y2774" s="152">
        <f>_xll.qlInterestRateIndexValueDate(IborIndex,X2774,Trigger)</f>
        <v>58413</v>
      </c>
      <c r="Z2774" s="153">
        <v>2.9460221157592847E-2</v>
      </c>
      <c r="AA2774" s="155">
        <v>2.927483692237054E-2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58418</v>
      </c>
      <c r="Y2775" s="152">
        <f>_xll.qlInterestRateIndexValueDate(IborIndex,X2775,Trigger)</f>
        <v>58420</v>
      </c>
      <c r="Z2775" s="153">
        <v>2.9457667374248927E-2</v>
      </c>
      <c r="AA2775" s="155">
        <v>2.9272192078586556E-2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58425</v>
      </c>
      <c r="Y2776" s="152">
        <f>_xll.qlInterestRateIndexValueDate(IborIndex,X2776,Trigger)</f>
        <v>58427</v>
      </c>
      <c r="Z2776" s="153">
        <v>2.9455124090010415E-2</v>
      </c>
      <c r="AA2776" s="155">
        <v>2.9269557576849792E-2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58432</v>
      </c>
      <c r="Y2777" s="152">
        <f>_xll.qlInterestRateIndexValueDate(IborIndex,X2777,Trigger)</f>
        <v>58438</v>
      </c>
      <c r="Z2777" s="153">
        <v>2.9451148712876487E-2</v>
      </c>
      <c r="AA2777" s="155">
        <v>2.9267188330930338E-2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58439</v>
      </c>
      <c r="Y2778" s="152">
        <f>_xll.qlInterestRateIndexValueDate(IborIndex,X2778,Trigger)</f>
        <v>58442</v>
      </c>
      <c r="Z2778" s="153">
        <v>2.944868742090833E-2</v>
      </c>
      <c r="AA2778" s="155">
        <v>2.9263947040334415E-2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58446</v>
      </c>
      <c r="Y2779" s="152">
        <f>_xll.qlInterestRateIndexValueDate(IborIndex,X2779,Trigger)</f>
        <v>58448</v>
      </c>
      <c r="Z2779" s="153">
        <v>2.9446534635293942E-2</v>
      </c>
      <c r="AA2779" s="155">
        <v>2.9261716122324088E-2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58453</v>
      </c>
      <c r="Y2780" s="152">
        <f>_xll.qlInterestRateIndexValueDate(IborIndex,X2780,Trigger)</f>
        <v>58455</v>
      </c>
      <c r="Z2780" s="153">
        <v>2.94440328002906E-2</v>
      </c>
      <c r="AA2780" s="155">
        <v>2.9259122987896902E-2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58460</v>
      </c>
      <c r="Y2781" s="152">
        <f>_xll.qlInterestRateIndexValueDate(IborIndex,X2781,Trigger)</f>
        <v>58462</v>
      </c>
      <c r="Z2781" s="153">
        <v>2.9441541463328818E-2</v>
      </c>
      <c r="AA2781" s="155">
        <v>2.9256540195436997E-2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58467</v>
      </c>
      <c r="Y2782" s="152">
        <f>_xll.qlInterestRateIndexValueDate(IborIndex,X2782,Trigger)</f>
        <v>58469</v>
      </c>
      <c r="Z2782" s="153">
        <v>2.9439060624367304E-2</v>
      </c>
      <c r="AA2782" s="155">
        <v>2.9253967744704568E-2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58474</v>
      </c>
      <c r="Y2783" s="152">
        <f>_xll.qlInterestRateIndexValueDate(IborIndex,X2783,Trigger)</f>
        <v>58476</v>
      </c>
      <c r="Z2783" s="153">
        <v>2.943659028336873E-2</v>
      </c>
      <c r="AA2783" s="155">
        <v>2.9251405636019356E-2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58481</v>
      </c>
      <c r="Y2784" s="152">
        <f>_xll.qlInterestRateIndexValueDate(IborIndex,X2784,Trigger)</f>
        <v>58483</v>
      </c>
      <c r="Z2784" s="153">
        <v>2.9434130440293565E-2</v>
      </c>
      <c r="AA2784" s="155">
        <v>2.9248853868981683E-2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58488</v>
      </c>
      <c r="Y2785" s="152">
        <f>_xll.qlInterestRateIndexValueDate(IborIndex,X2785,Trigger)</f>
        <v>58490</v>
      </c>
      <c r="Z2785" s="153">
        <v>2.9431681095103596E-2</v>
      </c>
      <c r="AA2785" s="155">
        <v>2.9246312443911293E-2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58495</v>
      </c>
      <c r="Y2786" s="152">
        <f>_xll.qlInterestRateIndexValueDate(IborIndex,X2786,Trigger)</f>
        <v>58497</v>
      </c>
      <c r="Z2786" s="153">
        <v>2.9429242247760178E-2</v>
      </c>
      <c r="AA2786" s="155">
        <v>2.9243781360568377E-2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58502</v>
      </c>
      <c r="Y2787" s="152">
        <f>_xll.qlInterestRateIndexValueDate(IborIndex,X2787,Trigger)</f>
        <v>58504</v>
      </c>
      <c r="Z2787" s="153">
        <v>2.9431949959205603E-2</v>
      </c>
      <c r="AA2787" s="155">
        <v>2.9241260619352616E-2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58509</v>
      </c>
      <c r="Y2788" s="152">
        <f>_xll.qlInterestRateIndexValueDate(IborIndex,X2788,Trigger)</f>
        <v>58511</v>
      </c>
      <c r="Z2788" s="153">
        <v>2.9428506893313503E-2</v>
      </c>
      <c r="AA2788" s="155">
        <v>2.9238750219864329E-2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58516</v>
      </c>
      <c r="Y2789" s="152">
        <f>_xll.qlInterestRateIndexValueDate(IborIndex,X2789,Trigger)</f>
        <v>58518</v>
      </c>
      <c r="Z2789" s="153">
        <v>2.942610175824777E-2</v>
      </c>
      <c r="AA2789" s="155">
        <v>2.9236250162103516E-2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58523</v>
      </c>
      <c r="Y2790" s="152">
        <f>_xll.qlInterestRateIndexValueDate(IborIndex,X2790,Trigger)</f>
        <v>58525</v>
      </c>
      <c r="Z2790" s="153">
        <v>2.9423707124335532E-2</v>
      </c>
      <c r="AA2790" s="155">
        <v>2.9233760446389923E-2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58530</v>
      </c>
      <c r="Y2791" s="152">
        <f>_xll.qlInterestRateIndexValueDate(IborIndex,X2791,Trigger)</f>
        <v>58532</v>
      </c>
      <c r="Z2791" s="153">
        <v>2.9418234692250991E-2</v>
      </c>
      <c r="AA2791" s="155">
        <v>2.9231281072403803E-2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58537</v>
      </c>
      <c r="Y2792" s="152">
        <f>_xll.qlInterestRateIndexValueDate(IborIndex,X2792,Trigger)</f>
        <v>58539</v>
      </c>
      <c r="Z2792" s="153">
        <v>2.9415859388362546E-2</v>
      </c>
      <c r="AA2792" s="155">
        <v>2.9228812040464902E-2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58544</v>
      </c>
      <c r="Y2793" s="152">
        <f>_xll.qlInterestRateIndexValueDate(IborIndex,X2793,Trigger)</f>
        <v>58546</v>
      </c>
      <c r="Z2793" s="153">
        <v>2.9413494582920367E-2</v>
      </c>
      <c r="AA2793" s="155">
        <v>2.9225652766822208E-2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58551</v>
      </c>
      <c r="Y2794" s="152">
        <f>_xll.qlInterestRateIndexValueDate(IborIndex,X2794,Trigger)</f>
        <v>58553</v>
      </c>
      <c r="Z2794" s="153">
        <v>2.9411140275887326E-2</v>
      </c>
      <c r="AA2794" s="155">
        <v>2.9223905001849459E-2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58558</v>
      </c>
      <c r="Y2795" s="152">
        <f>_xll.qlInterestRateIndexValueDate(IborIndex,X2795,Trigger)</f>
        <v>58560</v>
      </c>
      <c r="Z2795" s="153">
        <v>2.9408796467227168E-2</v>
      </c>
      <c r="AA2795" s="155">
        <v>2.9221119552937935E-2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58565</v>
      </c>
      <c r="Y2796" s="152">
        <f>_xll.qlInterestRateIndexValueDate(IborIndex,X2796,Trigger)</f>
        <v>58567</v>
      </c>
      <c r="Z2796" s="153">
        <v>2.9409559842959038E-2</v>
      </c>
      <c r="AA2796" s="155">
        <v>2.9219039330703467E-2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58572</v>
      </c>
      <c r="Y2797" s="152">
        <f>_xll.qlInterestRateIndexValueDate(IborIndex,X2797,Trigger)</f>
        <v>58574</v>
      </c>
      <c r="Z2797" s="153">
        <v>2.9407238716058461E-2</v>
      </c>
      <c r="AA2797" s="155">
        <v>2.921662200796149E-2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58579</v>
      </c>
      <c r="Y2798" s="152">
        <f>_xll.qlInterestRateIndexValueDate(IborIndex,X2798,Trigger)</f>
        <v>58581</v>
      </c>
      <c r="Z2798" s="153">
        <v>2.9404928090010118E-2</v>
      </c>
      <c r="AA2798" s="155">
        <v>2.921421502710686E-2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58586</v>
      </c>
      <c r="Y2799" s="152">
        <f>_xll.qlInterestRateIndexValueDate(IborIndex,X2799,Trigger)</f>
        <v>58588</v>
      </c>
      <c r="Z2799" s="153">
        <v>2.9402627964776183E-2</v>
      </c>
      <c r="AA2799" s="155">
        <v>2.9211476855257601E-2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58593</v>
      </c>
      <c r="Y2800" s="152">
        <f>_xll.qlInterestRateIndexValueDate(IborIndex,X2800,Trigger)</f>
        <v>58595</v>
      </c>
      <c r="Z2800" s="153">
        <v>2.9397234898214837E-2</v>
      </c>
      <c r="AA2800" s="155">
        <v>2.9209432090739895E-2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58600</v>
      </c>
      <c r="Y2801" s="152">
        <f>_xll.qlInterestRateIndexValueDate(IborIndex,X2801,Trigger)</f>
        <v>58602</v>
      </c>
      <c r="Z2801" s="153">
        <v>2.9394954079014882E-2</v>
      </c>
      <c r="AA2801" s="155">
        <v>2.9207056135547305E-2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58607</v>
      </c>
      <c r="Y2802" s="152">
        <f>_xll.qlInterestRateIndexValueDate(IborIndex,X2802,Trigger)</f>
        <v>58609</v>
      </c>
      <c r="Z2802" s="153">
        <v>2.9392683757932275E-2</v>
      </c>
      <c r="AA2802" s="155">
        <v>2.9204690522002252E-2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58614</v>
      </c>
      <c r="Y2803" s="152">
        <f>_xll.qlInterestRateIndexValueDate(IborIndex,X2803,Trigger)</f>
        <v>58616</v>
      </c>
      <c r="Z2803" s="153">
        <v>2.939560538110142E-2</v>
      </c>
      <c r="AA2803" s="155">
        <v>2.9202335250264611E-2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58621</v>
      </c>
      <c r="Y2804" s="152">
        <f>_xll.qlInterestRateIndexValueDate(IborIndex,X2804,Trigger)</f>
        <v>58623</v>
      </c>
      <c r="Z2804" s="153">
        <v>2.9392321817185985E-2</v>
      </c>
      <c r="AA2804" s="155">
        <v>2.9199990320574187E-2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58628</v>
      </c>
      <c r="Y2805" s="152">
        <f>_xll.qlInterestRateIndexValueDate(IborIndex,X2805,Trigger)</f>
        <v>58630</v>
      </c>
      <c r="Z2805" s="153">
        <v>2.938904772842095E-2</v>
      </c>
      <c r="AA2805" s="155">
        <v>2.9197655732691175E-2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58635</v>
      </c>
      <c r="Y2806" s="152">
        <f>_xll.qlInterestRateIndexValueDate(IborIndex,X2806,Trigger)</f>
        <v>58637</v>
      </c>
      <c r="Z2806" s="153">
        <v>2.9387859214030955E-2</v>
      </c>
      <c r="AA2806" s="155">
        <v>2.9195331486615572E-2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58642</v>
      </c>
      <c r="Y2807" s="152">
        <f>_xll.qlInterestRateIndexValueDate(IborIndex,X2807,Trigger)</f>
        <v>58644</v>
      </c>
      <c r="Z2807" s="153">
        <v>2.9384604987833487E-2</v>
      </c>
      <c r="AA2807" s="155">
        <v>2.9193017582427316E-2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58649</v>
      </c>
      <c r="Y2808" s="152">
        <f>_xll.qlInterestRateIndexValueDate(IborIndex,X2808,Trigger)</f>
        <v>58651</v>
      </c>
      <c r="Z2808" s="153">
        <v>2.9382399368290568E-2</v>
      </c>
      <c r="AA2808" s="155">
        <v>2.9190714020206343E-2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58656</v>
      </c>
      <c r="Y2809" s="152">
        <f>_xll.qlInterestRateIndexValueDate(IborIndex,X2809,Trigger)</f>
        <v>58658</v>
      </c>
      <c r="Z2809" s="153">
        <v>2.9380204249199769E-2</v>
      </c>
      <c r="AA2809" s="155">
        <v>2.9188420799712844E-2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58663</v>
      </c>
      <c r="Y2810" s="152">
        <f>_xll.qlInterestRateIndexValueDate(IborIndex,X2810,Trigger)</f>
        <v>58665</v>
      </c>
      <c r="Z2810" s="153">
        <v>2.937801963052929E-2</v>
      </c>
      <c r="AA2810" s="155">
        <v>2.9186137921106692E-2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58670</v>
      </c>
      <c r="Y2811" s="152">
        <f>_xll.qlInterestRateIndexValueDate(IborIndex,X2811,Trigger)</f>
        <v>58672</v>
      </c>
      <c r="Z2811" s="153">
        <v>2.9376886479774773E-2</v>
      </c>
      <c r="AA2811" s="155">
        <v>2.9183865384228014E-2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58677</v>
      </c>
      <c r="Y2812" s="152">
        <f>_xll.qlInterestRateIndexValueDate(IborIndex,X2812,Trigger)</f>
        <v>58679</v>
      </c>
      <c r="Z2812" s="153">
        <v>2.9373681894299727E-2</v>
      </c>
      <c r="AA2812" s="155">
        <v>2.9181280862831116E-2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58684</v>
      </c>
      <c r="Y2813" s="152">
        <f>_xll.qlInterestRateIndexValueDate(IborIndex,X2813,Trigger)</f>
        <v>58686</v>
      </c>
      <c r="Z2813" s="153">
        <v>2.9366319859082526E-2</v>
      </c>
      <c r="AA2813" s="155">
        <v>2.9179351336452442E-2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58691</v>
      </c>
      <c r="Y2814" s="152">
        <f>_xll.qlInterestRateIndexValueDate(IborIndex,X2814,Trigger)</f>
        <v>58693</v>
      </c>
      <c r="Z2814" s="153">
        <v>2.9364174360479438E-2</v>
      </c>
      <c r="AA2814" s="155">
        <v>2.9177109825075931E-2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58698</v>
      </c>
      <c r="Y2815" s="152">
        <f>_xll.qlInterestRateIndexValueDate(IborIndex,X2815,Trigger)</f>
        <v>58700</v>
      </c>
      <c r="Z2815" s="153">
        <v>2.9362039357819909E-2</v>
      </c>
      <c r="AA2815" s="155">
        <v>2.9174878655746639E-2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58705</v>
      </c>
      <c r="Y2816" s="152">
        <f>_xll.qlInterestRateIndexValueDate(IborIndex,X2816,Trigger)</f>
        <v>58707</v>
      </c>
      <c r="Z2816" s="153">
        <v>2.9359914851070822E-2</v>
      </c>
      <c r="AA2816" s="155">
        <v>2.9172657828384629E-2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58712</v>
      </c>
      <c r="Y2817" s="152">
        <f>_xll.qlInterestRateIndexValueDate(IborIndex,X2817,Trigger)</f>
        <v>58714</v>
      </c>
      <c r="Z2817" s="153">
        <v>2.9358844710011548E-2</v>
      </c>
      <c r="AA2817" s="155">
        <v>2.9170447342750094E-2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58719</v>
      </c>
      <c r="Y2818" s="152">
        <f>_xll.qlInterestRateIndexValueDate(IborIndex,X2818,Trigger)</f>
        <v>58721</v>
      </c>
      <c r="Z2818" s="153">
        <v>2.9356741774457504E-2</v>
      </c>
      <c r="AA2818" s="155">
        <v>2.9168247198843034E-2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58726</v>
      </c>
      <c r="Y2819" s="152">
        <f>_xll.qlInterestRateIndexValueDate(IborIndex,X2819,Trigger)</f>
        <v>58728</v>
      </c>
      <c r="Z2819" s="153">
        <v>2.9354649335574242E-2</v>
      </c>
      <c r="AA2819" s="155">
        <v>2.9166057397063128E-2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58733</v>
      </c>
      <c r="Y2820" s="152">
        <f>_xll.qlInterestRateIndexValueDate(IborIndex,X2820,Trigger)</f>
        <v>58735</v>
      </c>
      <c r="Z2820" s="153">
        <v>2.9352567393329268E-2</v>
      </c>
      <c r="AA2820" s="155">
        <v>2.9163877936850824E-2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58740</v>
      </c>
      <c r="Y2821" s="152">
        <f>_xll.qlInterestRateIndexValueDate(IborIndex,X2821,Trigger)</f>
        <v>58742</v>
      </c>
      <c r="Z2821" s="153">
        <v>2.9350495947690073E-2</v>
      </c>
      <c r="AA2821" s="155">
        <v>2.9161708818845611E-2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58747</v>
      </c>
      <c r="Y2822" s="152">
        <f>_xll.qlInterestRateIndexValueDate(IborIndex,X2822,Trigger)</f>
        <v>58749</v>
      </c>
      <c r="Z2822" s="153">
        <v>2.9347388222858314E-2</v>
      </c>
      <c r="AA2822" s="155">
        <v>2.9159550042248128E-2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58754</v>
      </c>
      <c r="Y2823" s="152">
        <f>_xll.qlInterestRateIndexValueDate(IborIndex,X2823,Trigger)</f>
        <v>58757</v>
      </c>
      <c r="Z2823" s="153">
        <v>2.934504503816894E-2</v>
      </c>
      <c r="AA2823" s="155">
        <v>2.9157095532772459E-2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58761</v>
      </c>
      <c r="Y2824" s="152">
        <f>_xll.qlInterestRateIndexValueDate(IborIndex,X2824,Trigger)</f>
        <v>58763</v>
      </c>
      <c r="Z2824" s="153">
        <v>2.934329664592249E-2</v>
      </c>
      <c r="AA2824" s="155">
        <v>2.9155263515194818E-2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58768</v>
      </c>
      <c r="Y2825" s="152">
        <f>_xll.qlInterestRateIndexValueDate(IborIndex,X2825,Trigger)</f>
        <v>58771</v>
      </c>
      <c r="Z2825" s="153">
        <v>2.9340977451249278E-2</v>
      </c>
      <c r="AA2825" s="155">
        <v>2.9152832644250282E-2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58775</v>
      </c>
      <c r="Y2826" s="152">
        <f>_xll.qlInterestRateIndexValueDate(IborIndex,X2826,Trigger)</f>
        <v>58777</v>
      </c>
      <c r="Z2826" s="153">
        <v>2.9340296167447242E-2</v>
      </c>
      <c r="AA2826" s="155">
        <v>2.9151018355451086E-2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58782</v>
      </c>
      <c r="Y2827" s="152">
        <f>_xll.qlInterestRateIndexValueDate(IborIndex,X2827,Trigger)</f>
        <v>58784</v>
      </c>
      <c r="Z2827" s="153">
        <v>2.9338287700765041E-2</v>
      </c>
      <c r="AA2827" s="155">
        <v>2.9148911288370272E-2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58789</v>
      </c>
      <c r="Y2828" s="152">
        <f>_xll.qlInterestRateIndexValueDate(IborIndex,X2828,Trigger)</f>
        <v>58791</v>
      </c>
      <c r="Z2828" s="153">
        <v>2.9336289730464628E-2</v>
      </c>
      <c r="AA2828" s="155">
        <v>2.9146814563176804E-2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58796</v>
      </c>
      <c r="Y2829" s="152">
        <f>_xll.qlInterestRateIndexValueDate(IborIndex,X2829,Trigger)</f>
        <v>58798</v>
      </c>
      <c r="Z2829" s="153">
        <v>2.9334302256514816E-2</v>
      </c>
      <c r="AA2829" s="155">
        <v>2.9144133969749575E-2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58804</v>
      </c>
      <c r="Y2830" s="152">
        <f>_xll.qlInterestRateIndexValueDate(IborIndex,X2830,Trigger)</f>
        <v>58810</v>
      </c>
      <c r="Z2830" s="153">
        <v>2.9330919578305189E-2</v>
      </c>
      <c r="AA2830" s="155">
        <v>2.914176557203163E-2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58811</v>
      </c>
      <c r="Y2831" s="152">
        <f>_xll.qlInterestRateIndexValueDate(IborIndex,X2831,Trigger)</f>
        <v>58813</v>
      </c>
      <c r="Z2831" s="153">
        <v>2.932902658346042E-2</v>
      </c>
      <c r="AA2831" s="155">
        <v>2.9140292182781025E-2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58818</v>
      </c>
      <c r="Y2832" s="152">
        <f>_xll.qlInterestRateIndexValueDate(IborIndex,X2832,Trigger)</f>
        <v>58820</v>
      </c>
      <c r="Z2832" s="153">
        <v>2.9327071506226612E-2</v>
      </c>
      <c r="AA2832" s="155">
        <v>2.913823830235529E-2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58825</v>
      </c>
      <c r="Y2833" s="152">
        <f>_xll.qlInterestRateIndexValueDate(IborIndex,X2833,Trigger)</f>
        <v>58827</v>
      </c>
      <c r="Z2833" s="153">
        <v>2.9325126924358708E-2</v>
      </c>
      <c r="AA2833" s="155">
        <v>2.9136194763816903E-2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58832</v>
      </c>
      <c r="Y2834" s="152">
        <f>_xll.qlInterestRateIndexValueDate(IborIndex,X2834,Trigger)</f>
        <v>58834</v>
      </c>
      <c r="Z2834" s="153">
        <v>2.9323192837825345E-2</v>
      </c>
      <c r="AA2834" s="155">
        <v>2.9134161567085926E-2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58839</v>
      </c>
      <c r="Y2835" s="152">
        <f>_xll.qlInterestRateIndexValueDate(IborIndex,X2835,Trigger)</f>
        <v>58841</v>
      </c>
      <c r="Z2835" s="153">
        <v>2.9321269246596501E-2</v>
      </c>
      <c r="AA2835" s="155">
        <v>2.9132138712322231E-2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58846</v>
      </c>
      <c r="Y2836" s="152">
        <f>_xll.qlInterestRateIndexValueDate(IborIndex,X2836,Trigger)</f>
        <v>58848</v>
      </c>
      <c r="Z2836" s="153">
        <v>2.9319356150642142E-2</v>
      </c>
      <c r="AA2836" s="155">
        <v>2.9130126199206074E-2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58853</v>
      </c>
      <c r="Y2837" s="152">
        <f>_xll.qlInterestRateIndexValueDate(IborIndex,X2837,Trigger)</f>
        <v>58855</v>
      </c>
      <c r="Z2837" s="153">
        <v>2.9317453549933557E-2</v>
      </c>
      <c r="AA2837" s="155">
        <v>2.9128124028057201E-2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58860</v>
      </c>
      <c r="Y2838" s="152">
        <f>_xll.qlInterestRateIndexValueDate(IborIndex,X2838,Trigger)</f>
        <v>58862</v>
      </c>
      <c r="Z2838" s="153">
        <v>2.9315561444439395E-2</v>
      </c>
      <c r="AA2838" s="155">
        <v>2.9126132198715737E-2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58867</v>
      </c>
      <c r="Y2839" s="152">
        <f>_xll.qlInterestRateIndexValueDate(IborIndex,X2839,Trigger)</f>
        <v>58869</v>
      </c>
      <c r="Z2839" s="153">
        <v>2.9318965487192598E-2</v>
      </c>
      <c r="AA2839" s="155">
        <v>2.9124150711341557E-2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58874</v>
      </c>
      <c r="Y2840" s="152">
        <f>_xll.qlInterestRateIndexValueDate(IborIndex,X2840,Trigger)</f>
        <v>58876</v>
      </c>
      <c r="Z2840" s="153">
        <v>2.931603940717702E-2</v>
      </c>
      <c r="AA2840" s="155">
        <v>2.9122179565774786E-2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58881</v>
      </c>
      <c r="Y2841" s="152">
        <f>_xll.qlInterestRateIndexValueDate(IborIndex,X2841,Trigger)</f>
        <v>58883</v>
      </c>
      <c r="Z2841" s="153">
        <v>2.931418118508709E-2</v>
      </c>
      <c r="AA2841" s="155">
        <v>2.912021876193549E-2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58888</v>
      </c>
      <c r="Y2842" s="152">
        <f>_xll.qlInterestRateIndexValueDate(IborIndex,X2842,Trigger)</f>
        <v>58890</v>
      </c>
      <c r="Z2842" s="153">
        <v>2.9312333461517699E-2</v>
      </c>
      <c r="AA2842" s="155">
        <v>2.9118268300063477E-2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58895</v>
      </c>
      <c r="Y2843" s="152">
        <f>_xll.qlInterestRateIndexValueDate(IborIndex,X2843,Trigger)</f>
        <v>58897</v>
      </c>
      <c r="Z2843" s="153">
        <v>2.9310496236440328E-2</v>
      </c>
      <c r="AA2843" s="155">
        <v>2.9116328179918938E-2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58902</v>
      </c>
      <c r="Y2844" s="152">
        <f>_xll.qlInterestRateIndexValueDate(IborIndex,X2844,Trigger)</f>
        <v>58908</v>
      </c>
      <c r="Z2844" s="153">
        <v>2.9305509310613372E-2</v>
      </c>
      <c r="AA2844" s="155">
        <v>2.911384893606872E-2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58909</v>
      </c>
      <c r="Y2845" s="152">
        <f>_xll.qlInterestRateIndexValueDate(IborIndex,X2845,Trigger)</f>
        <v>58911</v>
      </c>
      <c r="Z2845" s="153">
        <v>2.9306853281642398E-2</v>
      </c>
      <c r="AA2845" s="155">
        <v>2.9112478965291899E-2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58916</v>
      </c>
      <c r="Y2846" s="152">
        <f>_xll.qlInterestRateIndexValueDate(IborIndex,X2846,Trigger)</f>
        <v>58918</v>
      </c>
      <c r="Z2846" s="153">
        <v>2.9305047551864801E-2</v>
      </c>
      <c r="AA2846" s="155">
        <v>2.9110569870969272E-2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58923</v>
      </c>
      <c r="Y2847" s="152">
        <f>_xll.qlInterestRateIndexValueDate(IborIndex,X2847,Trigger)</f>
        <v>58925</v>
      </c>
      <c r="Z2847" s="153">
        <v>2.9303252320461267E-2</v>
      </c>
      <c r="AA2847" s="155">
        <v>2.9108400712116733E-2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58930</v>
      </c>
      <c r="Y2848" s="152">
        <f>_xll.qlInterestRateIndexValueDate(IborIndex,X2848,Trigger)</f>
        <v>58932</v>
      </c>
      <c r="Z2848" s="153">
        <v>2.9301467587405872E-2</v>
      </c>
      <c r="AA2848" s="155">
        <v>2.9106782707426504E-2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58937</v>
      </c>
      <c r="Y2849" s="152">
        <f>_xll.qlInterestRateIndexValueDate(IborIndex,X2849,Trigger)</f>
        <v>58939</v>
      </c>
      <c r="Z2849" s="153">
        <v>2.9299693352667498E-2</v>
      </c>
      <c r="AA2849" s="155">
        <v>2.9104904638446172E-2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58944</v>
      </c>
      <c r="Y2850" s="152">
        <f>_xll.qlInterestRateIndexValueDate(IborIndex,X2850,Trigger)</f>
        <v>58946</v>
      </c>
      <c r="Z2850" s="153">
        <v>2.9297929616219364E-2</v>
      </c>
      <c r="AA2850" s="155">
        <v>2.9103036911353186E-2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58951</v>
      </c>
      <c r="Y2851" s="152">
        <f>_xll.qlInterestRateIndexValueDate(IborIndex,X2851,Trigger)</f>
        <v>58953</v>
      </c>
      <c r="Z2851" s="153">
        <v>2.9296176378033383E-2</v>
      </c>
      <c r="AA2851" s="155">
        <v>2.9100915029642849E-2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58958</v>
      </c>
      <c r="Y2852" s="152">
        <f>_xll.qlInterestRateIndexValueDate(IborIndex,X2852,Trigger)</f>
        <v>58960</v>
      </c>
      <c r="Z2852" s="153">
        <v>2.9294433638081468E-2</v>
      </c>
      <c r="AA2852" s="155">
        <v>2.9099332482669382E-2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58965</v>
      </c>
      <c r="Y2853" s="152">
        <f>_xll.qlInterestRateIndexValueDate(IborIndex,X2853,Trigger)</f>
        <v>58967</v>
      </c>
      <c r="Z2853" s="153">
        <v>2.9292701396335098E-2</v>
      </c>
      <c r="AA2853" s="155">
        <v>2.90974957811585E-2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58972</v>
      </c>
      <c r="Y2854" s="152">
        <f>_xll.qlInterestRateIndexValueDate(IborIndex,X2854,Trigger)</f>
        <v>58974</v>
      </c>
      <c r="Z2854" s="153">
        <v>2.9290979652767921E-2</v>
      </c>
      <c r="AA2854" s="155">
        <v>2.9095669421534964E-2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58979</v>
      </c>
      <c r="Y2855" s="152">
        <f>_xll.qlInterestRateIndexValueDate(IborIndex,X2855,Trigger)</f>
        <v>58981</v>
      </c>
      <c r="Z2855" s="153">
        <v>2.9291402612463366E-2</v>
      </c>
      <c r="AA2855" s="155">
        <v>2.9093853403558967E-2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58986</v>
      </c>
      <c r="Y2856" s="152">
        <f>_xll.qlInterestRateIndexValueDate(IborIndex,X2856,Trigger)</f>
        <v>58988</v>
      </c>
      <c r="Z2856" s="153">
        <v>2.9288635317102296E-2</v>
      </c>
      <c r="AA2856" s="155">
        <v>2.9092047727470316E-2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58993</v>
      </c>
      <c r="Y2857" s="152">
        <f>_xll.qlInterestRateIndexValueDate(IborIndex,X2857,Trigger)</f>
        <v>58995</v>
      </c>
      <c r="Z2857" s="153">
        <v>2.9285877410862839E-2</v>
      </c>
      <c r="AA2857" s="155">
        <v>2.9090252393428884E-2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59000</v>
      </c>
      <c r="Y2858" s="152">
        <f>_xll.qlInterestRateIndexValueDate(IborIndex,X2858,Trigger)</f>
        <v>59002</v>
      </c>
      <c r="Z2858" s="153">
        <v>2.9285266544503353E-2</v>
      </c>
      <c r="AA2858" s="155">
        <v>2.9088467401114926E-2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59007</v>
      </c>
      <c r="Y2859" s="152">
        <f>_xll.qlInterestRateIndexValueDate(IborIndex,X2859,Trigger)</f>
        <v>59009</v>
      </c>
      <c r="Z2859" s="153">
        <v>2.9282528406652453E-2</v>
      </c>
      <c r="AA2859" s="155">
        <v>2.9086692750528442E-2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59014</v>
      </c>
      <c r="Y2860" s="152">
        <f>_xll.qlInterestRateIndexValueDate(IborIndex,X2860,Trigger)</f>
        <v>59016</v>
      </c>
      <c r="Z2860" s="153">
        <v>2.9281939767489485E-2</v>
      </c>
      <c r="AA2860" s="155">
        <v>2.9084928442069113E-2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59021</v>
      </c>
      <c r="Y2861" s="152">
        <f>_xll.qlInterestRateIndexValueDate(IborIndex,X2861,Trigger)</f>
        <v>59023</v>
      </c>
      <c r="Z2861" s="153">
        <v>2.9279221394507681E-2</v>
      </c>
      <c r="AA2861" s="155">
        <v>2.9083174475257323E-2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59028</v>
      </c>
      <c r="Y2862" s="152">
        <f>_xll.qlInterestRateIndexValueDate(IborIndex,X2862,Trigger)</f>
        <v>59030</v>
      </c>
      <c r="Z2862" s="153">
        <v>2.9277583635393623E-2</v>
      </c>
      <c r="AA2862" s="155">
        <v>2.9081430850332879E-2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59035</v>
      </c>
      <c r="Y2863" s="152">
        <f>_xll.qlInterestRateIndexValueDate(IborIndex,X2863,Trigger)</f>
        <v>59037</v>
      </c>
      <c r="Z2863" s="153">
        <v>2.9277028343226069E-2</v>
      </c>
      <c r="AA2863" s="155">
        <v>2.9079697567055973E-2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59042</v>
      </c>
      <c r="Y2864" s="152">
        <f>_xll.qlInterestRateIndexValueDate(IborIndex,X2864,Trigger)</f>
        <v>59044</v>
      </c>
      <c r="Z2864" s="153">
        <v>2.9274339610952549E-2</v>
      </c>
      <c r="AA2864" s="155">
        <v>2.9077729335638125E-2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59049</v>
      </c>
      <c r="Y2865" s="152">
        <f>_xll.qlInterestRateIndexValueDate(IborIndex,X2865,Trigger)</f>
        <v>59051</v>
      </c>
      <c r="Z2865" s="153">
        <v>2.9268441683487547E-2</v>
      </c>
      <c r="AA2865" s="155">
        <v>2.9076262026563882E-2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59056</v>
      </c>
      <c r="Y2866" s="152">
        <f>_xll.qlInterestRateIndexValueDate(IborIndex,X2866,Trigger)</f>
        <v>59058</v>
      </c>
      <c r="Z2866" s="153">
        <v>2.9266843432634779E-2</v>
      </c>
      <c r="AA2866" s="155">
        <v>2.9074559768949015E-2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59063</v>
      </c>
      <c r="Y2867" s="152">
        <f>_xll.qlInterestRateIndexValueDate(IborIndex,X2867,Trigger)</f>
        <v>59065</v>
      </c>
      <c r="Z2867" s="153">
        <v>2.926525567620767E-2</v>
      </c>
      <c r="AA2867" s="155">
        <v>2.9072867853301432E-2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59070</v>
      </c>
      <c r="Y2868" s="152">
        <f>_xll.qlInterestRateIndexValueDate(IborIndex,X2868,Trigger)</f>
        <v>59072</v>
      </c>
      <c r="Z2868" s="153">
        <v>2.9263678414180608E-2</v>
      </c>
      <c r="AA2868" s="155">
        <v>2.9071186279461259E-2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59077</v>
      </c>
      <c r="Y2869" s="152">
        <f>_xll.qlInterestRateIndexValueDate(IborIndex,X2869,Trigger)</f>
        <v>59079</v>
      </c>
      <c r="Z2869" s="153">
        <v>2.9263186873975545E-2</v>
      </c>
      <c r="AA2869" s="155">
        <v>2.9069515047508432E-2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59084</v>
      </c>
      <c r="Y2870" s="152">
        <f>_xll.qlInterestRateIndexValueDate(IborIndex,X2870,Trigger)</f>
        <v>59086</v>
      </c>
      <c r="Z2870" s="153">
        <v>2.9261631224751162E-2</v>
      </c>
      <c r="AA2870" s="155">
        <v>2.906785415728308E-2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59091</v>
      </c>
      <c r="Y2871" s="152">
        <f>_xll.qlInterestRateIndexValueDate(IborIndex,X2871,Trigger)</f>
        <v>59093</v>
      </c>
      <c r="Z2871" s="153">
        <v>2.9260086070706889E-2</v>
      </c>
      <c r="AA2871" s="155">
        <v>2.906620360902501E-2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59098</v>
      </c>
      <c r="Y2872" s="152">
        <f>_xll.qlInterestRateIndexValueDate(IborIndex,X2872,Trigger)</f>
        <v>59100</v>
      </c>
      <c r="Z2872" s="153">
        <v>2.9258551411817688E-2</v>
      </c>
      <c r="AA2872" s="155">
        <v>2.906456340257435E-2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59105</v>
      </c>
      <c r="Y2873" s="152">
        <f>_xll.qlInterestRateIndexValueDate(IborIndex,X2873,Trigger)</f>
        <v>59107</v>
      </c>
      <c r="Z2873" s="153">
        <v>2.9257027248058967E-2</v>
      </c>
      <c r="AA2873" s="155">
        <v>2.9062933537931102E-2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59112</v>
      </c>
      <c r="Y2874" s="152">
        <f>_xll.qlInterestRateIndexValueDate(IborIndex,X2874,Trigger)</f>
        <v>59114</v>
      </c>
      <c r="Z2874" s="153">
        <v>2.925443522307572E-2</v>
      </c>
      <c r="AA2874" s="155">
        <v>2.9061314015095263E-2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59119</v>
      </c>
      <c r="Y2875" s="152">
        <f>_xll.qlInterestRateIndexValueDate(IborIndex,X2875,Trigger)</f>
        <v>59124</v>
      </c>
      <c r="Z2875" s="153">
        <v>2.9253369401371448E-2</v>
      </c>
      <c r="AA2875" s="155">
        <v>2.9059475795438772E-2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59126</v>
      </c>
      <c r="Y2876" s="152">
        <f>_xll.qlInterestRateIndexValueDate(IborIndex,X2876,Trigger)</f>
        <v>59128</v>
      </c>
      <c r="Z2876" s="153">
        <v>2.9251438113485378E-2</v>
      </c>
      <c r="AA2876" s="155">
        <v>2.9058105995165562E-2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59133</v>
      </c>
      <c r="Y2877" s="152">
        <f>_xll.qlInterestRateIndexValueDate(IborIndex,X2877,Trigger)</f>
        <v>59135</v>
      </c>
      <c r="Z2877" s="153">
        <v>2.9249955299980687E-2</v>
      </c>
      <c r="AA2877" s="155">
        <v>2.9056517497831891E-2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59140</v>
      </c>
      <c r="Y2878" s="152">
        <f>_xll.qlInterestRateIndexValueDate(IborIndex,X2878,Trigger)</f>
        <v>59142</v>
      </c>
      <c r="Z2878" s="153">
        <v>2.9249563855401232E-2</v>
      </c>
      <c r="AA2878" s="155">
        <v>2.9054939342465502E-2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59147</v>
      </c>
      <c r="Y2879" s="152">
        <f>_xll.qlInterestRateIndexValueDate(IborIndex,X2879,Trigger)</f>
        <v>59149</v>
      </c>
      <c r="Z2879" s="153">
        <v>2.9248102661932153E-2</v>
      </c>
      <c r="AA2879" s="155">
        <v>2.905337152898646E-2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59154</v>
      </c>
      <c r="Y2880" s="152">
        <f>_xll.qlInterestRateIndexValueDate(IborIndex,X2880,Trigger)</f>
        <v>59156</v>
      </c>
      <c r="Z2880" s="153">
        <v>2.9246651963430608E-2</v>
      </c>
      <c r="AA2880" s="155">
        <v>2.9051814057234893E-2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59161</v>
      </c>
      <c r="Y2881" s="152">
        <f>_xll.qlInterestRateIndexValueDate(IborIndex,X2881,Trigger)</f>
        <v>59163</v>
      </c>
      <c r="Z2881" s="153">
        <v>2.9245211759872877E-2</v>
      </c>
      <c r="AA2881" s="155">
        <v>2.904982678976431E-2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59168</v>
      </c>
      <c r="Y2882" s="152">
        <f>_xll.qlInterestRateIndexValueDate(IborIndex,X2882,Trigger)</f>
        <v>59170</v>
      </c>
      <c r="Z2882" s="153">
        <v>2.9243782051237878E-2</v>
      </c>
      <c r="AA2882" s="155">
        <v>2.9048511442413272E-2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59175</v>
      </c>
      <c r="Y2883" s="152">
        <f>_xll.qlInterestRateIndexValueDate(IborIndex,X2883,Trigger)</f>
        <v>59177</v>
      </c>
      <c r="Z2883" s="153">
        <v>2.9241278795559676E-2</v>
      </c>
      <c r="AA2883" s="155">
        <v>2.9047203693144397E-2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59182</v>
      </c>
      <c r="Y2884" s="152">
        <f>_xll.qlInterestRateIndexValueDate(IborIndex,X2884,Trigger)</f>
        <v>59184</v>
      </c>
      <c r="Z2884" s="153">
        <v>2.9239869440714692E-2</v>
      </c>
      <c r="AA2884" s="155">
        <v>2.9045687588862279E-2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59189</v>
      </c>
      <c r="Y2885" s="152">
        <f>_xll.qlInterestRateIndexValueDate(IborIndex,X2885,Trigger)</f>
        <v>59191</v>
      </c>
      <c r="Z2885" s="153">
        <v>2.9238470579874491E-2</v>
      </c>
      <c r="AA2885" s="155">
        <v>2.9044181826307636E-2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59196</v>
      </c>
      <c r="Y2886" s="152">
        <f>_xll.qlInterestRateIndexValueDate(IborIndex,X2886,Trigger)</f>
        <v>59198</v>
      </c>
      <c r="Z2886" s="153">
        <v>2.9237082213016106E-2</v>
      </c>
      <c r="AA2886" s="155">
        <v>2.9042686405800211E-2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59203</v>
      </c>
      <c r="Y2887" s="152">
        <f>_xll.qlInterestRateIndexValueDate(IborIndex,X2887,Trigger)</f>
        <v>59205</v>
      </c>
      <c r="Z2887" s="153">
        <v>2.9235704340120988E-2</v>
      </c>
      <c r="AA2887" s="155">
        <v>2.9041201326940325E-2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59210</v>
      </c>
      <c r="Y2888" s="152">
        <f>_xll.qlInterestRateIndexValueDate(IborIndex,X2888,Trigger)</f>
        <v>59212</v>
      </c>
      <c r="Z2888" s="153">
        <v>2.9234336961165289E-2</v>
      </c>
      <c r="AA2888" s="155">
        <v>2.9039726589967785E-2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59217</v>
      </c>
      <c r="Y2889" s="152">
        <f>_xll.qlInterestRateIndexValueDate(IborIndex,X2889,Trigger)</f>
        <v>59219</v>
      </c>
      <c r="Z2889" s="153">
        <v>2.9232980076128252E-2</v>
      </c>
      <c r="AA2889" s="155">
        <v>2.9038262194882591E-2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59224</v>
      </c>
      <c r="Y2890" s="152">
        <f>_xll.qlInterestRateIndexValueDate(IborIndex,X2890,Trigger)</f>
        <v>59226</v>
      </c>
      <c r="Z2890" s="153">
        <v>2.923163368498868E-2</v>
      </c>
      <c r="AA2890" s="155">
        <v>2.9036808141684745E-2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59231</v>
      </c>
      <c r="Y2891" s="152">
        <f>_xll.qlInterestRateIndexValueDate(IborIndex,X2891,Trigger)</f>
        <v>59233</v>
      </c>
      <c r="Z2891" s="153">
        <v>2.9235744757440448E-2</v>
      </c>
      <c r="AA2891" s="155">
        <v>2.9035364430294308E-2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59238</v>
      </c>
      <c r="Y2892" s="152">
        <f>_xll.qlInterestRateIndexValueDate(IborIndex,X2892,Trigger)</f>
        <v>59240</v>
      </c>
      <c r="Z2892" s="153">
        <v>2.9233332291549046E-2</v>
      </c>
      <c r="AA2892" s="155">
        <v>2.9033931060631346E-2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59245</v>
      </c>
      <c r="Y2893" s="152">
        <f>_xll.qlInterestRateIndexValueDate(IborIndex,X2893,Trigger)</f>
        <v>59247</v>
      </c>
      <c r="Z2893" s="153">
        <v>2.9232019957185058E-2</v>
      </c>
      <c r="AA2893" s="155">
        <v>2.9032508032935667E-2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59252</v>
      </c>
      <c r="Y2894" s="152">
        <f>_xll.qlInterestRateIndexValueDate(IborIndex,X2894,Trigger)</f>
        <v>59258</v>
      </c>
      <c r="Z2894" s="153">
        <v>2.9228887111249276E-2</v>
      </c>
      <c r="AA2894" s="155">
        <v>2.9030693621914239E-2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59259</v>
      </c>
      <c r="Y2895" s="152">
        <f>_xll.qlInterestRateIndexValueDate(IborIndex,X2895,Trigger)</f>
        <v>59261</v>
      </c>
      <c r="Z2895" s="153">
        <v>2.9226150866882745E-2</v>
      </c>
      <c r="AA2895" s="155">
        <v>2.9029693002886603E-2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59266</v>
      </c>
      <c r="Y2896" s="152">
        <f>_xll.qlInterestRateIndexValueDate(IborIndex,X2896,Trigger)</f>
        <v>59268</v>
      </c>
      <c r="Z2896" s="153">
        <v>2.9229238796240134E-2</v>
      </c>
      <c r="AA2896" s="155">
        <v>2.9028301000693091E-2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59273</v>
      </c>
      <c r="Y2897" s="152">
        <f>_xll.qlInterestRateIndexValueDate(IborIndex,X2897,Trigger)</f>
        <v>59275</v>
      </c>
      <c r="Z2897" s="153">
        <v>2.9226875591633564E-2</v>
      </c>
      <c r="AA2897" s="155">
        <v>2.9026919340386925E-2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59280</v>
      </c>
      <c r="Y2898" s="152">
        <f>_xll.qlInterestRateIndexValueDate(IborIndex,X2898,Trigger)</f>
        <v>59282</v>
      </c>
      <c r="Z2898" s="153">
        <v>2.9225615743119188E-2</v>
      </c>
      <c r="AA2898" s="155">
        <v>2.902554802188817E-2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59287</v>
      </c>
      <c r="Y2899" s="152">
        <f>_xll.qlInterestRateIndexValueDate(IborIndex,X2899,Trigger)</f>
        <v>59289</v>
      </c>
      <c r="Z2899" s="153">
        <v>2.9225461195664559E-2</v>
      </c>
      <c r="AA2899" s="155">
        <v>2.9023993464125653E-2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59294</v>
      </c>
      <c r="Y2900" s="152">
        <f>_xll.qlInterestRateIndexValueDate(IborIndex,X2900,Trigger)</f>
        <v>59296</v>
      </c>
      <c r="Z2900" s="153">
        <v>2.9223127537396861E-2</v>
      </c>
      <c r="AA2900" s="155">
        <v>2.9022836410392827E-2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59301</v>
      </c>
      <c r="Y2901" s="152">
        <f>_xll.qlInterestRateIndexValueDate(IborIndex,X2901,Trigger)</f>
        <v>59303</v>
      </c>
      <c r="Z2901" s="153">
        <v>2.9221899180149592E-2</v>
      </c>
      <c r="AA2901" s="155">
        <v>2.9021496117396239E-2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59308</v>
      </c>
      <c r="Y2902" s="152">
        <f>_xll.qlInterestRateIndexValueDate(IborIndex,X2902,Trigger)</f>
        <v>59310</v>
      </c>
      <c r="Z2902" s="153">
        <v>2.9220681319952039E-2</v>
      </c>
      <c r="AA2902" s="155">
        <v>2.9020166166207062E-2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59315</v>
      </c>
      <c r="Y2903" s="152">
        <f>_xll.qlInterestRateIndexValueDate(IborIndex,X2903,Trigger)</f>
        <v>59317</v>
      </c>
      <c r="Z2903" s="153">
        <v>2.9219473956784325E-2</v>
      </c>
      <c r="AA2903" s="155">
        <v>2.9018658885506809E-2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59322</v>
      </c>
      <c r="Y2904" s="152">
        <f>_xll.qlInterestRateIndexValueDate(IborIndex,X2904,Trigger)</f>
        <v>59324</v>
      </c>
      <c r="Z2904" s="153">
        <v>2.9218277090628735E-2</v>
      </c>
      <c r="AA2904" s="155">
        <v>2.9017537289490747E-2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59329</v>
      </c>
      <c r="Y2905" s="152">
        <f>_xll.qlInterestRateIndexValueDate(IborIndex,X2905,Trigger)</f>
        <v>59331</v>
      </c>
      <c r="Z2905" s="153">
        <v>2.9217090721463668E-2</v>
      </c>
      <c r="AA2905" s="155">
        <v>2.9016238363883673E-2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59336</v>
      </c>
      <c r="Y2906" s="152">
        <f>_xll.qlInterestRateIndexValueDate(IborIndex,X2906,Trigger)</f>
        <v>59338</v>
      </c>
      <c r="Z2906" s="153">
        <v>2.921591484927313E-2</v>
      </c>
      <c r="AA2906" s="155">
        <v>2.9014949779924137E-2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59343</v>
      </c>
      <c r="Y2907" s="152">
        <f>_xll.qlInterestRateIndexValueDate(IborIndex,X2907,Trigger)</f>
        <v>59345</v>
      </c>
      <c r="Z2907" s="153">
        <v>2.9216949651907687E-2</v>
      </c>
      <c r="AA2907" s="155">
        <v>2.9013671538091756E-2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59350</v>
      </c>
      <c r="Y2908" s="152">
        <f>_xll.qlInterestRateIndexValueDate(IborIndex,X2908,Trigger)</f>
        <v>59352</v>
      </c>
      <c r="Z2908" s="153">
        <v>2.9210293274176107E-2</v>
      </c>
      <c r="AA2908" s="155">
        <v>2.901240363798685E-2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59357</v>
      </c>
      <c r="Y2909" s="152">
        <f>_xll.qlInterestRateIndexValueDate(IborIndex,X2909,Trigger)</f>
        <v>59359</v>
      </c>
      <c r="Z2909" s="153">
        <v>2.9212450214350823E-2</v>
      </c>
      <c r="AA2909" s="155">
        <v>2.901114607976929E-2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59364</v>
      </c>
      <c r="Y2910" s="152">
        <f>_xll.qlInterestRateIndexValueDate(IborIndex,X2910,Trigger)</f>
        <v>59366</v>
      </c>
      <c r="Z2910" s="153">
        <v>2.9212418330770634E-2</v>
      </c>
      <c r="AA2910" s="155">
        <v>2.9009898863279204E-2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59371</v>
      </c>
      <c r="Y2911" s="152">
        <f>_xll.qlInterestRateIndexValueDate(IborIndex,X2911,Trigger)</f>
        <v>59373</v>
      </c>
      <c r="Z2911" s="153">
        <v>2.9210192942261792E-2</v>
      </c>
      <c r="AA2911" s="155">
        <v>2.9008661988756401E-2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59378</v>
      </c>
      <c r="Y2912" s="152">
        <f>_xll.qlInterestRateIndexValueDate(IborIndex,X2912,Trigger)</f>
        <v>59380</v>
      </c>
      <c r="Z2912" s="153">
        <v>2.9209080051520502E-2</v>
      </c>
      <c r="AA2912" s="155">
        <v>2.9007435456041009E-2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59385</v>
      </c>
      <c r="Y2913" s="152">
        <f>_xll.qlInterestRateIndexValueDate(IborIndex,X2913,Trigger)</f>
        <v>59387</v>
      </c>
      <c r="Z2913" s="153">
        <v>2.9207977657625412E-2</v>
      </c>
      <c r="AA2913" s="155">
        <v>2.9006219264973154E-2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59392</v>
      </c>
      <c r="Y2914" s="152">
        <f>_xll.qlInterestRateIndexValueDate(IborIndex,X2914,Trigger)</f>
        <v>59394</v>
      </c>
      <c r="Z2914" s="153">
        <v>2.9206885760557515E-2</v>
      </c>
      <c r="AA2914" s="155">
        <v>2.9005013415952519E-2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59399</v>
      </c>
      <c r="Y2915" s="152">
        <f>_xll.qlInterestRateIndexValueDate(IborIndex,X2915,Trigger)</f>
        <v>59401</v>
      </c>
      <c r="Z2915" s="153">
        <v>2.9206909666460119E-2</v>
      </c>
      <c r="AA2915" s="155">
        <v>2.9003817908819229E-2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59406</v>
      </c>
      <c r="Y2916" s="152">
        <f>_xll.qlInterestRateIndexValueDate(IborIndex,X2916,Trigger)</f>
        <v>59408</v>
      </c>
      <c r="Z2916" s="153">
        <v>2.9204733456834595E-2</v>
      </c>
      <c r="AA2916" s="155">
        <v>2.900246427833153E-2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59413</v>
      </c>
      <c r="Y2917" s="152">
        <f>_xll.qlInterestRateIndexValueDate(IborIndex,X2917,Trigger)</f>
        <v>59415</v>
      </c>
      <c r="Z2917" s="153">
        <v>2.9199247744639743E-2</v>
      </c>
      <c r="AA2917" s="155">
        <v>2.900145791981501E-2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59420</v>
      </c>
      <c r="Y2918" s="152">
        <f>_xll.qlInterestRateIndexValueDate(IborIndex,X2918,Trigger)</f>
        <v>59422</v>
      </c>
      <c r="Z2918" s="153">
        <v>2.9198195174702235E-2</v>
      </c>
      <c r="AA2918" s="155">
        <v>2.9000293438263824E-2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59427</v>
      </c>
      <c r="Y2919" s="152">
        <f>_xll.qlInterestRateIndexValueDate(IborIndex,X2919,Trigger)</f>
        <v>59429</v>
      </c>
      <c r="Z2919" s="153">
        <v>2.9197153098120748E-2</v>
      </c>
      <c r="AA2919" s="155">
        <v>2.8999139298360177E-2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59434</v>
      </c>
      <c r="Y2920" s="152">
        <f>_xll.qlInterestRateIndexValueDate(IborIndex,X2920,Trigger)</f>
        <v>59436</v>
      </c>
      <c r="Z2920" s="153">
        <v>2.9196121514877608E-2</v>
      </c>
      <c r="AA2920" s="155">
        <v>2.899799550026394E-2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59441</v>
      </c>
      <c r="Y2921" s="152">
        <f>_xll.qlInterestRateIndexValueDate(IborIndex,X2921,Trigger)</f>
        <v>59443</v>
      </c>
      <c r="Z2921" s="153">
        <v>2.9196209231085648E-2</v>
      </c>
      <c r="AA2921" s="155">
        <v>2.8996862044134986E-2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59448</v>
      </c>
      <c r="Y2922" s="152">
        <f>_xll.qlInterestRateIndexValueDate(IborIndex,X2922,Trigger)</f>
        <v>59450</v>
      </c>
      <c r="Z2922" s="153">
        <v>2.9195199302688032E-2</v>
      </c>
      <c r="AA2922" s="155">
        <v>2.8995738929893378E-2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59455</v>
      </c>
      <c r="Y2923" s="152">
        <f>_xll.qlInterestRateIndexValueDate(IborIndex,X2923,Trigger)</f>
        <v>59457</v>
      </c>
      <c r="Z2923" s="153">
        <v>2.9198641680000345E-2</v>
      </c>
      <c r="AA2923" s="155">
        <v>2.8994626157379244E-2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59462</v>
      </c>
      <c r="Y2924" s="152">
        <f>_xll.qlInterestRateIndexValueDate(IborIndex,X2924,Trigger)</f>
        <v>59464</v>
      </c>
      <c r="Z2924" s="153">
        <v>2.9193210928291032E-2</v>
      </c>
      <c r="AA2924" s="155">
        <v>2.8993523726512649E-2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59469</v>
      </c>
      <c r="Y2925" s="152">
        <f>_xll.qlInterestRateIndexValueDate(IborIndex,X2925,Trigger)</f>
        <v>59471</v>
      </c>
      <c r="Z2925" s="153">
        <v>2.9192232482260463E-2</v>
      </c>
      <c r="AA2925" s="155">
        <v>2.8992431637853144E-2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59476</v>
      </c>
      <c r="Y2926" s="152">
        <f>_xll.qlInterestRateIndexValueDate(IborIndex,X2926,Trigger)</f>
        <v>59478</v>
      </c>
      <c r="Z2926" s="153">
        <v>2.919015237464137E-2</v>
      </c>
      <c r="AA2926" s="155">
        <v>2.8991349890921114E-2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59483</v>
      </c>
      <c r="Y2927" s="152">
        <f>_xll.qlInterestRateIndexValueDate(IborIndex,X2927,Trigger)</f>
        <v>59488</v>
      </c>
      <c r="Z2927" s="153">
        <v>2.9189899945838427E-2</v>
      </c>
      <c r="AA2927" s="155">
        <v>2.8990126272114836E-2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59490</v>
      </c>
      <c r="Y2928" s="152">
        <f>_xll.qlInterestRateIndexValueDate(IborIndex,X2928,Trigger)</f>
        <v>59492</v>
      </c>
      <c r="Z2928" s="153">
        <v>2.9188246607229202E-2</v>
      </c>
      <c r="AA2928" s="155">
        <v>2.8989217422399349E-2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59497</v>
      </c>
      <c r="Y2929" s="152">
        <f>_xll.qlInterestRateIndexValueDate(IborIndex,X2929,Trigger)</f>
        <v>59499</v>
      </c>
      <c r="Z2929" s="153">
        <v>2.9187309463329043E-2</v>
      </c>
      <c r="AA2929" s="155">
        <v>2.8988166701049423E-2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59504</v>
      </c>
      <c r="Y2930" s="152">
        <f>_xll.qlInterestRateIndexValueDate(IborIndex,X2930,Trigger)</f>
        <v>59506</v>
      </c>
      <c r="Z2930" s="153">
        <v>2.9187497663164103E-2</v>
      </c>
      <c r="AA2930" s="155">
        <v>2.898712632142697E-2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59511</v>
      </c>
      <c r="Y2931" s="152">
        <f>_xll.qlInterestRateIndexValueDate(IborIndex,X2931,Trigger)</f>
        <v>59513</v>
      </c>
      <c r="Z2931" s="153">
        <v>2.9186582181453886E-2</v>
      </c>
      <c r="AA2931" s="155">
        <v>2.8986096283531992E-2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59518</v>
      </c>
      <c r="Y2932" s="152">
        <f>_xll.qlInterestRateIndexValueDate(IborIndex,X2932,Trigger)</f>
        <v>59520</v>
      </c>
      <c r="Z2932" s="153">
        <v>2.9185677193745378E-2</v>
      </c>
      <c r="AA2932" s="155">
        <v>2.8985076587604297E-2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59525</v>
      </c>
      <c r="Y2933" s="152">
        <f>_xll.qlInterestRateIndexValueDate(IborIndex,X2933,Trigger)</f>
        <v>59527</v>
      </c>
      <c r="Z2933" s="153">
        <v>2.9184782700024964E-2</v>
      </c>
      <c r="AA2933" s="155">
        <v>2.898378074617014E-2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59532</v>
      </c>
      <c r="Y2934" s="152">
        <f>_xll.qlInterestRateIndexValueDate(IborIndex,X2934,Trigger)</f>
        <v>59534</v>
      </c>
      <c r="Z2934" s="153">
        <v>2.9183898700278592E-2</v>
      </c>
      <c r="AA2934" s="155">
        <v>2.8982926349456761E-2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59539</v>
      </c>
      <c r="Y2935" s="152">
        <f>_xll.qlInterestRateIndexValueDate(IborIndex,X2935,Trigger)</f>
        <v>59541</v>
      </c>
      <c r="Z2935" s="153">
        <v>2.9181906956322421E-2</v>
      </c>
      <c r="AA2935" s="155">
        <v>2.898207955074561E-2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59546</v>
      </c>
      <c r="Y2936" s="152">
        <f>_xll.qlInterestRateIndexValueDate(IborIndex,X2936,Trigger)</f>
        <v>59548</v>
      </c>
      <c r="Z2936" s="153">
        <v>2.9181043264421218E-2</v>
      </c>
      <c r="AA2936" s="155">
        <v>2.8981101222207428E-2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59553</v>
      </c>
      <c r="Y2937" s="152">
        <f>_xll.qlInterestRateIndexValueDate(IborIndex,X2937,Trigger)</f>
        <v>59555</v>
      </c>
      <c r="Z2937" s="153">
        <v>2.9180190065607962E-2</v>
      </c>
      <c r="AA2937" s="155">
        <v>2.8980133235556593E-2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59560</v>
      </c>
      <c r="Y2938" s="152">
        <f>_xll.qlInterestRateIndexValueDate(IborIndex,X2938,Trigger)</f>
        <v>59562</v>
      </c>
      <c r="Z2938" s="153">
        <v>2.9179347359868959E-2</v>
      </c>
      <c r="AA2938" s="155">
        <v>2.8979175590713169E-2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59567</v>
      </c>
      <c r="Y2939" s="152">
        <f>_xll.qlInterestRateIndexValueDate(IborIndex,X2939,Trigger)</f>
        <v>59569</v>
      </c>
      <c r="Z2939" s="153">
        <v>2.9178515147190522E-2</v>
      </c>
      <c r="AA2939" s="155">
        <v>2.8978228287437346E-2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59574</v>
      </c>
      <c r="Y2940" s="152">
        <f>_xll.qlInterestRateIndexValueDate(IborIndex,X2940,Trigger)</f>
        <v>59576</v>
      </c>
      <c r="Z2940" s="153">
        <v>2.9177693427559399E-2</v>
      </c>
      <c r="AA2940" s="155">
        <v>2.8977291326368615E-2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59581</v>
      </c>
      <c r="Y2941" s="152">
        <f>_xll.qlInterestRateIndexValueDate(IborIndex,X2941,Trigger)</f>
        <v>59583</v>
      </c>
      <c r="Z2941" s="153">
        <v>2.9176882200964108E-2</v>
      </c>
      <c r="AA2941" s="155">
        <v>2.8976364706947422E-2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59588</v>
      </c>
      <c r="Y2942" s="152">
        <f>_xll.qlInterestRateIndexValueDate(IborIndex,X2942,Trigger)</f>
        <v>59590</v>
      </c>
      <c r="Z2942" s="153">
        <v>2.9176081467392284E-2</v>
      </c>
      <c r="AA2942" s="155">
        <v>2.8975448429253703E-2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59595</v>
      </c>
      <c r="Y2943" s="152">
        <f>_xll.qlInterestRateIndexValueDate(IborIndex,X2943,Trigger)</f>
        <v>59597</v>
      </c>
      <c r="Z2943" s="153">
        <v>2.9180910999426695E-2</v>
      </c>
      <c r="AA2943" s="155">
        <v>2.8974542493527267E-2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59602</v>
      </c>
      <c r="Y2944" s="152">
        <f>_xll.qlInterestRateIndexValueDate(IborIndex,X2944,Trigger)</f>
        <v>59604</v>
      </c>
      <c r="Z2944" s="153">
        <v>2.9179009793097118E-2</v>
      </c>
      <c r="AA2944" s="155">
        <v>2.8973646899768113E-2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59609</v>
      </c>
      <c r="Y2945" s="152">
        <f>_xll.qlInterestRateIndexValueDate(IborIndex,X2945,Trigger)</f>
        <v>59611</v>
      </c>
      <c r="Z2945" s="153">
        <v>2.9178243289885511E-2</v>
      </c>
      <c r="AA2945" s="155">
        <v>2.8972761647736434E-2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59616</v>
      </c>
      <c r="Y2946" s="152">
        <f>_xll.qlInterestRateIndexValueDate(IborIndex,X2946,Trigger)</f>
        <v>59618</v>
      </c>
      <c r="Z2946" s="153">
        <v>2.9177487283026667E-2</v>
      </c>
      <c r="AA2946" s="155">
        <v>2.8971886737512165E-2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59623</v>
      </c>
      <c r="Y2947" s="152">
        <f>_xll.qlInterestRateIndexValueDate(IborIndex,X2947,Trigger)</f>
        <v>59625</v>
      </c>
      <c r="Z2947" s="153">
        <v>2.917336164912478E-2</v>
      </c>
      <c r="AA2947" s="155">
        <v>2.8971022169175242E-2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59630</v>
      </c>
      <c r="Y2948" s="152">
        <f>_xll.qlInterestRateIndexValueDate(IborIndex,X2948,Trigger)</f>
        <v>59632</v>
      </c>
      <c r="Z2948" s="153">
        <v>2.9177134409956725E-2</v>
      </c>
      <c r="AA2948" s="155">
        <v>2.897016794264573E-2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59637</v>
      </c>
      <c r="Y2949" s="152">
        <f>_xll.qlInterestRateIndexValueDate(IborIndex,X2949,Trigger)</f>
        <v>59643</v>
      </c>
      <c r="Z2949" s="153">
        <v>2.9172615846195977E-2</v>
      </c>
      <c r="AA2949" s="155">
        <v>2.8969084847432214E-2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59644</v>
      </c>
      <c r="Y2950" s="152">
        <f>_xll.qlInterestRateIndexValueDate(IborIndex,X2950,Trigger)</f>
        <v>59646</v>
      </c>
      <c r="Z2950" s="153">
        <v>2.9174568218892472E-2</v>
      </c>
      <c r="AA2950" s="155">
        <v>2.8968490515008938E-2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59651</v>
      </c>
      <c r="Y2951" s="152">
        <f>_xll.qlInterestRateIndexValueDate(IborIndex,X2951,Trigger)</f>
        <v>59653</v>
      </c>
      <c r="Z2951" s="153">
        <v>2.9173864693625026E-2</v>
      </c>
      <c r="AA2951" s="155">
        <v>2.8967667314141465E-2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59658</v>
      </c>
      <c r="Y2952" s="152">
        <f>_xll.qlInterestRateIndexValueDate(IborIndex,X2952,Trigger)</f>
        <v>59660</v>
      </c>
      <c r="Z2952" s="153">
        <v>2.9173171664642068E-2</v>
      </c>
      <c r="AA2952" s="155">
        <v>2.8966739176414791E-2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59665</v>
      </c>
      <c r="Y2953" s="152">
        <f>_xll.qlInterestRateIndexValueDate(IborIndex,X2953,Trigger)</f>
        <v>59667</v>
      </c>
      <c r="Z2953" s="153">
        <v>2.9173620249573391E-2</v>
      </c>
      <c r="AA2953" s="155">
        <v>2.8966051937588944E-2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59672</v>
      </c>
      <c r="Y2954" s="152">
        <f>_xll.qlInterestRateIndexValueDate(IborIndex,X2954,Trigger)</f>
        <v>59674</v>
      </c>
      <c r="Z2954" s="153">
        <v>2.9171817095482524E-2</v>
      </c>
      <c r="AA2954" s="155">
        <v>2.8965259762063766E-2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59679</v>
      </c>
      <c r="Y2955" s="152">
        <f>_xll.qlInterestRateIndexValueDate(IborIndex,X2955,Trigger)</f>
        <v>59681</v>
      </c>
      <c r="Z2955" s="153">
        <v>2.91711555552852E-2</v>
      </c>
      <c r="AA2955" s="155">
        <v>2.8964367082053855E-2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59686</v>
      </c>
      <c r="Y2956" s="152">
        <f>_xll.qlInterestRateIndexValueDate(IborIndex,X2956,Trigger)</f>
        <v>59688</v>
      </c>
      <c r="Z2956" s="153">
        <v>2.9170504511328292E-2</v>
      </c>
      <c r="AA2956" s="155">
        <v>2.8963706436515579E-2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59693</v>
      </c>
      <c r="Y2957" s="152">
        <f>_xll.qlInterestRateIndexValueDate(IborIndex,X2957,Trigger)</f>
        <v>59695</v>
      </c>
      <c r="Z2957" s="153">
        <v>2.9169863963601866E-2</v>
      </c>
      <c r="AA2957" s="155">
        <v>2.8962945286412634E-2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59700</v>
      </c>
      <c r="Y2958" s="152">
        <f>_xll.qlInterestRateIndexValueDate(IborIndex,X2958,Trigger)</f>
        <v>59702</v>
      </c>
      <c r="Z2958" s="153">
        <v>2.9169233912095978E-2</v>
      </c>
      <c r="AA2958" s="155">
        <v>2.8962194478356906E-2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59707</v>
      </c>
      <c r="Y2959" s="152">
        <f>_xll.qlInterestRateIndexValueDate(IborIndex,X2959,Trigger)</f>
        <v>59709</v>
      </c>
      <c r="Z2959" s="153">
        <v>2.9168614356800262E-2</v>
      </c>
      <c r="AA2959" s="155">
        <v>2.8961454012108589E-2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59714</v>
      </c>
      <c r="Y2960" s="152">
        <f>_xll.qlInterestRateIndexValueDate(IborIndex,X2960,Trigger)</f>
        <v>59716</v>
      </c>
      <c r="Z2960" s="153">
        <v>2.9168005297703917E-2</v>
      </c>
      <c r="AA2960" s="155">
        <v>2.8960723887507811E-2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59721</v>
      </c>
      <c r="Y2961" s="152">
        <f>_xll.qlInterestRateIndexValueDate(IborIndex,X2961,Trigger)</f>
        <v>59723</v>
      </c>
      <c r="Z2961" s="153">
        <v>2.9167406734799162E-2</v>
      </c>
      <c r="AA2961" s="155">
        <v>2.8960004104874315E-2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59728</v>
      </c>
      <c r="Y2962" s="152">
        <f>_xll.qlInterestRateIndexValueDate(IborIndex,X2962,Trigger)</f>
        <v>59730</v>
      </c>
      <c r="Z2962" s="153">
        <v>2.9166818668074333E-2</v>
      </c>
      <c r="AA2962" s="155">
        <v>2.8959294664128166E-2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59735</v>
      </c>
      <c r="Y2963" s="152">
        <f>_xll.qlInterestRateIndexValueDate(IborIndex,X2963,Trigger)</f>
        <v>59737</v>
      </c>
      <c r="Z2963" s="153">
        <v>2.9167379210533417E-2</v>
      </c>
      <c r="AA2963" s="155">
        <v>2.8958595565189427E-2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59742</v>
      </c>
      <c r="Y2964" s="152">
        <f>_xll.qlInterestRateIndexValueDate(IborIndex,X2964,Trigger)</f>
        <v>59744</v>
      </c>
      <c r="Z2964" s="153">
        <v>2.916567402313118E-2</v>
      </c>
      <c r="AA2964" s="155">
        <v>2.8957906807898226E-2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59749</v>
      </c>
      <c r="Y2965" s="152">
        <f>_xll.qlInterestRateIndexValueDate(IborIndex,X2965,Trigger)</f>
        <v>59751</v>
      </c>
      <c r="Z2965" s="153">
        <v>2.9165117444893411E-2</v>
      </c>
      <c r="AA2965" s="155">
        <v>2.8957228392654244E-2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59756</v>
      </c>
      <c r="Y2966" s="152">
        <f>_xll.qlInterestRateIndexValueDate(IborIndex,X2966,Trigger)</f>
        <v>59758</v>
      </c>
      <c r="Z2966" s="153">
        <v>2.9164571362800568E-2</v>
      </c>
      <c r="AA2966" s="155">
        <v>2.8956560319297608E-2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59763</v>
      </c>
      <c r="Y2967" s="152">
        <f>_xll.qlInterestRateIndexValueDate(IborIndex,X2967,Trigger)</f>
        <v>59765</v>
      </c>
      <c r="Z2967" s="153">
        <v>2.9165176711647776E-2</v>
      </c>
      <c r="AA2967" s="155">
        <v>2.8955902587508575E-2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59770</v>
      </c>
      <c r="Y2968" s="152">
        <f>_xll.qlInterestRateIndexValueDate(IborIndex,X2968,Trigger)</f>
        <v>59772</v>
      </c>
      <c r="Z2968" s="153">
        <v>2.91635106870138E-2</v>
      </c>
      <c r="AA2968" s="155">
        <v>2.8955163557791153E-2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59777</v>
      </c>
      <c r="Y2969" s="152">
        <f>_xll.qlInterestRateIndexValueDate(IborIndex,X2969,Trigger)</f>
        <v>59779</v>
      </c>
      <c r="Z2969" s="153">
        <v>2.9159569815918301E-2</v>
      </c>
      <c r="AA2969" s="155">
        <v>2.8954618149912292E-2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59784</v>
      </c>
      <c r="Y2970" s="152">
        <f>_xll.qlInterestRateIndexValueDate(IborIndex,X2970,Trigger)</f>
        <v>59786</v>
      </c>
      <c r="Z2970" s="153">
        <v>2.9159063591281148E-2</v>
      </c>
      <c r="AA2970" s="155">
        <v>2.8953991443705362E-2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59791</v>
      </c>
      <c r="Y2971" s="152">
        <f>_xll.qlInterestRateIndexValueDate(IborIndex,X2971,Trigger)</f>
        <v>59793</v>
      </c>
      <c r="Z2971" s="153">
        <v>2.9158567860215281E-2</v>
      </c>
      <c r="AA2971" s="155">
        <v>2.8953375079465715E-2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59798</v>
      </c>
      <c r="Y2972" s="152">
        <f>_xll.qlInterestRateIndexValueDate(IborIndex,X2972,Trigger)</f>
        <v>59800</v>
      </c>
      <c r="Z2972" s="153">
        <v>2.9158082622711478E-2</v>
      </c>
      <c r="AA2972" s="155">
        <v>2.8952769057113414E-2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59805</v>
      </c>
      <c r="Y2973" s="152">
        <f>_xll.qlInterestRateIndexValueDate(IborIndex,X2973,Trigger)</f>
        <v>59807</v>
      </c>
      <c r="Z2973" s="153">
        <v>2.9161042679485293E-2</v>
      </c>
      <c r="AA2973" s="155">
        <v>2.8952173376408652E-2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59812</v>
      </c>
      <c r="Y2974" s="152">
        <f>_xll.qlInterestRateIndexValueDate(IborIndex,X2974,Trigger)</f>
        <v>59814</v>
      </c>
      <c r="Z2974" s="153">
        <v>2.9161726471689096E-2</v>
      </c>
      <c r="AA2974" s="155">
        <v>2.8951588037671172E-2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59819</v>
      </c>
      <c r="Y2975" s="152">
        <f>_xll.qlInterestRateIndexValueDate(IborIndex,X2975,Trigger)</f>
        <v>59821</v>
      </c>
      <c r="Z2975" s="153">
        <v>2.9160128949084114E-2</v>
      </c>
      <c r="AA2975" s="155">
        <v>2.8951013040661167E-2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59826</v>
      </c>
      <c r="Y2976" s="152">
        <f>_xll.qlInterestRateIndexValueDate(IborIndex,X2976,Trigger)</f>
        <v>59828</v>
      </c>
      <c r="Z2976" s="153">
        <v>2.9159687827984681E-2</v>
      </c>
      <c r="AA2976" s="155">
        <v>2.8950448385618444E-2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59833</v>
      </c>
      <c r="Y2977" s="152">
        <f>_xll.qlInterestRateIndexValueDate(IborIndex,X2977,Trigger)</f>
        <v>59835</v>
      </c>
      <c r="Z2977" s="153">
        <v>2.9159257202942893E-2</v>
      </c>
      <c r="AA2977" s="155">
        <v>2.8949894072303195E-2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59840</v>
      </c>
      <c r="Y2978" s="152">
        <f>_xll.qlInterestRateIndexValueDate(IborIndex,X2978,Trigger)</f>
        <v>59842</v>
      </c>
      <c r="Z2978" s="153">
        <v>2.9155391562093617E-2</v>
      </c>
      <c r="AA2978" s="155">
        <v>2.8949350100795357E-2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59847</v>
      </c>
      <c r="Y2979" s="152">
        <f>_xll.qlInterestRateIndexValueDate(IborIndex,X2979,Trigger)</f>
        <v>59849</v>
      </c>
      <c r="Z2979" s="153">
        <v>2.9154979779326611E-2</v>
      </c>
      <c r="AA2979" s="155">
        <v>2.8948816471254801E-2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59854</v>
      </c>
      <c r="Y2980" s="152">
        <f>_xll.qlInterestRateIndexValueDate(IborIndex,X2980,Trigger)</f>
        <v>59856</v>
      </c>
      <c r="Z2980" s="153">
        <v>2.9154578490065013E-2</v>
      </c>
      <c r="AA2980" s="155">
        <v>2.8948293183601592E-2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59861</v>
      </c>
      <c r="Y2981" s="152">
        <f>_xll.qlInterestRateIndexValueDate(IborIndex,X2981,Trigger)</f>
        <v>59863</v>
      </c>
      <c r="Z2981" s="153">
        <v>2.9154187694304425E-2</v>
      </c>
      <c r="AA2981" s="155">
        <v>2.8947780237595921E-2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59868</v>
      </c>
      <c r="Y2982" s="152">
        <f>_xll.qlInterestRateIndexValueDate(IborIndex,X2982,Trigger)</f>
        <v>59870</v>
      </c>
      <c r="Z2982" s="153">
        <v>2.9153807392038263E-2</v>
      </c>
      <c r="AA2982" s="155">
        <v>2.8947277633397661E-2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59875</v>
      </c>
      <c r="Y2983" s="152">
        <f>_xll.qlInterestRateIndexValueDate(IborIndex,X2983,Trigger)</f>
        <v>59877</v>
      </c>
      <c r="Z2983" s="153">
        <v>2.9156893869535867E-2</v>
      </c>
      <c r="AA2983" s="155">
        <v>2.8946785371246619E-2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59882</v>
      </c>
      <c r="Y2984" s="152">
        <f>_xll.qlInterestRateIndexValueDate(IborIndex,X2984,Trigger)</f>
        <v>59884</v>
      </c>
      <c r="Z2984" s="153">
        <v>2.9156536716716114E-2</v>
      </c>
      <c r="AA2984" s="155">
        <v>2.8946303450902988E-2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59889</v>
      </c>
      <c r="Y2985" s="152">
        <f>_xll.qlInterestRateIndexValueDate(IborIndex,X2985,Trigger)</f>
        <v>59891</v>
      </c>
      <c r="Z2985" s="153">
        <v>2.9156190059904316E-2</v>
      </c>
      <c r="AA2985" s="155">
        <v>2.8945699034945704E-2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59897</v>
      </c>
      <c r="Y2986" s="152">
        <f>_xll.qlInterestRateIndexValueDate(IborIndex,X2986,Trigger)</f>
        <v>59901</v>
      </c>
      <c r="Z2986" s="153">
        <v>2.915224933221864E-2</v>
      </c>
      <c r="AA2986" s="155">
        <v>2.894524075305327E-2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59904</v>
      </c>
      <c r="Y2987" s="152">
        <f>_xll.qlInterestRateIndexValueDate(IborIndex,X2987,Trigger)</f>
        <v>59908</v>
      </c>
      <c r="Z2987" s="153">
        <v>2.9151925994534977E-2</v>
      </c>
      <c r="AA2987" s="155">
        <v>2.8944856171246869E-2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59911</v>
      </c>
      <c r="Y2988" s="152">
        <f>_xll.qlInterestRateIndexValueDate(IborIndex,X2988,Trigger)</f>
        <v>59915</v>
      </c>
      <c r="Z2988" s="153">
        <v>2.9151613150309726E-2</v>
      </c>
      <c r="AA2988" s="155">
        <v>2.8944417095591035E-2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59918</v>
      </c>
      <c r="Y2989" s="152">
        <f>_xll.qlInterestRateIndexValueDate(IborIndex,X2989,Trigger)</f>
        <v>59923</v>
      </c>
      <c r="Z2989" s="153">
        <v>2.9151268463178583E-2</v>
      </c>
      <c r="AA2989" s="155">
        <v>2.8943927958300364E-2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59925</v>
      </c>
      <c r="Y2990" s="152">
        <f>_xll.qlInterestRateIndexValueDate(IborIndex,X2990,Trigger)</f>
        <v>59929</v>
      </c>
      <c r="Z2990" s="153">
        <v>2.915101894221557E-2</v>
      </c>
      <c r="AA2990" s="155">
        <v>2.8943569969861471E-2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59932</v>
      </c>
      <c r="Y2991" s="152">
        <f>_xll.qlInterestRateIndexValueDate(IborIndex,X2991,Trigger)</f>
        <v>59936</v>
      </c>
      <c r="Z2991" s="153">
        <v>2.9150737578337881E-2</v>
      </c>
      <c r="AA2991" s="155">
        <v>2.8943161919547933E-2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59939</v>
      </c>
      <c r="Y2992" s="152">
        <f>_xll.qlInterestRateIndexValueDate(IborIndex,X2992,Trigger)</f>
        <v>59943</v>
      </c>
      <c r="Z2992" s="153">
        <v>2.9150466707900152E-2</v>
      </c>
      <c r="AA2992" s="155">
        <v>2.8942764211361549E-2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59946</v>
      </c>
      <c r="Y2993" s="152">
        <f>_xll.qlInterestRateIndexValueDate(IborIndex,X2993,Trigger)</f>
        <v>59951</v>
      </c>
      <c r="Z2993" s="153">
        <v>2.9150169990790366E-2</v>
      </c>
      <c r="AA2993" s="155">
        <v>2.8942322350973271E-2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59953</v>
      </c>
      <c r="Y2994" s="152">
        <f>_xll.qlInterestRateIndexValueDate(IborIndex,X2994,Trigger)</f>
        <v>59957</v>
      </c>
      <c r="Z2994" s="153">
        <v>2.9151116698894641E-2</v>
      </c>
      <c r="AA2994" s="155">
        <v>2.8941999820091269E-2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59960</v>
      </c>
      <c r="Y2995" s="152">
        <f>_xll.qlInterestRateIndexValueDate(IborIndex,X2995,Trigger)</f>
        <v>59964</v>
      </c>
      <c r="Z2995" s="153">
        <v>2.9152039153260412E-2</v>
      </c>
      <c r="AA2995" s="155">
        <v>2.8941633137327116E-2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59967</v>
      </c>
      <c r="Y2996" s="152">
        <f>_xll.qlInterestRateIndexValueDate(IborIndex,X2996,Trigger)</f>
        <v>59971</v>
      </c>
      <c r="Z2996" s="153">
        <v>2.9151811719041562E-2</v>
      </c>
      <c r="AA2996" s="155">
        <v>2.8941276796290438E-2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59974</v>
      </c>
      <c r="Y2997" s="152">
        <f>_xll.qlInterestRateIndexValueDate(IborIndex,X2997,Trigger)</f>
        <v>59978</v>
      </c>
      <c r="Z2997" s="153">
        <v>2.9151594779930977E-2</v>
      </c>
      <c r="AA2997" s="155">
        <v>2.8940930797141107E-2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59981</v>
      </c>
      <c r="Y2998" s="152">
        <f>_xll.qlInterestRateIndexValueDate(IborIndex,X2998,Trigger)</f>
        <v>59985</v>
      </c>
      <c r="Z2998" s="153">
        <v>2.9151388335923435E-2</v>
      </c>
      <c r="AA2998" s="155">
        <v>2.8940595139879122E-2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59988</v>
      </c>
      <c r="Y2999" s="152">
        <f>_xll.qlInterestRateIndexValueDate(IborIndex,X2999,Trigger)</f>
        <v>59992</v>
      </c>
      <c r="Z2999" s="153">
        <v>2.9150028342556693E-2</v>
      </c>
      <c r="AA2999" s="155">
        <v>2.8940269824344611E-2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59995</v>
      </c>
      <c r="Y3000" s="152">
        <f>_xll.qlInterestRateIndexValueDate(IborIndex,X3000,Trigger)</f>
        <v>60001</v>
      </c>
      <c r="Z3000" s="153">
        <v>2.9149790884867771E-2</v>
      </c>
      <c r="AA3000" s="155">
        <v>2.894214958658381E-2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60002</v>
      </c>
      <c r="Y3001" s="152">
        <f>_xll.qlInterestRateIndexValueDate(IborIndex,X3001,Trigger)</f>
        <v>60006</v>
      </c>
      <c r="Z3001" s="153">
        <v>2.9149666459822639E-2</v>
      </c>
      <c r="AA3001" s="155">
        <v>2.8939650218857693E-2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60009</v>
      </c>
      <c r="Y3002" s="152">
        <f>_xll.qlInterestRateIndexValueDate(IborIndex,X3002,Trigger)</f>
        <v>60013</v>
      </c>
      <c r="Z3002" s="153">
        <v>2.9149501259829499E-2</v>
      </c>
      <c r="AA3002" s="155">
        <v>2.8939355928905286E-2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60016</v>
      </c>
      <c r="Y3003" s="152">
        <f>_xll.qlInterestRateIndexValueDate(IborIndex,X3003,Trigger)</f>
        <v>60020</v>
      </c>
      <c r="Z3003" s="153">
        <v>2.9149346554082706E-2</v>
      </c>
      <c r="AA3003" s="155">
        <v>2.8939071980760289E-2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60023</v>
      </c>
      <c r="Y3004" s="152">
        <f>_xll.qlInterestRateIndexValueDate(IborIndex,X3004,Trigger)</f>
        <v>60028</v>
      </c>
      <c r="Z3004" s="153">
        <v>2.9150350427872191E-2</v>
      </c>
      <c r="AA3004" s="155">
        <v>2.8938760132133368E-2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60030</v>
      </c>
      <c r="Y3005" s="152">
        <f>_xll.qlInterestRateIndexValueDate(IborIndex,X3005,Trigger)</f>
        <v>60034</v>
      </c>
      <c r="Z3005" s="153">
        <v>2.9150236991226895E-2</v>
      </c>
      <c r="AA3005" s="155">
        <v>2.8938535109972463E-2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60037</v>
      </c>
      <c r="Y3006" s="152">
        <f>_xll.qlInterestRateIndexValueDate(IborIndex,X3006,Trigger)</f>
        <v>60041</v>
      </c>
      <c r="Z3006" s="153">
        <v>2.9150113952682327E-2</v>
      </c>
      <c r="AA3006" s="155">
        <v>2.8938282187489506E-2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60044</v>
      </c>
      <c r="Y3007" s="152">
        <f>_xll.qlInterestRateIndexValueDate(IborIndex,X3007,Trigger)</f>
        <v>60049</v>
      </c>
      <c r="Z3007" s="153">
        <v>2.9151154995785595E-2</v>
      </c>
      <c r="AA3007" s="155">
        <v>2.8938005796419475E-2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60051</v>
      </c>
      <c r="Y3008" s="152">
        <f>_xll.qlInterestRateIndexValueDate(IborIndex,X3008,Trigger)</f>
        <v>60055</v>
      </c>
      <c r="Z3008" s="153">
        <v>2.9148726158553222E-2</v>
      </c>
      <c r="AA3008" s="155">
        <v>2.8937807367626078E-2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60058</v>
      </c>
      <c r="Y3009" s="152">
        <f>_xll.qlInterestRateIndexValueDate(IborIndex,X3009,Trigger)</f>
        <v>60062</v>
      </c>
      <c r="Z3009" s="153">
        <v>2.91486303384796E-2</v>
      </c>
      <c r="AA3009" s="155">
        <v>2.8937585470485416E-2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60065</v>
      </c>
      <c r="Y3010" s="152">
        <f>_xll.qlInterestRateIndexValueDate(IborIndex,X3010,Trigger)</f>
        <v>60069</v>
      </c>
      <c r="Z3010" s="153">
        <v>2.9148543006201795E-2</v>
      </c>
      <c r="AA3010" s="155">
        <v>2.8937373915232101E-2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60072</v>
      </c>
      <c r="Y3011" s="152">
        <f>_xll.qlInterestRateIndexValueDate(IborIndex,X3011,Trigger)</f>
        <v>60076</v>
      </c>
      <c r="Z3011" s="153">
        <v>2.9148463760432067E-2</v>
      </c>
      <c r="AA3011" s="155">
        <v>2.8937172701786196E-2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60079</v>
      </c>
      <c r="Y3012" s="152">
        <f>_xll.qlInterestRateIndexValueDate(IborIndex,X3012,Trigger)</f>
        <v>60083</v>
      </c>
      <c r="Z3012" s="153">
        <v>2.9149564186968503E-2</v>
      </c>
      <c r="AA3012" s="155">
        <v>2.8936981830067765E-2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60086</v>
      </c>
      <c r="Y3013" s="152">
        <f>_xll.qlInterestRateIndexValueDate(IborIndex,X3013,Trigger)</f>
        <v>60090</v>
      </c>
      <c r="Z3013" s="153">
        <v>2.9149500244970285E-2</v>
      </c>
      <c r="AA3013" s="155">
        <v>2.8936801300236681E-2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60093</v>
      </c>
      <c r="Y3014" s="152">
        <f>_xll.qlInterestRateIndexValueDate(IborIndex,X3014,Trigger)</f>
        <v>60097</v>
      </c>
      <c r="Z3014" s="153">
        <v>2.9149443148779031E-2</v>
      </c>
      <c r="AA3014" s="155">
        <v>2.8936631112292943E-2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60100</v>
      </c>
      <c r="Y3015" s="152">
        <f>_xll.qlInterestRateIndexValueDate(IborIndex,X3015,Trigger)</f>
        <v>60104</v>
      </c>
      <c r="Z3015" s="153">
        <v>2.9149392499254457E-2</v>
      </c>
      <c r="AA3015" s="155">
        <v>2.8936471266236552E-2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60107</v>
      </c>
      <c r="Y3016" s="152">
        <f>_xll.qlInterestRateIndexValueDate(IborIndex,X3016,Trigger)</f>
        <v>60111</v>
      </c>
      <c r="Z3016" s="153">
        <v>2.9149347897257146E-2</v>
      </c>
      <c r="AA3016" s="155">
        <v>2.8936321761907635E-2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60114</v>
      </c>
      <c r="Y3017" s="152">
        <f>_xll.qlInterestRateIndexValueDate(IborIndex,X3017,Trigger)</f>
        <v>60118</v>
      </c>
      <c r="Z3017" s="153">
        <v>2.9149308943648981E-2</v>
      </c>
      <c r="AA3017" s="155">
        <v>2.8936182599546001E-2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60121</v>
      </c>
      <c r="Y3018" s="152">
        <f>_xll.qlInterestRateIndexValueDate(IborIndex,X3018,Trigger)</f>
        <v>60125</v>
      </c>
      <c r="Z3018" s="153">
        <v>2.9149275239290978E-2</v>
      </c>
      <c r="AA3018" s="155">
        <v>2.8936053778831905E-2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60128</v>
      </c>
      <c r="Y3019" s="152">
        <f>_xll.qlInterestRateIndexValueDate(IborIndex,X3019,Trigger)</f>
        <v>60132</v>
      </c>
      <c r="Z3019" s="153">
        <v>2.9149246385045031E-2</v>
      </c>
      <c r="AA3019" s="155">
        <v>2.8935935300005156E-2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60135</v>
      </c>
      <c r="Y3020" s="152">
        <f>_xll.qlInterestRateIndexValueDate(IborIndex,X3020,Trigger)</f>
        <v>60140</v>
      </c>
      <c r="Z3020" s="153">
        <v>2.9149218835660951E-2</v>
      </c>
      <c r="AA3020" s="155">
        <v>2.8935812559227614E-2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60142</v>
      </c>
      <c r="Y3021" s="152">
        <f>_xll.qlInterestRateIndexValueDate(IborIndex,X3021,Trigger)</f>
        <v>60147</v>
      </c>
      <c r="Z3021" s="153">
        <v>2.9145677630960366E-2</v>
      </c>
      <c r="AA3021" s="155">
        <v>2.8935716241473841E-2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60149</v>
      </c>
      <c r="Y3022" s="152">
        <f>_xll.qlInterestRateIndexValueDate(IborIndex,X3022,Trigger)</f>
        <v>60153</v>
      </c>
      <c r="Z3022" s="153">
        <v>2.9146837129666141E-2</v>
      </c>
      <c r="AA3022" s="155">
        <v>2.8935641914609178E-2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60156</v>
      </c>
      <c r="Y3023" s="152">
        <f>_xll.qlInterestRateIndexValueDate(IborIndex,X3023,Trigger)</f>
        <v>60160</v>
      </c>
      <c r="Z3023" s="153">
        <v>2.914682355788464E-2</v>
      </c>
      <c r="AA3023" s="155">
        <v>2.8935564803171943E-2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60163</v>
      </c>
      <c r="Y3024" s="152">
        <f>_xll.qlInterestRateIndexValueDate(IborIndex,X3024,Trigger)</f>
        <v>60167</v>
      </c>
      <c r="Z3024" s="153">
        <v>2.9146812871387238E-2</v>
      </c>
      <c r="AA3024" s="155">
        <v>2.8935498033622054E-2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60170</v>
      </c>
      <c r="Y3025" s="152">
        <f>_xll.qlInterestRateIndexValueDate(IborIndex,X3025,Trigger)</f>
        <v>60174</v>
      </c>
      <c r="Z3025" s="153">
        <v>2.9147978681664969E-2</v>
      </c>
      <c r="AA3025" s="155">
        <v>2.8935441605879575E-2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60177</v>
      </c>
      <c r="Y3026" s="152">
        <f>_xll.qlInterestRateIndexValueDate(IborIndex,X3026,Trigger)</f>
        <v>60181</v>
      </c>
      <c r="Z3026" s="153">
        <v>2.9146798540407758E-2</v>
      </c>
      <c r="AA3026" s="155">
        <v>2.8935395519944507E-2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60184</v>
      </c>
      <c r="Y3027" s="152">
        <f>_xll.qlInterestRateIndexValueDate(IborIndex,X3027,Trigger)</f>
        <v>60189</v>
      </c>
      <c r="Z3027" s="153">
        <v>2.9146793566292573E-2</v>
      </c>
      <c r="AA3027" s="155">
        <v>2.8935355513706185E-2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60191</v>
      </c>
      <c r="Y3028" s="152">
        <f>_xll.qlInterestRateIndexValueDate(IborIndex,X3028,Trigger)</f>
        <v>60195</v>
      </c>
      <c r="Z3028" s="153">
        <v>2.9146790909049355E-2</v>
      </c>
      <c r="AA3028" s="155">
        <v>2.8935334373496602E-2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60198</v>
      </c>
      <c r="Y3029" s="152">
        <f>_xll.qlInterestRateIndexValueDate(IborIndex,X3029,Trigger)</f>
        <v>60202</v>
      </c>
      <c r="Z3029" s="153">
        <v>2.9146788597078963E-2</v>
      </c>
      <c r="AA3029" s="155">
        <v>2.8935319313063701E-2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60205</v>
      </c>
      <c r="Y3030" s="152">
        <f>_xll.qlInterestRateIndexValueDate(IborIndex,X3030,Trigger)</f>
        <v>60209</v>
      </c>
      <c r="Z3030" s="153">
        <v>2.9147960814353842E-2</v>
      </c>
      <c r="AA3030" s="155">
        <v>2.8935314348315089E-2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60212</v>
      </c>
      <c r="Y3031" s="152">
        <f>_xll.qlInterestRateIndexValueDate(IborIndex,X3031,Trigger)</f>
        <v>60216</v>
      </c>
      <c r="Z3031" s="153">
        <v>2.9146785005601954E-2</v>
      </c>
      <c r="AA3031" s="155">
        <v>2.8935312586924056E-2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60219</v>
      </c>
      <c r="Y3032" s="152">
        <f>_xll.qlInterestRateIndexValueDate(IborIndex,X3032,Trigger)</f>
        <v>60223</v>
      </c>
      <c r="Z3032" s="153">
        <v>2.9146783265194577E-2</v>
      </c>
      <c r="AA3032" s="155">
        <v>2.8935310828970273E-2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60226</v>
      </c>
      <c r="Y3033" s="152">
        <f>_xll.qlInterestRateIndexValueDate(IborIndex,X3033,Trigger)</f>
        <v>60230</v>
      </c>
      <c r="Z3033" s="153">
        <v>2.9147955593253349E-2</v>
      </c>
      <c r="AA3033" s="155">
        <v>2.8935309074373805E-2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60233</v>
      </c>
      <c r="Y3034" s="152">
        <f>_xll.qlInterestRateIndexValueDate(IborIndex,X3034,Trigger)</f>
        <v>60237</v>
      </c>
      <c r="Z3034" s="153">
        <v>2.9146779794669172E-2</v>
      </c>
      <c r="AA3034" s="155">
        <v>2.8935307322974779E-2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60240</v>
      </c>
      <c r="Y3035" s="152">
        <f>_xll.qlInterestRateIndexValueDate(IborIndex,X3035,Trigger)</f>
        <v>60244</v>
      </c>
      <c r="Z3035" s="153">
        <v>2.9146778064550266E-2</v>
      </c>
      <c r="AA3035" s="155">
        <v>2.8935305575252812E-2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60247</v>
      </c>
      <c r="Y3036" s="152">
        <f>_xll.qlInterestRateIndexValueDate(IborIndex,X3036,Trigger)</f>
        <v>60251</v>
      </c>
      <c r="Z3036" s="153">
        <v>2.9146776337860707E-2</v>
      </c>
      <c r="AA3036" s="155">
        <v>2.8935303830808223E-2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60254</v>
      </c>
      <c r="Y3037" s="152">
        <f>_xll.qlInterestRateIndexValueDate(IborIndex,X3037,Trigger)</f>
        <v>60258</v>
      </c>
      <c r="Z3037" s="153">
        <v>2.9146774614600489E-2</v>
      </c>
      <c r="AA3037" s="155">
        <v>2.8939953364957915E-2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60265</v>
      </c>
      <c r="Y3038" s="152">
        <f>_xll.qlInterestRateIndexValueDate(IborIndex,X3038,Trigger)</f>
        <v>60267</v>
      </c>
      <c r="Z3038" s="153">
        <v>2.9145598401415895E-2</v>
      </c>
      <c r="AA3038" s="155">
        <v>2.8935299112582413E-2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60272</v>
      </c>
      <c r="Y3039" s="152">
        <f>_xll.qlInterestRateIndexValueDate(IborIndex,X3039,Trigger)</f>
        <v>60274</v>
      </c>
      <c r="Z3039" s="153">
        <v>2.9145596685887842E-2</v>
      </c>
      <c r="AA3039" s="155">
        <v>2.8937623636142717E-2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60279</v>
      </c>
      <c r="Y3040" s="152">
        <f>_xll.qlInterestRateIndexValueDate(IborIndex,X3040,Trigger)</f>
        <v>60281</v>
      </c>
      <c r="Z3040" s="153">
        <v>2.914559497378821E-2</v>
      </c>
      <c r="AA3040" s="155">
        <v>2.8937621906326427E-2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60286</v>
      </c>
      <c r="Y3041" s="152">
        <f>_xll.qlInterestRateIndexValueDate(IborIndex,X3041,Trigger)</f>
        <v>60288</v>
      </c>
      <c r="Z3041" s="153">
        <v>2.9145593265117436E-2</v>
      </c>
      <c r="AA3041" s="155">
        <v>2.8937620179894097E-2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60293</v>
      </c>
      <c r="Y3042" s="152">
        <f>_xll.qlInterestRateIndexValueDate(IborIndex,X3042,Trigger)</f>
        <v>60295</v>
      </c>
      <c r="Z3042" s="153">
        <v>2.9145591559875964E-2</v>
      </c>
      <c r="AA3042" s="155">
        <v>2.8937618456899017E-2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60300</v>
      </c>
      <c r="Y3043" s="152">
        <f>_xll.qlInterestRateIndexValueDate(IborIndex,X3043,Trigger)</f>
        <v>60302</v>
      </c>
      <c r="Z3043" s="153">
        <v>2.9145589858064234E-2</v>
      </c>
      <c r="AA3043" s="155">
        <v>2.8937616737234606E-2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60307</v>
      </c>
      <c r="Y3044" s="152">
        <f>_xll.qlInterestRateIndexValueDate(IborIndex,X3044,Trigger)</f>
        <v>60309</v>
      </c>
      <c r="Z3044" s="153">
        <v>2.9145588159681362E-2</v>
      </c>
      <c r="AA3044" s="155">
        <v>2.8937615020954155E-2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60314</v>
      </c>
      <c r="Y3045" s="152">
        <f>_xll.qlInterestRateIndexValueDate(IborIndex,X3045,Trigger)</f>
        <v>60316</v>
      </c>
      <c r="Z3045" s="153">
        <v>2.9145586464726907E-2</v>
      </c>
      <c r="AA3045" s="155">
        <v>2.8937613308057664E-2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60321</v>
      </c>
      <c r="Y3046" s="152">
        <f>_xll.qlInterestRateIndexValueDate(IborIndex,X3046,Trigger)</f>
        <v>60323</v>
      </c>
      <c r="Z3046" s="153">
        <v>2.9145584773202199E-2</v>
      </c>
      <c r="AA3046" s="155">
        <v>2.8937611598571777E-2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60328</v>
      </c>
      <c r="Y3047" s="152">
        <f>_xll.qlInterestRateIndexValueDate(IborIndex,X3047,Trigger)</f>
        <v>60330</v>
      </c>
      <c r="Z3047" s="153">
        <v>2.9149105284823524E-2</v>
      </c>
      <c r="AA3047" s="155">
        <v>2.8937609892443206E-2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60335</v>
      </c>
      <c r="Y3048" s="152">
        <f>_xll.qlInterestRateIndexValueDate(IborIndex,X3048,Trigger)</f>
        <v>60337</v>
      </c>
      <c r="Z3048" s="153">
        <v>2.9149103600485636E-2</v>
      </c>
      <c r="AA3048" s="155">
        <v>2.8937608189698594E-2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60342</v>
      </c>
      <c r="Y3049" s="152">
        <f>_xll.qlInterestRateIndexValueDate(IborIndex,X3049,Trigger)</f>
        <v>60344</v>
      </c>
      <c r="Z3049" s="153">
        <v>2.9149101919577182E-2</v>
      </c>
      <c r="AA3049" s="155">
        <v>2.8937606490311296E-2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60349</v>
      </c>
      <c r="Y3050" s="152">
        <f>_xll.qlInterestRateIndexValueDate(IborIndex,X3050,Trigger)</f>
        <v>60351</v>
      </c>
      <c r="Z3050" s="153">
        <v>2.9149100242099893E-2</v>
      </c>
      <c r="AA3050" s="155">
        <v>2.8935278310822099E-2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60357</v>
      </c>
      <c r="Y3051" s="152">
        <f>_xll.qlInterestRateIndexValueDate(IborIndex,X3051,Trigger)</f>
        <v>60359</v>
      </c>
      <c r="Z3051" s="153">
        <v>2.9147924199157283E-2</v>
      </c>
      <c r="AA3051" s="155">
        <v>2.8935276861261627E-2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60364</v>
      </c>
      <c r="Y3052" s="152">
        <f>_xll.qlInterestRateIndexValueDate(IborIndex,X3052,Trigger)</f>
        <v>60366</v>
      </c>
      <c r="Z3052" s="153">
        <v>2.9147922528918253E-2</v>
      </c>
      <c r="AA3052" s="155">
        <v>2.8935275173171959E-2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60371</v>
      </c>
      <c r="Y3053" s="152">
        <f>_xll.qlInterestRateIndexValueDate(IborIndex,X3053,Trigger)</f>
        <v>60373</v>
      </c>
      <c r="Z3053" s="153">
        <v>2.9147920862108614E-2</v>
      </c>
      <c r="AA3053" s="155">
        <v>2.8935273488679414E-2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60378</v>
      </c>
      <c r="Y3054" s="152">
        <f>_xll.qlInterestRateIndexValueDate(IborIndex,X3054,Trigger)</f>
        <v>60380</v>
      </c>
      <c r="Z3054" s="153">
        <v>2.9147919198729232E-2</v>
      </c>
      <c r="AA3054" s="155">
        <v>2.8935271807464247E-2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60385</v>
      </c>
      <c r="Y3055" s="152">
        <f>_xll.qlInterestRateIndexValueDate(IborIndex,X3055,Trigger)</f>
        <v>60387</v>
      </c>
      <c r="Z3055" s="153">
        <v>2.9147917538779242E-2</v>
      </c>
      <c r="AA3055" s="155">
        <v>2.8935269890117965E-2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60392</v>
      </c>
      <c r="Y3056" s="152">
        <f>_xll.qlInterestRateIndexValueDate(IborIndex,X3056,Trigger)</f>
        <v>60394</v>
      </c>
      <c r="Z3056" s="153">
        <v>2.9151438463011436E-2</v>
      </c>
      <c r="AA3056" s="155">
        <v>2.893526845502592E-2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60399</v>
      </c>
      <c r="Y3057" s="152">
        <f>_xll.qlInterestRateIndexValueDate(IborIndex,X3057,Trigger)</f>
        <v>60401</v>
      </c>
      <c r="Z3057" s="153">
        <v>2.9151436810256944E-2</v>
      </c>
      <c r="AA3057" s="155">
        <v>2.8935266784042568E-2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60406</v>
      </c>
      <c r="Y3058" s="152">
        <f>_xll.qlInterestRateIndexValueDate(IborIndex,X3058,Trigger)</f>
        <v>60408</v>
      </c>
      <c r="Z3058" s="153">
        <v>2.9151435160933683E-2</v>
      </c>
      <c r="AA3058" s="155">
        <v>2.8935264878366951E-2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60413</v>
      </c>
      <c r="Y3059" s="152">
        <f>_xll.qlInterestRateIndexValueDate(IborIndex,X3059,Trigger)</f>
        <v>60415</v>
      </c>
      <c r="Z3059" s="153">
        <v>2.9151433515039942E-2</v>
      </c>
      <c r="AA3059" s="155">
        <v>2.8935263451987936E-2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60420</v>
      </c>
      <c r="Y3060" s="152">
        <f>_xll.qlInterestRateIndexValueDate(IborIndex,X3060,Trigger)</f>
        <v>60422</v>
      </c>
      <c r="Z3060" s="153">
        <v>2.9147909290473596E-2</v>
      </c>
      <c r="AA3060" s="155">
        <v>2.8935261791076528E-2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60427</v>
      </c>
      <c r="Y3061" s="152">
        <f>_xll.qlInterestRateIndexValueDate(IborIndex,X3061,Trigger)</f>
        <v>60429</v>
      </c>
      <c r="Z3061" s="153">
        <v>2.914790765110168E-2</v>
      </c>
      <c r="AA3061" s="155">
        <v>2.8935260133442497E-2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60434</v>
      </c>
      <c r="Y3062" s="152">
        <f>_xll.qlInterestRateIndexValueDate(IborIndex,X3062,Trigger)</f>
        <v>60436</v>
      </c>
      <c r="Z3062" s="153">
        <v>2.9147906015159149E-2</v>
      </c>
      <c r="AA3062" s="155">
        <v>2.8935258479325654E-2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60441</v>
      </c>
      <c r="Y3063" s="152">
        <f>_xll.qlInterestRateIndexValueDate(IborIndex,X3063,Trigger)</f>
        <v>60443</v>
      </c>
      <c r="Z3063" s="153">
        <v>2.91526012861608E-2</v>
      </c>
      <c r="AA3063" s="155">
        <v>2.8935256828406253E-2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60448</v>
      </c>
      <c r="Y3064" s="152">
        <f>_xll.qlInterestRateIndexValueDate(IborIndex,X3064,Trigger)</f>
        <v>60450</v>
      </c>
      <c r="Z3064" s="153">
        <v>2.9151425337030273E-2</v>
      </c>
      <c r="AA3064" s="155">
        <v>2.8935255181004038E-2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60455</v>
      </c>
      <c r="Y3065" s="152">
        <f>_xll.qlInterestRateIndexValueDate(IborIndex,X3065,Trigger)</f>
        <v>60457</v>
      </c>
      <c r="Z3065" s="153">
        <v>2.9151423711719634E-2</v>
      </c>
      <c r="AA3065" s="155">
        <v>2.8935253536959138E-2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60462</v>
      </c>
      <c r="Y3066" s="152">
        <f>_xll.qlInterestRateIndexValueDate(IborIndex,X3066,Trigger)</f>
        <v>60464</v>
      </c>
      <c r="Z3066" s="153">
        <v>2.91525964105721E-2</v>
      </c>
      <c r="AA3066" s="155">
        <v>2.8935251896191616E-2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60469</v>
      </c>
      <c r="Y3067" s="152">
        <f>_xll.qlInterestRateIndexValueDate(IborIndex,X3067,Trigger)</f>
        <v>60471</v>
      </c>
      <c r="Z3067" s="153">
        <v>2.9151420471390768E-2</v>
      </c>
      <c r="AA3067" s="155">
        <v>2.8935250258861345E-2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60476</v>
      </c>
      <c r="Y3068" s="152">
        <f>_xll.qlInterestRateIndexValueDate(IborIndex,X3068,Trigger)</f>
        <v>60478</v>
      </c>
      <c r="Z3068" s="153">
        <v>2.9147896271526363E-2</v>
      </c>
      <c r="AA3068" s="155">
        <v>2.8935248625128196E-2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60483</v>
      </c>
      <c r="Y3069" s="152">
        <f>_xll.qlInterestRateIndexValueDate(IborIndex,X3069,Trigger)</f>
        <v>60485</v>
      </c>
      <c r="Z3069" s="153">
        <v>2.9151417244782971E-2</v>
      </c>
      <c r="AA3069" s="155">
        <v>2.893524699459249E-2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60490</v>
      </c>
      <c r="Y3070" s="152">
        <f>_xll.qlInterestRateIndexValueDate(IborIndex,X3070,Trigger)</f>
        <v>60492</v>
      </c>
      <c r="Z3070" s="153">
        <v>2.91525899578189E-2</v>
      </c>
      <c r="AA3070" s="155">
        <v>2.8935245367414097E-2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60497</v>
      </c>
      <c r="Y3071" s="152">
        <f>_xll.qlInterestRateIndexValueDate(IborIndex,X3071,Trigger)</f>
        <v>60499</v>
      </c>
      <c r="Z3071" s="153">
        <v>2.91514140318971E-2</v>
      </c>
      <c r="AA3071" s="155">
        <v>2.893524374359302E-2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60504</v>
      </c>
      <c r="Y3072" s="152">
        <f>_xll.qlInterestRateIndexValueDate(IborIndex,X3072,Trigger)</f>
        <v>60506</v>
      </c>
      <c r="Z3072" s="153">
        <v>2.9147889844364613E-2</v>
      </c>
      <c r="AA3072" s="155">
        <v>2.8935241891954178E-2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60511</v>
      </c>
      <c r="Y3073" s="152">
        <f>_xll.qlInterestRateIndexValueDate(IborIndex,X3073,Trigger)</f>
        <v>60513</v>
      </c>
      <c r="Z3073" s="153">
        <v>2.9145540170090717E-2</v>
      </c>
      <c r="AA3073" s="155">
        <v>2.893524050618268E-2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60518</v>
      </c>
      <c r="Y3074" s="152">
        <f>_xll.qlInterestRateIndexValueDate(IborIndex,X3074,Trigger)</f>
        <v>60520</v>
      </c>
      <c r="Z3074" s="153">
        <v>2.9145538575070469E-2</v>
      </c>
      <c r="AA3074" s="155">
        <v>2.8935238892513482E-2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60525</v>
      </c>
      <c r="Y3075" s="152">
        <f>_xll.qlInterestRateIndexValueDate(IborIndex,X3075,Trigger)</f>
        <v>60527</v>
      </c>
      <c r="Z3075" s="153">
        <v>2.9145536983478638E-2</v>
      </c>
      <c r="AA3075" s="155">
        <v>2.893523728236147E-2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60532</v>
      </c>
      <c r="Y3076" s="152">
        <f>_xll.qlInterestRateIndexValueDate(IborIndex,X3076,Trigger)</f>
        <v>60534</v>
      </c>
      <c r="Z3076" s="153">
        <v>2.9145535395316551E-2</v>
      </c>
      <c r="AA3076" s="155">
        <v>2.8935235675406901E-2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60539</v>
      </c>
      <c r="Y3077" s="152">
        <f>_xll.qlInterestRateIndexValueDate(IborIndex,X3077,Trigger)</f>
        <v>60541</v>
      </c>
      <c r="Z3077" s="153">
        <v>2.914670781758422E-2</v>
      </c>
      <c r="AA3077" s="155">
        <v>2.8935234071809646E-2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60546</v>
      </c>
      <c r="Y3078" s="152">
        <f>_xll.qlInterestRateIndexValueDate(IborIndex,X3078,Trigger)</f>
        <v>60548</v>
      </c>
      <c r="Z3078" s="153">
        <v>2.9146706236398926E-2</v>
      </c>
      <c r="AA3078" s="155">
        <v>2.8935232471809513E-2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60553</v>
      </c>
      <c r="Y3079" s="152">
        <f>_xll.qlInterestRateIndexValueDate(IborIndex,X3079,Trigger)</f>
        <v>60555</v>
      </c>
      <c r="Z3079" s="153">
        <v>2.9146704658642102E-2</v>
      </c>
      <c r="AA3079" s="155">
        <v>2.8935230875086759E-2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60560</v>
      </c>
      <c r="Y3080" s="152">
        <f>_xll.qlInterestRateIndexValueDate(IborIndex,X3080,Trigger)</f>
        <v>60562</v>
      </c>
      <c r="Z3080" s="153">
        <v>2.914670308431418E-2</v>
      </c>
      <c r="AA3080" s="155">
        <v>2.8935229281801256E-2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60567</v>
      </c>
      <c r="Y3081" s="152">
        <f>_xll.qlInterestRateIndexValueDate(IborIndex,X3081,Trigger)</f>
        <v>60569</v>
      </c>
      <c r="Z3081" s="153">
        <v>2.9146701513416483E-2</v>
      </c>
      <c r="AA3081" s="155">
        <v>2.8935227691633258E-2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60574</v>
      </c>
      <c r="Y3082" s="152">
        <f>_xll.qlInterestRateIndexValueDate(IborIndex,X3082,Trigger)</f>
        <v>60576</v>
      </c>
      <c r="Z3082" s="153">
        <v>2.9145525938355371E-2</v>
      </c>
      <c r="AA3082" s="155">
        <v>2.893522610514232E-2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60581</v>
      </c>
      <c r="Y3083" s="152">
        <f>_xll.qlInterestRateIndexValueDate(IborIndex,X3083,Trigger)</f>
        <v>60583</v>
      </c>
      <c r="Z3083" s="153">
        <v>2.9145524374197505E-2</v>
      </c>
      <c r="AA3083" s="155">
        <v>2.8935224521848824E-2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60588</v>
      </c>
      <c r="Y3084" s="152">
        <f>_xll.qlInterestRateIndexValueDate(IborIndex,X3084,Trigger)</f>
        <v>60590</v>
      </c>
      <c r="Z3084" s="153">
        <v>2.914552281346806E-2</v>
      </c>
      <c r="AA3084" s="155">
        <v>2.8935222941992578E-2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60595</v>
      </c>
      <c r="Y3085" s="152">
        <f>_xll.qlInterestRateIndexValueDate(IborIndex,X3085,Trigger)</f>
        <v>60598</v>
      </c>
      <c r="Z3085" s="153">
        <v>2.914552103397659E-2</v>
      </c>
      <c r="AA3085" s="155">
        <v>2.8935221140793388E-2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60602</v>
      </c>
      <c r="Y3086" s="152">
        <f>_xll.qlInterestRateIndexValueDate(IborIndex,X3086,Trigger)</f>
        <v>60604</v>
      </c>
      <c r="Z3086" s="153">
        <v>2.9146693710367728E-2</v>
      </c>
      <c r="AA3086" s="155">
        <v>2.8935219792591838E-2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60609</v>
      </c>
      <c r="Y3087" s="152">
        <f>_xll.qlInterestRateIndexValueDate(IborIndex,X3087,Trigger)</f>
        <v>60611</v>
      </c>
      <c r="Z3087" s="153">
        <v>2.9146692160046096E-2</v>
      </c>
      <c r="AA3087" s="155">
        <v>2.8935218222967407E-2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60616</v>
      </c>
      <c r="Y3088" s="152">
        <f>_xll.qlInterestRateIndexValueDate(IborIndex,X3088,Trigger)</f>
        <v>60618</v>
      </c>
      <c r="Z3088" s="153">
        <v>2.9146690613153812E-2</v>
      </c>
      <c r="AA3088" s="155">
        <v>2.8935216656540419E-2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60623</v>
      </c>
      <c r="Y3089" s="152">
        <f>_xll.qlInterestRateIndexValueDate(IborIndex,X3089,Trigger)</f>
        <v>60625</v>
      </c>
      <c r="Z3089" s="153">
        <v>2.9146689069691312E-2</v>
      </c>
      <c r="AA3089" s="155">
        <v>2.8935214647667351E-2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60630</v>
      </c>
      <c r="Y3090" s="152">
        <f>_xll.qlInterestRateIndexValueDate(IborIndex,X3090,Trigger)</f>
        <v>60632</v>
      </c>
      <c r="Z3090" s="153">
        <v>2.9145513521103169E-2</v>
      </c>
      <c r="AA3090" s="155">
        <v>2.8935213311536145E-2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60637</v>
      </c>
      <c r="Y3091" s="152">
        <f>_xll.qlInterestRateIndexValueDate(IborIndex,X3091,Trigger)</f>
        <v>60639</v>
      </c>
      <c r="Z3091" s="153">
        <v>2.914551198437839E-2</v>
      </c>
      <c r="AA3091" s="155">
        <v>2.8935211977882958E-2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60644</v>
      </c>
      <c r="Y3092" s="152">
        <f>_xll.qlInterestRateIndexValueDate(IborIndex,X3092,Trigger)</f>
        <v>60646</v>
      </c>
      <c r="Z3092" s="153">
        <v>2.9145510451082029E-2</v>
      </c>
      <c r="AA3092" s="155">
        <v>2.8935210424965163E-2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60651</v>
      </c>
      <c r="Y3093" s="152">
        <f>_xll.qlInterestRateIndexValueDate(IborIndex,X3093,Trigger)</f>
        <v>60653</v>
      </c>
      <c r="Z3093" s="153">
        <v>2.9145508921214081E-2</v>
      </c>
      <c r="AA3093" s="155">
        <v>2.8935208875724427E-2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60658</v>
      </c>
      <c r="Y3094" s="152">
        <f>_xll.qlInterestRateIndexValueDate(IborIndex,X3094,Trigger)</f>
        <v>60660</v>
      </c>
      <c r="Z3094" s="153">
        <v>2.914550739477632E-2</v>
      </c>
      <c r="AA3094" s="155">
        <v>2.8935207329601198E-2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60665</v>
      </c>
      <c r="Y3095" s="152">
        <f>_xll.qlInterestRateIndexValueDate(IborIndex,X3095,Trigger)</f>
        <v>60667</v>
      </c>
      <c r="Z3095" s="153">
        <v>2.914550587176698E-2</v>
      </c>
      <c r="AA3095" s="155">
        <v>2.8935205786915219E-2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60672</v>
      </c>
      <c r="Y3096" s="152">
        <f>_xll.qlInterestRateIndexValueDate(IborIndex,X3096,Trigger)</f>
        <v>60674</v>
      </c>
      <c r="Z3096" s="153">
        <v>2.9145504352186935E-2</v>
      </c>
      <c r="AA3096" s="155">
        <v>2.8935204247746427E-2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60679</v>
      </c>
      <c r="Y3097" s="152">
        <f>_xll.qlInterestRateIndexValueDate(IborIndex,X3097,Trigger)</f>
        <v>60681</v>
      </c>
      <c r="Z3097" s="153">
        <v>2.9145502836035755E-2</v>
      </c>
      <c r="AA3097" s="155">
        <v>2.8935202711855013E-2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60686</v>
      </c>
      <c r="Y3098" s="152">
        <f>_xll.qlInterestRateIndexValueDate(IborIndex,X3098,Trigger)</f>
        <v>60688</v>
      </c>
      <c r="Z3098" s="153">
        <v>2.9145501323314314E-2</v>
      </c>
      <c r="AA3098" s="155">
        <v>2.8935201179320913E-2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60693</v>
      </c>
      <c r="Y3099" s="152">
        <f>_xll.qlInterestRateIndexValueDate(IborIndex,X3099,Trigger)</f>
        <v>60695</v>
      </c>
      <c r="Z3099" s="153">
        <v>2.9152544816970407E-2</v>
      </c>
      <c r="AA3099" s="155">
        <v>2.8935199650144128E-2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60700</v>
      </c>
      <c r="Y3100" s="152">
        <f>_xll.qlInterestRateIndexValueDate(IborIndex,X3100,Trigger)</f>
        <v>60702</v>
      </c>
      <c r="Z3100" s="153">
        <v>2.9151368987053974E-2</v>
      </c>
      <c r="AA3100" s="155">
        <v>2.8935198124324657E-2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60707</v>
      </c>
      <c r="Y3101" s="152">
        <f>_xll.qlInterestRateIndexValueDate(IborIndex,X3101,Trigger)</f>
        <v>60709</v>
      </c>
      <c r="Z3101" s="153">
        <v>2.9151367485240678E-2</v>
      </c>
      <c r="AA3101" s="155">
        <v>2.8935196602022373E-2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60714</v>
      </c>
      <c r="Y3102" s="152">
        <f>_xll.qlInterestRateIndexValueDate(IborIndex,X3102,Trigger)</f>
        <v>60716</v>
      </c>
      <c r="Z3102" s="153">
        <v>2.9151365986858184E-2</v>
      </c>
      <c r="AA3102" s="155">
        <v>2.8935195082997467E-2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60721</v>
      </c>
      <c r="Y3103" s="152">
        <f>_xll.qlInterestRateIndexValueDate(IborIndex,X3103,Trigger)</f>
        <v>60723</v>
      </c>
      <c r="Z3103" s="153">
        <v>2.9147841894445605E-2</v>
      </c>
      <c r="AA3103" s="155">
        <v>2.8935193567329875E-2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60728</v>
      </c>
      <c r="Y3104" s="152">
        <f>_xll.qlInterestRateIndexValueDate(IborIndex,X3104,Trigger)</f>
        <v>60730</v>
      </c>
      <c r="Z3104" s="153">
        <v>2.914784040254785E-2</v>
      </c>
      <c r="AA3104" s="155">
        <v>2.8935191623764567E-2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60735</v>
      </c>
      <c r="Y3105" s="152">
        <f>_xll.qlInterestRateIndexValueDate(IborIndex,X3105,Trigger)</f>
        <v>60737</v>
      </c>
      <c r="Z3105" s="153">
        <v>2.9147838914080359E-2</v>
      </c>
      <c r="AA3105" s="155">
        <v>2.8935190546306444E-2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60742</v>
      </c>
      <c r="Y3106" s="152">
        <f>_xll.qlInterestRateIndexValueDate(IborIndex,X3106,Trigger)</f>
        <v>60744</v>
      </c>
      <c r="Z3106" s="153">
        <v>2.9147837429042693E-2</v>
      </c>
      <c r="AA3106" s="155">
        <v>2.8935189040790732E-2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60749</v>
      </c>
      <c r="Y3107" s="152">
        <f>_xll.qlInterestRateIndexValueDate(IborIndex,X3107,Trigger)</f>
        <v>60751</v>
      </c>
      <c r="Z3107" s="153">
        <v>2.9147835947434413E-2</v>
      </c>
      <c r="AA3107" s="155">
        <v>2.8935187324323763E-2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60756</v>
      </c>
      <c r="Y3108" s="152">
        <f>_xll.qlInterestRateIndexValueDate(IborIndex,X3108,Trigger)</f>
        <v>60758</v>
      </c>
      <c r="Z3108" s="153">
        <v>2.9151357068601082E-2</v>
      </c>
      <c r="AA3108" s="155">
        <v>2.8935186039991123E-2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60763</v>
      </c>
      <c r="Y3109" s="152">
        <f>_xll.qlInterestRateIndexValueDate(IborIndex,X3109,Trigger)</f>
        <v>60765</v>
      </c>
      <c r="Z3109" s="153">
        <v>2.915135559423207E-2</v>
      </c>
      <c r="AA3109" s="155">
        <v>2.893518454462729E-2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60770</v>
      </c>
      <c r="Y3110" s="152">
        <f>_xll.qlInterestRateIndexValueDate(IborIndex,X3110,Trigger)</f>
        <v>60772</v>
      </c>
      <c r="Z3110" s="153">
        <v>2.9151354123293002E-2</v>
      </c>
      <c r="AA3110" s="155">
        <v>2.8935183052620772E-2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60777</v>
      </c>
      <c r="Y3111" s="152">
        <f>_xll.qlInterestRateIndexValueDate(IborIndex,X3111,Trigger)</f>
        <v>60779</v>
      </c>
      <c r="Z3111" s="153">
        <v>2.9151352655784304E-2</v>
      </c>
      <c r="AA3111" s="155">
        <v>2.8935181351741335E-2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60784</v>
      </c>
      <c r="Y3112" s="152">
        <f>_xll.qlInterestRateIndexValueDate(IborIndex,X3112,Trigger)</f>
        <v>60786</v>
      </c>
      <c r="Z3112" s="153">
        <v>2.9147828590838209E-2</v>
      </c>
      <c r="AA3112" s="155">
        <v>2.8935180078919487E-2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60791</v>
      </c>
      <c r="Y3113" s="152">
        <f>_xll.qlInterestRateIndexValueDate(IborIndex,X3113,Trigger)</f>
        <v>60793</v>
      </c>
      <c r="Z3113" s="153">
        <v>2.9147827129807565E-2</v>
      </c>
      <c r="AA3113" s="155">
        <v>2.8935178597064848E-2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60798</v>
      </c>
      <c r="Y3114" s="152">
        <f>_xll.qlInterestRateIndexValueDate(IborIndex,X3114,Trigger)</f>
        <v>60800</v>
      </c>
      <c r="Z3114" s="153">
        <v>2.9147825672207188E-2</v>
      </c>
      <c r="AA3114" s="155">
        <v>2.8935177118567523E-2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60805</v>
      </c>
      <c r="Y3115" s="152">
        <f>_xll.qlInterestRateIndexValueDate(IborIndex,X3115,Trigger)</f>
        <v>60807</v>
      </c>
      <c r="Z3115" s="153">
        <v>2.9153695536450527E-2</v>
      </c>
      <c r="AA3115" s="155">
        <v>2.8935175643507449E-2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60812</v>
      </c>
      <c r="Y3116" s="152">
        <f>_xll.qlInterestRateIndexValueDate(IborIndex,X3116,Trigger)</f>
        <v>60814</v>
      </c>
      <c r="Z3116" s="153">
        <v>2.9152519696517953E-2</v>
      </c>
      <c r="AA3116" s="155">
        <v>2.8935174171964562E-2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60819</v>
      </c>
      <c r="Y3117" s="152">
        <f>_xll.qlInterestRateIndexValueDate(IborIndex,X3117,Trigger)</f>
        <v>60821</v>
      </c>
      <c r="Z3117" s="153">
        <v>2.915134392277386E-2</v>
      </c>
      <c r="AA3117" s="155">
        <v>2.8935172703619116E-2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60826</v>
      </c>
      <c r="Y3118" s="152">
        <f>_xll.qlInterestRateIndexValueDate(IborIndex,X3118,Trigger)</f>
        <v>60828</v>
      </c>
      <c r="Z3118" s="153">
        <v>2.9152516806354976E-2</v>
      </c>
      <c r="AA3118" s="155">
        <v>2.8935171238790858E-2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60833</v>
      </c>
      <c r="Y3119" s="152">
        <f>_xll.qlInterestRateIndexValueDate(IborIndex,X3119,Trigger)</f>
        <v>60835</v>
      </c>
      <c r="Z3119" s="153">
        <v>2.9151341039212946E-2</v>
      </c>
      <c r="AA3119" s="155">
        <v>2.8935169777160041E-2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60840</v>
      </c>
      <c r="Y3120" s="152">
        <f>_xll.qlInterestRateIndexValueDate(IborIndex,X3120,Trigger)</f>
        <v>60842</v>
      </c>
      <c r="Z3120" s="153">
        <v>2.9151339602579335E-2</v>
      </c>
      <c r="AA3120" s="155">
        <v>2.8935168318886539E-2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60847</v>
      </c>
      <c r="Y3121" s="152">
        <f>_xll.qlInterestRateIndexValueDate(IborIndex,X3121,Trigger)</f>
        <v>60849</v>
      </c>
      <c r="Z3121" s="153">
        <v>2.9151338169375672E-2</v>
      </c>
      <c r="AA3121" s="155">
        <v>2.8935166864130224E-2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60854</v>
      </c>
      <c r="Y3122" s="152">
        <f>_xll.qlInterestRateIndexValueDate(IborIndex,X3122,Trigger)</f>
        <v>60856</v>
      </c>
      <c r="Z3122" s="153">
        <v>2.9151336739601956E-2</v>
      </c>
      <c r="AA3122" s="155">
        <v>2.8935165412811159E-2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60861</v>
      </c>
      <c r="Y3123" s="152">
        <f>_xll.qlInterestRateIndexValueDate(IborIndex,X3123,Trigger)</f>
        <v>60863</v>
      </c>
      <c r="Z3123" s="153">
        <v>2.9152509640985074E-2</v>
      </c>
      <c r="AA3123" s="155">
        <v>2.8935163964769472E-2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60868</v>
      </c>
      <c r="Y3124" s="152">
        <f>_xll.qlInterestRateIndexValueDate(IborIndex,X3124,Trigger)</f>
        <v>60870</v>
      </c>
      <c r="Z3124" s="153">
        <v>2.915133389034779E-2</v>
      </c>
      <c r="AA3124" s="155">
        <v>2.8935162314009943E-2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60875</v>
      </c>
      <c r="Y3125" s="152">
        <f>_xll.qlInterestRateIndexValueDate(IborIndex,X3125,Trigger)</f>
        <v>60877</v>
      </c>
      <c r="Z3125" s="153">
        <v>2.9145461776022907E-2</v>
      </c>
      <c r="AA3125" s="155">
        <v>2.8935161078917915E-2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60882</v>
      </c>
      <c r="Y3126" s="152">
        <f>_xll.qlInterestRateIndexValueDate(IborIndex,X3126,Trigger)</f>
        <v>60884</v>
      </c>
      <c r="Z3126" s="153">
        <v>2.9145460359315711E-2</v>
      </c>
      <c r="AA3126" s="155">
        <v>2.8935159641028108E-2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60889</v>
      </c>
      <c r="Y3127" s="152">
        <f>_xll.qlInterestRateIndexValueDate(IborIndex,X3127,Trigger)</f>
        <v>60891</v>
      </c>
      <c r="Z3127" s="153">
        <v>2.9145458946038261E-2</v>
      </c>
      <c r="AA3127" s="155">
        <v>2.8935158206495615E-2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60896</v>
      </c>
      <c r="Y3128" s="152">
        <f>_xll.qlInterestRateIndexValueDate(IborIndex,X3128,Trigger)</f>
        <v>60898</v>
      </c>
      <c r="Z3128" s="153">
        <v>2.9145457536189669E-2</v>
      </c>
      <c r="AA3128" s="155">
        <v>2.8935156775320436E-2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60903</v>
      </c>
      <c r="Y3129" s="152">
        <f>_xll.qlInterestRateIndexValueDate(IborIndex,X3129,Trigger)</f>
        <v>60905</v>
      </c>
      <c r="Z3129" s="153">
        <v>2.9146630143263619E-2</v>
      </c>
      <c r="AA3129" s="155">
        <v>2.8935155347662445E-2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60910</v>
      </c>
      <c r="Y3130" s="152">
        <f>_xll.qlInterestRateIndexValueDate(IborIndex,X3130,Trigger)</f>
        <v>60912</v>
      </c>
      <c r="Z3130" s="153">
        <v>2.914662874040513E-2</v>
      </c>
      <c r="AA3130" s="155">
        <v>2.8935153923281831E-2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60917</v>
      </c>
      <c r="Y3131" s="152">
        <f>_xll.qlInterestRateIndexValueDate(IborIndex,X3131,Trigger)</f>
        <v>60919</v>
      </c>
      <c r="Z3131" s="153">
        <v>2.9146627340975985E-2</v>
      </c>
      <c r="AA3131" s="155">
        <v>2.8935152502178596E-2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60924</v>
      </c>
      <c r="Y3132" s="152">
        <f>_xll.qlInterestRateIndexValueDate(IborIndex,X3132,Trigger)</f>
        <v>60926</v>
      </c>
      <c r="Z3132" s="153">
        <v>2.9146625944977064E-2</v>
      </c>
      <c r="AA3132" s="155">
        <v>2.8935151084592547E-2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60931</v>
      </c>
      <c r="Y3133" s="152">
        <f>_xll.qlInterestRateIndexValueDate(IborIndex,X3133,Trigger)</f>
        <v>60933</v>
      </c>
      <c r="Z3133" s="153">
        <v>2.9146624552405732E-2</v>
      </c>
      <c r="AA3133" s="155">
        <v>2.8935149670443749E-2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60938</v>
      </c>
      <c r="Y3134" s="152">
        <f>_xll.qlInterestRateIndexValueDate(IborIndex,X3134,Trigger)</f>
        <v>60940</v>
      </c>
      <c r="Z3134" s="153">
        <v>2.9145449149106377E-2</v>
      </c>
      <c r="AA3134" s="155">
        <v>2.8935148259652266E-2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60945</v>
      </c>
      <c r="Y3135" s="152">
        <f>_xll.qlInterestRateIndexValueDate(IborIndex,X3135,Trigger)</f>
        <v>60948</v>
      </c>
      <c r="Z3135" s="153">
        <v>2.9145447565562914E-2</v>
      </c>
      <c r="AA3135" s="155">
        <v>2.8935146651338783E-2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60952</v>
      </c>
      <c r="Y3136" s="152">
        <f>_xll.qlInterestRateIndexValueDate(IborIndex,X3136,Trigger)</f>
        <v>60954</v>
      </c>
      <c r="Z3136" s="153">
        <v>2.9145446380845177E-2</v>
      </c>
      <c r="AA3136" s="155">
        <v>2.8935145448061306E-2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60959</v>
      </c>
      <c r="Y3137" s="152">
        <f>_xll.qlInterestRateIndexValueDate(IborIndex,X3137,Trigger)</f>
        <v>60962</v>
      </c>
      <c r="Z3137" s="153">
        <v>2.9145444805140305E-2</v>
      </c>
      <c r="AA3137" s="155">
        <v>2.8935143847421685E-2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60966</v>
      </c>
      <c r="Y3138" s="152">
        <f>_xll.qlInterestRateIndexValueDate(IborIndex,X3138,Trigger)</f>
        <v>60968</v>
      </c>
      <c r="Z3138" s="153">
        <v>2.914661764099407E-2</v>
      </c>
      <c r="AA3138" s="155">
        <v>2.8935142649979539E-2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60973</v>
      </c>
      <c r="Y3139" s="152">
        <f>_xll.qlInterestRateIndexValueDate(IborIndex,X3139,Trigger)</f>
        <v>60975</v>
      </c>
      <c r="Z3139" s="153">
        <v>2.9146616269000562E-2</v>
      </c>
      <c r="AA3139" s="155">
        <v>2.8935141255974628E-2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60980</v>
      </c>
      <c r="Y3140" s="152">
        <f>_xll.qlInterestRateIndexValueDate(IborIndex,X3140,Trigger)</f>
        <v>60982</v>
      </c>
      <c r="Z3140" s="153">
        <v>2.9146614900435519E-2</v>
      </c>
      <c r="AA3140" s="155">
        <v>2.8935139865566839E-2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60987</v>
      </c>
      <c r="Y3141" s="152">
        <f>_xll.qlInterestRateIndexValueDate(IborIndex,X3141,Trigger)</f>
        <v>60989</v>
      </c>
      <c r="Z3141" s="153">
        <v>2.9146613535300261E-2</v>
      </c>
      <c r="AA3141" s="155">
        <v>2.8935138082513134E-2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60995</v>
      </c>
      <c r="Y3142" s="152">
        <f>_xll.qlInterestRateIndexValueDate(IborIndex,X3142,Trigger)</f>
        <v>61001</v>
      </c>
      <c r="Z3142" s="153">
        <v>2.9146611203046312E-2</v>
      </c>
      <c r="AA3142" s="155">
        <v>2.8935136502497016E-2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61002</v>
      </c>
      <c r="Y3143" s="152">
        <f>_xll.qlInterestRateIndexValueDate(IborIndex,X3143,Trigger)</f>
        <v>61004</v>
      </c>
      <c r="Z3143" s="153">
        <v>2.914543660616864E-2</v>
      </c>
      <c r="AA3143" s="155">
        <v>2.8935135517125232E-2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61009</v>
      </c>
      <c r="Y3144" s="152">
        <f>_xll.qlInterestRateIndexValueDate(IborIndex,X3144,Trigger)</f>
        <v>61011</v>
      </c>
      <c r="Z3144" s="153">
        <v>2.9145435251675105E-2</v>
      </c>
      <c r="AA3144" s="155">
        <v>2.8935134140546381E-2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61016</v>
      </c>
      <c r="Y3145" s="152">
        <f>_xll.qlInterestRateIndexValueDate(IborIndex,X3145,Trigger)</f>
        <v>61018</v>
      </c>
      <c r="Z3145" s="153">
        <v>2.9145433900610432E-2</v>
      </c>
      <c r="AA3145" s="155">
        <v>2.8935132767404781E-2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61023</v>
      </c>
      <c r="Y3146" s="152">
        <f>_xll.qlInterestRateIndexValueDate(IborIndex,X3146,Trigger)</f>
        <v>61025</v>
      </c>
      <c r="Z3146" s="153">
        <v>2.9145432552975057E-2</v>
      </c>
      <c r="AA3146" s="155">
        <v>2.8935131397620495E-2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61030</v>
      </c>
      <c r="Y3147" s="152">
        <f>_xll.qlInterestRateIndexValueDate(IborIndex,X3147,Trigger)</f>
        <v>61032</v>
      </c>
      <c r="Z3147" s="153">
        <v>2.9145431208769425E-2</v>
      </c>
      <c r="AA3147" s="155">
        <v>2.8935130031113587E-2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61037</v>
      </c>
      <c r="Y3148" s="152">
        <f>_xll.qlInterestRateIndexValueDate(IborIndex,X3148,Trigger)</f>
        <v>61039</v>
      </c>
      <c r="Z3148" s="153">
        <v>2.9145429867992654E-2</v>
      </c>
      <c r="AA3148" s="155">
        <v>2.893512866804393E-2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61044</v>
      </c>
      <c r="Y3149" s="152">
        <f>_xll.qlInterestRateIndexValueDate(IborIndex,X3149,Trigger)</f>
        <v>61046</v>
      </c>
      <c r="Z3149" s="153">
        <v>2.914542853064386E-2</v>
      </c>
      <c r="AA3149" s="155">
        <v>2.893512730849146E-2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61051</v>
      </c>
      <c r="Y3150" s="152">
        <f>_xll.qlInterestRateIndexValueDate(IborIndex,X3150,Trigger)</f>
        <v>61053</v>
      </c>
      <c r="Z3150" s="153">
        <v>2.9145427196724808E-2</v>
      </c>
      <c r="AA3150" s="155">
        <v>2.8935125952216367E-2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61058</v>
      </c>
      <c r="Y3151" s="152">
        <f>_xll.qlInterestRateIndexValueDate(IborIndex,X3151,Trigger)</f>
        <v>61060</v>
      </c>
      <c r="Z3151" s="153">
        <v>2.9151296578673609E-2</v>
      </c>
      <c r="AA3151" s="155">
        <v>2.8935124599218653E-2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61065</v>
      </c>
      <c r="Y3152" s="152">
        <f>_xll.qlInterestRateIndexValueDate(IborIndex,X3152,Trigger)</f>
        <v>61067</v>
      </c>
      <c r="Z3152" s="153">
        <v>2.9150120983669016E-2</v>
      </c>
      <c r="AA3152" s="155">
        <v>2.8935123249818062E-2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61072</v>
      </c>
      <c r="Y3153" s="152">
        <f>_xll.qlInterestRateIndexValueDate(IborIndex,X3153,Trigger)</f>
        <v>61074</v>
      </c>
      <c r="Z3153" s="153">
        <v>2.9150119660592017E-2</v>
      </c>
      <c r="AA3153" s="155">
        <v>2.8935121903694849E-2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61079</v>
      </c>
      <c r="Y3154" s="152">
        <f>_xll.qlInterestRateIndexValueDate(IborIndex,X3154,Trigger)</f>
        <v>61081</v>
      </c>
      <c r="Z3154" s="153">
        <v>2.9150118340944924E-2</v>
      </c>
      <c r="AA3154" s="155">
        <v>2.8935120560769079E-2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61086</v>
      </c>
      <c r="Y3155" s="152">
        <f>_xll.qlInterestRateIndexValueDate(IborIndex,X3155,Trigger)</f>
        <v>61092</v>
      </c>
      <c r="Z3155" s="153">
        <v>2.9147767924902545E-2</v>
      </c>
      <c r="AA3155" s="155">
        <v>2.8935118839426011E-2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61093</v>
      </c>
      <c r="Y3156" s="152">
        <f>_xll.qlInterestRateIndexValueDate(IborIndex,X3156,Trigger)</f>
        <v>61095</v>
      </c>
      <c r="Z3156" s="153">
        <v>2.9151289981133029E-2</v>
      </c>
      <c r="AA3156" s="155">
        <v>2.8935117885469097E-2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61100</v>
      </c>
      <c r="Y3157" s="152">
        <f>_xll.qlInterestRateIndexValueDate(IborIndex,X3157,Trigger)</f>
        <v>61102</v>
      </c>
      <c r="Z3157" s="153">
        <v>2.9150114402585664E-2</v>
      </c>
      <c r="AA3157" s="155">
        <v>2.8935116552775142E-2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61107</v>
      </c>
      <c r="Y3158" s="152">
        <f>_xll.qlInterestRateIndexValueDate(IborIndex,X3158,Trigger)</f>
        <v>61109</v>
      </c>
      <c r="Z3158" s="153">
        <v>2.9150113096659484E-2</v>
      </c>
      <c r="AA3158" s="155">
        <v>2.8935115223518437E-2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61114</v>
      </c>
      <c r="Y3159" s="152">
        <f>_xll.qlInterestRateIndexValueDate(IborIndex,X3159,Trigger)</f>
        <v>61116</v>
      </c>
      <c r="Z3159" s="153">
        <v>2.9150111794163644E-2</v>
      </c>
      <c r="AA3159" s="155">
        <v>2.893511370857027E-2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61121</v>
      </c>
      <c r="Y3160" s="152">
        <f>_xll.qlInterestRateIndexValueDate(IborIndex,X3160,Trigger)</f>
        <v>61123</v>
      </c>
      <c r="Z3160" s="153">
        <v>2.9150110495098139E-2</v>
      </c>
      <c r="AA3160" s="155">
        <v>2.8935112575236843E-2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61128</v>
      </c>
      <c r="Y3161" s="152">
        <f>_xll.qlInterestRateIndexValueDate(IborIndex,X3161,Trigger)</f>
        <v>61130</v>
      </c>
      <c r="Z3161" s="153">
        <v>2.915010919946211E-2</v>
      </c>
      <c r="AA3161" s="155">
        <v>2.8935111256132018E-2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61135</v>
      </c>
      <c r="Y3162" s="152">
        <f>_xll.qlInterestRateIndexValueDate(IborIndex,X3162,Trigger)</f>
        <v>61137</v>
      </c>
      <c r="Z3162" s="153">
        <v>2.9150107907256848E-2</v>
      </c>
      <c r="AA3162" s="155">
        <v>2.8935109940304571E-2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61142</v>
      </c>
      <c r="Y3163" s="152">
        <f>_xll.qlInterestRateIndexValueDate(IborIndex,X3163,Trigger)</f>
        <v>61144</v>
      </c>
      <c r="Z3163" s="153">
        <v>2.9150106618482354E-2</v>
      </c>
      <c r="AA3163" s="155">
        <v>2.8935108440784063E-2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61149</v>
      </c>
      <c r="Y3164" s="152">
        <f>_xll.qlInterestRateIndexValueDate(IborIndex,X3164,Trigger)</f>
        <v>61151</v>
      </c>
      <c r="Z3164" s="153">
        <v>2.9150105333136903E-2</v>
      </c>
      <c r="AA3164" s="155">
        <v>2.89351073191213E-2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61156</v>
      </c>
      <c r="Y3165" s="152">
        <f>_xll.qlInterestRateIndexValueDate(IborIndex,X3165,Trigger)</f>
        <v>61158</v>
      </c>
      <c r="Z3165" s="153">
        <v>2.9150104051222654E-2</v>
      </c>
      <c r="AA3165" s="155">
        <v>2.8935106013525669E-2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61163</v>
      </c>
      <c r="Y3166" s="152">
        <f>_xll.qlInterestRateIndexValueDate(IborIndex,X3166,Trigger)</f>
        <v>61165</v>
      </c>
      <c r="Z3166" s="153">
        <v>2.9150102772737874E-2</v>
      </c>
      <c r="AA3166" s="155">
        <v>2.8935104711207416E-2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61170</v>
      </c>
      <c r="Y3167" s="152">
        <f>_xll.qlInterestRateIndexValueDate(IborIndex,X3167,Trigger)</f>
        <v>61172</v>
      </c>
      <c r="Z3167" s="153">
        <v>2.915245010218509E-2</v>
      </c>
      <c r="AA3167" s="155">
        <v>2.8935103412486285E-2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61177</v>
      </c>
      <c r="Y3168" s="152">
        <f>_xll.qlInterestRateIndexValueDate(IborIndex,X3168,Trigger)</f>
        <v>61179</v>
      </c>
      <c r="Z3168" s="153">
        <v>2.9151274496947054E-2</v>
      </c>
      <c r="AA3168" s="155">
        <v>2.8935102117122469E-2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61184</v>
      </c>
      <c r="Y3169" s="152">
        <f>_xll.qlInterestRateIndexValueDate(IborIndex,X3169,Trigger)</f>
        <v>61186</v>
      </c>
      <c r="Z3169" s="153">
        <v>2.9150098957865998E-2</v>
      </c>
      <c r="AA3169" s="155">
        <v>2.8935100824876159E-2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61191</v>
      </c>
      <c r="Y3170" s="152">
        <f>_xll.qlInterestRateIndexValueDate(IborIndex,X3170,Trigger)</f>
        <v>61193</v>
      </c>
      <c r="Z3170" s="153">
        <v>2.9151271964275347E-2</v>
      </c>
      <c r="AA3170" s="155">
        <v>2.8935099536306907E-2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61198</v>
      </c>
      <c r="Y3171" s="152">
        <f>_xll.qlInterestRateIndexValueDate(IborIndex,X3171,Trigger)</f>
        <v>61200</v>
      </c>
      <c r="Z3171" s="153">
        <v>2.9150096431768611E-2</v>
      </c>
      <c r="AA3171" s="155">
        <v>2.8935098251015035E-2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61205</v>
      </c>
      <c r="Y3172" s="152">
        <f>_xll.qlInterestRateIndexValueDate(IborIndex,X3172,Trigger)</f>
        <v>61207</v>
      </c>
      <c r="Z3172" s="153">
        <v>2.9151269445326426E-2</v>
      </c>
      <c r="AA3172" s="155">
        <v>2.8935096968920604E-2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61212</v>
      </c>
      <c r="Y3173" s="152">
        <f>_xll.qlInterestRateIndexValueDate(IborIndex,X3173,Trigger)</f>
        <v>61214</v>
      </c>
      <c r="Z3173" s="153">
        <v>2.9150093919392144E-2</v>
      </c>
      <c r="AA3173" s="155">
        <v>2.8935095690423296E-2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61219</v>
      </c>
      <c r="Y3174" s="152">
        <f>_xll.qlInterestRateIndexValueDate(IborIndex,X3174,Trigger)</f>
        <v>61221</v>
      </c>
      <c r="Z3174" s="153">
        <v>2.9150092668349198E-2</v>
      </c>
      <c r="AA3174" s="155">
        <v>2.8935094415363238E-2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61226</v>
      </c>
      <c r="Y3175" s="152">
        <f>_xll.qlInterestRateIndexValueDate(IborIndex,X3175,Trigger)</f>
        <v>61228</v>
      </c>
      <c r="Z3175" s="153">
        <v>2.9151265692631066E-2</v>
      </c>
      <c r="AA3175" s="155">
        <v>2.8935093143580559E-2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61233</v>
      </c>
      <c r="Y3176" s="152">
        <f>_xll.qlInterestRateIndexValueDate(IborIndex,X3176,Trigger)</f>
        <v>61235</v>
      </c>
      <c r="Z3176" s="153">
        <v>2.9150090176553886E-2</v>
      </c>
      <c r="AA3176" s="155">
        <v>2.8935091694259896E-2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61240</v>
      </c>
      <c r="Y3177" s="152">
        <f>_xll.qlInterestRateIndexValueDate(IborIndex,X3177,Trigger)</f>
        <v>61242</v>
      </c>
      <c r="Z3177" s="153">
        <v>2.9146566497285899E-2</v>
      </c>
      <c r="AA3177" s="155">
        <v>2.8935090610087144E-2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61247</v>
      </c>
      <c r="Y3178" s="152">
        <f>_xll.qlInterestRateIndexValueDate(IborIndex,X3178,Trigger)</f>
        <v>61249</v>
      </c>
      <c r="Z3178" s="153">
        <v>2.9146565259527434E-2</v>
      </c>
      <c r="AA3178" s="155">
        <v>2.8935089348456344E-2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61254</v>
      </c>
      <c r="Y3179" s="152">
        <f>_xll.qlInterestRateIndexValueDate(IborIndex,X3179,Trigger)</f>
        <v>61256</v>
      </c>
      <c r="Z3179" s="153">
        <v>2.9146564025197871E-2</v>
      </c>
      <c r="AA3179" s="155">
        <v>2.8935088090262795E-2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61261</v>
      </c>
      <c r="Y3180" s="152">
        <f>_xll.qlInterestRateIndexValueDate(IborIndex,X3180,Trigger)</f>
        <v>61263</v>
      </c>
      <c r="Z3180" s="153">
        <v>2.9146562794297653E-2</v>
      </c>
      <c r="AA3180" s="155">
        <v>2.8935086835186752E-2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61268</v>
      </c>
      <c r="Y3181" s="152">
        <f>_xll.qlInterestRateIndexValueDate(IborIndex,X3181,Trigger)</f>
        <v>61270</v>
      </c>
      <c r="Z3181" s="153">
        <v>2.9146561566827222E-2</v>
      </c>
      <c r="AA3181" s="155">
        <v>2.8935085583787767E-2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61275</v>
      </c>
      <c r="Y3182" s="152">
        <f>_xll.qlInterestRateIndexValueDate(IborIndex,X3182,Trigger)</f>
        <v>61277</v>
      </c>
      <c r="Z3182" s="153">
        <v>2.9150082783493021E-2</v>
      </c>
      <c r="AA3182" s="155">
        <v>2.8935084335746097E-2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61282</v>
      </c>
      <c r="Y3183" s="152">
        <f>_xll.qlInterestRateIndexValueDate(IborIndex,X3183,Trigger)</f>
        <v>61284</v>
      </c>
      <c r="Z3183" s="153">
        <v>2.9150081563321384E-2</v>
      </c>
      <c r="AA3183" s="155">
        <v>2.893508309090187E-2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61289</v>
      </c>
      <c r="Y3184" s="152">
        <f>_xll.qlInterestRateIndexValueDate(IborIndex,X3184,Trigger)</f>
        <v>61291</v>
      </c>
      <c r="Z3184" s="153">
        <v>2.915125461979079E-2</v>
      </c>
      <c r="AA3184" s="155">
        <v>2.8935081849414956E-2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61296</v>
      </c>
      <c r="Y3185" s="152">
        <f>_xll.qlInterestRateIndexValueDate(IborIndex,X3185,Trigger)</f>
        <v>61298</v>
      </c>
      <c r="Z3185" s="153">
        <v>2.9150079133269977E-2</v>
      </c>
      <c r="AA3185" s="155">
        <v>2.8935080611525166E-2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61303</v>
      </c>
      <c r="Y3186" s="152">
        <f>_xll.qlInterestRateIndexValueDate(IborIndex,X3186,Trigger)</f>
        <v>61305</v>
      </c>
      <c r="Z3186" s="153">
        <v>2.9146555480915225E-2</v>
      </c>
      <c r="AA3186" s="155">
        <v>2.8935079376912753E-2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61310</v>
      </c>
      <c r="Y3187" s="152">
        <f>_xll.qlInterestRateIndexValueDate(IborIndex,X3187,Trigger)</f>
        <v>61315</v>
      </c>
      <c r="Z3187" s="153">
        <v>2.9146553757830693E-2</v>
      </c>
      <c r="AA3187" s="155">
        <v>2.8935077970118073E-2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61317</v>
      </c>
      <c r="Y3188" s="152">
        <f>_xll.qlInterestRateIndexValueDate(IborIndex,X3188,Trigger)</f>
        <v>61319</v>
      </c>
      <c r="Z3188" s="153">
        <v>2.9146553070556282E-2</v>
      </c>
      <c r="AA3188" s="155">
        <v>2.8935076917839808E-2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61324</v>
      </c>
      <c r="Y3189" s="152">
        <f>_xll.qlInterestRateIndexValueDate(IborIndex,X3189,Trigger)</f>
        <v>61326</v>
      </c>
      <c r="Z3189" s="153">
        <v>2.9146551870520166E-2</v>
      </c>
      <c r="AA3189" s="155">
        <v>2.8935075693459211E-2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61331</v>
      </c>
      <c r="Y3190" s="152">
        <f>_xll.qlInterestRateIndexValueDate(IborIndex,X3190,Trigger)</f>
        <v>61333</v>
      </c>
      <c r="Z3190" s="153">
        <v>2.9150073118169778E-2</v>
      </c>
      <c r="AA3190" s="155">
        <v>2.8935074472276057E-2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61338</v>
      </c>
      <c r="Y3191" s="152">
        <f>_xll.qlInterestRateIndexValueDate(IborIndex,X3191,Trigger)</f>
        <v>61340</v>
      </c>
      <c r="Z3191" s="153">
        <v>2.9150071925440401E-2</v>
      </c>
      <c r="AA3191" s="155">
        <v>2.8935073254610089E-2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61345</v>
      </c>
      <c r="Y3192" s="152">
        <f>_xll.qlInterestRateIndexValueDate(IborIndex,X3192,Trigger)</f>
        <v>61347</v>
      </c>
      <c r="Z3192" s="153">
        <v>2.9150070736140933E-2</v>
      </c>
      <c r="AA3192" s="155">
        <v>2.8935072040301435E-2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61352</v>
      </c>
      <c r="Y3193" s="152">
        <f>_xll.qlInterestRateIndexValueDate(IborIndex,X3193,Trigger)</f>
        <v>61354</v>
      </c>
      <c r="Z3193" s="153">
        <v>2.9150069550271801E-2</v>
      </c>
      <c r="AA3193" s="155">
        <v>2.893507048394639E-2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61359</v>
      </c>
      <c r="Y3194" s="152">
        <f>_xll.qlInterestRateIndexValueDate(IborIndex,X3194,Trigger)</f>
        <v>61361</v>
      </c>
      <c r="Z3194" s="153">
        <v>2.914654592178284E-2</v>
      </c>
      <c r="AA3194" s="155">
        <v>2.8935069449573803E-2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61366</v>
      </c>
      <c r="Y3195" s="152">
        <f>_xll.qlInterestRateIndexValueDate(IborIndex,X3195,Trigger)</f>
        <v>61368</v>
      </c>
      <c r="Z3195" s="153">
        <v>2.9146544742324549E-2</v>
      </c>
      <c r="AA3195" s="155">
        <v>2.8935068417519361E-2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61373</v>
      </c>
      <c r="Y3196" s="152">
        <f>_xll.qlInterestRateIndexValueDate(IborIndex,X3196,Trigger)</f>
        <v>61375</v>
      </c>
      <c r="Z3196" s="153">
        <v>2.914654356629429E-2</v>
      </c>
      <c r="AA3196" s="155">
        <v>2.8935067216719901E-2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61380</v>
      </c>
      <c r="Y3197" s="152">
        <f>_xll.qlInterestRateIndexValueDate(IborIndex,X3197,Trigger)</f>
        <v>61382</v>
      </c>
      <c r="Z3197" s="153">
        <v>2.9146542393693371E-2</v>
      </c>
      <c r="AA3197" s="155">
        <v>2.8935066019357691E-2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61387</v>
      </c>
      <c r="Y3198" s="152">
        <f>_xll.qlInterestRateIndexValueDate(IborIndex,X3198,Trigger)</f>
        <v>61389</v>
      </c>
      <c r="Z3198" s="153">
        <v>2.9146541224522236E-2</v>
      </c>
      <c r="AA3198" s="155">
        <v>2.8935064825352796E-2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61394</v>
      </c>
      <c r="Y3199" s="152">
        <f>_xll.qlInterestRateIndexValueDate(IborIndex,X3199,Trigger)</f>
        <v>61396</v>
      </c>
      <c r="Z3199" s="153">
        <v>2.9146540058780448E-2</v>
      </c>
      <c r="AA3199" s="155">
        <v>2.893506363462528E-2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61401</v>
      </c>
      <c r="Y3200" s="152">
        <f>_xll.qlInterestRateIndexValueDate(IborIndex,X3200,Trigger)</f>
        <v>61403</v>
      </c>
      <c r="Z3200" s="153">
        <v>2.9146538896468004E-2</v>
      </c>
      <c r="AA3200" s="155">
        <v>2.8935062447335014E-2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61408</v>
      </c>
      <c r="Y3201" s="152">
        <f>_xll.qlInterestRateIndexValueDate(IborIndex,X3201,Trigger)</f>
        <v>61410</v>
      </c>
      <c r="Z3201" s="153">
        <v>2.9146537737584906E-2</v>
      </c>
      <c r="AA3201" s="155">
        <v>2.8935061263402062E-2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61415</v>
      </c>
      <c r="Y3202" s="152">
        <f>_xll.qlInterestRateIndexValueDate(IborIndex,X3202,Trigger)</f>
        <v>61417</v>
      </c>
      <c r="Z3202" s="153">
        <v>2.914653658213115E-2</v>
      </c>
      <c r="AA3202" s="155">
        <v>2.8935060082746489E-2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61422</v>
      </c>
      <c r="Y3203" s="152">
        <f>_xll.qlInterestRateIndexValueDate(IborIndex,X3203,Trigger)</f>
        <v>61424</v>
      </c>
      <c r="Z3203" s="153">
        <v>2.9151232156301655E-2</v>
      </c>
      <c r="AA3203" s="155">
        <v>2.8935058905767974E-2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61429</v>
      </c>
      <c r="Y3204" s="152">
        <f>_xll.qlInterestRateIndexValueDate(IborIndex,X3204,Trigger)</f>
        <v>61431</v>
      </c>
      <c r="Z3204" s="153">
        <v>2.9150056732104947E-2</v>
      </c>
      <c r="AA3204" s="155">
        <v>2.8935057731906966E-2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61436</v>
      </c>
      <c r="Y3205" s="152">
        <f>_xll.qlInterestRateIndexValueDate(IborIndex,X3205,Trigger)</f>
        <v>61438</v>
      </c>
      <c r="Z3205" s="153">
        <v>2.9150055587398131E-2</v>
      </c>
      <c r="AA3205" s="155">
        <v>2.8935056561483208E-2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61443</v>
      </c>
      <c r="Y3206" s="152">
        <f>_xll.qlInterestRateIndexValueDate(IborIndex,X3206,Trigger)</f>
        <v>61445</v>
      </c>
      <c r="Z3206" s="153">
        <v>2.9150054446122519E-2</v>
      </c>
      <c r="AA3206" s="155">
        <v>2.8935055394576636E-2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61450</v>
      </c>
      <c r="Y3207" s="152">
        <f>_xll.qlInterestRateIndexValueDate(IborIndex,X3207,Trigger)</f>
        <v>61452</v>
      </c>
      <c r="Z3207" s="153">
        <v>2.9146530856303428E-2</v>
      </c>
      <c r="AA3207" s="155">
        <v>2.8935054230867507E-2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61457</v>
      </c>
      <c r="Y3208" s="152">
        <f>_xll.qlInterestRateIndexValueDate(IborIndex,X3208,Trigger)</f>
        <v>61459</v>
      </c>
      <c r="Z3208" s="153">
        <v>2.915122645068632E-2</v>
      </c>
      <c r="AA3208" s="155">
        <v>2.8935053070675565E-2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61464</v>
      </c>
      <c r="Y3209" s="152">
        <f>_xll.qlInterestRateIndexValueDate(IborIndex,X3209,Trigger)</f>
        <v>61466</v>
      </c>
      <c r="Z3209" s="153">
        <v>2.9150051042873808E-2</v>
      </c>
      <c r="AA3209" s="155">
        <v>2.8935051913761001E-2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61471</v>
      </c>
      <c r="Y3210" s="152">
        <f>_xll.qlInterestRateIndexValueDate(IborIndex,X3210,Trigger)</f>
        <v>61477</v>
      </c>
      <c r="Z3210" s="153">
        <v>2.9147700907121057E-2</v>
      </c>
      <c r="AA3210" s="155">
        <v>2.8935050431346809E-2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61478</v>
      </c>
      <c r="Y3211" s="152">
        <f>_xll.qlInterestRateIndexValueDate(IborIndex,X3211,Trigger)</f>
        <v>61480</v>
      </c>
      <c r="Z3211" s="153">
        <v>2.9150048791192588E-2</v>
      </c>
      <c r="AA3211" s="155">
        <v>2.8935049610163688E-2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61485</v>
      </c>
      <c r="Y3212" s="152">
        <f>_xll.qlInterestRateIndexValueDate(IborIndex,X3212,Trigger)</f>
        <v>61487</v>
      </c>
      <c r="Z3212" s="153">
        <v>2.9150047670497267E-2</v>
      </c>
      <c r="AA3212" s="155">
        <v>2.8935048299931765E-2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61492</v>
      </c>
      <c r="Y3213" s="152">
        <f>_xll.qlInterestRateIndexValueDate(IborIndex,X3213,Trigger)</f>
        <v>61494</v>
      </c>
      <c r="Z3213" s="153">
        <v>2.9151220830832492E-2</v>
      </c>
      <c r="AA3213" s="155">
        <v>2.8935047320075569E-2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61499</v>
      </c>
      <c r="Y3214" s="152">
        <f>_xll.qlInterestRateIndexValueDate(IborIndex,X3214,Trigger)</f>
        <v>61501</v>
      </c>
      <c r="Z3214" s="153">
        <v>2.9150045439397206E-2</v>
      </c>
      <c r="AA3214" s="155">
        <v>2.8935046180187385E-2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61506</v>
      </c>
      <c r="Y3215" s="152">
        <f>_xll.qlInterestRateIndexValueDate(IborIndex,X3215,Trigger)</f>
        <v>61508</v>
      </c>
      <c r="Z3215" s="153">
        <v>2.9150044328992895E-2</v>
      </c>
      <c r="AA3215" s="155">
        <v>2.8935044881466254E-2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61513</v>
      </c>
      <c r="Y3216" s="152">
        <f>_xll.qlInterestRateIndexValueDate(IborIndex,X3216,Trigger)</f>
        <v>61515</v>
      </c>
      <c r="Z3216" s="153">
        <v>2.9150043222018061E-2</v>
      </c>
      <c r="AA3216" s="155">
        <v>2.8935043910163216E-2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61520</v>
      </c>
      <c r="Y3217" s="152">
        <f>_xll.qlInterestRateIndexValueDate(IborIndex,X3217,Trigger)</f>
        <v>61522</v>
      </c>
      <c r="Z3217" s="153">
        <v>2.9150042118473996E-2</v>
      </c>
      <c r="AA3217" s="155">
        <v>2.8935042780506848E-2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61527</v>
      </c>
      <c r="Y3218" s="152">
        <f>_xll.qlInterestRateIndexValueDate(IborIndex,X3218,Trigger)</f>
        <v>61529</v>
      </c>
      <c r="Z3218" s="153">
        <v>2.9150041018359399E-2</v>
      </c>
      <c r="AA3218" s="155">
        <v>2.8935041653967986E-2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61534</v>
      </c>
      <c r="Y3219" s="152">
        <f>_xll.qlInterestRateIndexValueDate(IborIndex,X3219,Trigger)</f>
        <v>61536</v>
      </c>
      <c r="Z3219" s="153">
        <v>2.9150039921675575E-2</v>
      </c>
      <c r="AA3219" s="155">
        <v>2.893504053094631E-2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61541</v>
      </c>
      <c r="Y3220" s="152">
        <f>_xll.qlInterestRateIndexValueDate(IborIndex,X3220,Trigger)</f>
        <v>61543</v>
      </c>
      <c r="Z3220" s="153">
        <v>2.9150038828422518E-2</v>
      </c>
      <c r="AA3220" s="155">
        <v>2.8935039411122077E-2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61548</v>
      </c>
      <c r="Y3221" s="152">
        <f>_xll.qlInterestRateIndexValueDate(IborIndex,X3221,Trigger)</f>
        <v>61550</v>
      </c>
      <c r="Z3221" s="153">
        <v>2.9150037738598505E-2</v>
      </c>
      <c r="AA3221" s="155">
        <v>2.8935038294894966E-2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61555</v>
      </c>
      <c r="Y3222" s="152">
        <f>_xll.qlInterestRateIndexValueDate(IborIndex,X3222,Trigger)</f>
        <v>61557</v>
      </c>
      <c r="Z3222" s="153">
        <v>2.9150036652204826E-2</v>
      </c>
      <c r="AA3222" s="155">
        <v>2.8935037182025169E-2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61562</v>
      </c>
      <c r="Y3223" s="152">
        <f>_xll.qlInterestRateIndexValueDate(IborIndex,X3223,Trigger)</f>
        <v>61564</v>
      </c>
      <c r="Z3223" s="153">
        <v>2.9151209848409777E-2</v>
      </c>
      <c r="AA3223" s="155">
        <v>2.8935036072352815E-2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61569</v>
      </c>
      <c r="Y3224" s="152">
        <f>_xll.qlInterestRateIndexValueDate(IborIndex,X3224,Trigger)</f>
        <v>61571</v>
      </c>
      <c r="Z3224" s="153">
        <v>2.9150034489709348E-2</v>
      </c>
      <c r="AA3224" s="155">
        <v>2.8935034966277584E-2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61576</v>
      </c>
      <c r="Y3225" s="152">
        <f>_xll.qlInterestRateIndexValueDate(IborIndex,X3225,Trigger)</f>
        <v>61578</v>
      </c>
      <c r="Z3225" s="153">
        <v>2.9150033413606249E-2</v>
      </c>
      <c r="AA3225" s="155">
        <v>2.8935033863479731E-2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61583</v>
      </c>
      <c r="Y3226" s="152">
        <f>_xll.qlInterestRateIndexValueDate(IborIndex,X3226,Trigger)</f>
        <v>61585</v>
      </c>
      <c r="Z3226" s="153">
        <v>2.9150032340933919E-2</v>
      </c>
      <c r="AA3226" s="155">
        <v>2.8935032764119129E-2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61590</v>
      </c>
      <c r="Y3227" s="152">
        <f>_xll.qlInterestRateIndexValueDate(IborIndex,X3227,Trigger)</f>
        <v>61592</v>
      </c>
      <c r="Z3227" s="153">
        <v>2.9151205551494266E-2</v>
      </c>
      <c r="AA3227" s="155">
        <v>2.8935031667876032E-2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61597</v>
      </c>
      <c r="Y3228" s="152">
        <f>_xll.qlInterestRateIndexValueDate(IborIndex,X3228,Trigger)</f>
        <v>61599</v>
      </c>
      <c r="Z3228" s="153">
        <v>2.9150030205879838E-2</v>
      </c>
      <c r="AA3228" s="155">
        <v>2.8935030419514618E-2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61604</v>
      </c>
      <c r="Y3229" s="152">
        <f>_xll.qlInterestRateIndexValueDate(IborIndex,X3229,Trigger)</f>
        <v>61606</v>
      </c>
      <c r="Z3229" s="153">
        <v>2.9145332653083826E-2</v>
      </c>
      <c r="AA3229" s="155">
        <v>2.8935029486181207E-2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61611</v>
      </c>
      <c r="Y3230" s="152">
        <f>_xll.qlInterestRateIndexValueDate(IborIndex,X3230,Trigger)</f>
        <v>61613</v>
      </c>
      <c r="Z3230" s="153">
        <v>2.9145331593493841E-2</v>
      </c>
      <c r="AA3230" s="155">
        <v>2.8935028400169926E-2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61618</v>
      </c>
      <c r="Y3231" s="152">
        <f>_xll.qlInterestRateIndexValueDate(IborIndex,X3231,Trigger)</f>
        <v>61620</v>
      </c>
      <c r="Z3231" s="153">
        <v>2.9145330537331388E-2</v>
      </c>
      <c r="AA3231" s="155">
        <v>2.8935027317595896E-2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61625</v>
      </c>
      <c r="Y3232" s="152">
        <f>_xll.qlInterestRateIndexValueDate(IborIndex,X3232,Trigger)</f>
        <v>61627</v>
      </c>
      <c r="Z3232" s="153">
        <v>2.9145329484598241E-2</v>
      </c>
      <c r="AA3232" s="155">
        <v>2.8935026238618988E-2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61632</v>
      </c>
      <c r="Y3233" s="152">
        <f>_xll.qlInterestRateIndexValueDate(IborIndex,X3233,Trigger)</f>
        <v>61634</v>
      </c>
      <c r="Z3233" s="153">
        <v>2.9146502464035988E-2</v>
      </c>
      <c r="AA3233" s="155">
        <v>2.8935025162759587E-2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61639</v>
      </c>
      <c r="Y3234" s="152">
        <f>_xll.qlInterestRateIndexValueDate(IborIndex,X3234,Trigger)</f>
        <v>61641</v>
      </c>
      <c r="Z3234" s="153">
        <v>2.9146501418322143E-2</v>
      </c>
      <c r="AA3234" s="155">
        <v>2.8935024090337436E-2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61646</v>
      </c>
      <c r="Y3235" s="152">
        <f>_xll.qlInterestRateIndexValueDate(IborIndex,X3235,Trigger)</f>
        <v>61648</v>
      </c>
      <c r="Z3235" s="153">
        <v>2.9151197122325934E-2</v>
      </c>
      <c r="AA3235" s="155">
        <v>2.8935023021432471E-2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61653</v>
      </c>
      <c r="Y3236" s="152">
        <f>_xll.qlInterestRateIndexValueDate(IborIndex,X3236,Trigger)</f>
        <v>61655</v>
      </c>
      <c r="Z3236" s="153">
        <v>2.9146499337182927E-2</v>
      </c>
      <c r="AA3236" s="155">
        <v>2.8935021955804885E-2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61660</v>
      </c>
      <c r="Y3237" s="152">
        <f>_xll.qlInterestRateIndexValueDate(IborIndex,X3237,Trigger)</f>
        <v>61662</v>
      </c>
      <c r="Z3237" s="153">
        <v>2.9146498301757116E-2</v>
      </c>
      <c r="AA3237" s="155">
        <v>2.8935020893534613E-2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61667</v>
      </c>
      <c r="Y3238" s="152">
        <f>_xll.qlInterestRateIndexValueDate(IborIndex,X3238,Trigger)</f>
        <v>61669</v>
      </c>
      <c r="Z3238" s="153">
        <v>2.9145323240212458E-2</v>
      </c>
      <c r="AA3238" s="155">
        <v>2.8935019834621656E-2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61674</v>
      </c>
      <c r="Y3239" s="152">
        <f>_xll.qlInterestRateIndexValueDate(IborIndex,X3239,Trigger)</f>
        <v>61676</v>
      </c>
      <c r="Z3239" s="153">
        <v>2.9145322211483093E-2</v>
      </c>
      <c r="AA3239" s="155">
        <v>2.8935018779225885E-2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61681</v>
      </c>
      <c r="Y3240" s="152">
        <f>_xll.qlInterestRateIndexValueDate(IborIndex,X3240,Trigger)</f>
        <v>61683</v>
      </c>
      <c r="Z3240" s="153">
        <v>2.9145321186183026E-2</v>
      </c>
      <c r="AA3240" s="155">
        <v>2.8935017727187429E-2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61688</v>
      </c>
      <c r="Y3241" s="152">
        <f>_xll.qlInterestRateIndexValueDate(IborIndex,X3241,Trigger)</f>
        <v>61690</v>
      </c>
      <c r="Z3241" s="153">
        <v>2.9145320164312701E-2</v>
      </c>
      <c r="AA3241" s="155">
        <v>2.8935016678426351E-2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61695</v>
      </c>
      <c r="Y3242" s="152">
        <f>_xll.qlInterestRateIndexValueDate(IborIndex,X3242,Trigger)</f>
        <v>61697</v>
      </c>
      <c r="Z3242" s="153">
        <v>2.9146493176069987E-2</v>
      </c>
      <c r="AA3242" s="155">
        <v>2.8935015633102523E-2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61702</v>
      </c>
      <c r="Y3243" s="152">
        <f>_xll.qlInterestRateIndexValueDate(IborIndex,X3243,Trigger)</f>
        <v>61704</v>
      </c>
      <c r="Z3243" s="153">
        <v>2.9146492161220245E-2</v>
      </c>
      <c r="AA3243" s="155">
        <v>2.8935014591215946E-2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61709</v>
      </c>
      <c r="Y3244" s="152">
        <f>_xll.qlInterestRateIndexValueDate(IborIndex,X3244,Trigger)</f>
        <v>61711</v>
      </c>
      <c r="Z3244" s="153">
        <v>2.9146491149800287E-2</v>
      </c>
      <c r="AA3244" s="155">
        <v>2.8935013552606748E-2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61716</v>
      </c>
      <c r="Y3245" s="152">
        <f>_xll.qlInterestRateIndexValueDate(IborIndex,X3245,Trigger)</f>
        <v>61718</v>
      </c>
      <c r="Z3245" s="153">
        <v>2.9146490141808794E-2</v>
      </c>
      <c r="AA3245" s="155">
        <v>2.8935012222230938E-2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61724</v>
      </c>
      <c r="Y3246" s="152">
        <f>_xll.qlInterestRateIndexValueDate(IborIndex,X3246,Trigger)</f>
        <v>61728</v>
      </c>
      <c r="Z3246" s="153">
        <v>2.9142966803982633E-2</v>
      </c>
      <c r="AA3246" s="155">
        <v>2.8935011191295601E-2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61731</v>
      </c>
      <c r="Y3247" s="152">
        <f>_xll.qlInterestRateIndexValueDate(IborIndex,X3247,Trigger)</f>
        <v>61735</v>
      </c>
      <c r="Z3247" s="153">
        <v>2.9146487708109837E-2</v>
      </c>
      <c r="AA3247" s="155">
        <v>2.8935010310320308E-2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61738</v>
      </c>
      <c r="Y3248" s="152">
        <f>_xll.qlInterestRateIndexValueDate(IborIndex,X3248,Trigger)</f>
        <v>61742</v>
      </c>
      <c r="Z3248" s="153">
        <v>2.9146486711876852E-2</v>
      </c>
      <c r="AA3248" s="155">
        <v>2.8935009285859792E-2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61745</v>
      </c>
      <c r="Y3249" s="152">
        <f>_xll.qlInterestRateIndexValueDate(IborIndex,X3249,Trigger)</f>
        <v>61750</v>
      </c>
      <c r="Z3249" s="153">
        <v>2.9145311546080827E-2</v>
      </c>
      <c r="AA3249" s="155">
        <v>2.8935008119033157E-2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61752</v>
      </c>
      <c r="Y3250" s="152">
        <f>_xll.qlInterestRateIndexValueDate(IborIndex,X3250,Trigger)</f>
        <v>61756</v>
      </c>
      <c r="Z3250" s="153">
        <v>2.914648472969979E-2</v>
      </c>
      <c r="AA3250" s="155">
        <v>2.893500724685083E-2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61759</v>
      </c>
      <c r="Y3251" s="152">
        <f>_xll.qlInterestRateIndexValueDate(IborIndex,X3251,Trigger)</f>
        <v>61763</v>
      </c>
      <c r="Z3251" s="153">
        <v>2.9146483743754399E-2</v>
      </c>
      <c r="AA3251" s="155">
        <v>2.8935006232462257E-2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61766</v>
      </c>
      <c r="Y3252" s="152">
        <f>_xll.qlInterestRateIndexValueDate(IborIndex,X3252,Trigger)</f>
        <v>61770</v>
      </c>
      <c r="Z3252" s="153">
        <v>2.9146482761239233E-2</v>
      </c>
      <c r="AA3252" s="155">
        <v>2.8935005221351062E-2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61773</v>
      </c>
      <c r="Y3253" s="152">
        <f>_xll.qlInterestRateIndexValueDate(IborIndex,X3253,Trigger)</f>
        <v>61778</v>
      </c>
      <c r="Z3253" s="153">
        <v>2.9145307610457732E-2</v>
      </c>
      <c r="AA3253" s="155">
        <v>2.8935004069952086E-2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61780</v>
      </c>
      <c r="Y3254" s="152">
        <f>_xll.qlInterestRateIndexValueDate(IborIndex,X3254,Trigger)</f>
        <v>61784</v>
      </c>
      <c r="Z3254" s="153">
        <v>2.9147654901746246E-2</v>
      </c>
      <c r="AA3254" s="155">
        <v>2.8935003209280552E-2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61787</v>
      </c>
      <c r="Y3255" s="152">
        <f>_xll.qlInterestRateIndexValueDate(IborIndex,X3255,Trigger)</f>
        <v>61791</v>
      </c>
      <c r="Z3255" s="153">
        <v>2.9148828088106638E-2</v>
      </c>
      <c r="AA3255" s="155">
        <v>2.8935002208481109E-2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61794</v>
      </c>
      <c r="Y3256" s="152">
        <f>_xll.qlInterestRateIndexValueDate(IborIndex,X3256,Trigger)</f>
        <v>61798</v>
      </c>
      <c r="Z3256" s="153">
        <v>2.9148827119643936E-2</v>
      </c>
      <c r="AA3256" s="155">
        <v>2.8935001210959044E-2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61801</v>
      </c>
      <c r="Y3257" s="152">
        <f>_xll.qlInterestRateIndexValueDate(IborIndex,X3257,Trigger)</f>
        <v>61805</v>
      </c>
      <c r="Z3257" s="153">
        <v>2.9148826154609796E-2</v>
      </c>
      <c r="AA3257" s="155">
        <v>2.8935000216714357E-2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61808</v>
      </c>
      <c r="Y3258" s="152">
        <f>_xll.qlInterestRateIndexValueDate(IborIndex,X3258,Trigger)</f>
        <v>61812</v>
      </c>
      <c r="Z3258" s="153">
        <v>2.9148825193005958E-2</v>
      </c>
      <c r="AA3258" s="155">
        <v>2.8934999225986857E-2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61815</v>
      </c>
      <c r="Y3259" s="152">
        <f>_xll.qlInterestRateIndexValueDate(IborIndex,X3259,Trigger)</f>
        <v>61819</v>
      </c>
      <c r="Z3259" s="153">
        <v>2.9147650075741296E-2</v>
      </c>
      <c r="AA3259" s="155">
        <v>2.8934998238536735E-2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61822</v>
      </c>
      <c r="Y3260" s="152">
        <f>_xll.qlInterestRateIndexValueDate(IborIndex,X3260,Trigger)</f>
        <v>61826</v>
      </c>
      <c r="Z3260" s="153">
        <v>2.9147649120829518E-2</v>
      </c>
      <c r="AA3260" s="155">
        <v>2.8934997254523864E-2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61829</v>
      </c>
      <c r="Y3261" s="152">
        <f>_xll.qlInterestRateIndexValueDate(IborIndex,X3261,Trigger)</f>
        <v>61835</v>
      </c>
      <c r="Z3261" s="153">
        <v>2.9147647898124518E-2</v>
      </c>
      <c r="AA3261" s="155">
        <v>2.893732156697304E-2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61836</v>
      </c>
      <c r="Y3262" s="152">
        <f>_xll.qlInterestRateIndexValueDate(IborIndex,X3262,Trigger)</f>
        <v>61840</v>
      </c>
      <c r="Z3262" s="153">
        <v>2.9147647221294124E-2</v>
      </c>
      <c r="AA3262" s="155">
        <v>2.8934995296650001E-2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61843</v>
      </c>
      <c r="Y3263" s="152">
        <f>_xll.qlInterestRateIndexValueDate(IborIndex,X3263,Trigger)</f>
        <v>61847</v>
      </c>
      <c r="Z3263" s="153">
        <v>2.9147646276670946E-2</v>
      </c>
      <c r="AA3263" s="155">
        <v>2.8934994322789009E-2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61850</v>
      </c>
      <c r="Y3264" s="152">
        <f>_xll.qlInterestRateIndexValueDate(IborIndex,X3264,Trigger)</f>
        <v>61855</v>
      </c>
      <c r="Z3264" s="153">
        <v>2.9148819361260001E-2</v>
      </c>
      <c r="AA3264" s="155">
        <v>2.8934993213916016E-2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61857</v>
      </c>
      <c r="Y3265" s="152">
        <f>_xll.qlInterestRateIndexValueDate(IborIndex,X3265,Trigger)</f>
        <v>61861</v>
      </c>
      <c r="Z3265" s="153">
        <v>2.9148818557817473E-2</v>
      </c>
      <c r="AA3265" s="155">
        <v>2.8934992385218905E-2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61864</v>
      </c>
      <c r="Y3266" s="152">
        <f>_xll.qlInterestRateIndexValueDate(IborIndex,X3266,Trigger)</f>
        <v>61868</v>
      </c>
      <c r="Z3266" s="153">
        <v>2.9148817623652987E-2</v>
      </c>
      <c r="AA3266" s="155">
        <v>2.8934991421429856E-2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61871</v>
      </c>
      <c r="Y3267" s="152">
        <f>_xll.qlInterestRateIndexValueDate(IborIndex,X3267,Trigger)</f>
        <v>61876</v>
      </c>
      <c r="Z3267" s="153">
        <v>2.9149990783713983E-2</v>
      </c>
      <c r="AA3267" s="155">
        <v>2.8934990324147591E-2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61878</v>
      </c>
      <c r="Y3268" s="152">
        <f>_xll.qlInterestRateIndexValueDate(IborIndex,X3268,Trigger)</f>
        <v>61882</v>
      </c>
      <c r="Z3268" s="153">
        <v>2.9147641604999809E-2</v>
      </c>
      <c r="AA3268" s="155">
        <v>2.8934989504003639E-2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61885</v>
      </c>
      <c r="Y3269" s="152">
        <f>_xll.qlInterestRateIndexValueDate(IborIndex,X3269,Trigger)</f>
        <v>61889</v>
      </c>
      <c r="Z3269" s="153">
        <v>2.9147640680954708E-2</v>
      </c>
      <c r="AA3269" s="155">
        <v>2.8934988550526342E-2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61892</v>
      </c>
      <c r="Y3270" s="152">
        <f>_xll.qlInterestRateIndexValueDate(IborIndex,X3270,Trigger)</f>
        <v>61896</v>
      </c>
      <c r="Z3270" s="153">
        <v>2.9147639760338993E-2</v>
      </c>
      <c r="AA3270" s="155">
        <v>2.8934987600406359E-2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61899</v>
      </c>
      <c r="Y3271" s="152">
        <f>_xll.qlInterestRateIndexValueDate(IborIndex,X3271,Trigger)</f>
        <v>61903</v>
      </c>
      <c r="Z3271" s="153">
        <v>2.9147638843152666E-2</v>
      </c>
      <c r="AA3271" s="155">
        <v>2.8934986653323946E-2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61906</v>
      </c>
      <c r="Y3272" s="152">
        <f>_xll.qlInterestRateIndexValueDate(IborIndex,X3272,Trigger)</f>
        <v>61910</v>
      </c>
      <c r="Z3272" s="153">
        <v>2.9149986315004039E-2</v>
      </c>
      <c r="AA3272" s="155">
        <v>2.8934985709918593E-2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61913</v>
      </c>
      <c r="Y3273" s="152">
        <f>_xll.qlInterestRateIndexValueDate(IborIndex,X3273,Trigger)</f>
        <v>61917</v>
      </c>
      <c r="Z3273" s="153">
        <v>2.9148811180540423E-2</v>
      </c>
      <c r="AA3273" s="155">
        <v>2.8934984769950489E-2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61920</v>
      </c>
      <c r="Y3274" s="152">
        <f>_xll.qlInterestRateIndexValueDate(IborIndex,X3274,Trigger)</f>
        <v>61924</v>
      </c>
      <c r="Z3274" s="153">
        <v>2.9148810273816595E-2</v>
      </c>
      <c r="AA3274" s="155">
        <v>2.8934983833259764E-2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61927</v>
      </c>
      <c r="Y3275" s="152">
        <f>_xll.qlInterestRateIndexValueDate(IborIndex,X3275,Trigger)</f>
        <v>61931</v>
      </c>
      <c r="Z3275" s="153">
        <v>2.9148809370521764E-2</v>
      </c>
      <c r="AA3275" s="155">
        <v>2.8934982899766482E-2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61934</v>
      </c>
      <c r="Y3276" s="152">
        <f>_xll.qlInterestRateIndexValueDate(IborIndex,X3276,Trigger)</f>
        <v>61938</v>
      </c>
      <c r="Z3276" s="153">
        <v>2.9148808470656366E-2</v>
      </c>
      <c r="AA3276" s="155">
        <v>2.8934981969950258E-2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61941</v>
      </c>
      <c r="Y3277" s="152">
        <f>_xll.qlInterestRateIndexValueDate(IborIndex,X3277,Trigger)</f>
        <v>61945</v>
      </c>
      <c r="Z3277" s="153">
        <v>2.9148807574221267E-2</v>
      </c>
      <c r="AA3277" s="155">
        <v>2.8934981043331476E-2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61948</v>
      </c>
      <c r="Y3278" s="152">
        <f>_xll.qlInterestRateIndexValueDate(IborIndex,X3278,Trigger)</f>
        <v>61952</v>
      </c>
      <c r="Z3278" s="153">
        <v>2.9148806681216465E-2</v>
      </c>
      <c r="AA3278" s="155">
        <v>2.8934980120229881E-2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61955</v>
      </c>
      <c r="Y3279" s="152">
        <f>_xll.qlInterestRateIndexValueDate(IborIndex,X3279,Trigger)</f>
        <v>61959</v>
      </c>
      <c r="Z3279" s="153">
        <v>2.9148805791640225E-2</v>
      </c>
      <c r="AA3279" s="155">
        <v>2.8934979200325728E-2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61962</v>
      </c>
      <c r="Y3280" s="152">
        <f>_xll.qlInterestRateIndexValueDate(IborIndex,X3280,Trigger)</f>
        <v>61967</v>
      </c>
      <c r="Z3280" s="153">
        <v>2.9148804779183152E-2</v>
      </c>
      <c r="AA3280" s="155">
        <v>2.8934978153243307E-2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61969</v>
      </c>
      <c r="Y3281" s="152">
        <f>_xll.qlInterestRateIndexValueDate(IborIndex,X3281,Trigger)</f>
        <v>61974</v>
      </c>
      <c r="Z3281" s="153">
        <v>2.9145281597326191E-2</v>
      </c>
      <c r="AA3281" s="155">
        <v>2.8934977240853144E-2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61976</v>
      </c>
      <c r="Y3282" s="152">
        <f>_xll.qlInterestRateIndexValueDate(IborIndex,X3282,Trigger)</f>
        <v>61980</v>
      </c>
      <c r="Z3282" s="153">
        <v>2.9146454880439585E-2</v>
      </c>
      <c r="AA3282" s="155">
        <v>2.8934976461156836E-2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61983</v>
      </c>
      <c r="Y3283" s="152">
        <f>_xll.qlInterestRateIndexValueDate(IborIndex,X3283,Trigger)</f>
        <v>61987</v>
      </c>
      <c r="Z3283" s="153">
        <v>2.9146454004234542E-2</v>
      </c>
      <c r="AA3283" s="155">
        <v>2.8934975555001685E-2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61990</v>
      </c>
      <c r="Y3284" s="152">
        <f>_xll.qlInterestRateIndexValueDate(IborIndex,X3284,Trigger)</f>
        <v>61994</v>
      </c>
      <c r="Z3284" s="153">
        <v>2.9146453131458843E-2</v>
      </c>
      <c r="AA3284" s="155">
        <v>2.8934974652043977E-2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61997</v>
      </c>
      <c r="Y3285" s="152">
        <f>_xll.qlInterestRateIndexValueDate(IborIndex,X3285,Trigger)</f>
        <v>62001</v>
      </c>
      <c r="Z3285" s="153">
        <v>2.9141756489889849E-2</v>
      </c>
      <c r="AA3285" s="155">
        <v>2.8934973752523518E-2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62004</v>
      </c>
      <c r="Y3286" s="152">
        <f>_xll.qlInterestRateIndexValueDate(IborIndex,X3286,Trigger)</f>
        <v>62008</v>
      </c>
      <c r="Z3286" s="153">
        <v>2.9146451396196801E-2</v>
      </c>
      <c r="AA3286" s="155">
        <v>2.8934972856360375E-2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62011</v>
      </c>
      <c r="Y3287" s="152">
        <f>_xll.qlInterestRateIndexValueDate(IborIndex,X3287,Trigger)</f>
        <v>62016</v>
      </c>
      <c r="Z3287" s="153">
        <v>2.9146450410776702E-2</v>
      </c>
      <c r="AA3287" s="155">
        <v>2.8934971836376278E-2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62018</v>
      </c>
      <c r="Y3288" s="152">
        <f>_xll.qlInterestRateIndexValueDate(IborIndex,X3288,Trigger)</f>
        <v>62022</v>
      </c>
      <c r="Z3288" s="153">
        <v>2.9146449674651256E-2</v>
      </c>
      <c r="AA3288" s="155">
        <v>2.8934971074265903E-2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62025</v>
      </c>
      <c r="Y3289" s="152">
        <f>_xll.qlInterestRateIndexValueDate(IborIndex,X3289,Trigger)</f>
        <v>62029</v>
      </c>
      <c r="Z3289" s="153">
        <v>2.9146448819022282E-2</v>
      </c>
      <c r="AA3289" s="155">
        <v>2.8934970188334574E-2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62032</v>
      </c>
      <c r="Y3290" s="152">
        <f>_xll.qlInterestRateIndexValueDate(IborIndex,X3290,Trigger)</f>
        <v>62036</v>
      </c>
      <c r="Z3290" s="153">
        <v>2.9147622068252509E-2</v>
      </c>
      <c r="AA3290" s="155">
        <v>2.8934969305600688E-2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62039</v>
      </c>
      <c r="Y3291" s="152">
        <f>_xll.qlInterestRateIndexValueDate(IborIndex,X3291,Trigger)</f>
        <v>62044</v>
      </c>
      <c r="Z3291" s="153">
        <v>2.9145272958451384E-2</v>
      </c>
      <c r="AA3291" s="155">
        <v>2.893496830104425E-2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62046</v>
      </c>
      <c r="Y3292" s="152">
        <f>_xll.qlInterestRateIndexValueDate(IborIndex,X3292,Trigger)</f>
        <v>62050</v>
      </c>
      <c r="Z3292" s="153">
        <v>2.9146446272713185E-2</v>
      </c>
      <c r="AA3292" s="155">
        <v>2.893496755060454E-2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62053</v>
      </c>
      <c r="Y3293" s="152">
        <f>_xll.qlInterestRateIndexValueDate(IborIndex,X3293,Trigger)</f>
        <v>62057</v>
      </c>
      <c r="Z3293" s="153">
        <v>2.9147619532762875E-2</v>
      </c>
      <c r="AA3293" s="155">
        <v>2.8934966678022533E-2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62060</v>
      </c>
      <c r="Y3294" s="152">
        <f>_xll.qlInterestRateIndexValueDate(IborIndex,X3294,Trigger)</f>
        <v>62064</v>
      </c>
      <c r="Z3294" s="153">
        <v>2.9146444592320655E-2</v>
      </c>
      <c r="AA3294" s="155">
        <v>2.8934965808957713E-2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62067</v>
      </c>
      <c r="Y3295" s="152">
        <f>_xll.qlInterestRateIndexValueDate(IborIndex,X3295,Trigger)</f>
        <v>62071</v>
      </c>
      <c r="Z3295" s="153">
        <v>2.9146443757269068E-2</v>
      </c>
      <c r="AA3295" s="155">
        <v>2.8934964943250208E-2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62074</v>
      </c>
      <c r="Y3296" s="152">
        <f>_xll.qlInterestRateIndexValueDate(IborIndex,X3296,Trigger)</f>
        <v>62078</v>
      </c>
      <c r="Z3296" s="153">
        <v>2.9146442925645506E-2</v>
      </c>
      <c r="AA3296" s="155">
        <v>2.8934964080900016E-2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62081</v>
      </c>
      <c r="Y3297" s="152">
        <f>_xll.qlInterestRateIndexValueDate(IborIndex,X3297,Trigger)</f>
        <v>62085</v>
      </c>
      <c r="Z3297" s="153">
        <v>2.9146442097452169E-2</v>
      </c>
      <c r="AA3297" s="155">
        <v>2.8937288561801111E-2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62089</v>
      </c>
      <c r="Y3298" s="152">
        <f>_xll.qlInterestRateIndexValueDate(IborIndex,X3298,Trigger)</f>
        <v>62093</v>
      </c>
      <c r="Z3298" s="153">
        <v>2.9145267115269973E-2</v>
      </c>
      <c r="AA3298" s="155">
        <v>2.8937287707551107E-2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62096</v>
      </c>
      <c r="Y3299" s="152">
        <f>_xll.qlInterestRateIndexValueDate(IborIndex,X3299,Trigger)</f>
        <v>62100</v>
      </c>
      <c r="Z3299" s="153">
        <v>2.9145266294245843E-2</v>
      </c>
      <c r="AA3299" s="155">
        <v>2.8934961392650393E-2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62103</v>
      </c>
      <c r="Y3300" s="152">
        <f>_xll.qlInterestRateIndexValueDate(IborIndex,X3300,Trigger)</f>
        <v>62107</v>
      </c>
      <c r="Z3300" s="153">
        <v>2.9145265476651895E-2</v>
      </c>
      <c r="AA3300" s="155">
        <v>2.8934960544289012E-2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62110</v>
      </c>
      <c r="Y3301" s="152">
        <f>_xll.qlInterestRateIndexValueDate(IborIndex,X3301,Trigger)</f>
        <v>62114</v>
      </c>
      <c r="Z3301" s="153">
        <v>2.9145264662485921E-2</v>
      </c>
      <c r="AA3301" s="155">
        <v>2.8934959699284946E-2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62117</v>
      </c>
      <c r="Y3302" s="152">
        <f>_xll.qlInterestRateIndexValueDate(IborIndex,X3302,Trigger)</f>
        <v>62121</v>
      </c>
      <c r="Z3302" s="153">
        <v>2.9145263851749693E-2</v>
      </c>
      <c r="AA3302" s="155">
        <v>2.8934958857718129E-2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62124</v>
      </c>
      <c r="Y3303" s="152">
        <f>_xll.qlInterestRateIndexValueDate(IborIndex,X3303,Trigger)</f>
        <v>62128</v>
      </c>
      <c r="Z3303" s="153">
        <v>2.9145263044441438E-2</v>
      </c>
      <c r="AA3303" s="155">
        <v>2.8934958019588564E-2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62131</v>
      </c>
      <c r="Y3304" s="152">
        <f>_xll.qlInterestRateIndexValueDate(IborIndex,X3304,Trigger)</f>
        <v>62135</v>
      </c>
      <c r="Z3304" s="153">
        <v>2.9145262240562929E-2</v>
      </c>
      <c r="AA3304" s="155">
        <v>2.8934957184736376E-2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62138</v>
      </c>
      <c r="Y3305" s="152">
        <f>_xll.qlInterestRateIndexValueDate(IborIndex,X3305,Trigger)</f>
        <v>62142</v>
      </c>
      <c r="Z3305" s="153">
        <v>2.91452614401146E-2</v>
      </c>
      <c r="AA3305" s="155">
        <v>2.8934956353321439E-2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62145</v>
      </c>
      <c r="Y3306" s="152">
        <f>_xll.qlInterestRateIndexValueDate(IborIndex,X3306,Trigger)</f>
        <v>62149</v>
      </c>
      <c r="Z3306" s="153">
        <v>2.9146434684408362E-2</v>
      </c>
      <c r="AA3306" s="155">
        <v>2.8934955525263817E-2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62152</v>
      </c>
      <c r="Y3307" s="152">
        <f>_xll.qlInterestRateIndexValueDate(IborIndex,X3307,Trigger)</f>
        <v>62156</v>
      </c>
      <c r="Z3307" s="153">
        <v>2.9148782162999008E-2</v>
      </c>
      <c r="AA3307" s="155">
        <v>2.8934954700723381E-2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62159</v>
      </c>
      <c r="Y3308" s="152">
        <f>_xll.qlInterestRateIndexValueDate(IborIndex,X3308,Trigger)</f>
        <v>62163</v>
      </c>
      <c r="Z3308" s="153">
        <v>2.9148781373381942E-2</v>
      </c>
      <c r="AA3308" s="155">
        <v>2.8934953879300451E-2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62166</v>
      </c>
      <c r="Y3309" s="152">
        <f>_xll.qlInterestRateIndexValueDate(IborIndex,X3309,Trigger)</f>
        <v>62170</v>
      </c>
      <c r="Z3309" s="153">
        <v>2.9148780587194306E-2</v>
      </c>
      <c r="AA3309" s="155">
        <v>2.8934953061314772E-2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62173</v>
      </c>
      <c r="Y3310" s="152">
        <f>_xll.qlInterestRateIndexValueDate(IborIndex,X3310,Trigger)</f>
        <v>62177</v>
      </c>
      <c r="Z3310" s="153">
        <v>2.9148779804436534E-2</v>
      </c>
      <c r="AA3310" s="155">
        <v>2.8939603674457359E-2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62184</v>
      </c>
      <c r="Y3311" s="152">
        <f>_xll.qlInterestRateIndexValueDate(IborIndex,X3311,Trigger)</f>
        <v>62186</v>
      </c>
      <c r="Z3311" s="153">
        <v>2.914760463479062E-2</v>
      </c>
      <c r="AA3311" s="155">
        <v>2.8934950973544815E-2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62191</v>
      </c>
      <c r="Y3312" s="152">
        <f>_xll.qlInterestRateIndexValueDate(IborIndex,X3312,Trigger)</f>
        <v>62193</v>
      </c>
      <c r="Z3312" s="153">
        <v>2.914760385968998E-2</v>
      </c>
      <c r="AA3312" s="155">
        <v>2.8934950167789353E-2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62198</v>
      </c>
      <c r="Y3313" s="152">
        <f>_xll.qlInterestRateIndexValueDate(IborIndex,X3313,Trigger)</f>
        <v>62200</v>
      </c>
      <c r="Z3313" s="153">
        <v>2.9147603088019166E-2</v>
      </c>
      <c r="AA3313" s="155">
        <v>2.8934949365311269E-2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62205</v>
      </c>
      <c r="Y3314" s="152">
        <f>_xll.qlInterestRateIndexValueDate(IborIndex,X3314,Trigger)</f>
        <v>62207</v>
      </c>
      <c r="Z3314" s="153">
        <v>2.9147602319777741E-2</v>
      </c>
      <c r="AA3314" s="155">
        <v>2.8934948566270435E-2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62212</v>
      </c>
      <c r="Y3315" s="152">
        <f>_xll.qlInterestRateIndexValueDate(IborIndex,X3315,Trigger)</f>
        <v>62214</v>
      </c>
      <c r="Z3315" s="153">
        <v>2.9151124251047031E-2</v>
      </c>
      <c r="AA3315" s="155">
        <v>2.8934947657077714E-2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62219</v>
      </c>
      <c r="Y3316" s="152">
        <f>_xll.qlInterestRateIndexValueDate(IborIndex,X3316,Trigger)</f>
        <v>62221</v>
      </c>
      <c r="Z3316" s="153">
        <v>2.9151123490216493E-2</v>
      </c>
      <c r="AA3316" s="155">
        <v>2.8934946978260712E-2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62226</v>
      </c>
      <c r="Y3317" s="152">
        <f>_xll.qlInterestRateIndexValueDate(IborIndex,X3317,Trigger)</f>
        <v>62228</v>
      </c>
      <c r="Z3317" s="153">
        <v>2.915112273281633E-2</v>
      </c>
      <c r="AA3317" s="155">
        <v>2.8934946189291821E-2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62233</v>
      </c>
      <c r="Y3318" s="152">
        <f>_xll.qlInterestRateIndexValueDate(IborIndex,X3318,Trigger)</f>
        <v>62235</v>
      </c>
      <c r="Z3318" s="153">
        <v>2.9151121978847398E-2</v>
      </c>
      <c r="AA3318" s="155">
        <v>2.8934945291689829E-2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62240</v>
      </c>
      <c r="Y3319" s="152">
        <f>_xll.qlInterestRateIndexValueDate(IborIndex,X3319,Trigger)</f>
        <v>62242</v>
      </c>
      <c r="Z3319" s="153">
        <v>2.9147598530016666E-2</v>
      </c>
      <c r="AA3319" s="155">
        <v>2.8934944621346048E-2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62247</v>
      </c>
      <c r="Y3320" s="152">
        <f>_xll.qlInterestRateIndexValueDate(IborIndex,X3320,Trigger)</f>
        <v>62249</v>
      </c>
      <c r="Z3320" s="153">
        <v>2.9147597782352878E-2</v>
      </c>
      <c r="AA3320" s="155">
        <v>2.8934943842608973E-2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62254</v>
      </c>
      <c r="Y3321" s="152">
        <f>_xll.qlInterestRateIndexValueDate(IborIndex,X3321,Trigger)</f>
        <v>62256</v>
      </c>
      <c r="Z3321" s="153">
        <v>2.9147597038119786E-2</v>
      </c>
      <c r="AA3321" s="155">
        <v>2.8934943067309149E-2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62261</v>
      </c>
      <c r="Y3322" s="152">
        <f>_xll.qlInterestRateIndexValueDate(IborIndex,X3322,Trigger)</f>
        <v>62263</v>
      </c>
      <c r="Z3322" s="153">
        <v>2.9147596297315212E-2</v>
      </c>
      <c r="AA3322" s="155">
        <v>2.8934942295126831E-2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62268</v>
      </c>
      <c r="Y3323" s="152">
        <f>_xll.qlInterestRateIndexValueDate(IborIndex,X3323,Trigger)</f>
        <v>62270</v>
      </c>
      <c r="Z3323" s="153">
        <v>2.9151118260456643E-2</v>
      </c>
      <c r="AA3323" s="155">
        <v>2.8934941526541635E-2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62275</v>
      </c>
      <c r="Y3324" s="152">
        <f>_xll.qlInterestRateIndexValueDate(IborIndex,X3324,Trigger)</f>
        <v>62277</v>
      </c>
      <c r="Z3324" s="153">
        <v>2.9151117527069958E-2</v>
      </c>
      <c r="AA3324" s="155">
        <v>2.8934940761313754E-2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62282</v>
      </c>
      <c r="Y3325" s="152">
        <f>_xll.qlInterestRateIndexValueDate(IborIndex,X3325,Trigger)</f>
        <v>62284</v>
      </c>
      <c r="Z3325" s="153">
        <v>2.9151116797114508E-2</v>
      </c>
      <c r="AA3325" s="155">
        <v>2.893493999920338E-2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62289</v>
      </c>
      <c r="Y3326" s="152">
        <f>_xll.qlInterestRateIndexValueDate(IborIndex,X3326,Trigger)</f>
        <v>62291</v>
      </c>
      <c r="Z3326" s="153">
        <v>2.9152290430684253E-2</v>
      </c>
      <c r="AA3326" s="155">
        <v>2.8934939240690127E-2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62296</v>
      </c>
      <c r="Y3327" s="152">
        <f>_xll.qlInterestRateIndexValueDate(IborIndex,X3327,Trigger)</f>
        <v>62298</v>
      </c>
      <c r="Z3327" s="153">
        <v>2.9151115347493439E-2</v>
      </c>
      <c r="AA3327" s="155">
        <v>2.893493848553419E-2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62303</v>
      </c>
      <c r="Y3328" s="152">
        <f>_xll.qlInterestRateIndexValueDate(IborIndex,X3328,Trigger)</f>
        <v>62305</v>
      </c>
      <c r="Z3328" s="153">
        <v>2.9147591924514073E-2</v>
      </c>
      <c r="AA3328" s="155">
        <v>2.8934937733815502E-2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62310</v>
      </c>
      <c r="Y3329" s="152">
        <f>_xll.qlInterestRateIndexValueDate(IborIndex,X3329,Trigger)</f>
        <v>62312</v>
      </c>
      <c r="Z3329" s="153">
        <v>2.9151113911594296E-2</v>
      </c>
      <c r="AA3329" s="155">
        <v>2.8934936985454129E-2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62317</v>
      </c>
      <c r="Y3330" s="152">
        <f>_xll.qlInterestRateIndexValueDate(IborIndex,X3330,Trigger)</f>
        <v>62319</v>
      </c>
      <c r="Z3330" s="153">
        <v>2.9152287559635403E-2</v>
      </c>
      <c r="AA3330" s="155">
        <v>2.8934936240450071E-2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62324</v>
      </c>
      <c r="Y3331" s="152">
        <f>_xll.qlInterestRateIndexValueDate(IborIndex,X3331,Trigger)</f>
        <v>62326</v>
      </c>
      <c r="Z3331" s="153">
        <v>2.9151112489416653E-2</v>
      </c>
      <c r="AA3331" s="155">
        <v>2.8934935393047923E-2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62331</v>
      </c>
      <c r="Y3332" s="152">
        <f>_xll.qlInterestRateIndexValueDate(IborIndex,X3332,Trigger)</f>
        <v>62333</v>
      </c>
      <c r="Z3332" s="153">
        <v>2.9147589077905878E-2</v>
      </c>
      <c r="AA3332" s="155">
        <v>2.8934934760513897E-2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62338</v>
      </c>
      <c r="Y3333" s="152">
        <f>_xll.qlInterestRateIndexValueDate(IborIndex,X3333,Trigger)</f>
        <v>62340</v>
      </c>
      <c r="Z3333" s="153">
        <v>2.9145240219112186E-2</v>
      </c>
      <c r="AA3333" s="155">
        <v>2.8934934025581782E-2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62345</v>
      </c>
      <c r="Y3334" s="152">
        <f>_xll.qlInterestRateIndexValueDate(IborIndex,X3334,Trigger)</f>
        <v>62347</v>
      </c>
      <c r="Z3334" s="153">
        <v>2.9145239519086513E-2</v>
      </c>
      <c r="AA3334" s="155">
        <v>2.893493329424679E-2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62352</v>
      </c>
      <c r="Y3335" s="152">
        <f>_xll.qlInterestRateIndexValueDate(IborIndex,X3335,Trigger)</f>
        <v>62354</v>
      </c>
      <c r="Z3335" s="153">
        <v>2.9145238822489702E-2</v>
      </c>
      <c r="AA3335" s="155">
        <v>2.8934932566029303E-2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62359</v>
      </c>
      <c r="Y3336" s="152">
        <f>_xll.qlInterestRateIndexValueDate(IborIndex,X3336,Trigger)</f>
        <v>62361</v>
      </c>
      <c r="Z3336" s="153">
        <v>2.9145238129322629E-2</v>
      </c>
      <c r="AA3336" s="155">
        <v>2.8934931841169131E-2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62366</v>
      </c>
      <c r="Y3337" s="152">
        <f>_xll.qlInterestRateIndexValueDate(IborIndex,X3337,Trigger)</f>
        <v>62368</v>
      </c>
      <c r="Z3337" s="153">
        <v>2.9146411486696919E-2</v>
      </c>
      <c r="AA3337" s="155">
        <v>2.8934931119906082E-2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62373</v>
      </c>
      <c r="Y3338" s="152">
        <f>_xll.qlInterestRateIndexValueDate(IborIndex,X3338,Trigger)</f>
        <v>62375</v>
      </c>
      <c r="Z3338" s="153">
        <v>2.9146410800577185E-2</v>
      </c>
      <c r="AA3338" s="155">
        <v>2.8934930402000347E-2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62380</v>
      </c>
      <c r="Y3339" s="152">
        <f>_xll.qlInterestRateIndexValueDate(IborIndex,X3339,Trigger)</f>
        <v>62382</v>
      </c>
      <c r="Z3339" s="153">
        <v>2.9146410117887239E-2</v>
      </c>
      <c r="AA3339" s="155">
        <v>2.8934929687451927E-2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62387</v>
      </c>
      <c r="Y3340" s="152">
        <f>_xll.qlInterestRateIndexValueDate(IborIndex,X3340,Trigger)</f>
        <v>62389</v>
      </c>
      <c r="Z3340" s="153">
        <v>2.9146409438626633E-2</v>
      </c>
      <c r="AA3340" s="155">
        <v>2.8934928976180885E-2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62394</v>
      </c>
      <c r="Y3341" s="152">
        <f>_xll.qlInterestRateIndexValueDate(IborIndex,X3341,Trigger)</f>
        <v>62396</v>
      </c>
      <c r="Z3341" s="153">
        <v>2.9146408762795374E-2</v>
      </c>
      <c r="AA3341" s="155">
        <v>2.8934928268347093E-2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62401</v>
      </c>
      <c r="Y3342" s="152">
        <f>_xll.qlInterestRateIndexValueDate(IborIndex,X3342,Trigger)</f>
        <v>62403</v>
      </c>
      <c r="Z3342" s="153">
        <v>2.9145234042328463E-2</v>
      </c>
      <c r="AA3342" s="155">
        <v>2.8934927563870616E-2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62408</v>
      </c>
      <c r="Y3343" s="152">
        <f>_xll.qlInterestRateIndexValueDate(IborIndex,X3343,Trigger)</f>
        <v>62410</v>
      </c>
      <c r="Z3343" s="153">
        <v>2.9145233373164731E-2</v>
      </c>
      <c r="AA3343" s="155">
        <v>2.8934926862911325E-2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62415</v>
      </c>
      <c r="Y3344" s="152">
        <f>_xll.qlInterestRateIndexValueDate(IborIndex,X3344,Trigger)</f>
        <v>62417</v>
      </c>
      <c r="Z3344" s="153">
        <v>2.9145232707430302E-2</v>
      </c>
      <c r="AA3344" s="155">
        <v>2.8934926165069541E-2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62422</v>
      </c>
      <c r="Y3345" s="152">
        <f>_xll.qlInterestRateIndexValueDate(IborIndex,X3345,Trigger)</f>
        <v>62425</v>
      </c>
      <c r="Z3345" s="153">
        <v>2.9146405999455487E-2</v>
      </c>
      <c r="AA3345" s="155">
        <v>2.8934925371784104E-2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62429</v>
      </c>
      <c r="Y3346" s="152">
        <f>_xll.qlInterestRateIndexValueDate(IborIndex,X3346,Trigger)</f>
        <v>62431</v>
      </c>
      <c r="Z3346" s="153">
        <v>2.914640543507881E-2</v>
      </c>
      <c r="AA3346" s="155">
        <v>2.8934924779937532E-2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62436</v>
      </c>
      <c r="Y3347" s="152">
        <f>_xll.qlInterestRateIndexValueDate(IborIndex,X3347,Trigger)</f>
        <v>62438</v>
      </c>
      <c r="Z3347" s="153">
        <v>2.914640477982362E-2</v>
      </c>
      <c r="AA3347" s="155">
        <v>2.8934924092247627E-2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62443</v>
      </c>
      <c r="Y3348" s="152">
        <f>_xll.qlInterestRateIndexValueDate(IborIndex,X3348,Trigger)</f>
        <v>62445</v>
      </c>
      <c r="Z3348" s="153">
        <v>2.9146404127998213E-2</v>
      </c>
      <c r="AA3348" s="155">
        <v>2.8934923408074908E-2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62450</v>
      </c>
      <c r="Y3349" s="152">
        <f>_xll.qlInterestRateIndexValueDate(IborIndex,X3349,Trigger)</f>
        <v>62456</v>
      </c>
      <c r="Z3349" s="153">
        <v>2.914640311062873E-2</v>
      </c>
      <c r="AA3349" s="155">
        <v>2.8936085304094306E-2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62457</v>
      </c>
      <c r="Y3350" s="152">
        <f>_xll.qlInterestRateIndexValueDate(IborIndex,X3350,Trigger)</f>
        <v>62460</v>
      </c>
      <c r="Z3350" s="153">
        <v>2.9145228693147032E-2</v>
      </c>
      <c r="AA3350" s="155">
        <v>2.8934921953478465E-2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62464</v>
      </c>
      <c r="Y3351" s="152">
        <f>_xll.qlInterestRateIndexValueDate(IborIndex,X3351,Trigger)</f>
        <v>62466</v>
      </c>
      <c r="Z3351" s="153">
        <v>2.9145228143302223E-2</v>
      </c>
      <c r="AA3351" s="155">
        <v>2.8934921375780576E-2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62471</v>
      </c>
      <c r="Y3352" s="152">
        <f>_xll.qlInterestRateIndexValueDate(IborIndex,X3352,Trigger)</f>
        <v>62473</v>
      </c>
      <c r="Z3352" s="153">
        <v>2.9145227504999552E-2</v>
      </c>
      <c r="AA3352" s="155">
        <v>2.8934920705276923E-2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62478</v>
      </c>
      <c r="Y3353" s="152">
        <f>_xll.qlInterestRateIndexValueDate(IborIndex,X3353,Trigger)</f>
        <v>62480</v>
      </c>
      <c r="Z3353" s="153">
        <v>2.9145226870127064E-2</v>
      </c>
      <c r="AA3353" s="155">
        <v>2.8934920037810841E-2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62485</v>
      </c>
      <c r="Y3354" s="152">
        <f>_xll.qlInterestRateIndexValueDate(IborIndex,X3354,Trigger)</f>
        <v>62487</v>
      </c>
      <c r="Z3354" s="153">
        <v>2.9145226238683437E-2</v>
      </c>
      <c r="AA3354" s="155">
        <v>2.8934919374021817E-2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62492</v>
      </c>
      <c r="Y3355" s="152">
        <f>_xll.qlInterestRateIndexValueDate(IborIndex,X3355,Trigger)</f>
        <v>62494</v>
      </c>
      <c r="Z3355" s="153">
        <v>2.9145225610669113E-2</v>
      </c>
      <c r="AA3355" s="155">
        <v>2.8934918713510172E-2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62499</v>
      </c>
      <c r="Y3356" s="152">
        <f>_xll.qlInterestRateIndexValueDate(IborIndex,X3356,Trigger)</f>
        <v>62501</v>
      </c>
      <c r="Z3356" s="153">
        <v>2.9145224986083205E-2</v>
      </c>
      <c r="AA3356" s="155">
        <v>2.8934918056355841E-2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62506</v>
      </c>
      <c r="Y3357" s="152">
        <f>_xll.qlInterestRateIndexValueDate(IborIndex,X3357,Trigger)</f>
        <v>62508</v>
      </c>
      <c r="Z3357" s="153">
        <v>2.91452243649266E-2</v>
      </c>
      <c r="AA3357" s="155">
        <v>2.893491740263876E-2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62513</v>
      </c>
      <c r="Y3358" s="152">
        <f>_xll.qlInterestRateIndexValueDate(IborIndex,X3358,Trigger)</f>
        <v>62515</v>
      </c>
      <c r="Z3358" s="153">
        <v>2.9145223747199734E-2</v>
      </c>
      <c r="AA3358" s="155">
        <v>2.8934916752199058E-2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62520</v>
      </c>
      <c r="Y3359" s="152">
        <f>_xll.qlInterestRateIndexValueDate(IborIndex,X3359,Trigger)</f>
        <v>62522</v>
      </c>
      <c r="Z3359" s="153">
        <v>2.915226838614822E-2</v>
      </c>
      <c r="AA3359" s="155">
        <v>2.893491610511667E-2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62527</v>
      </c>
      <c r="Y3360" s="152">
        <f>_xll.qlInterestRateIndexValueDate(IborIndex,X3360,Trigger)</f>
        <v>62529</v>
      </c>
      <c r="Z3360" s="153">
        <v>2.915109340984819E-2</v>
      </c>
      <c r="AA3360" s="155">
        <v>2.8934915461631405E-2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62534</v>
      </c>
      <c r="Y3361" s="152">
        <f>_xll.qlInterestRateIndexValueDate(IborIndex,X3361,Trigger)</f>
        <v>62536</v>
      </c>
      <c r="Z3361" s="153">
        <v>2.915109280339008E-2</v>
      </c>
      <c r="AA3361" s="155">
        <v>2.8934914821423519E-2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62541</v>
      </c>
      <c r="Y3362" s="152">
        <f>_xll.qlInterestRateIndexValueDate(IborIndex,X3362,Trigger)</f>
        <v>62543</v>
      </c>
      <c r="Z3362" s="153">
        <v>2.9151092200361484E-2</v>
      </c>
      <c r="AA3362" s="155">
        <v>2.893491418449301E-2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62548</v>
      </c>
      <c r="Y3363" s="152">
        <f>_xll.qlInterestRateIndexValueDate(IborIndex,X3363,Trigger)</f>
        <v>62550</v>
      </c>
      <c r="Z3363" s="153">
        <v>2.9147568877277385E-2</v>
      </c>
      <c r="AA3363" s="155">
        <v>2.8934913550999752E-2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62555</v>
      </c>
      <c r="Y3364" s="152">
        <f>_xll.qlInterestRateIndexValueDate(IborIndex,X3364,Trigger)</f>
        <v>62557</v>
      </c>
      <c r="Z3364" s="153">
        <v>2.9147568280518895E-2</v>
      </c>
      <c r="AA3364" s="155">
        <v>2.8934912920863809E-2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62562</v>
      </c>
      <c r="Y3365" s="152">
        <f>_xll.qlInterestRateIndexValueDate(IborIndex,X3365,Trigger)</f>
        <v>62564</v>
      </c>
      <c r="Z3365" s="153">
        <v>2.9147567687189357E-2</v>
      </c>
      <c r="AA3365" s="155">
        <v>2.8934912115747835E-2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62569</v>
      </c>
      <c r="Y3366" s="152">
        <f>_xll.qlInterestRateIndexValueDate(IborIndex,X3366,Trigger)</f>
        <v>62571</v>
      </c>
      <c r="Z3366" s="153">
        <v>2.9147567097290081E-2</v>
      </c>
      <c r="AA3366" s="155">
        <v>2.8934911670823737E-2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62576</v>
      </c>
      <c r="Y3367" s="152">
        <f>_xll.qlInterestRateIndexValueDate(IborIndex,X3367,Trigger)</f>
        <v>62578</v>
      </c>
      <c r="Z3367" s="153">
        <v>2.9147566510819754E-2</v>
      </c>
      <c r="AA3367" s="155">
        <v>2.893491096251033E-2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62583</v>
      </c>
      <c r="Y3368" s="152">
        <f>_xll.qlInterestRateIndexValueDate(IborIndex,X3368,Trigger)</f>
        <v>62585</v>
      </c>
      <c r="Z3368" s="153">
        <v>2.9151088654229926E-2</v>
      </c>
      <c r="AA3368" s="155">
        <v>2.8934910434372796E-2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62590</v>
      </c>
      <c r="Y3369" s="152">
        <f>_xll.qlInterestRateIndexValueDate(IborIndex,X3369,Trigger)</f>
        <v>62592</v>
      </c>
      <c r="Z3369" s="153">
        <v>2.9151088075214809E-2</v>
      </c>
      <c r="AA3369" s="155">
        <v>2.8934909821023425E-2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62597</v>
      </c>
      <c r="Y3370" s="152">
        <f>_xll.qlInterestRateIndexValueDate(IborIndex,X3370,Trigger)</f>
        <v>62599</v>
      </c>
      <c r="Z3370" s="153">
        <v>2.9151087499629209E-2</v>
      </c>
      <c r="AA3370" s="155">
        <v>2.8934909124300745E-2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62604</v>
      </c>
      <c r="Y3371" s="152">
        <f>_xll.qlInterestRateIndexValueDate(IborIndex,X3371,Trigger)</f>
        <v>62606</v>
      </c>
      <c r="Z3371" s="153">
        <v>2.915108692747527E-2</v>
      </c>
      <c r="AA3371" s="155">
        <v>2.8934908604876242E-2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62611</v>
      </c>
      <c r="Y3372" s="152">
        <f>_xll.qlInterestRateIndexValueDate(IborIndex,X3372,Trigger)</f>
        <v>62613</v>
      </c>
      <c r="Z3372" s="153">
        <v>2.9147563629915933E-2</v>
      </c>
      <c r="AA3372" s="155">
        <v>2.8934908001758686E-2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62618</v>
      </c>
      <c r="Y3373" s="152">
        <f>_xll.qlInterestRateIndexValueDate(IborIndex,X3373,Trigger)</f>
        <v>62620</v>
      </c>
      <c r="Z3373" s="153">
        <v>2.9147563064023246E-2</v>
      </c>
      <c r="AA3373" s="155">
        <v>2.893490740207838E-2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62625</v>
      </c>
      <c r="Y3374" s="152">
        <f>_xll.qlInterestRateIndexValueDate(IborIndex,X3374,Trigger)</f>
        <v>62627</v>
      </c>
      <c r="Z3374" s="153">
        <v>2.9147562501561256E-2</v>
      </c>
      <c r="AA3374" s="155">
        <v>2.8934906805835325E-2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62632</v>
      </c>
      <c r="Y3375" s="152">
        <f>_xll.qlInterestRateIndexValueDate(IborIndex,X3375,Trigger)</f>
        <v>62634</v>
      </c>
      <c r="Z3375" s="153">
        <v>2.9152259042742597E-2</v>
      </c>
      <c r="AA3375" s="155">
        <v>2.8934906212949585E-2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62639</v>
      </c>
      <c r="Y3376" s="152">
        <f>_xll.qlInterestRateIndexValueDate(IborIndex,X3376,Trigger)</f>
        <v>62641</v>
      </c>
      <c r="Z3376" s="153">
        <v>2.9151084118161631E-2</v>
      </c>
      <c r="AA3376" s="155">
        <v>2.8934905623341223E-2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62646</v>
      </c>
      <c r="Y3377" s="152">
        <f>_xll.qlInterestRateIndexValueDate(IborIndex,X3377,Trigger)</f>
        <v>62648</v>
      </c>
      <c r="Z3377" s="153">
        <v>2.9151083566590366E-2</v>
      </c>
      <c r="AA3377" s="155">
        <v>2.8934905037250047E-2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62653</v>
      </c>
      <c r="Y3378" s="152">
        <f>_xll.qlInterestRateIndexValueDate(IborIndex,X3378,Trigger)</f>
        <v>62655</v>
      </c>
      <c r="Z3378" s="153">
        <v>2.9152257388630455E-2</v>
      </c>
      <c r="AA3378" s="155">
        <v>2.8934904454516186E-2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62660</v>
      </c>
      <c r="Y3379" s="152">
        <f>_xll.qlInterestRateIndexValueDate(IborIndex,X3379,Trigger)</f>
        <v>62662</v>
      </c>
      <c r="Z3379" s="153">
        <v>2.9151082473738536E-2</v>
      </c>
      <c r="AA3379" s="155">
        <v>2.8934903874979767E-2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62667</v>
      </c>
      <c r="Y3380" s="152">
        <f>_xll.qlInterestRateIndexValueDate(IborIndex,X3380,Trigger)</f>
        <v>62669</v>
      </c>
      <c r="Z3380" s="153">
        <v>2.9147559198810395E-2</v>
      </c>
      <c r="AA3380" s="155">
        <v>2.8934903298960535E-2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62674</v>
      </c>
      <c r="Y3381" s="152">
        <f>_xll.qlInterestRateIndexValueDate(IborIndex,X3381,Trigger)</f>
        <v>62676</v>
      </c>
      <c r="Z3381" s="153">
        <v>2.9151081394608633E-2</v>
      </c>
      <c r="AA3381" s="155">
        <v>2.8934902726378553E-2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62681</v>
      </c>
      <c r="Y3382" s="152">
        <f>_xll.qlInterestRateIndexValueDate(IborIndex,X3382,Trigger)</f>
        <v>62683</v>
      </c>
      <c r="Z3382" s="153">
        <v>2.9152255231177631E-2</v>
      </c>
      <c r="AA3382" s="155">
        <v>2.8934902157153886E-2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62688</v>
      </c>
      <c r="Y3383" s="152">
        <f>_xll.qlInterestRateIndexValueDate(IborIndex,X3383,Trigger)</f>
        <v>62690</v>
      </c>
      <c r="Z3383" s="153">
        <v>2.9151080329201086E-2</v>
      </c>
      <c r="AA3383" s="155">
        <v>2.893490159112666E-2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62695</v>
      </c>
      <c r="Y3384" s="152">
        <f>_xll.qlInterestRateIndexValueDate(IborIndex,X3384,Trigger)</f>
        <v>62697</v>
      </c>
      <c r="Z3384" s="153">
        <v>2.9151079801643734E-2</v>
      </c>
      <c r="AA3384" s="155">
        <v>2.8934900948600628E-2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62702</v>
      </c>
      <c r="Y3385" s="152">
        <f>_xll.qlInterestRateIndexValueDate(IborIndex,X3385,Trigger)</f>
        <v>62704</v>
      </c>
      <c r="Z3385" s="153">
        <v>2.9146382421293648E-2</v>
      </c>
      <c r="AA3385" s="155">
        <v>2.893490046962377E-2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62709</v>
      </c>
      <c r="Y3386" s="152">
        <f>_xll.qlInterestRateIndexValueDate(IborIndex,X3386,Trigger)</f>
        <v>62711</v>
      </c>
      <c r="Z3386" s="153">
        <v>2.9146381899784218E-2</v>
      </c>
      <c r="AA3386" s="155">
        <v>2.8934899913908296E-2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62716</v>
      </c>
      <c r="Y3387" s="152">
        <f>_xll.qlInterestRateIndexValueDate(IborIndex,X3387,Trigger)</f>
        <v>62718</v>
      </c>
      <c r="Z3387" s="153">
        <v>2.9146381381704136E-2</v>
      </c>
      <c r="AA3387" s="155">
        <v>2.8934899361470201E-2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62723</v>
      </c>
      <c r="Y3388" s="152">
        <f>_xll.qlInterestRateIndexValueDate(IborIndex,X3388,Trigger)</f>
        <v>62725</v>
      </c>
      <c r="Z3388" s="153">
        <v>2.9146380867052957E-2</v>
      </c>
      <c r="AA3388" s="155">
        <v>2.8934898812469356E-2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62730</v>
      </c>
      <c r="Y3389" s="152">
        <f>_xll.qlInterestRateIndexValueDate(IborIndex,X3389,Trigger)</f>
        <v>62732</v>
      </c>
      <c r="Z3389" s="153">
        <v>2.9147554476184171E-2</v>
      </c>
      <c r="AA3389" s="155">
        <v>2.8934898266985698E-2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62737</v>
      </c>
      <c r="Y3390" s="152">
        <f>_xll.qlInterestRateIndexValueDate(IborIndex,X3390,Trigger)</f>
        <v>62739</v>
      </c>
      <c r="Z3390" s="153">
        <v>2.9152251080950087E-2</v>
      </c>
      <c r="AA3390" s="155">
        <v>2.8934897724619546E-2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62744</v>
      </c>
      <c r="Y3391" s="152">
        <f>_xll.qlInterestRateIndexValueDate(IborIndex,X3391,Trigger)</f>
        <v>62746</v>
      </c>
      <c r="Z3391" s="153">
        <v>2.914755346443873E-2</v>
      </c>
      <c r="AA3391" s="155">
        <v>2.8934897185770581E-2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62751</v>
      </c>
      <c r="Y3392" s="152">
        <f>_xll.qlInterestRateIndexValueDate(IborIndex,X3392,Trigger)</f>
        <v>62753</v>
      </c>
      <c r="Z3392" s="153">
        <v>2.9147552963709654E-2</v>
      </c>
      <c r="AA3392" s="155">
        <v>2.8934896650358866E-2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62758</v>
      </c>
      <c r="Y3393" s="152">
        <f>_xll.qlInterestRateIndexValueDate(IborIndex,X3393,Trigger)</f>
        <v>62760</v>
      </c>
      <c r="Z3393" s="153">
        <v>2.9147552466410841E-2</v>
      </c>
      <c r="AA3393" s="155">
        <v>2.8934896118304465E-2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62765</v>
      </c>
      <c r="Y3394" s="152">
        <f>_xll.qlInterestRateIndexValueDate(IborIndex,X3394,Trigger)</f>
        <v>62767</v>
      </c>
      <c r="Z3394" s="153">
        <v>2.9146377851165198E-2</v>
      </c>
      <c r="AA3394" s="155">
        <v>2.8934895589527443E-2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62772</v>
      </c>
      <c r="Y3395" s="152">
        <f>_xll.qlInterestRateIndexValueDate(IborIndex,X3395,Trigger)</f>
        <v>62774</v>
      </c>
      <c r="Z3395" s="153">
        <v>2.9146377360520309E-2</v>
      </c>
      <c r="AA3395" s="155">
        <v>2.8934895064187671E-2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62779</v>
      </c>
      <c r="Y3396" s="152">
        <f>_xll.qlInterestRateIndexValueDate(IborIndex,X3396,Trigger)</f>
        <v>62781</v>
      </c>
      <c r="Z3396" s="153">
        <v>2.9146376873303889E-2</v>
      </c>
      <c r="AA3396" s="155">
        <v>2.8934894542365086E-2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62786</v>
      </c>
      <c r="Y3397" s="152">
        <f>_xll.qlInterestRateIndexValueDate(IborIndex,X3397,Trigger)</f>
        <v>62789</v>
      </c>
      <c r="Z3397" s="153">
        <v>2.9146376320684838E-2</v>
      </c>
      <c r="AA3397" s="155">
        <v>2.8934893950038898E-2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62793</v>
      </c>
      <c r="Y3398" s="152">
        <f>_xll.qlInterestRateIndexValueDate(IborIndex,X3398,Trigger)</f>
        <v>62795</v>
      </c>
      <c r="Z3398" s="153">
        <v>2.9147550031360211E-2</v>
      </c>
      <c r="AA3398" s="155">
        <v>2.8934893508552051E-2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62800</v>
      </c>
      <c r="Y3399" s="152">
        <f>_xll.qlInterestRateIndexValueDate(IborIndex,X3399,Trigger)</f>
        <v>62802</v>
      </c>
      <c r="Z3399" s="153">
        <v>2.9147549554639034E-2</v>
      </c>
      <c r="AA3399" s="155">
        <v>2.8934892996721473E-2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62807</v>
      </c>
      <c r="Y3400" s="152">
        <f>_xll.qlInterestRateIndexValueDate(IborIndex,X3400,Trigger)</f>
        <v>62809</v>
      </c>
      <c r="Z3400" s="153">
        <v>2.914754908134768E-2</v>
      </c>
      <c r="AA3400" s="155">
        <v>2.8934892488328146E-2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62814</v>
      </c>
      <c r="Y3401" s="152">
        <f>_xll.qlInterestRateIndexValueDate(IborIndex,X3401,Trigger)</f>
        <v>62816</v>
      </c>
      <c r="Z3401" s="153">
        <v>2.9147548611485719E-2</v>
      </c>
      <c r="AA3401" s="155">
        <v>2.8934891839567101E-2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62821</v>
      </c>
      <c r="Y3402" s="152">
        <f>_xll.qlInterestRateIndexValueDate(IborIndex,X3402,Trigger)</f>
        <v>62823</v>
      </c>
      <c r="Z3402" s="153">
        <v>2.9146374022025995E-2</v>
      </c>
      <c r="AA3402" s="155">
        <v>2.8934891410230534E-2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62828</v>
      </c>
      <c r="Y3403" s="152">
        <f>_xll.qlInterestRateIndexValueDate(IborIndex,X3403,Trigger)</f>
        <v>62830</v>
      </c>
      <c r="Z3403" s="153">
        <v>2.9146373558815424E-2</v>
      </c>
      <c r="AA3403" s="155">
        <v>2.893489098329205E-2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62835</v>
      </c>
      <c r="Y3404" s="152">
        <f>_xll.qlInterestRateIndexValueDate(IborIndex,X3404,Trigger)</f>
        <v>62837</v>
      </c>
      <c r="Z3404" s="153">
        <v>2.9146373099034201E-2</v>
      </c>
      <c r="AA3404" s="155">
        <v>2.8934890488487852E-2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62842</v>
      </c>
      <c r="Y3405" s="152">
        <f>_xll.qlInterestRateIndexValueDate(IborIndex,X3405,Trigger)</f>
        <v>62844</v>
      </c>
      <c r="Z3405" s="153">
        <v>2.9146372642682761E-2</v>
      </c>
      <c r="AA3405" s="155">
        <v>2.8934889996801161E-2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62849</v>
      </c>
      <c r="Y3406" s="152">
        <f>_xll.qlInterestRateIndexValueDate(IborIndex,X3406,Trigger)</f>
        <v>62851</v>
      </c>
      <c r="Z3406" s="153">
        <v>2.9146372189761103E-2</v>
      </c>
      <c r="AA3406" s="155">
        <v>2.8934889508791528E-2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62856</v>
      </c>
      <c r="Y3407" s="152">
        <f>_xll.qlInterestRateIndexValueDate(IborIndex,X3407,Trigger)</f>
        <v>62858</v>
      </c>
      <c r="Z3407" s="153">
        <v>2.9146371740267914E-2</v>
      </c>
      <c r="AA3407" s="155">
        <v>2.8934889023979338E-2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62863</v>
      </c>
      <c r="Y3408" s="152">
        <f>_xll.qlInterestRateIndexValueDate(IborIndex,X3408,Trigger)</f>
        <v>62865</v>
      </c>
      <c r="Z3408" s="153">
        <v>2.9146371294204509E-2</v>
      </c>
      <c r="AA3408" s="155">
        <v>2.8934888542604398E-2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62870</v>
      </c>
      <c r="Y3409" s="152">
        <f>_xll.qlInterestRateIndexValueDate(IborIndex,X3409,Trigger)</f>
        <v>62872</v>
      </c>
      <c r="Z3409" s="153">
        <v>2.9146370851571325E-2</v>
      </c>
      <c r="AA3409" s="155">
        <v>2.8934888064506836E-2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62877</v>
      </c>
      <c r="Y3410" s="152">
        <f>_xll.qlInterestRateIndexValueDate(IborIndex,X3410,Trigger)</f>
        <v>62879</v>
      </c>
      <c r="Z3410" s="153">
        <v>2.914637041236617E-2</v>
      </c>
      <c r="AA3410" s="155">
        <v>2.8934887590006397E-2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62884</v>
      </c>
      <c r="Y3411" s="152">
        <f>_xll.qlInterestRateIndexValueDate(IborIndex,X3411,Trigger)</f>
        <v>62886</v>
      </c>
      <c r="Z3411" s="153">
        <v>2.9152241231263247E-2</v>
      </c>
      <c r="AA3411" s="155">
        <v>2.8934887118703401E-2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62891</v>
      </c>
      <c r="Y3412" s="152">
        <f>_xll.qlInterestRateIndexValueDate(IborIndex,X3412,Trigger)</f>
        <v>62893</v>
      </c>
      <c r="Z3412" s="153">
        <v>2.9151066422790011E-2</v>
      </c>
      <c r="AA3412" s="155">
        <v>2.8934886650757718E-2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62898</v>
      </c>
      <c r="Y3413" s="152">
        <f>_xll.qlInterestRateIndexValueDate(IborIndex,X3413,Trigger)</f>
        <v>62900</v>
      </c>
      <c r="Z3413" s="153">
        <v>2.9151065994715661E-2</v>
      </c>
      <c r="AA3413" s="155">
        <v>2.8934886186329223E-2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62905</v>
      </c>
      <c r="Y3414" s="152">
        <f>_xll.qlInterestRateIndexValueDate(IborIndex,X3414,Trigger)</f>
        <v>62907</v>
      </c>
      <c r="Z3414" s="153">
        <v>2.9151065570071685E-2</v>
      </c>
      <c r="AA3414" s="155">
        <v>2.8934885725258042E-2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62912</v>
      </c>
      <c r="Y3415" s="152">
        <f>_xll.qlInterestRateIndexValueDate(IborIndex,X3415,Trigger)</f>
        <v>62914</v>
      </c>
      <c r="Z3415" s="153">
        <v>2.91475423935341E-2</v>
      </c>
      <c r="AA3415" s="155">
        <v>2.8934885267544175E-2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62919</v>
      </c>
      <c r="Y3416" s="152">
        <f>_xll.qlInterestRateIndexValueDate(IborIndex,X3416,Trigger)</f>
        <v>62921</v>
      </c>
      <c r="Z3416" s="153">
        <v>2.9147541975116448E-2</v>
      </c>
      <c r="AA3416" s="155">
        <v>2.8934884684010953E-2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62926</v>
      </c>
      <c r="Y3417" s="152">
        <f>_xll.qlInterestRateIndexValueDate(IborIndex,X3417,Trigger)</f>
        <v>62928</v>
      </c>
      <c r="Z3417" s="153">
        <v>2.9147541560128623E-2</v>
      </c>
      <c r="AA3417" s="155">
        <v>2.8934884362268321E-2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62933</v>
      </c>
      <c r="Y3418" s="152">
        <f>_xll.qlInterestRateIndexValueDate(IborIndex,X3418,Trigger)</f>
        <v>62935</v>
      </c>
      <c r="Z3418" s="153">
        <v>2.9147541148571498E-2</v>
      </c>
      <c r="AA3418" s="155">
        <v>2.8934883914626397E-2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62940</v>
      </c>
      <c r="Y3419" s="152">
        <f>_xll.qlInterestRateIndexValueDate(IborIndex,X3419,Trigger)</f>
        <v>62942</v>
      </c>
      <c r="Z3419" s="153">
        <v>2.9147540740443758E-2</v>
      </c>
      <c r="AA3419" s="155">
        <v>2.8934883407192302E-2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62947</v>
      </c>
      <c r="Y3420" s="152">
        <f>_xll.qlInterestRateIndexValueDate(IborIndex,X3420,Trigger)</f>
        <v>62949</v>
      </c>
      <c r="Z3420" s="153">
        <v>2.9151063094248697E-2</v>
      </c>
      <c r="AA3420" s="155">
        <v>2.8934883029574365E-2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62954</v>
      </c>
      <c r="Y3421" s="152">
        <f>_xll.qlInterestRateIndexValueDate(IborIndex,X3421,Trigger)</f>
        <v>62956</v>
      </c>
      <c r="Z3421" s="153">
        <v>2.9151062693617769E-2</v>
      </c>
      <c r="AA3421" s="155">
        <v>2.8934882592084321E-2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62961</v>
      </c>
      <c r="Y3422" s="152">
        <f>_xll.qlInterestRateIndexValueDate(IborIndex,X3422,Trigger)</f>
        <v>62963</v>
      </c>
      <c r="Z3422" s="153">
        <v>2.9151062296418506E-2</v>
      </c>
      <c r="AA3422" s="155">
        <v>2.8934882158111463E-2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62968</v>
      </c>
      <c r="Y3423" s="152">
        <f>_xll.qlInterestRateIndexValueDate(IborIndex,X3423,Trigger)</f>
        <v>62970</v>
      </c>
      <c r="Z3423" s="153">
        <v>2.915106190264876E-2</v>
      </c>
      <c r="AA3423" s="155">
        <v>2.8934881666105028E-2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62975</v>
      </c>
      <c r="Y3424" s="152">
        <f>_xll.qlInterestRateIndexValueDate(IborIndex,X3424,Trigger)</f>
        <v>62977</v>
      </c>
      <c r="Z3424" s="153">
        <v>2.914753875124719E-2</v>
      </c>
      <c r="AA3424" s="155">
        <v>2.8934881299997883E-2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62982</v>
      </c>
      <c r="Y3425" s="152">
        <f>_xll.qlInterestRateIndexValueDate(IborIndex,X3425,Trigger)</f>
        <v>62984</v>
      </c>
      <c r="Z3425" s="153">
        <v>2.9147538363697528E-2</v>
      </c>
      <c r="AA3425" s="155">
        <v>2.8934880876096969E-2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62989</v>
      </c>
      <c r="Y3426" s="152">
        <f>_xll.qlInterestRateIndexValueDate(IborIndex,X3426,Trigger)</f>
        <v>62991</v>
      </c>
      <c r="Z3426" s="153">
        <v>2.9147537979576376E-2</v>
      </c>
      <c r="AA3426" s="155">
        <v>2.8934880455553369E-2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62996</v>
      </c>
      <c r="Y3427" s="152">
        <f>_xll.qlInterestRateIndexValueDate(IborIndex,X3427,Trigger)</f>
        <v>62998</v>
      </c>
      <c r="Z3427" s="153">
        <v>2.9147537598885925E-2</v>
      </c>
      <c r="AA3427" s="155">
        <v>2.893488003844702E-2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63003</v>
      </c>
      <c r="Y3428" s="152">
        <f>_xll.qlInterestRateIndexValueDate(IborIndex,X3428,Trigger)</f>
        <v>63005</v>
      </c>
      <c r="Z3428" s="153">
        <v>2.9147537221623988E-2</v>
      </c>
      <c r="AA3428" s="155">
        <v>2.8934879624618048E-2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63010</v>
      </c>
      <c r="Y3429" s="152">
        <f>_xll.qlInterestRateIndexValueDate(IborIndex,X3429,Trigger)</f>
        <v>63012</v>
      </c>
      <c r="Z3429" s="153">
        <v>2.915105961207071E-2</v>
      </c>
      <c r="AA3429" s="155">
        <v>2.8934879214226328E-2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63017</v>
      </c>
      <c r="Y3430" s="152">
        <f>_xll.qlInterestRateIndexValueDate(IborIndex,X3430,Trigger)</f>
        <v>63019</v>
      </c>
      <c r="Z3430" s="153">
        <v>2.915223362332843E-2</v>
      </c>
      <c r="AA3430" s="155">
        <v>2.8934878807111986E-2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63024</v>
      </c>
      <c r="Y3431" s="152">
        <f>_xll.qlInterestRateIndexValueDate(IborIndex,X3431,Trigger)</f>
        <v>63026</v>
      </c>
      <c r="Z3431" s="153">
        <v>2.9151058875989837E-2</v>
      </c>
      <c r="AA3431" s="155">
        <v>2.893487840351483E-2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63031</v>
      </c>
      <c r="Y3432" s="152">
        <f>_xll.qlInterestRateIndexValueDate(IborIndex,X3432,Trigger)</f>
        <v>63033</v>
      </c>
      <c r="Z3432" s="153">
        <v>2.9151058513093884E-2</v>
      </c>
      <c r="AA3432" s="155">
        <v>2.8934878003195053E-2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63038</v>
      </c>
      <c r="Y3433" s="152">
        <f>_xll.qlInterestRateIndexValueDate(IborIndex,X3433,Trigger)</f>
        <v>63040</v>
      </c>
      <c r="Z3433" s="153">
        <v>2.9151058153629599E-2</v>
      </c>
      <c r="AA3433" s="155">
        <v>2.8934877606472398E-2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63045</v>
      </c>
      <c r="Y3434" s="152">
        <f>_xll.qlInterestRateIndexValueDate(IborIndex,X3434,Trigger)</f>
        <v>63047</v>
      </c>
      <c r="Z3434" s="153">
        <v>2.9151057797595258E-2</v>
      </c>
      <c r="AA3434" s="155">
        <v>2.8934877212867249E-2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63052</v>
      </c>
      <c r="Y3435" s="152">
        <f>_xll.qlInterestRateIndexValueDate(IborIndex,X3435,Trigger)</f>
        <v>63054</v>
      </c>
      <c r="Z3435" s="153">
        <v>2.9152231827084849E-2</v>
      </c>
      <c r="AA3435" s="155">
        <v>2.8934876822779287E-2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63059</v>
      </c>
      <c r="Y3436" s="152">
        <f>_xll.qlInterestRateIndexValueDate(IborIndex,X3436,Trigger)</f>
        <v>63061</v>
      </c>
      <c r="Z3436" s="153">
        <v>2.9151057095817268E-2</v>
      </c>
      <c r="AA3436" s="155">
        <v>2.893487638089276E-2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63066</v>
      </c>
      <c r="Y3437" s="152">
        <f>_xll.qlInterestRateIndexValueDate(IborIndex,X3437,Trigger)</f>
        <v>63068</v>
      </c>
      <c r="Z3437" s="153">
        <v>2.9145185782687318E-2</v>
      </c>
      <c r="AA3437" s="155">
        <v>2.8934876052595371E-2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63073</v>
      </c>
      <c r="Y3438" s="152">
        <f>_xll.qlInterestRateIndexValueDate(IborIndex,X3438,Trigger)</f>
        <v>63075</v>
      </c>
      <c r="Z3438" s="153">
        <v>2.9145185439287753E-2</v>
      </c>
      <c r="AA3438" s="155">
        <v>2.8934875672579352E-2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63080</v>
      </c>
      <c r="Y3439" s="152">
        <f>_xll.qlInterestRateIndexValueDate(IborIndex,X3439,Trigger)</f>
        <v>63082</v>
      </c>
      <c r="Z3439" s="153">
        <v>2.9145185099316608E-2</v>
      </c>
      <c r="AA3439" s="155">
        <v>2.893487529608052E-2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63087</v>
      </c>
      <c r="Y3440" s="152">
        <f>_xll.qlInterestRateIndexValueDate(IborIndex,X3440,Trigger)</f>
        <v>63089</v>
      </c>
      <c r="Z3440" s="153">
        <v>2.9145184762775649E-2</v>
      </c>
      <c r="AA3440" s="155">
        <v>2.893487492277913E-2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63094</v>
      </c>
      <c r="Y3441" s="152">
        <f>_xll.qlInterestRateIndexValueDate(IborIndex,X3441,Trigger)</f>
        <v>63096</v>
      </c>
      <c r="Z3441" s="153">
        <v>2.9145184429663545E-2</v>
      </c>
      <c r="AA3441" s="155">
        <v>2.8934874552835055E-2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63101</v>
      </c>
      <c r="Y3442" s="152">
        <f>_xll.qlInterestRateIndexValueDate(IborIndex,X3442,Trigger)</f>
        <v>63103</v>
      </c>
      <c r="Z3442" s="153">
        <v>2.9146358168526381E-2</v>
      </c>
      <c r="AA3442" s="155">
        <v>2.8934874186568038E-2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63108</v>
      </c>
      <c r="Y3443" s="152">
        <f>_xll.qlInterestRateIndexValueDate(IborIndex,X3443,Trigger)</f>
        <v>63110</v>
      </c>
      <c r="Z3443" s="153">
        <v>2.9146357842490919E-2</v>
      </c>
      <c r="AA3443" s="155">
        <v>2.8934873823418528E-2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63115</v>
      </c>
      <c r="Y3444" s="152">
        <f>_xll.qlInterestRateIndexValueDate(IborIndex,X3444,Trigger)</f>
        <v>63117</v>
      </c>
      <c r="Z3444" s="153">
        <v>2.914635751988524E-2</v>
      </c>
      <c r="AA3444" s="155">
        <v>2.8934873463706268E-2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63122</v>
      </c>
      <c r="Y3445" s="152">
        <f>_xll.qlInterestRateIndexValueDate(IborIndex,X3445,Trigger)</f>
        <v>63124</v>
      </c>
      <c r="Z3445" s="153">
        <v>2.9146357200708468E-2</v>
      </c>
      <c r="AA3445" s="155">
        <v>2.8934873107271386E-2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63129</v>
      </c>
      <c r="Y3446" s="152">
        <f>_xll.qlInterestRateIndexValueDate(IborIndex,X3446,Trigger)</f>
        <v>63131</v>
      </c>
      <c r="Z3446" s="153">
        <v>2.9145182815538139E-2</v>
      </c>
      <c r="AA3446" s="155">
        <v>2.8934872754353691E-2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63136</v>
      </c>
      <c r="Y3447" s="152">
        <f>_xll.qlInterestRateIndexValueDate(IborIndex,X3447,Trigger)</f>
        <v>63138</v>
      </c>
      <c r="Z3447" s="153">
        <v>2.9145182503000518E-2</v>
      </c>
      <c r="AA3447" s="155">
        <v>2.8934872404873246E-2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63143</v>
      </c>
      <c r="Y3448" s="152">
        <f>_xll.qlInterestRateIndexValueDate(IborIndex,X3448,Trigger)</f>
        <v>63145</v>
      </c>
      <c r="Z3448" s="153">
        <v>2.91451821938922E-2</v>
      </c>
      <c r="AA3448" s="155">
        <v>2.8934872058590244E-2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63150</v>
      </c>
      <c r="Y3449" s="152">
        <f>_xll.qlInterestRateIndexValueDate(IborIndex,X3449,Trigger)</f>
        <v>63153</v>
      </c>
      <c r="Z3449" s="153">
        <v>2.9145181844824685E-2</v>
      </c>
      <c r="AA3449" s="155">
        <v>2.8934871667063433E-2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63157</v>
      </c>
      <c r="Y3450" s="152">
        <f>_xll.qlInterestRateIndexValueDate(IborIndex,X3450,Trigger)</f>
        <v>63159</v>
      </c>
      <c r="Z3450" s="153">
        <v>2.9146355656265652E-2</v>
      </c>
      <c r="AA3450" s="155">
        <v>2.8934871376335991E-2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63164</v>
      </c>
      <c r="Y3451" s="152">
        <f>_xll.qlInterestRateIndexValueDate(IborIndex,X3451,Trigger)</f>
        <v>63166</v>
      </c>
      <c r="Z3451" s="153">
        <v>2.9146355357665386E-2</v>
      </c>
      <c r="AA3451" s="155">
        <v>2.8934871040284804E-2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63171</v>
      </c>
      <c r="Y3452" s="152">
        <f>_xll.qlInterestRateIndexValueDate(IborIndex,X3452,Trigger)</f>
        <v>63173</v>
      </c>
      <c r="Z3452" s="153">
        <v>2.9146355062494026E-2</v>
      </c>
      <c r="AA3452" s="155">
        <v>2.8934870707590932E-2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63178</v>
      </c>
      <c r="Y3453" s="152">
        <f>_xll.qlInterestRateIndexValueDate(IborIndex,X3453,Trigger)</f>
        <v>63180</v>
      </c>
      <c r="Z3453" s="153">
        <v>2.9146354770752891E-2</v>
      </c>
      <c r="AA3453" s="155">
        <v>2.8934870284889058E-2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63186</v>
      </c>
      <c r="Y3454" s="152">
        <f>_xll.qlInterestRateIndexValueDate(IborIndex,X3454,Trigger)</f>
        <v>63188</v>
      </c>
      <c r="Z3454" s="153">
        <v>2.914635444153316E-2</v>
      </c>
      <c r="AA3454" s="155">
        <v>2.8934869959948983E-2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63193</v>
      </c>
      <c r="Y3455" s="152">
        <f>_xll.qlInterestRateIndexValueDate(IborIndex,X3455,Trigger)</f>
        <v>63195</v>
      </c>
      <c r="Z3455" s="153">
        <v>2.9145180085697477E-2</v>
      </c>
      <c r="AA3455" s="155">
        <v>2.8934869684089648E-2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63200</v>
      </c>
      <c r="Y3456" s="152">
        <f>_xll.qlInterestRateIndexValueDate(IborIndex,X3456,Trigger)</f>
        <v>63202</v>
      </c>
      <c r="Z3456" s="153">
        <v>2.9145179804511132E-2</v>
      </c>
      <c r="AA3456" s="155">
        <v>2.8934869365384586E-2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63207</v>
      </c>
      <c r="Y3457" s="152">
        <f>_xll.qlInterestRateIndexValueDate(IborIndex,X3457,Trigger)</f>
        <v>63209</v>
      </c>
      <c r="Z3457" s="153">
        <v>2.914517952675497E-2</v>
      </c>
      <c r="AA3457" s="155">
        <v>2.8934869050036838E-2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63214</v>
      </c>
      <c r="Y3458" s="152">
        <f>_xll.qlInterestRateIndexValueDate(IborIndex,X3458,Trigger)</f>
        <v>63216</v>
      </c>
      <c r="Z3458" s="153">
        <v>2.9145179252427229E-2</v>
      </c>
      <c r="AA3458" s="155">
        <v>2.8934868738206276E-2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63221</v>
      </c>
      <c r="Y3459" s="152">
        <f>_xll.qlInterestRateIndexValueDate(IborIndex,X3459,Trigger)</f>
        <v>63223</v>
      </c>
      <c r="Z3459" s="153">
        <v>2.9145178981527901E-2</v>
      </c>
      <c r="AA3459" s="155">
        <v>2.8934868429733029E-2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63228</v>
      </c>
      <c r="Y3460" s="152">
        <f>_xll.qlInterestRateIndexValueDate(IborIndex,X3460,Trigger)</f>
        <v>63230</v>
      </c>
      <c r="Z3460" s="153">
        <v>2.9145178714058761E-2</v>
      </c>
      <c r="AA3460" s="155">
        <v>2.8934868124617097E-2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63235</v>
      </c>
      <c r="Y3461" s="152">
        <f>_xll.qlInterestRateIndexValueDate(IborIndex,X3461,Trigger)</f>
        <v>63237</v>
      </c>
      <c r="Z3461" s="153">
        <v>2.9145178450018482E-2</v>
      </c>
      <c r="AA3461" s="155">
        <v>2.8934867822698607E-2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63242</v>
      </c>
      <c r="Y3462" s="152">
        <f>_xll.qlInterestRateIndexValueDate(IborIndex,X3462,Trigger)</f>
        <v>63244</v>
      </c>
      <c r="Z3462" s="153">
        <v>2.9145178189406616E-2</v>
      </c>
      <c r="AA3462" s="155">
        <v>2.8934867524457175E-2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63249</v>
      </c>
      <c r="Y3463" s="152">
        <f>_xll.qlInterestRateIndexValueDate(IborIndex,X3463,Trigger)</f>
        <v>63251</v>
      </c>
      <c r="Z3463" s="153">
        <v>2.915104892848594E-2</v>
      </c>
      <c r="AA3463" s="155">
        <v>2.893486722933325E-2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63256</v>
      </c>
      <c r="Y3464" s="152">
        <f>_xll.qlInterestRateIndexValueDate(IborIndex,X3464,Trigger)</f>
        <v>63258</v>
      </c>
      <c r="Z3464" s="153">
        <v>2.9149874350348548E-2</v>
      </c>
      <c r="AA3464" s="155">
        <v>2.8934866937646575E-2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63263</v>
      </c>
      <c r="Y3465" s="152">
        <f>_xll.qlInterestRateIndexValueDate(IborIndex,X3465,Trigger)</f>
        <v>63265</v>
      </c>
      <c r="Z3465" s="153">
        <v>2.9149874100923852E-2</v>
      </c>
      <c r="AA3465" s="155">
        <v>2.8934866649397151E-2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63270</v>
      </c>
      <c r="Y3466" s="152">
        <f>_xll.qlInterestRateIndexValueDate(IborIndex,X3466,Trigger)</f>
        <v>63276</v>
      </c>
      <c r="Z3466" s="153">
        <v>2.9148699452833771E-2</v>
      </c>
      <c r="AA3466" s="155">
        <v>2.8934866283849558E-2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63277</v>
      </c>
      <c r="Y3467" s="152">
        <f>_xll.qlInterestRateIndexValueDate(IborIndex,X3467,Trigger)</f>
        <v>63279</v>
      </c>
      <c r="Z3467" s="153">
        <v>2.9146351011915692E-2</v>
      </c>
      <c r="AA3467" s="155">
        <v>2.8934866083050181E-2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63284</v>
      </c>
      <c r="Y3468" s="152">
        <f>_xll.qlInterestRateIndexValueDate(IborIndex,X3468,Trigger)</f>
        <v>63286</v>
      </c>
      <c r="Z3468" s="153">
        <v>2.9151047699641816E-2</v>
      </c>
      <c r="AA3468" s="155">
        <v>2.8934865804952636E-2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63291</v>
      </c>
      <c r="Y3469" s="152">
        <f>_xll.qlInterestRateIndexValueDate(IborIndex,X3469,Trigger)</f>
        <v>63293</v>
      </c>
      <c r="Z3469" s="153">
        <v>2.9149873137528003E-2</v>
      </c>
      <c r="AA3469" s="155">
        <v>2.8934865530292342E-2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63298</v>
      </c>
      <c r="Y3470" s="152">
        <f>_xll.qlInterestRateIndexValueDate(IborIndex,X3470,Trigger)</f>
        <v>63300</v>
      </c>
      <c r="Z3470" s="153">
        <v>2.9149872905254125E-2</v>
      </c>
      <c r="AA3470" s="155">
        <v>2.8934865258909426E-2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63305</v>
      </c>
      <c r="Y3471" s="152">
        <f>_xll.qlInterestRateIndexValueDate(IborIndex,X3471,Trigger)</f>
        <v>63307</v>
      </c>
      <c r="Z3471" s="153">
        <v>2.9151047003500179E-2</v>
      </c>
      <c r="AA3471" s="155">
        <v>2.8934864952914197E-2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63312</v>
      </c>
      <c r="Y3472" s="152">
        <f>_xll.qlInterestRateIndexValueDate(IborIndex,X3472,Trigger)</f>
        <v>63314</v>
      </c>
      <c r="Z3472" s="153">
        <v>2.9149872450997816E-2</v>
      </c>
      <c r="AA3472" s="155">
        <v>2.8934864726295473E-2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63319</v>
      </c>
      <c r="Y3473" s="152">
        <f>_xll.qlInterestRateIndexValueDate(IborIndex,X3473,Trigger)</f>
        <v>63321</v>
      </c>
      <c r="Z3473" s="153">
        <v>2.9149872229015383E-2</v>
      </c>
      <c r="AA3473" s="155">
        <v>2.8934864465144372E-2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63326</v>
      </c>
      <c r="Y3474" s="152">
        <f>_xll.qlInterestRateIndexValueDate(IborIndex,X3474,Trigger)</f>
        <v>63328</v>
      </c>
      <c r="Z3474" s="153">
        <v>2.9149872010462426E-2</v>
      </c>
      <c r="AA3474" s="155">
        <v>2.893486420727065E-2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63333</v>
      </c>
      <c r="Y3475" s="152">
        <f>_xll.qlInterestRateIndexValueDate(IborIndex,X3475,Trigger)</f>
        <v>63335</v>
      </c>
      <c r="Z3475" s="153">
        <v>2.9149871795339802E-2</v>
      </c>
      <c r="AA3475" s="155">
        <v>2.893486391670308E-2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63340</v>
      </c>
      <c r="Y3476" s="152">
        <f>_xll.qlInterestRateIndexValueDate(IborIndex,X3476,Trigger)</f>
        <v>63342</v>
      </c>
      <c r="Z3476" s="153">
        <v>2.9149871583647517E-2</v>
      </c>
      <c r="AA3476" s="155">
        <v>2.893486370175502E-2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63347</v>
      </c>
      <c r="Y3477" s="152">
        <f>_xll.qlInterestRateIndexValueDate(IborIndex,X3477,Trigger)</f>
        <v>63349</v>
      </c>
      <c r="Z3477" s="153">
        <v>2.9149871375385137E-2</v>
      </c>
      <c r="AA3477" s="155">
        <v>2.8934863454033177E-2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63354</v>
      </c>
      <c r="Y3478" s="152">
        <f>_xll.qlInterestRateIndexValueDate(IborIndex,X3478,Trigger)</f>
        <v>63356</v>
      </c>
      <c r="Z3478" s="153">
        <v>2.9149871170553527E-2</v>
      </c>
      <c r="AA3478" s="155">
        <v>2.8934863209748585E-2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63361</v>
      </c>
      <c r="Y3479" s="152">
        <f>_xll.qlInterestRateIndexValueDate(IborIndex,X3479,Trigger)</f>
        <v>63363</v>
      </c>
      <c r="Z3479" s="153">
        <v>2.9152219689998645E-2</v>
      </c>
      <c r="AA3479" s="155">
        <v>2.8934862968741371E-2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63368</v>
      </c>
      <c r="Y3480" s="152">
        <f>_xll.qlInterestRateIndexValueDate(IborIndex,X3480,Trigger)</f>
        <v>63370</v>
      </c>
      <c r="Z3480" s="153">
        <v>2.9146348161862311E-2</v>
      </c>
      <c r="AA3480" s="155">
        <v>2.8934862731331279E-2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63375</v>
      </c>
      <c r="Y3481" s="152">
        <f>_xll.qlInterestRateIndexValueDate(IborIndex,X3481,Trigger)</f>
        <v>63377</v>
      </c>
      <c r="Z3481" s="153">
        <v>2.9149870576638988E-2</v>
      </c>
      <c r="AA3481" s="155">
        <v>2.893486249711863E-2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63382</v>
      </c>
      <c r="Y3482" s="152">
        <f>_xll.qlInterestRateIndexValueDate(IborIndex,X3482,Trigger)</f>
        <v>63384</v>
      </c>
      <c r="Z3482" s="153">
        <v>2.9151044715128104E-2</v>
      </c>
      <c r="AA3482" s="155">
        <v>2.8934862266183359E-2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63389</v>
      </c>
      <c r="Y3483" s="152">
        <f>_xll.qlInterestRateIndexValueDate(IborIndex,X3483,Trigger)</f>
        <v>63391</v>
      </c>
      <c r="Z3483" s="153">
        <v>2.914987019784707E-2</v>
      </c>
      <c r="AA3483" s="155">
        <v>2.893486203884521E-2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63396</v>
      </c>
      <c r="Y3484" s="152">
        <f>_xll.qlInterestRateIndexValueDate(IborIndex,X3484,Trigger)</f>
        <v>63398</v>
      </c>
      <c r="Z3484" s="153">
        <v>2.9149870013596618E-2</v>
      </c>
      <c r="AA3484" s="155">
        <v>2.8934861814864377E-2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63403</v>
      </c>
      <c r="Y3485" s="152">
        <f>_xll.qlInterestRateIndexValueDate(IborIndex,X3485,Trigger)</f>
        <v>63405</v>
      </c>
      <c r="Z3485" s="153">
        <v>2.9149869832776502E-2</v>
      </c>
      <c r="AA3485" s="155">
        <v>2.8934861594240857E-2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63410</v>
      </c>
      <c r="Y3486" s="152">
        <f>_xll.qlInterestRateIndexValueDate(IborIndex,X3486,Trigger)</f>
        <v>63412</v>
      </c>
      <c r="Z3486" s="153">
        <v>2.9149869655385428E-2</v>
      </c>
      <c r="AA3486" s="155">
        <v>2.8934861376734844E-2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63417</v>
      </c>
      <c r="Y3487" s="152">
        <f>_xll.qlInterestRateIndexValueDate(IborIndex,X3487,Trigger)</f>
        <v>63419</v>
      </c>
      <c r="Z3487" s="153">
        <v>2.9151043812177271E-2</v>
      </c>
      <c r="AA3487" s="155">
        <v>2.8934861162985825E-2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63424</v>
      </c>
      <c r="Y3488" s="152">
        <f>_xll.qlInterestRateIndexValueDate(IborIndex,X3488,Trigger)</f>
        <v>63426</v>
      </c>
      <c r="Z3488" s="153">
        <v>2.9149869310895152E-2</v>
      </c>
      <c r="AA3488" s="155">
        <v>2.89348609226181E-2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63431</v>
      </c>
      <c r="Y3489" s="152">
        <f>_xll.qlInterestRateIndexValueDate(IborIndex,X3489,Trigger)</f>
        <v>63433</v>
      </c>
      <c r="Z3489" s="153">
        <v>2.9145172449098939E-2</v>
      </c>
      <c r="AA3489" s="155">
        <v>2.893486074539986E-2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63438</v>
      </c>
      <c r="Y3490" s="152">
        <f>_xll.qlInterestRateIndexValueDate(IborIndex,X3490,Trigger)</f>
        <v>63440</v>
      </c>
      <c r="Z3490" s="153">
        <v>2.9145172284502207E-2</v>
      </c>
      <c r="AA3490" s="155">
        <v>2.8934860541562912E-2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63445</v>
      </c>
      <c r="Y3491" s="152">
        <f>_xll.qlInterestRateIndexValueDate(IborIndex,X3491,Trigger)</f>
        <v>63447</v>
      </c>
      <c r="Z3491" s="153">
        <v>2.9145172123334333E-2</v>
      </c>
      <c r="AA3491" s="155">
        <v>2.8934860341323088E-2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63452</v>
      </c>
      <c r="Y3492" s="152">
        <f>_xll.qlInterestRateIndexValueDate(IborIndex,X3492,Trigger)</f>
        <v>63454</v>
      </c>
      <c r="Z3492" s="153">
        <v>2.9145171965595316E-2</v>
      </c>
      <c r="AA3492" s="155">
        <v>2.8934860144200769E-2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63459</v>
      </c>
      <c r="Y3493" s="152">
        <f>_xll.qlInterestRateIndexValueDate(IborIndex,X3493,Trigger)</f>
        <v>63461</v>
      </c>
      <c r="Z3493" s="153">
        <v>2.9146345891372143E-2</v>
      </c>
      <c r="AA3493" s="155">
        <v>2.8934859950515701E-2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63466</v>
      </c>
      <c r="Y3494" s="152">
        <f>_xll.qlInterestRateIndexValueDate(IborIndex,X3494,Trigger)</f>
        <v>63468</v>
      </c>
      <c r="Z3494" s="153">
        <v>2.9146345740725176E-2</v>
      </c>
      <c r="AA3494" s="155">
        <v>2.893485976034782E-2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63473</v>
      </c>
      <c r="Y3495" s="152">
        <f>_xll.qlInterestRateIndexValueDate(IborIndex,X3495,Trigger)</f>
        <v>63475</v>
      </c>
      <c r="Z3495" s="153">
        <v>2.9151042545841849E-2</v>
      </c>
      <c r="AA3495" s="155">
        <v>2.8934859573537253E-2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63480</v>
      </c>
      <c r="Y3496" s="152">
        <f>_xll.qlInterestRateIndexValueDate(IborIndex,X3496,Trigger)</f>
        <v>63482</v>
      </c>
      <c r="Z3496" s="153">
        <v>2.9146345449717958E-2</v>
      </c>
      <c r="AA3496" s="155">
        <v>2.8934859390004064E-2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63487</v>
      </c>
      <c r="Y3497" s="152">
        <f>_xll.qlInterestRateIndexValueDate(IborIndex,X3497,Trigger)</f>
        <v>63489</v>
      </c>
      <c r="Z3497" s="153">
        <v>2.9146345309359025E-2</v>
      </c>
      <c r="AA3497" s="155">
        <v>2.893485920982819E-2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63494</v>
      </c>
      <c r="Y3498" s="152">
        <f>_xll.qlInterestRateIndexValueDate(IborIndex,X3498,Trigger)</f>
        <v>63496</v>
      </c>
      <c r="Z3498" s="153">
        <v>2.9145171091175662E-2</v>
      </c>
      <c r="AA3498" s="155">
        <v>2.8934859033169502E-2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63501</v>
      </c>
      <c r="Y3499" s="152">
        <f>_xll.qlInterestRateIndexValueDate(IborIndex,X3499,Trigger)</f>
        <v>63506</v>
      </c>
      <c r="Z3499" s="153">
        <v>2.914634498276401E-2</v>
      </c>
      <c r="AA3499" s="155">
        <v>2.8934858835327759E-2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63508</v>
      </c>
      <c r="Y3500" s="152">
        <f>_xll.qlInterestRateIndexValueDate(IborIndex,X3500,Trigger)</f>
        <v>63510</v>
      </c>
      <c r="Z3500" s="153">
        <v>2.9145170827136264E-2</v>
      </c>
      <c r="AA3500" s="155">
        <v>2.8934858689844134E-2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63515</v>
      </c>
      <c r="Y3501" s="152">
        <f>_xll.qlInterestRateIndexValueDate(IborIndex,X3501,Trigger)</f>
        <v>63517</v>
      </c>
      <c r="Z3501" s="153">
        <v>2.9145170700259633E-2</v>
      </c>
      <c r="AA3501" s="155">
        <v>2.8934858523337326E-2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63522</v>
      </c>
      <c r="Y3502" s="152">
        <f>_xll.qlInterestRateIndexValueDate(IborIndex,X3502,Trigger)</f>
        <v>63524</v>
      </c>
      <c r="Z3502" s="153">
        <v>2.914634465900277E-2</v>
      </c>
      <c r="AA3502" s="155">
        <v>2.8934858360187832E-2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63529</v>
      </c>
      <c r="Y3503" s="152">
        <f>_xll.qlInterestRateIndexValueDate(IborIndex,X3503,Trigger)</f>
        <v>63531</v>
      </c>
      <c r="Z3503" s="153">
        <v>2.9146344539220347E-2</v>
      </c>
      <c r="AA3503" s="155">
        <v>2.8934858200315716E-2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63536</v>
      </c>
      <c r="Y3504" s="152">
        <f>_xll.qlInterestRateIndexValueDate(IborIndex,X3504,Trigger)</f>
        <v>63538</v>
      </c>
      <c r="Z3504" s="153">
        <v>2.9146344422865948E-2</v>
      </c>
      <c r="AA3504" s="155">
        <v>2.8934858043800915E-2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63543</v>
      </c>
      <c r="Y3505" s="152">
        <f>_xll.qlInterestRateIndexValueDate(IborIndex,X3505,Trigger)</f>
        <v>63545</v>
      </c>
      <c r="Z3505" s="153">
        <v>2.9146344309942212E-2</v>
      </c>
      <c r="AA3505" s="155">
        <v>2.8934857847717765E-2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63550</v>
      </c>
      <c r="Y3506" s="152">
        <f>_xll.qlInterestRateIndexValueDate(IborIndex,X3506,Trigger)</f>
        <v>63552</v>
      </c>
      <c r="Z3506" s="153">
        <v>2.9146344200446501E-2</v>
      </c>
      <c r="AA3506" s="155">
        <v>2.8934857720059881E-2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63557</v>
      </c>
      <c r="Y3507" s="152">
        <f>_xll.qlInterestRateIndexValueDate(IborIndex,X3507,Trigger)</f>
        <v>63559</v>
      </c>
      <c r="Z3507" s="153">
        <v>2.9145170011010756E-2</v>
      </c>
      <c r="AA3507" s="155">
        <v>2.8934857594880015E-2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63564</v>
      </c>
      <c r="Y3508" s="152">
        <f>_xll.qlInterestRateIndexValueDate(IborIndex,X3508,Trigger)</f>
        <v>63566</v>
      </c>
      <c r="Z3508" s="153">
        <v>2.9145169908138348E-2</v>
      </c>
      <c r="AA3508" s="155">
        <v>2.8934857451794471E-2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63571</v>
      </c>
      <c r="Y3509" s="152">
        <f>_xll.qlInterestRateIndexValueDate(IborIndex,X3509,Trigger)</f>
        <v>63573</v>
      </c>
      <c r="Z3509" s="153">
        <v>2.9145169808693919E-2</v>
      </c>
      <c r="AA3509" s="155">
        <v>2.8934857312385986E-2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63578</v>
      </c>
      <c r="Y3510" s="152">
        <f>_xll.qlInterestRateIndexValueDate(IborIndex,X3510,Trigger)</f>
        <v>63580</v>
      </c>
      <c r="Z3510" s="153">
        <v>2.914516971267879E-2</v>
      </c>
      <c r="AA3510" s="155">
        <v>2.8934857176174944E-2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63585</v>
      </c>
      <c r="Y3511" s="152">
        <f>_xll.qlInterestRateIndexValueDate(IborIndex,X3511,Trigger)</f>
        <v>63587</v>
      </c>
      <c r="Z3511" s="153">
        <v>2.9145169620093843E-2</v>
      </c>
      <c r="AA3511" s="155">
        <v>2.8934857043401152E-2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63592</v>
      </c>
      <c r="Y3512" s="152">
        <f>_xll.qlInterestRateIndexValueDate(IborIndex,X3512,Trigger)</f>
        <v>63594</v>
      </c>
      <c r="Z3512" s="153">
        <v>2.9145169530937317E-2</v>
      </c>
      <c r="AA3512" s="155">
        <v>2.8934856914064611E-2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63599</v>
      </c>
      <c r="Y3513" s="152">
        <f>_xll.qlInterestRateIndexValueDate(IborIndex,X3513,Trigger)</f>
        <v>63601</v>
      </c>
      <c r="Z3513" s="153">
        <v>2.9145169445209205E-2</v>
      </c>
      <c r="AA3513" s="155">
        <v>2.8934856788085384E-2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63606</v>
      </c>
      <c r="Y3514" s="152">
        <f>_xll.qlInterestRateIndexValueDate(IborIndex,X3514,Trigger)</f>
        <v>63608</v>
      </c>
      <c r="Z3514" s="153">
        <v>2.9145169362911279E-2</v>
      </c>
      <c r="AA3514" s="155">
        <v>2.8934856665463471E-2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63613</v>
      </c>
      <c r="Y3515" s="152">
        <f>_xll.qlInterestRateIndexValueDate(IborIndex,X3515,Trigger)</f>
        <v>63615</v>
      </c>
      <c r="Z3515" s="153">
        <v>2.9151040340537091E-2</v>
      </c>
      <c r="AA3515" s="155">
        <v>2.8934856546118937E-2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63620</v>
      </c>
      <c r="Y3516" s="152">
        <f>_xll.qlInterestRateIndexValueDate(IborIndex,X3516,Trigger)</f>
        <v>63622</v>
      </c>
      <c r="Z3516" s="153">
        <v>2.9149865928718453E-2</v>
      </c>
      <c r="AA3516" s="155">
        <v>2.8934856430211653E-2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63627</v>
      </c>
      <c r="Y3517" s="152">
        <f>_xll.qlInterestRateIndexValueDate(IborIndex,X3517,Trigger)</f>
        <v>63629</v>
      </c>
      <c r="Z3517" s="153">
        <v>2.9149865857664801E-2</v>
      </c>
      <c r="AA3517" s="155">
        <v>2.8934856317821556E-2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63634</v>
      </c>
      <c r="Y3518" s="152">
        <f>_xll.qlInterestRateIndexValueDate(IborIndex,X3518,Trigger)</f>
        <v>63636</v>
      </c>
      <c r="Z3518" s="153">
        <v>2.9149865790040627E-2</v>
      </c>
      <c r="AA3518" s="155">
        <v>2.8934856208628901E-2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63641</v>
      </c>
      <c r="Y3519" s="152">
        <f>_xll.qlInterestRateIndexValueDate(IborIndex,X3519,Trigger)</f>
        <v>63643</v>
      </c>
      <c r="Z3519" s="153">
        <v>2.9146343089085827E-2</v>
      </c>
      <c r="AA3519" s="155">
        <v>2.8934856102953432E-2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63648</v>
      </c>
      <c r="Y3520" s="152">
        <f>_xll.qlInterestRateIndexValueDate(IborIndex,X3520,Trigger)</f>
        <v>63650</v>
      </c>
      <c r="Z3520" s="153">
        <v>2.9151040003614775E-2</v>
      </c>
      <c r="AA3520" s="155">
        <v>2.8934856000475406E-2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63655</v>
      </c>
      <c r="Y3521" s="152">
        <f>_xll.qlInterestRateIndexValueDate(IborIndex,X3521,Trigger)</f>
        <v>63661</v>
      </c>
      <c r="Z3521" s="153">
        <v>2.9147517087769623E-2</v>
      </c>
      <c r="AA3521" s="155">
        <v>2.8934855873856691E-2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63662</v>
      </c>
      <c r="Y3522" s="152">
        <f>_xll.qlInterestRateIndexValueDate(IborIndex,X3522,Trigger)</f>
        <v>63664</v>
      </c>
      <c r="Z3522" s="153">
        <v>2.9149865553847291E-2</v>
      </c>
      <c r="AA3522" s="155">
        <v>2.8934855805831106E-2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63669</v>
      </c>
      <c r="Y3523" s="152">
        <f>_xll.qlInterestRateIndexValueDate(IborIndex,X3523,Trigger)</f>
        <v>63671</v>
      </c>
      <c r="Z3523" s="153">
        <v>2.9149865503373937E-2</v>
      </c>
      <c r="AA3523" s="155">
        <v>2.8934855713664831E-2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63676</v>
      </c>
      <c r="Y3524" s="152">
        <f>_xll.qlInterestRateIndexValueDate(IborIndex,X3524,Trigger)</f>
        <v>63678</v>
      </c>
      <c r="Z3524" s="153">
        <v>2.9149865456331348E-2</v>
      </c>
      <c r="AA3524" s="155">
        <v>2.8934855612465782E-2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63683</v>
      </c>
      <c r="Y3525" s="152">
        <f>_xll.qlInterestRateIndexValueDate(IborIndex,X3525,Trigger)</f>
        <v>63685</v>
      </c>
      <c r="Z3525" s="153" t="e">
        <v>#N/A</v>
      </c>
      <c r="AA3525" s="155">
        <v>2.8934855539404225E-2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63690</v>
      </c>
      <c r="Y3526" s="152">
        <f>_xll.qlInterestRateIndexValueDate(IborIndex,X3526,Trigger)</f>
        <v>63692</v>
      </c>
      <c r="Z3526" s="153" t="e">
        <v>#N/A</v>
      </c>
      <c r="AA3526" s="155">
        <v>2.8934855457309894E-2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63697</v>
      </c>
      <c r="Y3527" s="152">
        <f>_xll.qlInterestRateIndexValueDate(IborIndex,X3527,Trigger)</f>
        <v>63699</v>
      </c>
      <c r="Z3527" s="153" t="e">
        <v>#N/A</v>
      </c>
      <c r="AA3527" s="155">
        <v>2.8934855367621637E-2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63704</v>
      </c>
      <c r="Y3528" s="152">
        <f>_xll.qlInterestRateIndexValueDate(IborIndex,X3528,Trigger)</f>
        <v>63706</v>
      </c>
      <c r="Z3528" s="153" t="e">
        <v>#N/A</v>
      </c>
      <c r="AA3528" s="155">
        <v>2.8934855303353046E-2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63711</v>
      </c>
      <c r="Y3529" s="152">
        <f>_xll.qlInterestRateIndexValueDate(IborIndex,X3529,Trigger)</f>
        <v>63713</v>
      </c>
      <c r="Z3529" s="153" t="e">
        <v>#N/A</v>
      </c>
      <c r="AA3529" s="155">
        <v>2.8934855231330658E-2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63718</v>
      </c>
      <c r="Y3530" s="152">
        <f>_xll.qlInterestRateIndexValueDate(IborIndex,X3530,Trigger)</f>
        <v>63720</v>
      </c>
      <c r="Z3530" s="153" t="e">
        <v>#N/A</v>
      </c>
      <c r="AA3530" s="155">
        <v>2.8934855162745521E-2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63725</v>
      </c>
      <c r="Y3531" s="152">
        <f>_xll.qlInterestRateIndexValueDate(IborIndex,X3531,Trigger)</f>
        <v>63727</v>
      </c>
      <c r="Z3531" s="153" t="e">
        <v>#N/A</v>
      </c>
      <c r="AA3531" s="155">
        <v>2.893485509767757E-2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63732</v>
      </c>
      <c r="Y3532" s="152">
        <f>_xll.qlInterestRateIndexValueDate(IborIndex,X3532,Trigger)</f>
        <v>63734</v>
      </c>
      <c r="Z3532" s="153" t="e">
        <v>#N/A</v>
      </c>
      <c r="AA3532" s="155">
        <v>2.8934855035886997E-2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63739</v>
      </c>
      <c r="Y3533" s="152">
        <f>_xll.qlInterestRateIndexValueDate(IborIndex,X3533,Trigger)</f>
        <v>63741</v>
      </c>
      <c r="Z3533" s="153" t="e">
        <v>#N/A</v>
      </c>
      <c r="AA3533" s="155">
        <v>2.8934854977373803E-2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63746</v>
      </c>
      <c r="Y3534" s="152">
        <f>_xll.qlInterestRateIndexValueDate(IborIndex,X3534,Trigger)</f>
        <v>63748</v>
      </c>
      <c r="Z3534" s="153" t="e">
        <v>#N/A</v>
      </c>
      <c r="AA3534" s="155">
        <v>2.8934854922297859E-2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63753</v>
      </c>
      <c r="Y3535" s="152">
        <f>_xll.qlInterestRateIndexValueDate(IborIndex,X3535,Trigger)</f>
        <v>63755</v>
      </c>
      <c r="Z3535" s="153" t="e">
        <v>#N/A</v>
      </c>
      <c r="AA3535" s="155">
        <v>2.8934854870739102E-2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63760</v>
      </c>
      <c r="Y3536" s="152">
        <f>_xll.qlInterestRateIndexValueDate(IborIndex,X3536,Trigger)</f>
        <v>63762</v>
      </c>
      <c r="Z3536" s="153" t="e">
        <v>#N/A</v>
      </c>
      <c r="AA3536" s="155">
        <v>2.8934854822377787E-2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63767</v>
      </c>
      <c r="Y3537" s="152">
        <f>_xll.qlInterestRateIndexValueDate(IborIndex,X3537,Trigger)</f>
        <v>63769</v>
      </c>
      <c r="Z3537" s="153" t="e">
        <v>#N/A</v>
      </c>
      <c r="AA3537" s="155">
        <v>2.8934854777453722E-2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63774</v>
      </c>
      <c r="Y3538" s="152">
        <f>_xll.qlInterestRateIndexValueDate(IborIndex,X3538,Trigger)</f>
        <v>63776</v>
      </c>
      <c r="Z3538" s="153" t="e">
        <v>#N/A</v>
      </c>
      <c r="AA3538" s="155">
        <v>2.8934854736046844E-2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63781</v>
      </c>
      <c r="Y3539" s="152">
        <f>_xll.qlInterestRateIndexValueDate(IborIndex,X3539,Trigger)</f>
        <v>63783</v>
      </c>
      <c r="Z3539" s="153" t="e">
        <v>#N/A</v>
      </c>
      <c r="AA3539" s="155">
        <v>2.8934854697837409E-2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63788</v>
      </c>
      <c r="Y3540" s="152">
        <f>_xll.qlInterestRateIndexValueDate(IborIndex,X3540,Trigger)</f>
        <v>63790</v>
      </c>
      <c r="Z3540" s="153" t="e">
        <v>#N/A</v>
      </c>
      <c r="AA3540" s="155">
        <v>2.8934854658428932E-2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63795</v>
      </c>
      <c r="Y3541" s="152">
        <f>_xll.qlInterestRateIndexValueDate(IborIndex,X3541,Trigger)</f>
        <v>63797</v>
      </c>
      <c r="Z3541" s="153" t="e">
        <v>#N/A</v>
      </c>
      <c r="AA3541" s="155">
        <v>2.8934854631730289E-2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63802</v>
      </c>
      <c r="Y3542" s="152">
        <f>_xll.qlInterestRateIndexValueDate(IborIndex,X3542,Trigger)</f>
        <v>63804</v>
      </c>
      <c r="Z3542" s="153" t="e">
        <v>#N/A</v>
      </c>
      <c r="AA3542" s="155">
        <v>2.8934854603672733E-2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63809</v>
      </c>
      <c r="Y3543" s="152">
        <f>_xll.qlInterestRateIndexValueDate(IborIndex,X3543,Trigger)</f>
        <v>63811</v>
      </c>
      <c r="Z3543" s="153" t="e">
        <v>#N/A</v>
      </c>
      <c r="AA3543" s="155">
        <v>2.8934854579132363E-2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63816</v>
      </c>
      <c r="Y3544" s="152">
        <f>_xll.qlInterestRateIndexValueDate(IborIndex,X3544,Trigger)</f>
        <v>63818</v>
      </c>
      <c r="Z3544" s="153" t="e">
        <v>#N/A</v>
      </c>
      <c r="AA3544" s="155">
        <v>2.8934854557789436E-2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63823</v>
      </c>
      <c r="Y3545" s="152">
        <f>_xll.qlInterestRateIndexValueDate(IborIndex,X3545,Trigger)</f>
        <v>63825</v>
      </c>
      <c r="Z3545" s="153" t="e">
        <v>#N/A</v>
      </c>
      <c r="AA3545" s="155">
        <v>2.8934854539963695E-2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63830</v>
      </c>
      <c r="Y3546" s="152">
        <f>_xll.qlInterestRateIndexValueDate(IborIndex,X3546,Trigger)</f>
        <v>63832</v>
      </c>
      <c r="Z3546" s="153" t="e">
        <v>#N/A</v>
      </c>
      <c r="AA3546" s="155">
        <v>2.8934854525495268E-2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63837</v>
      </c>
      <c r="Y3547" s="152">
        <f>_xll.qlInterestRateIndexValueDate(IborIndex,X3547,Trigger)</f>
        <v>63839</v>
      </c>
      <c r="Z3547" s="153" t="e">
        <v>#N/A</v>
      </c>
      <c r="AA3547" s="155">
        <v>2.893485451430422E-2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63844</v>
      </c>
      <c r="Y3548" s="152">
        <f>_xll.qlInterestRateIndexValueDate(IborIndex,X3548,Trigger)</f>
        <v>63846</v>
      </c>
      <c r="Z3548" s="153" t="e">
        <v>#N/A</v>
      </c>
      <c r="AA3548" s="155">
        <v>2.8934854506550423E-2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63851</v>
      </c>
      <c r="Y3549" s="152">
        <f>_xll.qlInterestRateIndexValueDate(IborIndex,X3549,Trigger)</f>
        <v>63853</v>
      </c>
      <c r="Z3549" s="153" t="e">
        <v>#N/A</v>
      </c>
      <c r="AA3549" s="155">
        <v>2.8934854502233875E-2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63858</v>
      </c>
      <c r="Y3550" s="152">
        <f>_xll.qlInterestRateIndexValueDate(IborIndex,X3550,Trigger)</f>
        <v>63860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63865</v>
      </c>
      <c r="Y3551" s="152">
        <f>_xll.qlInterestRateIndexValueDate(IborIndex,X3551,Trigger)</f>
        <v>63867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63872</v>
      </c>
      <c r="Y3552" s="166">
        <f>_xll.qlInterestRateIndexValueDate(IborIndex,X3552,Trigger)</f>
        <v>63874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2014-10-31T09:40:58Z</dcterms:modified>
</cp:coreProperties>
</file>